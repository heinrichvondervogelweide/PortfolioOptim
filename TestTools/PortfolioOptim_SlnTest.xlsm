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D:\Projects\VS_Projects\PortfolioOptim\TestTools\"/>
    </mc:Choice>
  </mc:AlternateContent>
  <xr:revisionPtr revIDLastSave="0" documentId="13_ncr:1_{1EA24D6E-2B0A-47D3-9CAF-F4DAFD706476}" xr6:coauthVersionLast="47" xr6:coauthVersionMax="47" xr10:uidLastSave="{00000000-0000-0000-0000-000000000000}"/>
  <bookViews>
    <workbookView xWindow="-108" yWindow="-108" windowWidth="23256" windowHeight="12456" firstSheet="2" activeTab="4" xr2:uid="{00000000-000D-0000-FFFF-FFFF00000000}"/>
  </bookViews>
  <sheets>
    <sheet name="4 Assets " sheetId="7" r:id="rId1"/>
    <sheet name="EffFrontier ChatGPT" sheetId="10" r:id="rId2"/>
    <sheet name="EffFrontier 4 Assets" sheetId="11" r:id="rId3"/>
    <sheet name="EffFrontier 4 Assets (2)" sheetId="14" r:id="rId4"/>
    <sheet name="OptimOnSmplxGrid 4 Assets" sheetId="15" r:id="rId5"/>
    <sheet name="Uniform Grid over the Simplex" sheetId="12" r:id="rId6"/>
    <sheet name="Pagmo NonLinFit" sheetId="13" r:id="rId7"/>
    <sheet name="Centroid" sheetId="8" r:id="rId8"/>
  </sheets>
  <functionGroups builtInGroupCount="19"/>
  <definedNames>
    <definedName name="a_0" localSheetId="7">Centroid!$C$4</definedName>
    <definedName name="a_0">'4 Assets '!#REF!</definedName>
    <definedName name="a_1" localSheetId="7">Centroid!$C$3</definedName>
    <definedName name="a_1">'4 Assets '!#REF!</definedName>
    <definedName name="a_2" localSheetId="7">Centroid!$C$2</definedName>
    <definedName name="a_2">'4 Assets '!#REF!</definedName>
  </definedNames>
  <calcPr calcId="181029"/>
</workbook>
</file>

<file path=xl/calcChain.xml><?xml version="1.0" encoding="utf-8"?>
<calcChain xmlns="http://schemas.openxmlformats.org/spreadsheetml/2006/main">
  <c r="BA5" i="12" l="1"/>
  <c r="Q39" i="15"/>
  <c r="R39" i="15"/>
  <c r="S39" i="15"/>
  <c r="Q40" i="15"/>
  <c r="AB33" i="15" s="1"/>
  <c r="R40" i="15"/>
  <c r="AC32" i="15" s="1"/>
  <c r="S40" i="15"/>
  <c r="AD26" i="15" s="1"/>
  <c r="P40" i="15"/>
  <c r="P39" i="15"/>
  <c r="U37" i="15" a="1"/>
  <c r="U37" i="15" s="1"/>
  <c r="V37" i="15" a="1"/>
  <c r="V37" i="15" s="1"/>
  <c r="U29" i="15" a="1"/>
  <c r="U29" i="15" s="1"/>
  <c r="V29" i="15" a="1"/>
  <c r="V29" i="15" s="1"/>
  <c r="U25" i="15" a="1"/>
  <c r="U25" i="15" s="1"/>
  <c r="V25" i="15" a="1"/>
  <c r="V25" i="15" s="1"/>
  <c r="U20" i="15" a="1"/>
  <c r="U20" i="15" s="1"/>
  <c r="V20" i="15" a="1"/>
  <c r="V20" i="15" s="1"/>
  <c r="U17" i="15" a="1"/>
  <c r="U17" i="15" s="1"/>
  <c r="V17" i="15" a="1"/>
  <c r="V17" i="15" s="1"/>
  <c r="U36" i="15" a="1"/>
  <c r="U36" i="15" s="1"/>
  <c r="V36" i="15" a="1"/>
  <c r="V36" i="15" s="1"/>
  <c r="U30" i="15" a="1"/>
  <c r="U30" i="15" s="1"/>
  <c r="V30" i="15" a="1"/>
  <c r="V30" i="15" s="1"/>
  <c r="U27" i="15" a="1"/>
  <c r="U27" i="15" s="1"/>
  <c r="V27" i="15" a="1"/>
  <c r="V27" i="15" s="1"/>
  <c r="U23" i="15" a="1"/>
  <c r="U23" i="15" s="1"/>
  <c r="V23" i="15" a="1"/>
  <c r="V23" i="15" s="1"/>
  <c r="U35" i="15" a="1"/>
  <c r="U35" i="15" s="1"/>
  <c r="V35" i="15" a="1"/>
  <c r="V35" i="15" s="1"/>
  <c r="U31" i="15" a="1"/>
  <c r="U31" i="15" s="1"/>
  <c r="V31" i="15" a="1"/>
  <c r="V31" i="15" s="1"/>
  <c r="U28" i="15" a="1"/>
  <c r="U28" i="15" s="1"/>
  <c r="V28" i="15" a="1"/>
  <c r="V28" i="15" s="1"/>
  <c r="U34" i="15" a="1"/>
  <c r="U34" i="15" s="1"/>
  <c r="V34" i="15" a="1"/>
  <c r="V34" i="15" s="1"/>
  <c r="U32" i="15" a="1"/>
  <c r="U32" i="15" s="1"/>
  <c r="V32" i="15" a="1"/>
  <c r="V32" i="15" s="1"/>
  <c r="U33" i="15" a="1"/>
  <c r="U33" i="15" s="1"/>
  <c r="V33" i="15" a="1"/>
  <c r="V33" i="15" s="1"/>
  <c r="U19" i="15" a="1"/>
  <c r="U19" i="15" s="1"/>
  <c r="V19" i="15" a="1"/>
  <c r="V19" i="15" s="1"/>
  <c r="U15" i="15" a="1"/>
  <c r="U15" i="15" s="1"/>
  <c r="V15" i="15" a="1"/>
  <c r="V15" i="15" s="1"/>
  <c r="U13" i="15" a="1"/>
  <c r="U13" i="15" s="1"/>
  <c r="V13" i="15" a="1"/>
  <c r="V13" i="15" s="1"/>
  <c r="U11" i="15" a="1"/>
  <c r="U11" i="15" s="1"/>
  <c r="V11" i="15" a="1"/>
  <c r="V11" i="15" s="1"/>
  <c r="U22" i="15" a="1"/>
  <c r="U22" i="15" s="1"/>
  <c r="V22" i="15" a="1"/>
  <c r="V22" i="15" s="1"/>
  <c r="U18" i="15" a="1"/>
  <c r="U18" i="15" s="1"/>
  <c r="V18" i="15" a="1"/>
  <c r="V18" i="15" s="1"/>
  <c r="U16" i="15" a="1"/>
  <c r="U16" i="15" s="1"/>
  <c r="V16" i="15" a="1"/>
  <c r="V16" i="15" s="1"/>
  <c r="U24" i="15" a="1"/>
  <c r="U24" i="15" s="1"/>
  <c r="V24" i="15" a="1"/>
  <c r="V24" i="15" s="1"/>
  <c r="U21" i="15" a="1"/>
  <c r="U21" i="15" s="1"/>
  <c r="V21" i="15" a="1"/>
  <c r="V21" i="15" s="1"/>
  <c r="U26" i="15" a="1"/>
  <c r="U26" i="15" s="1"/>
  <c r="V26" i="15" a="1"/>
  <c r="V26" i="15" s="1"/>
  <c r="U9" i="15" a="1"/>
  <c r="U9" i="15" s="1"/>
  <c r="V9" i="15" a="1"/>
  <c r="V9" i="15" s="1"/>
  <c r="U8" i="15" a="1"/>
  <c r="U8" i="15" s="1"/>
  <c r="V8" i="15" a="1"/>
  <c r="V8" i="15" s="1"/>
  <c r="U6" i="15" a="1"/>
  <c r="U6" i="15" s="1"/>
  <c r="V6" i="15" a="1"/>
  <c r="V6" i="15" s="1"/>
  <c r="U12" i="15" a="1"/>
  <c r="U12" i="15" s="1"/>
  <c r="V12" i="15" a="1"/>
  <c r="V12" i="15" s="1"/>
  <c r="U10" i="15" a="1"/>
  <c r="U10" i="15" s="1"/>
  <c r="V10" i="15" a="1"/>
  <c r="V10" i="15" s="1"/>
  <c r="U14" i="15" a="1"/>
  <c r="U14" i="15" s="1"/>
  <c r="V14" i="15" a="1"/>
  <c r="V14" i="15" s="1"/>
  <c r="U5" i="15" a="1"/>
  <c r="U5" i="15" s="1"/>
  <c r="V5" i="15" a="1"/>
  <c r="V5" i="15" s="1"/>
  <c r="U4" i="15" a="1"/>
  <c r="U4" i="15" s="1"/>
  <c r="V4" i="15" a="1"/>
  <c r="V4" i="15" s="1"/>
  <c r="U7" i="15" a="1"/>
  <c r="U7" i="15" s="1"/>
  <c r="V7" i="15" a="1"/>
  <c r="V7" i="15" s="1"/>
  <c r="U3" i="15" a="1"/>
  <c r="U3" i="15" s="1"/>
  <c r="V3" i="15" a="1"/>
  <c r="V3" i="15" s="1"/>
  <c r="C6" i="15"/>
  <c r="D6" i="15" s="1"/>
  <c r="C5" i="15"/>
  <c r="D5" i="15" s="1"/>
  <c r="C4" i="15"/>
  <c r="D4" i="15" s="1"/>
  <c r="C3" i="15"/>
  <c r="D3" i="15" s="1"/>
  <c r="D4" i="11"/>
  <c r="D5" i="11"/>
  <c r="D6" i="11"/>
  <c r="D3" i="11"/>
  <c r="W3" i="11" a="1"/>
  <c r="W3" i="11"/>
  <c r="Q1004" i="11"/>
  <c r="R1004" i="11"/>
  <c r="S1004" i="11"/>
  <c r="Q1005" i="11"/>
  <c r="R1005" i="11"/>
  <c r="S1005" i="11"/>
  <c r="AI995" i="11" s="1"/>
  <c r="P1005" i="11"/>
  <c r="P1004" i="11"/>
  <c r="E42" i="14"/>
  <c r="E4" i="14"/>
  <c r="E13" i="14"/>
  <c r="E60" i="14"/>
  <c r="E20" i="14"/>
  <c r="E33" i="14"/>
  <c r="E38" i="14"/>
  <c r="E19" i="14"/>
  <c r="E93" i="14"/>
  <c r="E10" i="14"/>
  <c r="E5" i="14"/>
  <c r="E22" i="14"/>
  <c r="E7" i="14"/>
  <c r="E220" i="14"/>
  <c r="E66" i="14"/>
  <c r="E241" i="14"/>
  <c r="E16" i="14"/>
  <c r="E18" i="14"/>
  <c r="E31" i="14"/>
  <c r="E9" i="14"/>
  <c r="E25" i="14"/>
  <c r="E67" i="14"/>
  <c r="E24" i="14"/>
  <c r="E53" i="14"/>
  <c r="E26" i="14"/>
  <c r="E6" i="14"/>
  <c r="E175" i="14"/>
  <c r="E179" i="14"/>
  <c r="E8" i="14"/>
  <c r="E14" i="14"/>
  <c r="E11" i="14"/>
  <c r="E242" i="14"/>
  <c r="E72" i="14"/>
  <c r="E86" i="14"/>
  <c r="E264" i="14"/>
  <c r="E344" i="14"/>
  <c r="E196" i="14"/>
  <c r="E12" i="14"/>
  <c r="E41" i="14"/>
  <c r="E208" i="14"/>
  <c r="E278" i="14"/>
  <c r="E55" i="14"/>
  <c r="E232" i="14"/>
  <c r="E82" i="14"/>
  <c r="E152" i="14"/>
  <c r="E39" i="14"/>
  <c r="E15" i="14"/>
  <c r="E140" i="14"/>
  <c r="E193" i="14"/>
  <c r="E21" i="14"/>
  <c r="E440" i="14"/>
  <c r="E371" i="14"/>
  <c r="E34" i="14"/>
  <c r="E61" i="14"/>
  <c r="E17" i="14"/>
  <c r="E32" i="14"/>
  <c r="E87" i="14"/>
  <c r="E74" i="14"/>
  <c r="E316" i="14"/>
  <c r="E48" i="14"/>
  <c r="E43" i="14"/>
  <c r="E538" i="14"/>
  <c r="E36" i="14"/>
  <c r="E159" i="14"/>
  <c r="E108" i="14"/>
  <c r="E57" i="14"/>
  <c r="E127" i="14"/>
  <c r="E161" i="14"/>
  <c r="E51" i="14"/>
  <c r="E59" i="14"/>
  <c r="E126" i="14"/>
  <c r="E44" i="14"/>
  <c r="E65" i="14"/>
  <c r="E116" i="14"/>
  <c r="E27" i="14"/>
  <c r="E377" i="14"/>
  <c r="E190" i="14"/>
  <c r="E291" i="14"/>
  <c r="E88" i="14"/>
  <c r="E23" i="14"/>
  <c r="E29" i="14"/>
  <c r="E262" i="14"/>
  <c r="E94" i="14"/>
  <c r="E47" i="14"/>
  <c r="E246" i="14"/>
  <c r="E63" i="14"/>
  <c r="E28" i="14"/>
  <c r="E40" i="14"/>
  <c r="E35" i="14"/>
  <c r="E330" i="14"/>
  <c r="E98" i="14"/>
  <c r="E131" i="14"/>
  <c r="E302" i="14"/>
  <c r="E121" i="14"/>
  <c r="E104" i="14"/>
  <c r="E96" i="14"/>
  <c r="E84" i="14"/>
  <c r="E560" i="14"/>
  <c r="E301" i="14"/>
  <c r="E76" i="14"/>
  <c r="E167" i="14"/>
  <c r="E52" i="14"/>
  <c r="E158" i="14"/>
  <c r="E69" i="14"/>
  <c r="E64" i="14"/>
  <c r="E112" i="14"/>
  <c r="E85" i="14"/>
  <c r="E154" i="14"/>
  <c r="E125" i="14"/>
  <c r="E510" i="14"/>
  <c r="E134" i="14"/>
  <c r="E45" i="14"/>
  <c r="E37" i="14"/>
  <c r="E219" i="14"/>
  <c r="E95" i="14"/>
  <c r="E362" i="14"/>
  <c r="E427" i="14"/>
  <c r="E49" i="14"/>
  <c r="E166" i="14"/>
  <c r="E79" i="14"/>
  <c r="E128" i="14"/>
  <c r="E165" i="14"/>
  <c r="E366" i="14"/>
  <c r="E305" i="14"/>
  <c r="E73" i="14"/>
  <c r="E124" i="14"/>
  <c r="E398" i="14"/>
  <c r="E120" i="14"/>
  <c r="E298" i="14"/>
  <c r="E129" i="14"/>
  <c r="E91" i="14"/>
  <c r="E221" i="14"/>
  <c r="E46" i="14"/>
  <c r="E209" i="14"/>
  <c r="E156" i="14"/>
  <c r="E419" i="14"/>
  <c r="E100" i="14"/>
  <c r="E247" i="14"/>
  <c r="E50" i="14"/>
  <c r="E664" i="14"/>
  <c r="E56" i="14"/>
  <c r="E251" i="14"/>
  <c r="E78" i="14"/>
  <c r="E180" i="14"/>
  <c r="E123" i="14"/>
  <c r="E54" i="14"/>
  <c r="E157" i="14"/>
  <c r="E83" i="14"/>
  <c r="E163" i="14"/>
  <c r="E446" i="14"/>
  <c r="E62" i="14"/>
  <c r="E68" i="14"/>
  <c r="E58" i="14"/>
  <c r="E226" i="14"/>
  <c r="E315" i="14"/>
  <c r="E80" i="14"/>
  <c r="E162" i="14"/>
  <c r="E115" i="14"/>
  <c r="E355" i="14"/>
  <c r="E212" i="14"/>
  <c r="E187" i="14"/>
  <c r="E472" i="14"/>
  <c r="E70" i="14"/>
  <c r="E271" i="14"/>
  <c r="E71" i="14"/>
  <c r="E255" i="14"/>
  <c r="E102" i="14"/>
  <c r="E132" i="14"/>
  <c r="E311" i="14"/>
  <c r="E203" i="14"/>
  <c r="E186" i="14"/>
  <c r="E113" i="14"/>
  <c r="E89" i="14"/>
  <c r="E229" i="14"/>
  <c r="E92" i="14"/>
  <c r="E481" i="14"/>
  <c r="E77" i="14"/>
  <c r="E624" i="14"/>
  <c r="E379" i="14"/>
  <c r="E75" i="14"/>
  <c r="E189" i="14"/>
  <c r="E395" i="14"/>
  <c r="E393" i="14"/>
  <c r="E340" i="14"/>
  <c r="E659" i="14"/>
  <c r="E205" i="14"/>
  <c r="E361" i="14"/>
  <c r="E146" i="14"/>
  <c r="E144" i="14"/>
  <c r="E392" i="14"/>
  <c r="E153" i="14"/>
  <c r="E107" i="14"/>
  <c r="E168" i="14"/>
  <c r="E410" i="14"/>
  <c r="E111" i="14"/>
  <c r="E274" i="14"/>
  <c r="E299" i="14"/>
  <c r="E195" i="14"/>
  <c r="E101" i="14"/>
  <c r="E164" i="14"/>
  <c r="E194" i="14"/>
  <c r="E284" i="14"/>
  <c r="E139" i="14"/>
  <c r="E81" i="14"/>
  <c r="E231" i="14"/>
  <c r="E109" i="14"/>
  <c r="E99" i="14"/>
  <c r="E181" i="14"/>
  <c r="E90" i="14"/>
  <c r="E591" i="14"/>
  <c r="E122" i="14"/>
  <c r="E265" i="14"/>
  <c r="E610" i="14"/>
  <c r="E148" i="14"/>
  <c r="E452" i="14"/>
  <c r="E137" i="14"/>
  <c r="E295" i="14"/>
  <c r="E277" i="14"/>
  <c r="E97" i="14"/>
  <c r="E118" i="14"/>
  <c r="E453" i="14"/>
  <c r="E457" i="14"/>
  <c r="E106" i="14"/>
  <c r="E135" i="14"/>
  <c r="E360" i="14"/>
  <c r="E103" i="14"/>
  <c r="E114" i="14"/>
  <c r="E288" i="14"/>
  <c r="E257" i="14"/>
  <c r="E549" i="14"/>
  <c r="E399" i="14"/>
  <c r="E338" i="14"/>
  <c r="E171" i="14"/>
  <c r="E143" i="14"/>
  <c r="E191" i="14"/>
  <c r="E105" i="14"/>
  <c r="E240" i="14"/>
  <c r="E110" i="14"/>
  <c r="E133" i="14"/>
  <c r="E445" i="14"/>
  <c r="E263" i="14"/>
  <c r="E170" i="14"/>
  <c r="E117" i="14"/>
  <c r="E169" i="14"/>
  <c r="E182" i="14"/>
  <c r="E236" i="14"/>
  <c r="E160" i="14"/>
  <c r="E418" i="14"/>
  <c r="E293" i="14"/>
  <c r="E322" i="14"/>
  <c r="E632" i="14"/>
  <c r="E252" i="14"/>
  <c r="E174" i="14"/>
  <c r="E119" i="14"/>
  <c r="E537" i="14"/>
  <c r="E173" i="14"/>
  <c r="E575" i="14"/>
  <c r="E460" i="14"/>
  <c r="E273" i="14"/>
  <c r="E390" i="14"/>
  <c r="E307" i="14"/>
  <c r="E490" i="14"/>
  <c r="E266" i="14"/>
  <c r="E218" i="14"/>
  <c r="E326" i="14"/>
  <c r="E384" i="14"/>
  <c r="E147" i="14"/>
  <c r="E383" i="14"/>
  <c r="E130" i="14"/>
  <c r="E286" i="14"/>
  <c r="E272" i="14"/>
  <c r="E210" i="14"/>
  <c r="E394" i="14"/>
  <c r="E138" i="14"/>
  <c r="E354" i="14"/>
  <c r="E136" i="14"/>
  <c r="E514" i="14"/>
  <c r="E142" i="14"/>
  <c r="E197" i="14"/>
  <c r="E235" i="14"/>
  <c r="E149" i="14"/>
  <c r="E577" i="14"/>
  <c r="E172" i="14"/>
  <c r="E276" i="14"/>
  <c r="E228" i="14"/>
  <c r="E201" i="14"/>
  <c r="E206" i="14"/>
  <c r="E474" i="14"/>
  <c r="E334" i="14"/>
  <c r="E381" i="14"/>
  <c r="E150" i="14"/>
  <c r="E145" i="14"/>
  <c r="E450" i="14"/>
  <c r="E155" i="14"/>
  <c r="E215" i="14"/>
  <c r="E222" i="14"/>
  <c r="E332" i="14"/>
  <c r="E141" i="14"/>
  <c r="E542" i="14"/>
  <c r="E217" i="14"/>
  <c r="E185" i="14"/>
  <c r="E151" i="14"/>
  <c r="E665" i="14"/>
  <c r="E213" i="14"/>
  <c r="E192" i="14"/>
  <c r="E259" i="14"/>
  <c r="E313" i="14"/>
  <c r="E178" i="14"/>
  <c r="E227" i="14"/>
  <c r="E223" i="14"/>
  <c r="E268" i="14"/>
  <c r="E350" i="14"/>
  <c r="E671" i="14"/>
  <c r="E722" i="14"/>
  <c r="E511" i="14"/>
  <c r="E177" i="14"/>
  <c r="E188" i="14"/>
  <c r="E200" i="14"/>
  <c r="E536" i="14"/>
  <c r="E198" i="14"/>
  <c r="E725" i="14"/>
  <c r="E391" i="14"/>
  <c r="E594" i="14"/>
  <c r="E234" i="14"/>
  <c r="E499" i="14"/>
  <c r="E519" i="14"/>
  <c r="E280" i="14"/>
  <c r="E432" i="14"/>
  <c r="E424" i="14"/>
  <c r="E498" i="14"/>
  <c r="E211" i="14"/>
  <c r="E176" i="14"/>
  <c r="E237" i="14"/>
  <c r="E269" i="14"/>
  <c r="E339" i="14"/>
  <c r="E438" i="14"/>
  <c r="E183" i="14"/>
  <c r="E184" i="14"/>
  <c r="E534" i="14"/>
  <c r="E321" i="14"/>
  <c r="E382" i="14"/>
  <c r="E475" i="14"/>
  <c r="E275" i="14"/>
  <c r="E216" i="14"/>
  <c r="E346" i="14"/>
  <c r="E207" i="14"/>
  <c r="E530" i="14"/>
  <c r="E285" i="14"/>
  <c r="E202" i="14"/>
  <c r="E238" i="14"/>
  <c r="E407" i="14"/>
  <c r="E199" i="14"/>
  <c r="E325" i="14"/>
  <c r="E556" i="14"/>
  <c r="E487" i="14"/>
  <c r="E204" i="14"/>
  <c r="E480" i="14"/>
  <c r="E494" i="14"/>
  <c r="E357" i="14"/>
  <c r="E230" i="14"/>
  <c r="E356" i="14"/>
  <c r="E256" i="14"/>
  <c r="E267" i="14"/>
  <c r="E342" i="14"/>
  <c r="E529" i="14"/>
  <c r="E488" i="14"/>
  <c r="E324" i="14"/>
  <c r="E306" i="14"/>
  <c r="E214" i="14"/>
  <c r="E331" i="14"/>
  <c r="E233" i="14"/>
  <c r="E225" i="14"/>
  <c r="E303" i="14"/>
  <c r="E375" i="14"/>
  <c r="E283" i="14"/>
  <c r="E400" i="14"/>
  <c r="E615" i="14"/>
  <c r="E308" i="14"/>
  <c r="E597" i="14"/>
  <c r="E314" i="14"/>
  <c r="E408" i="14"/>
  <c r="E320" i="14"/>
  <c r="E239" i="14"/>
  <c r="E297" i="14"/>
  <c r="E439" i="14"/>
  <c r="E388" i="14"/>
  <c r="E687" i="14"/>
  <c r="E258" i="14"/>
  <c r="E349" i="14"/>
  <c r="E406" i="14"/>
  <c r="E243" i="14"/>
  <c r="E701" i="14"/>
  <c r="E287" i="14"/>
  <c r="E442" i="14"/>
  <c r="E224" i="14"/>
  <c r="E245" i="14"/>
  <c r="E535" i="14"/>
  <c r="E296" i="14"/>
  <c r="E464" i="14"/>
  <c r="E261" i="14"/>
  <c r="E345" i="14"/>
  <c r="E347" i="14"/>
  <c r="E323" i="14"/>
  <c r="E478" i="14"/>
  <c r="E250" i="14"/>
  <c r="E294" i="14"/>
  <c r="E309" i="14"/>
  <c r="E435" i="14"/>
  <c r="E300" i="14"/>
  <c r="E310" i="14"/>
  <c r="E372" i="14"/>
  <c r="E409" i="14"/>
  <c r="E244" i="14"/>
  <c r="E253" i="14"/>
  <c r="E260" i="14"/>
  <c r="E290" i="14"/>
  <c r="E434" i="14"/>
  <c r="E248" i="14"/>
  <c r="E837" i="14"/>
  <c r="E414" i="14"/>
  <c r="E352" i="14"/>
  <c r="E367" i="14"/>
  <c r="E317" i="14"/>
  <c r="E282" i="14"/>
  <c r="E254" i="14"/>
  <c r="E337" i="14"/>
  <c r="E281" i="14"/>
  <c r="E497" i="14"/>
  <c r="E368" i="14"/>
  <c r="E380" i="14"/>
  <c r="E567" i="14"/>
  <c r="E365" i="14"/>
  <c r="E428" i="14"/>
  <c r="E249" i="14"/>
  <c r="E459" i="14"/>
  <c r="E531" i="14"/>
  <c r="E270" i="14"/>
  <c r="E397" i="14"/>
  <c r="E389" i="14"/>
  <c r="E470" i="14"/>
  <c r="E736" i="14"/>
  <c r="E304" i="14"/>
  <c r="E533" i="14"/>
  <c r="E417" i="14"/>
  <c r="E892" i="14"/>
  <c r="E518" i="14"/>
  <c r="E386" i="14"/>
  <c r="E312" i="14"/>
  <c r="E374" i="14"/>
  <c r="E369" i="14"/>
  <c r="E550" i="14"/>
  <c r="E425" i="14"/>
  <c r="E786" i="14"/>
  <c r="E403" i="14"/>
  <c r="E413" i="14"/>
  <c r="E292" i="14"/>
  <c r="E387" i="14"/>
  <c r="E328" i="14"/>
  <c r="E415" i="14"/>
  <c r="E416" i="14"/>
  <c r="E543" i="14"/>
  <c r="E289" i="14"/>
  <c r="E335" i="14"/>
  <c r="E341" i="14"/>
  <c r="E582" i="14"/>
  <c r="E279" i="14"/>
  <c r="E607" i="14"/>
  <c r="E456" i="14"/>
  <c r="E336" i="14"/>
  <c r="E353" i="14"/>
  <c r="E329" i="14"/>
  <c r="E449" i="14"/>
  <c r="E373" i="14"/>
  <c r="E358" i="14"/>
  <c r="E327" i="14"/>
  <c r="E574" i="14"/>
  <c r="E485" i="14"/>
  <c r="E952" i="14"/>
  <c r="E463" i="14"/>
  <c r="E370" i="14"/>
  <c r="E451" i="14"/>
  <c r="E675" i="14"/>
  <c r="E557" i="14"/>
  <c r="E412" i="14"/>
  <c r="E484" i="14"/>
  <c r="E364" i="14"/>
  <c r="E333" i="14"/>
  <c r="E401" i="14"/>
  <c r="E609" i="14"/>
  <c r="E402" i="14"/>
  <c r="E343" i="14"/>
  <c r="E319" i="14"/>
  <c r="E503" i="14"/>
  <c r="E547" i="14"/>
  <c r="E318" i="14"/>
  <c r="E359" i="14"/>
  <c r="E552" i="14"/>
  <c r="E426" i="14"/>
  <c r="E404" i="14"/>
  <c r="E433" i="14"/>
  <c r="E520" i="14"/>
  <c r="E348" i="14"/>
  <c r="E565" i="14"/>
  <c r="E363" i="14"/>
  <c r="E461" i="14"/>
  <c r="E635" i="14"/>
  <c r="E455" i="14"/>
  <c r="E501" i="14"/>
  <c r="E545" i="14"/>
  <c r="E558" i="14"/>
  <c r="E351" i="14"/>
  <c r="E448" i="14"/>
  <c r="E689" i="14"/>
  <c r="E376" i="14"/>
  <c r="E421" i="14"/>
  <c r="E411" i="14"/>
  <c r="E405" i="14"/>
  <c r="E420" i="14"/>
  <c r="E458" i="14"/>
  <c r="E500" i="14"/>
  <c r="E396" i="14"/>
  <c r="E486" i="14"/>
  <c r="E378" i="14"/>
  <c r="E385" i="14"/>
  <c r="E633" i="14"/>
  <c r="E653" i="14"/>
  <c r="E669" i="14"/>
  <c r="E437" i="14"/>
  <c r="E661" i="14"/>
  <c r="E473" i="14"/>
  <c r="E444" i="14"/>
  <c r="E555" i="14"/>
  <c r="E441" i="14"/>
  <c r="E521" i="14"/>
  <c r="E544" i="14"/>
  <c r="E466" i="14"/>
  <c r="E568" i="14"/>
  <c r="E569" i="14"/>
  <c r="E698" i="14"/>
  <c r="E502" i="14"/>
  <c r="E493" i="14"/>
  <c r="E580" i="14"/>
  <c r="E467" i="14"/>
  <c r="E676" i="14"/>
  <c r="E850" i="14"/>
  <c r="E436" i="14"/>
  <c r="E482" i="14"/>
  <c r="E429" i="14"/>
  <c r="E561" i="14"/>
  <c r="E525" i="14"/>
  <c r="E697" i="14"/>
  <c r="E468" i="14"/>
  <c r="E604" i="14"/>
  <c r="E907" i="14"/>
  <c r="E717" i="14"/>
  <c r="E471" i="14"/>
  <c r="E509" i="14"/>
  <c r="E443" i="14"/>
  <c r="E508" i="14"/>
  <c r="E492" i="14"/>
  <c r="E598" i="14"/>
  <c r="E462" i="14"/>
  <c r="E477" i="14"/>
  <c r="E724" i="14"/>
  <c r="E573" i="14"/>
  <c r="E564" i="14"/>
  <c r="E522" i="14"/>
  <c r="E431" i="14"/>
  <c r="E495" i="14"/>
  <c r="E589" i="14"/>
  <c r="E739" i="14"/>
  <c r="E516" i="14"/>
  <c r="E662" i="14"/>
  <c r="E613" i="14"/>
  <c r="E700" i="14"/>
  <c r="E422" i="14"/>
  <c r="E563" i="14"/>
  <c r="E512" i="14"/>
  <c r="E423" i="14"/>
  <c r="E743" i="14"/>
  <c r="E430" i="14"/>
  <c r="E504" i="14"/>
  <c r="E447" i="14"/>
  <c r="E651" i="14"/>
  <c r="E576" i="14"/>
  <c r="E491" i="14"/>
  <c r="E639" i="14"/>
  <c r="E507" i="14"/>
  <c r="E636" i="14"/>
  <c r="E517" i="14"/>
  <c r="E763" i="14"/>
  <c r="E587" i="14"/>
  <c r="E600" i="14"/>
  <c r="E454" i="14"/>
  <c r="E668" i="14"/>
  <c r="E528" i="14"/>
  <c r="E611" i="14"/>
  <c r="E524" i="14"/>
  <c r="E601" i="14"/>
  <c r="E489" i="14"/>
  <c r="E570" i="14"/>
  <c r="E483" i="14"/>
  <c r="E819" i="14"/>
  <c r="E479" i="14"/>
  <c r="E526" i="14"/>
  <c r="E705" i="14"/>
  <c r="E562" i="14"/>
  <c r="E699" i="14"/>
  <c r="E546" i="14"/>
  <c r="E584" i="14"/>
  <c r="E709" i="14"/>
  <c r="E469" i="14"/>
  <c r="E553" i="14"/>
  <c r="E465" i="14"/>
  <c r="E647" i="14"/>
  <c r="E476" i="14"/>
  <c r="E680" i="14"/>
  <c r="E515" i="14"/>
  <c r="E606" i="14"/>
  <c r="E684" i="14"/>
  <c r="E961" i="14"/>
  <c r="E652" i="14"/>
  <c r="E513" i="14"/>
  <c r="E630" i="14"/>
  <c r="E869" i="14"/>
  <c r="E496" i="14"/>
  <c r="E619" i="14"/>
  <c r="E541" i="14"/>
  <c r="E612" i="14"/>
  <c r="E505" i="14"/>
  <c r="E506" i="14"/>
  <c r="E527" i="14"/>
  <c r="E554" i="14"/>
  <c r="E686" i="14"/>
  <c r="E579" i="14"/>
  <c r="E789" i="14"/>
  <c r="E782" i="14"/>
  <c r="E585" i="14"/>
  <c r="E631" i="14"/>
  <c r="E770" i="14"/>
  <c r="E650" i="14"/>
  <c r="E626" i="14"/>
  <c r="E540" i="14"/>
  <c r="E637" i="14"/>
  <c r="E532" i="14"/>
  <c r="E831" i="14"/>
  <c r="E523" i="14"/>
  <c r="E670" i="14"/>
  <c r="E548" i="14"/>
  <c r="E539" i="14"/>
  <c r="E618" i="14"/>
  <c r="E673" i="14"/>
  <c r="E693" i="14"/>
  <c r="E754" i="14"/>
  <c r="E755" i="14"/>
  <c r="E645" i="14"/>
  <c r="E720" i="14"/>
  <c r="E690" i="14"/>
  <c r="E572" i="14"/>
  <c r="E590" i="14"/>
  <c r="E614" i="14"/>
  <c r="E906" i="14"/>
  <c r="E605" i="14"/>
  <c r="E596" i="14"/>
  <c r="E683" i="14"/>
  <c r="E627" i="14"/>
  <c r="E586" i="14"/>
  <c r="E644" i="14"/>
  <c r="E696" i="14"/>
  <c r="E566" i="14"/>
  <c r="E551" i="14"/>
  <c r="E655" i="14"/>
  <c r="E733" i="14"/>
  <c r="E595" i="14"/>
  <c r="E622" i="14"/>
  <c r="E629" i="14"/>
  <c r="E583" i="14"/>
  <c r="E625" i="14"/>
  <c r="E729" i="14"/>
  <c r="E793" i="14"/>
  <c r="E581" i="14"/>
  <c r="E617" i="14"/>
  <c r="E603" i="14"/>
  <c r="E702" i="14"/>
  <c r="E660" i="14"/>
  <c r="E691" i="14"/>
  <c r="E559" i="14"/>
  <c r="E571" i="14"/>
  <c r="E678" i="14"/>
  <c r="E753" i="14"/>
  <c r="E751" i="14"/>
  <c r="E593" i="14"/>
  <c r="E656" i="14"/>
  <c r="E735" i="14"/>
  <c r="E621" i="14"/>
  <c r="E830" i="14"/>
  <c r="E592" i="14"/>
  <c r="E657" i="14"/>
  <c r="E841" i="14"/>
  <c r="E588" i="14"/>
  <c r="E912" i="14"/>
  <c r="E646" i="14"/>
  <c r="E674" i="14"/>
  <c r="E638" i="14"/>
  <c r="E643" i="14"/>
  <c r="E578" i="14"/>
  <c r="E801" i="14"/>
  <c r="E599" i="14"/>
  <c r="E810" i="14"/>
  <c r="E734" i="14"/>
  <c r="E667" i="14"/>
  <c r="E666" i="14"/>
  <c r="E692" i="14"/>
  <c r="E703" i="14"/>
  <c r="E641" i="14"/>
  <c r="E628" i="14"/>
  <c r="E936" i="14"/>
  <c r="E654" i="14"/>
  <c r="E649" i="14"/>
  <c r="E620" i="14"/>
  <c r="E749" i="14"/>
  <c r="E602" i="14"/>
  <c r="E658" i="14"/>
  <c r="E608" i="14"/>
  <c r="E640" i="14"/>
  <c r="E838" i="14"/>
  <c r="E663" i="14"/>
  <c r="E745" i="14"/>
  <c r="E616" i="14"/>
  <c r="E682" i="14"/>
  <c r="E716" i="14"/>
  <c r="E746" i="14"/>
  <c r="E634" i="14"/>
  <c r="E623" i="14"/>
  <c r="E876" i="14"/>
  <c r="E804" i="14"/>
  <c r="E792" i="14"/>
  <c r="E723" i="14"/>
  <c r="E642" i="14"/>
  <c r="E706" i="14"/>
  <c r="E898" i="14"/>
  <c r="E761" i="14"/>
  <c r="E855" i="14"/>
  <c r="E849" i="14"/>
  <c r="E854" i="14"/>
  <c r="E711" i="14"/>
  <c r="E715" i="14"/>
  <c r="E777" i="14"/>
  <c r="E843" i="14"/>
  <c r="E776" i="14"/>
  <c r="E829" i="14"/>
  <c r="E748" i="14"/>
  <c r="E707" i="14"/>
  <c r="E738" i="14"/>
  <c r="E721" i="14"/>
  <c r="E685" i="14"/>
  <c r="E726" i="14"/>
  <c r="E851" i="14"/>
  <c r="E648" i="14"/>
  <c r="E848" i="14"/>
  <c r="E784" i="14"/>
  <c r="E794" i="14"/>
  <c r="E797" i="14"/>
  <c r="E672" i="14"/>
  <c r="E731" i="14"/>
  <c r="E756" i="14"/>
  <c r="E796" i="14"/>
  <c r="E730" i="14"/>
  <c r="E758" i="14"/>
  <c r="E759" i="14"/>
  <c r="E752" i="14"/>
  <c r="E681" i="14"/>
  <c r="E992" i="14"/>
  <c r="E727" i="14"/>
  <c r="E677" i="14"/>
  <c r="E812" i="14"/>
  <c r="E884" i="14"/>
  <c r="E873" i="14"/>
  <c r="E679" i="14"/>
  <c r="E688" i="14"/>
  <c r="E694" i="14"/>
  <c r="E827" i="14"/>
  <c r="E714" i="14"/>
  <c r="E764" i="14"/>
  <c r="E695" i="14"/>
  <c r="E744" i="14"/>
  <c r="E757" i="14"/>
  <c r="E742" i="14"/>
  <c r="E713" i="14"/>
  <c r="E760" i="14"/>
  <c r="E858" i="14"/>
  <c r="E732" i="14"/>
  <c r="E768" i="14"/>
  <c r="E769" i="14"/>
  <c r="E840" i="14"/>
  <c r="E824" i="14"/>
  <c r="E823" i="14"/>
  <c r="E767" i="14"/>
  <c r="E704" i="14"/>
  <c r="E807" i="14"/>
  <c r="E772" i="14"/>
  <c r="E800" i="14"/>
  <c r="E712" i="14"/>
  <c r="E719" i="14"/>
  <c r="E918" i="14"/>
  <c r="E708" i="14"/>
  <c r="E766" i="14"/>
  <c r="E795" i="14"/>
  <c r="E740" i="14"/>
  <c r="E765" i="14"/>
  <c r="E710" i="14"/>
  <c r="E728" i="14"/>
  <c r="E842" i="14"/>
  <c r="E802" i="14"/>
  <c r="E781" i="14"/>
  <c r="E1001" i="14"/>
  <c r="E803" i="14"/>
  <c r="E718" i="14"/>
  <c r="E737" i="14"/>
  <c r="E834" i="14"/>
  <c r="E762" i="14"/>
  <c r="E747" i="14"/>
  <c r="E974" i="14"/>
  <c r="E825" i="14"/>
  <c r="E741" i="14"/>
  <c r="E846" i="14"/>
  <c r="E883" i="14"/>
  <c r="E826" i="14"/>
  <c r="E788" i="14"/>
  <c r="E895" i="14"/>
  <c r="E779" i="14"/>
  <c r="E852" i="14"/>
  <c r="E774" i="14"/>
  <c r="E791" i="14"/>
  <c r="E775" i="14"/>
  <c r="E908" i="14"/>
  <c r="E811" i="14"/>
  <c r="E828" i="14"/>
  <c r="E964" i="14"/>
  <c r="E946" i="14"/>
  <c r="E847" i="14"/>
  <c r="E778" i="14"/>
  <c r="E887" i="14"/>
  <c r="E818" i="14"/>
  <c r="E882" i="14"/>
  <c r="E867" i="14"/>
  <c r="E771" i="14"/>
  <c r="E970" i="14"/>
  <c r="E943" i="14"/>
  <c r="E783" i="14"/>
  <c r="E750" i="14"/>
  <c r="E790" i="14"/>
  <c r="E845" i="14"/>
  <c r="E814" i="14"/>
  <c r="E773" i="14"/>
  <c r="E880" i="14"/>
  <c r="E969" i="14"/>
  <c r="E833" i="14"/>
  <c r="E896" i="14"/>
  <c r="E815" i="14"/>
  <c r="E787" i="14"/>
  <c r="E859" i="14"/>
  <c r="E805" i="14"/>
  <c r="E785" i="14"/>
  <c r="E780" i="14"/>
  <c r="E893" i="14"/>
  <c r="E928" i="14"/>
  <c r="E870" i="14"/>
  <c r="E836" i="14"/>
  <c r="E968" i="14"/>
  <c r="E816" i="14"/>
  <c r="E820" i="14"/>
  <c r="E899" i="14"/>
  <c r="E929" i="14"/>
  <c r="E835" i="14"/>
  <c r="E926" i="14"/>
  <c r="E809" i="14"/>
  <c r="E806" i="14"/>
  <c r="E856" i="14"/>
  <c r="E909" i="14"/>
  <c r="E857" i="14"/>
  <c r="E798" i="14"/>
  <c r="E927" i="14"/>
  <c r="E853" i="14"/>
  <c r="E913" i="14"/>
  <c r="E844" i="14"/>
  <c r="E799" i="14"/>
  <c r="E962" i="14"/>
  <c r="E808" i="14"/>
  <c r="E976" i="14"/>
  <c r="E817" i="14"/>
  <c r="E949" i="14"/>
  <c r="E967" i="14"/>
  <c r="E821" i="14"/>
  <c r="E965" i="14"/>
  <c r="E944" i="14"/>
  <c r="E866" i="14"/>
  <c r="E971" i="14"/>
  <c r="E878" i="14"/>
  <c r="E915" i="14"/>
  <c r="E911" i="14"/>
  <c r="E822" i="14"/>
  <c r="E922" i="14"/>
  <c r="E874" i="14"/>
  <c r="E948" i="14"/>
  <c r="E881" i="14"/>
  <c r="E877" i="14"/>
  <c r="E813" i="14"/>
  <c r="E862" i="14"/>
  <c r="E839" i="14"/>
  <c r="E864" i="14"/>
  <c r="E945" i="14"/>
  <c r="E868" i="14"/>
  <c r="E953" i="14"/>
  <c r="E872" i="14"/>
  <c r="E996" i="14"/>
  <c r="E885" i="14"/>
  <c r="E930" i="14"/>
  <c r="E875" i="14"/>
  <c r="E832" i="14"/>
  <c r="E865" i="14"/>
  <c r="E977" i="14"/>
  <c r="E919" i="14"/>
  <c r="E910" i="14"/>
  <c r="E941" i="14"/>
  <c r="E860" i="14"/>
  <c r="E935" i="14"/>
  <c r="E863" i="14"/>
  <c r="E905" i="14"/>
  <c r="E921" i="14"/>
  <c r="E934" i="14"/>
  <c r="E901" i="14"/>
  <c r="E886" i="14"/>
  <c r="E903" i="14"/>
  <c r="E891" i="14"/>
  <c r="E897" i="14"/>
  <c r="E966" i="14"/>
  <c r="E871" i="14"/>
  <c r="E904" i="14"/>
  <c r="E931" i="14"/>
  <c r="E951" i="14"/>
  <c r="E914" i="14"/>
  <c r="E879" i="14"/>
  <c r="E890" i="14"/>
  <c r="E933" i="14"/>
  <c r="E861" i="14"/>
  <c r="E925" i="14"/>
  <c r="E894" i="14"/>
  <c r="E888" i="14"/>
  <c r="E979" i="14"/>
  <c r="E900" i="14"/>
  <c r="E923" i="14"/>
  <c r="E950" i="14"/>
  <c r="E902" i="14"/>
  <c r="E889" i="14"/>
  <c r="E937" i="14"/>
  <c r="E932" i="14"/>
  <c r="E924" i="14"/>
  <c r="E955" i="14"/>
  <c r="E942" i="14"/>
  <c r="E940" i="14"/>
  <c r="E920" i="14"/>
  <c r="E916" i="14"/>
  <c r="E957" i="14"/>
  <c r="E917" i="14"/>
  <c r="E954" i="14"/>
  <c r="E989" i="14"/>
  <c r="E985" i="14"/>
  <c r="E947" i="14"/>
  <c r="E938" i="14"/>
  <c r="E939" i="14"/>
  <c r="E956" i="14"/>
  <c r="E994" i="14"/>
  <c r="E997" i="14"/>
  <c r="E978" i="14"/>
  <c r="E972" i="14"/>
  <c r="E973" i="14"/>
  <c r="E959" i="14"/>
  <c r="E987" i="14"/>
  <c r="E975" i="14"/>
  <c r="E990" i="14"/>
  <c r="E984" i="14"/>
  <c r="E958" i="14"/>
  <c r="E960" i="14"/>
  <c r="E963" i="14"/>
  <c r="E1000" i="14"/>
  <c r="E980" i="14"/>
  <c r="E983" i="14"/>
  <c r="E988" i="14"/>
  <c r="E982" i="14"/>
  <c r="E1002" i="14"/>
  <c r="E986" i="14"/>
  <c r="E993" i="14"/>
  <c r="E999" i="14"/>
  <c r="E981" i="14"/>
  <c r="E991" i="14"/>
  <c r="E995" i="14"/>
  <c r="E998" i="14"/>
  <c r="E30" i="14"/>
  <c r="AL7" i="11"/>
  <c r="AK7" i="11"/>
  <c r="AF14" i="11"/>
  <c r="AG14" i="11"/>
  <c r="AH14" i="11"/>
  <c r="AI14" i="11"/>
  <c r="AF15" i="11"/>
  <c r="AG15" i="11"/>
  <c r="AH15" i="11"/>
  <c r="AI15" i="11"/>
  <c r="AF16" i="11"/>
  <c r="AG16" i="11"/>
  <c r="AH16" i="11"/>
  <c r="AI16" i="11"/>
  <c r="AF17" i="11"/>
  <c r="AG17" i="11"/>
  <c r="AH17" i="11"/>
  <c r="AI17" i="11"/>
  <c r="AF18" i="11"/>
  <c r="AG18" i="11"/>
  <c r="AH18" i="11"/>
  <c r="AI18" i="11"/>
  <c r="AF19" i="11"/>
  <c r="AG19" i="11"/>
  <c r="AH19" i="11"/>
  <c r="AI19" i="11"/>
  <c r="AF20" i="11"/>
  <c r="AG20" i="11"/>
  <c r="AH20" i="11"/>
  <c r="AI20" i="11"/>
  <c r="AF21" i="11"/>
  <c r="AG21" i="11"/>
  <c r="AH21" i="11"/>
  <c r="AI21" i="11"/>
  <c r="AF22" i="11"/>
  <c r="AG22" i="11"/>
  <c r="AH22" i="11"/>
  <c r="AI22" i="11"/>
  <c r="AF23" i="11"/>
  <c r="AG23" i="11"/>
  <c r="AH23" i="11"/>
  <c r="AI23" i="11"/>
  <c r="AF24" i="11"/>
  <c r="AG24" i="11"/>
  <c r="AH24" i="11"/>
  <c r="AI24" i="11"/>
  <c r="AF25" i="11"/>
  <c r="AG25" i="11"/>
  <c r="AH25" i="11"/>
  <c r="AI25" i="11"/>
  <c r="AF26" i="11"/>
  <c r="AG26" i="11"/>
  <c r="AH26" i="11"/>
  <c r="AI26" i="11"/>
  <c r="AF27" i="11"/>
  <c r="AG27" i="11"/>
  <c r="AH27" i="11"/>
  <c r="AI27" i="11"/>
  <c r="AF28" i="11"/>
  <c r="AG28" i="11"/>
  <c r="AH28" i="11"/>
  <c r="AI28" i="11"/>
  <c r="AF29" i="11"/>
  <c r="AG29" i="11"/>
  <c r="AH29" i="11"/>
  <c r="AI29" i="11"/>
  <c r="AF30" i="11"/>
  <c r="AG30" i="11"/>
  <c r="AH30" i="11"/>
  <c r="AI30" i="11"/>
  <c r="AF31" i="11"/>
  <c r="AG31" i="11"/>
  <c r="AH31" i="11"/>
  <c r="AI31" i="11"/>
  <c r="AF32" i="11"/>
  <c r="AG32" i="11"/>
  <c r="AH32" i="11"/>
  <c r="AI32" i="11"/>
  <c r="AF33" i="11"/>
  <c r="AG33" i="11"/>
  <c r="AH33" i="11"/>
  <c r="AI33" i="11"/>
  <c r="AF34" i="11"/>
  <c r="AG34" i="11"/>
  <c r="AH34" i="11"/>
  <c r="AI34" i="11"/>
  <c r="AF35" i="11"/>
  <c r="AG35" i="11"/>
  <c r="AH35" i="11"/>
  <c r="AI35" i="11"/>
  <c r="AF36" i="11"/>
  <c r="AG36" i="11"/>
  <c r="AH36" i="11"/>
  <c r="AI36" i="11"/>
  <c r="AF37" i="11"/>
  <c r="AG37" i="11"/>
  <c r="AH37" i="11"/>
  <c r="AI37" i="11"/>
  <c r="AF38" i="11"/>
  <c r="AG38" i="11"/>
  <c r="AH38" i="11"/>
  <c r="AI38" i="11"/>
  <c r="AF39" i="11"/>
  <c r="AG39" i="11"/>
  <c r="AH39" i="11"/>
  <c r="AI39" i="11"/>
  <c r="AF40" i="11"/>
  <c r="AG40" i="11"/>
  <c r="AH40" i="11"/>
  <c r="AI40" i="11"/>
  <c r="AF41" i="11"/>
  <c r="AG41" i="11"/>
  <c r="AH41" i="11"/>
  <c r="AI41" i="11"/>
  <c r="AF42" i="11"/>
  <c r="AG42" i="11"/>
  <c r="AH42" i="11"/>
  <c r="AI42" i="11"/>
  <c r="AF43" i="11"/>
  <c r="AG43" i="11"/>
  <c r="AH43" i="11"/>
  <c r="AI43" i="11"/>
  <c r="AF44" i="11"/>
  <c r="AG44" i="11"/>
  <c r="AH44" i="11"/>
  <c r="AI44" i="11"/>
  <c r="AF45" i="11"/>
  <c r="AG45" i="11"/>
  <c r="AH45" i="11"/>
  <c r="AI45" i="11"/>
  <c r="AF46" i="11"/>
  <c r="AG46" i="11"/>
  <c r="AH46" i="11"/>
  <c r="AI46" i="11"/>
  <c r="AF47" i="11"/>
  <c r="AG47" i="11"/>
  <c r="AH47" i="11"/>
  <c r="AI47" i="11"/>
  <c r="AF48" i="11"/>
  <c r="AG48" i="11"/>
  <c r="AH48" i="11"/>
  <c r="AI48" i="11"/>
  <c r="AF49" i="11"/>
  <c r="AG49" i="11"/>
  <c r="AH49" i="11"/>
  <c r="AI49" i="11"/>
  <c r="AF50" i="11"/>
  <c r="AG50" i="11"/>
  <c r="AH50" i="11"/>
  <c r="AI50" i="11"/>
  <c r="AF51" i="11"/>
  <c r="AG51" i="11"/>
  <c r="AH51" i="11"/>
  <c r="AI51" i="11"/>
  <c r="AF52" i="11"/>
  <c r="AG52" i="11"/>
  <c r="AH52" i="11"/>
  <c r="AI52" i="11"/>
  <c r="AF53" i="11"/>
  <c r="AG53" i="11"/>
  <c r="AH53" i="11"/>
  <c r="AI53" i="11"/>
  <c r="AF54" i="11"/>
  <c r="AG54" i="11"/>
  <c r="AH54" i="11"/>
  <c r="AI54" i="11"/>
  <c r="AF55" i="11"/>
  <c r="AG55" i="11"/>
  <c r="AH55" i="11"/>
  <c r="AI55" i="11"/>
  <c r="AF56" i="11"/>
  <c r="AG56" i="11"/>
  <c r="AH56" i="11"/>
  <c r="AI56" i="11"/>
  <c r="AF57" i="11"/>
  <c r="AG57" i="11"/>
  <c r="AH57" i="11"/>
  <c r="AI57" i="11"/>
  <c r="AF58" i="11"/>
  <c r="AG58" i="11"/>
  <c r="AH58" i="11"/>
  <c r="AI58" i="11"/>
  <c r="AF59" i="11"/>
  <c r="AG59" i="11"/>
  <c r="AH59" i="11"/>
  <c r="AI59" i="11"/>
  <c r="AF60" i="11"/>
  <c r="AG60" i="11"/>
  <c r="AH60" i="11"/>
  <c r="AI60" i="11"/>
  <c r="AF61" i="11"/>
  <c r="AG61" i="11"/>
  <c r="AH61" i="11"/>
  <c r="AI61" i="11"/>
  <c r="AF62" i="11"/>
  <c r="AG62" i="11"/>
  <c r="AH62" i="11"/>
  <c r="AI62" i="11"/>
  <c r="AF63" i="11"/>
  <c r="AG63" i="11"/>
  <c r="AH63" i="11"/>
  <c r="AI63" i="11"/>
  <c r="AF64" i="11"/>
  <c r="AG64" i="11"/>
  <c r="AH64" i="11"/>
  <c r="AI64" i="11"/>
  <c r="AF65" i="11"/>
  <c r="AG65" i="11"/>
  <c r="AH65" i="11"/>
  <c r="AI65" i="11"/>
  <c r="AF66" i="11"/>
  <c r="AG66" i="11"/>
  <c r="AH66" i="11"/>
  <c r="AI66" i="11"/>
  <c r="AF67" i="11"/>
  <c r="AG67" i="11"/>
  <c r="AH67" i="11"/>
  <c r="AI67" i="11"/>
  <c r="AF68" i="11"/>
  <c r="AG68" i="11"/>
  <c r="AH68" i="11"/>
  <c r="AI68" i="11"/>
  <c r="AF69" i="11"/>
  <c r="AG69" i="11"/>
  <c r="AH69" i="11"/>
  <c r="AI69" i="11"/>
  <c r="AF70" i="11"/>
  <c r="AG70" i="11"/>
  <c r="AH70" i="11"/>
  <c r="AI70" i="11"/>
  <c r="AF71" i="11"/>
  <c r="AG71" i="11"/>
  <c r="AH71" i="11"/>
  <c r="AI71" i="11"/>
  <c r="AF72" i="11"/>
  <c r="AG72" i="11"/>
  <c r="AH72" i="11"/>
  <c r="AI72" i="11"/>
  <c r="AF73" i="11"/>
  <c r="AG73" i="11"/>
  <c r="AH73" i="11"/>
  <c r="AI73" i="11"/>
  <c r="AF74" i="11"/>
  <c r="AG74" i="11"/>
  <c r="AH74" i="11"/>
  <c r="AI74" i="11"/>
  <c r="AF75" i="11"/>
  <c r="AG75" i="11"/>
  <c r="AH75" i="11"/>
  <c r="AI75" i="11"/>
  <c r="AF76" i="11"/>
  <c r="AG76" i="11"/>
  <c r="AH76" i="11"/>
  <c r="AI76" i="11"/>
  <c r="AF77" i="11"/>
  <c r="AG77" i="11"/>
  <c r="AH77" i="11"/>
  <c r="AI77" i="11"/>
  <c r="AF78" i="11"/>
  <c r="AG78" i="11"/>
  <c r="AH78" i="11"/>
  <c r="AI78" i="11"/>
  <c r="AF79" i="11"/>
  <c r="AG79" i="11"/>
  <c r="AH79" i="11"/>
  <c r="AI79" i="11"/>
  <c r="AF80" i="11"/>
  <c r="AG80" i="11"/>
  <c r="AH80" i="11"/>
  <c r="AI80" i="11"/>
  <c r="AF81" i="11"/>
  <c r="AG81" i="11"/>
  <c r="AH81" i="11"/>
  <c r="AI81" i="11"/>
  <c r="AF82" i="11"/>
  <c r="AG82" i="11"/>
  <c r="AH82" i="11"/>
  <c r="AI82" i="11"/>
  <c r="AF83" i="11"/>
  <c r="AG83" i="11"/>
  <c r="AH83" i="11"/>
  <c r="AI83" i="11"/>
  <c r="AF84" i="11"/>
  <c r="AG84" i="11"/>
  <c r="AH84" i="11"/>
  <c r="AI84" i="11"/>
  <c r="AF85" i="11"/>
  <c r="AG85" i="11"/>
  <c r="AH85" i="11"/>
  <c r="AI85" i="11"/>
  <c r="AF86" i="11"/>
  <c r="AG86" i="11"/>
  <c r="AH86" i="11"/>
  <c r="AI86" i="11"/>
  <c r="AF87" i="11"/>
  <c r="AG87" i="11"/>
  <c r="AH87" i="11"/>
  <c r="AI87" i="11"/>
  <c r="AF88" i="11"/>
  <c r="AG88" i="11"/>
  <c r="AH88" i="11"/>
  <c r="AI88" i="11"/>
  <c r="AF89" i="11"/>
  <c r="AG89" i="11"/>
  <c r="AH89" i="11"/>
  <c r="AI89" i="11"/>
  <c r="AF90" i="11"/>
  <c r="AG90" i="11"/>
  <c r="AH90" i="11"/>
  <c r="AI90" i="11"/>
  <c r="AF91" i="11"/>
  <c r="AG91" i="11"/>
  <c r="AH91" i="11"/>
  <c r="AI91" i="11"/>
  <c r="AF92" i="11"/>
  <c r="AG92" i="11"/>
  <c r="AH92" i="11"/>
  <c r="AI92" i="11"/>
  <c r="AF93" i="11"/>
  <c r="AG93" i="11"/>
  <c r="AH93" i="11"/>
  <c r="AI93" i="11"/>
  <c r="AF94" i="11"/>
  <c r="AG94" i="11"/>
  <c r="AH94" i="11"/>
  <c r="AI94" i="11"/>
  <c r="AF95" i="11"/>
  <c r="AG95" i="11"/>
  <c r="AH95" i="11"/>
  <c r="AI95" i="11"/>
  <c r="AF96" i="11"/>
  <c r="AG96" i="11"/>
  <c r="AH96" i="11"/>
  <c r="AI96" i="11"/>
  <c r="AF97" i="11"/>
  <c r="AG97" i="11"/>
  <c r="AH97" i="11"/>
  <c r="AI97" i="11"/>
  <c r="AF98" i="11"/>
  <c r="AG98" i="11"/>
  <c r="AH98" i="11"/>
  <c r="AI98" i="11"/>
  <c r="AF99" i="11"/>
  <c r="AG99" i="11"/>
  <c r="AH99" i="11"/>
  <c r="AI99" i="11"/>
  <c r="AF100" i="11"/>
  <c r="AG100" i="11"/>
  <c r="AH100" i="11"/>
  <c r="AI100" i="11"/>
  <c r="AF101" i="11"/>
  <c r="AG101" i="11"/>
  <c r="AH101" i="11"/>
  <c r="AI101" i="11"/>
  <c r="AF102" i="11"/>
  <c r="AG102" i="11"/>
  <c r="AH102" i="11"/>
  <c r="AI102" i="11"/>
  <c r="AF103" i="11"/>
  <c r="AG103" i="11"/>
  <c r="AH103" i="11"/>
  <c r="AI103" i="11"/>
  <c r="AF104" i="11"/>
  <c r="AG104" i="11"/>
  <c r="AH104" i="11"/>
  <c r="AI104" i="11"/>
  <c r="AF105" i="11"/>
  <c r="AG105" i="11"/>
  <c r="AH105" i="11"/>
  <c r="AI105" i="11"/>
  <c r="AF106" i="11"/>
  <c r="AG106" i="11"/>
  <c r="AH106" i="11"/>
  <c r="AI106" i="11"/>
  <c r="AF107" i="11"/>
  <c r="AG107" i="11"/>
  <c r="AH107" i="11"/>
  <c r="AI107" i="11"/>
  <c r="AF108" i="11"/>
  <c r="AG108" i="11"/>
  <c r="AH108" i="11"/>
  <c r="AI108" i="11"/>
  <c r="AF109" i="11"/>
  <c r="AG109" i="11"/>
  <c r="AH109" i="11"/>
  <c r="AI109" i="11"/>
  <c r="AF110" i="11"/>
  <c r="AG110" i="11"/>
  <c r="AH110" i="11"/>
  <c r="AI110" i="11"/>
  <c r="AF111" i="11"/>
  <c r="AG111" i="11"/>
  <c r="AH111" i="11"/>
  <c r="AI111" i="11"/>
  <c r="AF112" i="11"/>
  <c r="AG112" i="11"/>
  <c r="AH112" i="11"/>
  <c r="AI112" i="11"/>
  <c r="AF113" i="11"/>
  <c r="AG113" i="11"/>
  <c r="AH113" i="11"/>
  <c r="AI113" i="11"/>
  <c r="AF114" i="11"/>
  <c r="AG114" i="11"/>
  <c r="AH114" i="11"/>
  <c r="AI114" i="11"/>
  <c r="AF115" i="11"/>
  <c r="AG115" i="11"/>
  <c r="AH115" i="11"/>
  <c r="AI115" i="11"/>
  <c r="AF116" i="11"/>
  <c r="AG116" i="11"/>
  <c r="AH116" i="11"/>
  <c r="AI116" i="11"/>
  <c r="AF117" i="11"/>
  <c r="AG117" i="11"/>
  <c r="AH117" i="11"/>
  <c r="AI117" i="11"/>
  <c r="AF118" i="11"/>
  <c r="AG118" i="11"/>
  <c r="AH118" i="11"/>
  <c r="AI118" i="11"/>
  <c r="AF119" i="11"/>
  <c r="AG119" i="11"/>
  <c r="AH119" i="11"/>
  <c r="AI119" i="11"/>
  <c r="AF120" i="11"/>
  <c r="AG120" i="11"/>
  <c r="AH120" i="11"/>
  <c r="AI120" i="11"/>
  <c r="AF121" i="11"/>
  <c r="AG121" i="11"/>
  <c r="AH121" i="11"/>
  <c r="AI121" i="11"/>
  <c r="AF122" i="11"/>
  <c r="AG122" i="11"/>
  <c r="AH122" i="11"/>
  <c r="AI122" i="11"/>
  <c r="AF123" i="11"/>
  <c r="AG123" i="11"/>
  <c r="AH123" i="11"/>
  <c r="AI123" i="11"/>
  <c r="AF124" i="11"/>
  <c r="AG124" i="11"/>
  <c r="AH124" i="11"/>
  <c r="AI124" i="11"/>
  <c r="AF125" i="11"/>
  <c r="AG125" i="11"/>
  <c r="AH125" i="11"/>
  <c r="AI125" i="11"/>
  <c r="AF126" i="11"/>
  <c r="AG126" i="11"/>
  <c r="AH126" i="11"/>
  <c r="AI126" i="11"/>
  <c r="AF127" i="11"/>
  <c r="AG127" i="11"/>
  <c r="AH127" i="11"/>
  <c r="AI127" i="11"/>
  <c r="AF128" i="11"/>
  <c r="AG128" i="11"/>
  <c r="AH128" i="11"/>
  <c r="AI128" i="11"/>
  <c r="AF129" i="11"/>
  <c r="AG129" i="11"/>
  <c r="AH129" i="11"/>
  <c r="AI129" i="11"/>
  <c r="AF130" i="11"/>
  <c r="AG130" i="11"/>
  <c r="AH130" i="11"/>
  <c r="AI130" i="11"/>
  <c r="AF131" i="11"/>
  <c r="AG131" i="11"/>
  <c r="AH131" i="11"/>
  <c r="AI131" i="11"/>
  <c r="AF132" i="11"/>
  <c r="AG132" i="11"/>
  <c r="AH132" i="11"/>
  <c r="AI132" i="11"/>
  <c r="AF133" i="11"/>
  <c r="AG133" i="11"/>
  <c r="AH133" i="11"/>
  <c r="AI133" i="11"/>
  <c r="AF134" i="11"/>
  <c r="AG134" i="11"/>
  <c r="AH134" i="11"/>
  <c r="AI134" i="11"/>
  <c r="AF135" i="11"/>
  <c r="AG135" i="11"/>
  <c r="AH135" i="11"/>
  <c r="AI135" i="11"/>
  <c r="AF136" i="11"/>
  <c r="AG136" i="11"/>
  <c r="AH136" i="11"/>
  <c r="AI136" i="11"/>
  <c r="AF137" i="11"/>
  <c r="AG137" i="11"/>
  <c r="AH137" i="11"/>
  <c r="AI137" i="11"/>
  <c r="AF138" i="11"/>
  <c r="AG138" i="11"/>
  <c r="AH138" i="11"/>
  <c r="AI138" i="11"/>
  <c r="AF139" i="11"/>
  <c r="AG139" i="11"/>
  <c r="AH139" i="11"/>
  <c r="AI139" i="11"/>
  <c r="AF140" i="11"/>
  <c r="AG140" i="11"/>
  <c r="AH140" i="11"/>
  <c r="AI140" i="11"/>
  <c r="AF141" i="11"/>
  <c r="AG141" i="11"/>
  <c r="AH141" i="11"/>
  <c r="AI141" i="11"/>
  <c r="AF142" i="11"/>
  <c r="AG142" i="11"/>
  <c r="AH142" i="11"/>
  <c r="AI142" i="11"/>
  <c r="AF143" i="11"/>
  <c r="AG143" i="11"/>
  <c r="AH143" i="11"/>
  <c r="AI143" i="11"/>
  <c r="AF144" i="11"/>
  <c r="AG144" i="11"/>
  <c r="AH144" i="11"/>
  <c r="AI144" i="11"/>
  <c r="AF145" i="11"/>
  <c r="AG145" i="11"/>
  <c r="AH145" i="11"/>
  <c r="AI145" i="11"/>
  <c r="AF146" i="11"/>
  <c r="AG146" i="11"/>
  <c r="AH146" i="11"/>
  <c r="AI146" i="11"/>
  <c r="AF147" i="11"/>
  <c r="AG147" i="11"/>
  <c r="AH147" i="11"/>
  <c r="AI147" i="11"/>
  <c r="AF148" i="11"/>
  <c r="AG148" i="11"/>
  <c r="AH148" i="11"/>
  <c r="AI148" i="11"/>
  <c r="AF149" i="11"/>
  <c r="AG149" i="11"/>
  <c r="AH149" i="11"/>
  <c r="AI149" i="11"/>
  <c r="AF150" i="11"/>
  <c r="AG150" i="11"/>
  <c r="AH150" i="11"/>
  <c r="AI150" i="11"/>
  <c r="AF151" i="11"/>
  <c r="AG151" i="11"/>
  <c r="AH151" i="11"/>
  <c r="AI151" i="11"/>
  <c r="AF152" i="11"/>
  <c r="AG152" i="11"/>
  <c r="AH152" i="11"/>
  <c r="AI152" i="11"/>
  <c r="AF153" i="11"/>
  <c r="AG153" i="11"/>
  <c r="AH153" i="11"/>
  <c r="AI153" i="11"/>
  <c r="AF154" i="11"/>
  <c r="AG154" i="11"/>
  <c r="AH154" i="11"/>
  <c r="AI154" i="11"/>
  <c r="AF155" i="11"/>
  <c r="AG155" i="11"/>
  <c r="AH155" i="11"/>
  <c r="AI155" i="11"/>
  <c r="AF156" i="11"/>
  <c r="AG156" i="11"/>
  <c r="AH156" i="11"/>
  <c r="AI156" i="11"/>
  <c r="AF157" i="11"/>
  <c r="AG157" i="11"/>
  <c r="AH157" i="11"/>
  <c r="AI157" i="11"/>
  <c r="AF158" i="11"/>
  <c r="AG158" i="11"/>
  <c r="AH158" i="11"/>
  <c r="AI158" i="11"/>
  <c r="AF159" i="11"/>
  <c r="AG159" i="11"/>
  <c r="AH159" i="11"/>
  <c r="AI159" i="11"/>
  <c r="AF160" i="11"/>
  <c r="AG160" i="11"/>
  <c r="AH160" i="11"/>
  <c r="AI160" i="11"/>
  <c r="AF161" i="11"/>
  <c r="AG161" i="11"/>
  <c r="AH161" i="11"/>
  <c r="AI161" i="11"/>
  <c r="AF162" i="11"/>
  <c r="AG162" i="11"/>
  <c r="AH162" i="11"/>
  <c r="AI162" i="11"/>
  <c r="AF163" i="11"/>
  <c r="AG163" i="11"/>
  <c r="AH163" i="11"/>
  <c r="AI163" i="11"/>
  <c r="AF164" i="11"/>
  <c r="AG164" i="11"/>
  <c r="AH164" i="11"/>
  <c r="AI164" i="11"/>
  <c r="AF165" i="11"/>
  <c r="AG165" i="11"/>
  <c r="AH165" i="11"/>
  <c r="AI165" i="11"/>
  <c r="AF166" i="11"/>
  <c r="AG166" i="11"/>
  <c r="AH166" i="11"/>
  <c r="AI166" i="11"/>
  <c r="AF167" i="11"/>
  <c r="AG167" i="11"/>
  <c r="AH167" i="11"/>
  <c r="AI167" i="11"/>
  <c r="AF168" i="11"/>
  <c r="AG168" i="11"/>
  <c r="AH168" i="11"/>
  <c r="AI168" i="11"/>
  <c r="AF169" i="11"/>
  <c r="AG169" i="11"/>
  <c r="AH169" i="11"/>
  <c r="AI169" i="11"/>
  <c r="AF170" i="11"/>
  <c r="AG170" i="11"/>
  <c r="AH170" i="11"/>
  <c r="AI170" i="11"/>
  <c r="AF171" i="11"/>
  <c r="AG171" i="11"/>
  <c r="AH171" i="11"/>
  <c r="AI171" i="11"/>
  <c r="AF172" i="11"/>
  <c r="AG172" i="11"/>
  <c r="AH172" i="11"/>
  <c r="AI172" i="11"/>
  <c r="AF173" i="11"/>
  <c r="AG173" i="11"/>
  <c r="AH173" i="11"/>
  <c r="AI173" i="11"/>
  <c r="AF174" i="11"/>
  <c r="AG174" i="11"/>
  <c r="AH174" i="11"/>
  <c r="AI174" i="11"/>
  <c r="AF175" i="11"/>
  <c r="AG175" i="11"/>
  <c r="AH175" i="11"/>
  <c r="AI175" i="11"/>
  <c r="AF176" i="11"/>
  <c r="AG176" i="11"/>
  <c r="AH176" i="11"/>
  <c r="AI176" i="11"/>
  <c r="AF177" i="11"/>
  <c r="AG177" i="11"/>
  <c r="AH177" i="11"/>
  <c r="AI177" i="11"/>
  <c r="AF178" i="11"/>
  <c r="AG178" i="11"/>
  <c r="AH178" i="11"/>
  <c r="AI178" i="11"/>
  <c r="AF179" i="11"/>
  <c r="AG179" i="11"/>
  <c r="AH179" i="11"/>
  <c r="AI179" i="11"/>
  <c r="AF180" i="11"/>
  <c r="AG180" i="11"/>
  <c r="AH180" i="11"/>
  <c r="AI180" i="11"/>
  <c r="AF181" i="11"/>
  <c r="AG181" i="11"/>
  <c r="AH181" i="11"/>
  <c r="AI181" i="11"/>
  <c r="AF182" i="11"/>
  <c r="AG182" i="11"/>
  <c r="AH182" i="11"/>
  <c r="AI182" i="11"/>
  <c r="AF183" i="11"/>
  <c r="AG183" i="11"/>
  <c r="AH183" i="11"/>
  <c r="AI183" i="11"/>
  <c r="AF184" i="11"/>
  <c r="AG184" i="11"/>
  <c r="AH184" i="11"/>
  <c r="AI184" i="11"/>
  <c r="AF185" i="11"/>
  <c r="AG185" i="11"/>
  <c r="AH185" i="11"/>
  <c r="AI185" i="11"/>
  <c r="AF186" i="11"/>
  <c r="AG186" i="11"/>
  <c r="AH186" i="11"/>
  <c r="AI186" i="11"/>
  <c r="AF187" i="11"/>
  <c r="AG187" i="11"/>
  <c r="AH187" i="11"/>
  <c r="AI187" i="11"/>
  <c r="AF188" i="11"/>
  <c r="AG188" i="11"/>
  <c r="AH188" i="11"/>
  <c r="AI188" i="11"/>
  <c r="AF189" i="11"/>
  <c r="AG189" i="11"/>
  <c r="AH189" i="11"/>
  <c r="AI189" i="11"/>
  <c r="AF190" i="11"/>
  <c r="AG190" i="11"/>
  <c r="AH190" i="11"/>
  <c r="AI190" i="11"/>
  <c r="AF191" i="11"/>
  <c r="AG191" i="11"/>
  <c r="AH191" i="11"/>
  <c r="AI191" i="11"/>
  <c r="AF192" i="11"/>
  <c r="AG192" i="11"/>
  <c r="AH192" i="11"/>
  <c r="AI192" i="11"/>
  <c r="AF193" i="11"/>
  <c r="AG193" i="11"/>
  <c r="AH193" i="11"/>
  <c r="AI193" i="11"/>
  <c r="AF194" i="11"/>
  <c r="AG194" i="11"/>
  <c r="AH194" i="11"/>
  <c r="AI194" i="11"/>
  <c r="AF195" i="11"/>
  <c r="AG195" i="11"/>
  <c r="AH195" i="11"/>
  <c r="AI195" i="11"/>
  <c r="AF196" i="11"/>
  <c r="AG196" i="11"/>
  <c r="AH196" i="11"/>
  <c r="AI196" i="11"/>
  <c r="AF197" i="11"/>
  <c r="AG197" i="11"/>
  <c r="AH197" i="11"/>
  <c r="AI197" i="11"/>
  <c r="AF198" i="11"/>
  <c r="AG198" i="11"/>
  <c r="AH198" i="11"/>
  <c r="AI198" i="11"/>
  <c r="AF199" i="11"/>
  <c r="AG199" i="11"/>
  <c r="AH199" i="11"/>
  <c r="AI199" i="11"/>
  <c r="AF200" i="11"/>
  <c r="AG200" i="11"/>
  <c r="AH200" i="11"/>
  <c r="AI200" i="11"/>
  <c r="AF201" i="11"/>
  <c r="AG201" i="11"/>
  <c r="AH201" i="11"/>
  <c r="AI201" i="11"/>
  <c r="AF202" i="11"/>
  <c r="AG202" i="11"/>
  <c r="AH202" i="11"/>
  <c r="AI202" i="11"/>
  <c r="AF203" i="11"/>
  <c r="AG203" i="11"/>
  <c r="AH203" i="11"/>
  <c r="AI203" i="11"/>
  <c r="AF204" i="11"/>
  <c r="AG204" i="11"/>
  <c r="AH204" i="11"/>
  <c r="AI204" i="11"/>
  <c r="AF205" i="11"/>
  <c r="AG205" i="11"/>
  <c r="AH205" i="11"/>
  <c r="AI205" i="11"/>
  <c r="AF206" i="11"/>
  <c r="AG206" i="11"/>
  <c r="AH206" i="11"/>
  <c r="AI206" i="11"/>
  <c r="AF207" i="11"/>
  <c r="AG207" i="11"/>
  <c r="AH207" i="11"/>
  <c r="AI207" i="11"/>
  <c r="AF208" i="11"/>
  <c r="AG208" i="11"/>
  <c r="AH208" i="11"/>
  <c r="AI208" i="11"/>
  <c r="AF209" i="11"/>
  <c r="AG209" i="11"/>
  <c r="AH209" i="11"/>
  <c r="AI209" i="11"/>
  <c r="AF210" i="11"/>
  <c r="AG210" i="11"/>
  <c r="AH210" i="11"/>
  <c r="AI210" i="11"/>
  <c r="AF211" i="11"/>
  <c r="AG211" i="11"/>
  <c r="AH211" i="11"/>
  <c r="AI211" i="11"/>
  <c r="AF212" i="11"/>
  <c r="AG212" i="11"/>
  <c r="AH212" i="11"/>
  <c r="AI212" i="11"/>
  <c r="AF213" i="11"/>
  <c r="AG213" i="11"/>
  <c r="AH213" i="11"/>
  <c r="AI213" i="11"/>
  <c r="AF214" i="11"/>
  <c r="AG214" i="11"/>
  <c r="AH214" i="11"/>
  <c r="AI214" i="11"/>
  <c r="AF215" i="11"/>
  <c r="AG215" i="11"/>
  <c r="AH215" i="11"/>
  <c r="AI215" i="11"/>
  <c r="AF216" i="11"/>
  <c r="AG216" i="11"/>
  <c r="AH216" i="11"/>
  <c r="AI216" i="11"/>
  <c r="AF217" i="11"/>
  <c r="AG217" i="11"/>
  <c r="AH217" i="11"/>
  <c r="AI217" i="11"/>
  <c r="AF218" i="11"/>
  <c r="AG218" i="11"/>
  <c r="AH218" i="11"/>
  <c r="AI218" i="11"/>
  <c r="AF219" i="11"/>
  <c r="AG219" i="11"/>
  <c r="AH219" i="11"/>
  <c r="AI219" i="11"/>
  <c r="AF220" i="11"/>
  <c r="AG220" i="11"/>
  <c r="AH220" i="11"/>
  <c r="AI220" i="11"/>
  <c r="AF221" i="11"/>
  <c r="AG221" i="11"/>
  <c r="AH221" i="11"/>
  <c r="AI221" i="11"/>
  <c r="AF222" i="11"/>
  <c r="AG222" i="11"/>
  <c r="AH222" i="11"/>
  <c r="AI222" i="11"/>
  <c r="AF223" i="11"/>
  <c r="AG223" i="11"/>
  <c r="AH223" i="11"/>
  <c r="AI223" i="11"/>
  <c r="AF224" i="11"/>
  <c r="AG224" i="11"/>
  <c r="AH224" i="11"/>
  <c r="AI224" i="11"/>
  <c r="AF225" i="11"/>
  <c r="AG225" i="11"/>
  <c r="AH225" i="11"/>
  <c r="AI225" i="11"/>
  <c r="AF226" i="11"/>
  <c r="AG226" i="11"/>
  <c r="AH226" i="11"/>
  <c r="AI226" i="11"/>
  <c r="AF227" i="11"/>
  <c r="AG227" i="11"/>
  <c r="AH227" i="11"/>
  <c r="AI227" i="11"/>
  <c r="AF228" i="11"/>
  <c r="AG228" i="11"/>
  <c r="AH228" i="11"/>
  <c r="AI228" i="11"/>
  <c r="AF229" i="11"/>
  <c r="AG229" i="11"/>
  <c r="AH229" i="11"/>
  <c r="AI229" i="11"/>
  <c r="AF230" i="11"/>
  <c r="AG230" i="11"/>
  <c r="AH230" i="11"/>
  <c r="AI230" i="11"/>
  <c r="AF231" i="11"/>
  <c r="AG231" i="11"/>
  <c r="AH231" i="11"/>
  <c r="AI231" i="11"/>
  <c r="AF232" i="11"/>
  <c r="AG232" i="11"/>
  <c r="AH232" i="11"/>
  <c r="AI232" i="11"/>
  <c r="AF233" i="11"/>
  <c r="AG233" i="11"/>
  <c r="AH233" i="11"/>
  <c r="AI233" i="11"/>
  <c r="AF234" i="11"/>
  <c r="AG234" i="11"/>
  <c r="AH234" i="11"/>
  <c r="AI234" i="11"/>
  <c r="AF235" i="11"/>
  <c r="AG235" i="11"/>
  <c r="AH235" i="11"/>
  <c r="AI235" i="11"/>
  <c r="AF236" i="11"/>
  <c r="AG236" i="11"/>
  <c r="AH236" i="11"/>
  <c r="AI236" i="11"/>
  <c r="AF237" i="11"/>
  <c r="AG237" i="11"/>
  <c r="AH237" i="11"/>
  <c r="AI237" i="11"/>
  <c r="AF238" i="11"/>
  <c r="AG238" i="11"/>
  <c r="AH238" i="11"/>
  <c r="AI238" i="11"/>
  <c r="AF239" i="11"/>
  <c r="AG239" i="11"/>
  <c r="AH239" i="11"/>
  <c r="AI239" i="11"/>
  <c r="AF240" i="11"/>
  <c r="AG240" i="11"/>
  <c r="AH240" i="11"/>
  <c r="AI240" i="11"/>
  <c r="AF241" i="11"/>
  <c r="AG241" i="11"/>
  <c r="AH241" i="11"/>
  <c r="AI241" i="11"/>
  <c r="AF242" i="11"/>
  <c r="AG242" i="11"/>
  <c r="AH242" i="11"/>
  <c r="AI242" i="11"/>
  <c r="AF243" i="11"/>
  <c r="AG243" i="11"/>
  <c r="AH243" i="11"/>
  <c r="AI243" i="11"/>
  <c r="AF244" i="11"/>
  <c r="AG244" i="11"/>
  <c r="AH244" i="11"/>
  <c r="AI244" i="11"/>
  <c r="AF245" i="11"/>
  <c r="AG245" i="11"/>
  <c r="AH245" i="11"/>
  <c r="AI245" i="11"/>
  <c r="AF246" i="11"/>
  <c r="AG246" i="11"/>
  <c r="AH246" i="11"/>
  <c r="AI246" i="11"/>
  <c r="AF247" i="11"/>
  <c r="AG247" i="11"/>
  <c r="AH247" i="11"/>
  <c r="AI247" i="11"/>
  <c r="AF248" i="11"/>
  <c r="AG248" i="11"/>
  <c r="AH248" i="11"/>
  <c r="AI248" i="11"/>
  <c r="AF249" i="11"/>
  <c r="AG249" i="11"/>
  <c r="AH249" i="11"/>
  <c r="AI249" i="11"/>
  <c r="AF250" i="11"/>
  <c r="AG250" i="11"/>
  <c r="AH250" i="11"/>
  <c r="AI250" i="11"/>
  <c r="AF251" i="11"/>
  <c r="AG251" i="11"/>
  <c r="AH251" i="11"/>
  <c r="AI251" i="11"/>
  <c r="AF252" i="11"/>
  <c r="AG252" i="11"/>
  <c r="AH252" i="11"/>
  <c r="AI252" i="11"/>
  <c r="AF253" i="11"/>
  <c r="AG253" i="11"/>
  <c r="AH253" i="11"/>
  <c r="AI253" i="11"/>
  <c r="AF254" i="11"/>
  <c r="AG254" i="11"/>
  <c r="AH254" i="11"/>
  <c r="AI254" i="11"/>
  <c r="AF255" i="11"/>
  <c r="AG255" i="11"/>
  <c r="AH255" i="11"/>
  <c r="AI255" i="11"/>
  <c r="AF256" i="11"/>
  <c r="AG256" i="11"/>
  <c r="AH256" i="11"/>
  <c r="AI256" i="11"/>
  <c r="AF257" i="11"/>
  <c r="AG257" i="11"/>
  <c r="AH257" i="11"/>
  <c r="AI257" i="11"/>
  <c r="AF258" i="11"/>
  <c r="AG258" i="11"/>
  <c r="AH258" i="11"/>
  <c r="AI258" i="11"/>
  <c r="AF259" i="11"/>
  <c r="AG259" i="11"/>
  <c r="AH259" i="11"/>
  <c r="AI259" i="11"/>
  <c r="AF260" i="11"/>
  <c r="AG260" i="11"/>
  <c r="AH260" i="11"/>
  <c r="AI260" i="11"/>
  <c r="AF261" i="11"/>
  <c r="AG261" i="11"/>
  <c r="AH261" i="11"/>
  <c r="AI261" i="11"/>
  <c r="AF262" i="11"/>
  <c r="AG262" i="11"/>
  <c r="AH262" i="11"/>
  <c r="AI262" i="11"/>
  <c r="AF263" i="11"/>
  <c r="AG263" i="11"/>
  <c r="AH263" i="11"/>
  <c r="AI263" i="11"/>
  <c r="AF264" i="11"/>
  <c r="AG264" i="11"/>
  <c r="AH264" i="11"/>
  <c r="AI264" i="11"/>
  <c r="AF265" i="11"/>
  <c r="AG265" i="11"/>
  <c r="AH265" i="11"/>
  <c r="AI265" i="11"/>
  <c r="AF266" i="11"/>
  <c r="AG266" i="11"/>
  <c r="AH266" i="11"/>
  <c r="AI266" i="11"/>
  <c r="AF267" i="11"/>
  <c r="AG267" i="11"/>
  <c r="AH267" i="11"/>
  <c r="AI267" i="11"/>
  <c r="AF268" i="11"/>
  <c r="AG268" i="11"/>
  <c r="AH268" i="11"/>
  <c r="AI268" i="11"/>
  <c r="AF269" i="11"/>
  <c r="AG269" i="11"/>
  <c r="AH269" i="11"/>
  <c r="AI269" i="11"/>
  <c r="AF270" i="11"/>
  <c r="AG270" i="11"/>
  <c r="AH270" i="11"/>
  <c r="AI270" i="11"/>
  <c r="AF271" i="11"/>
  <c r="AG271" i="11"/>
  <c r="AH271" i="11"/>
  <c r="AI271" i="11"/>
  <c r="AF272" i="11"/>
  <c r="AG272" i="11"/>
  <c r="AH272" i="11"/>
  <c r="AI272" i="11"/>
  <c r="AF273" i="11"/>
  <c r="AG273" i="11"/>
  <c r="AH273" i="11"/>
  <c r="AI273" i="11"/>
  <c r="AF274" i="11"/>
  <c r="AG274" i="11"/>
  <c r="AH274" i="11"/>
  <c r="AI274" i="11"/>
  <c r="AF275" i="11"/>
  <c r="AG275" i="11"/>
  <c r="AH275" i="11"/>
  <c r="AI275" i="11"/>
  <c r="AF276" i="11"/>
  <c r="AG276" i="11"/>
  <c r="AH276" i="11"/>
  <c r="AI276" i="11"/>
  <c r="AF277" i="11"/>
  <c r="AG277" i="11"/>
  <c r="AH277" i="11"/>
  <c r="AI277" i="11"/>
  <c r="AF278" i="11"/>
  <c r="AG278" i="11"/>
  <c r="AH278" i="11"/>
  <c r="AI278" i="11"/>
  <c r="AF279" i="11"/>
  <c r="AG279" i="11"/>
  <c r="AH279" i="11"/>
  <c r="AI279" i="11"/>
  <c r="AF280" i="11"/>
  <c r="AG280" i="11"/>
  <c r="AH280" i="11"/>
  <c r="AI280" i="11"/>
  <c r="AF281" i="11"/>
  <c r="AG281" i="11"/>
  <c r="AH281" i="11"/>
  <c r="AI281" i="11"/>
  <c r="AF282" i="11"/>
  <c r="AG282" i="11"/>
  <c r="AH282" i="11"/>
  <c r="AI282" i="11"/>
  <c r="AF283" i="11"/>
  <c r="AG283" i="11"/>
  <c r="AH283" i="11"/>
  <c r="AI283" i="11"/>
  <c r="AF284" i="11"/>
  <c r="AG284" i="11"/>
  <c r="AH284" i="11"/>
  <c r="AI284" i="11"/>
  <c r="AF285" i="11"/>
  <c r="AG285" i="11"/>
  <c r="AH285" i="11"/>
  <c r="AI285" i="11"/>
  <c r="AF286" i="11"/>
  <c r="AG286" i="11"/>
  <c r="AH286" i="11"/>
  <c r="AI286" i="11"/>
  <c r="AF287" i="11"/>
  <c r="AG287" i="11"/>
  <c r="AH287" i="11"/>
  <c r="AI287" i="11"/>
  <c r="AF288" i="11"/>
  <c r="AG288" i="11"/>
  <c r="AH288" i="11"/>
  <c r="AI288" i="11"/>
  <c r="AF289" i="11"/>
  <c r="AG289" i="11"/>
  <c r="AH289" i="11"/>
  <c r="AI289" i="11"/>
  <c r="AF290" i="11"/>
  <c r="AG290" i="11"/>
  <c r="AH290" i="11"/>
  <c r="AI290" i="11"/>
  <c r="AF291" i="11"/>
  <c r="AG291" i="11"/>
  <c r="AH291" i="11"/>
  <c r="AI291" i="11"/>
  <c r="AF292" i="11"/>
  <c r="AG292" i="11"/>
  <c r="AH292" i="11"/>
  <c r="AI292" i="11"/>
  <c r="AF293" i="11"/>
  <c r="AG293" i="11"/>
  <c r="AH293" i="11"/>
  <c r="AI293" i="11"/>
  <c r="AF294" i="11"/>
  <c r="AG294" i="11"/>
  <c r="AH294" i="11"/>
  <c r="AI294" i="11"/>
  <c r="AF295" i="11"/>
  <c r="AG295" i="11"/>
  <c r="AH295" i="11"/>
  <c r="AI295" i="11"/>
  <c r="AF296" i="11"/>
  <c r="AG296" i="11"/>
  <c r="AH296" i="11"/>
  <c r="AI296" i="11"/>
  <c r="AF297" i="11"/>
  <c r="AG297" i="11"/>
  <c r="AH297" i="11"/>
  <c r="AI297" i="11"/>
  <c r="AF298" i="11"/>
  <c r="AG298" i="11"/>
  <c r="AH298" i="11"/>
  <c r="AI298" i="11"/>
  <c r="AF299" i="11"/>
  <c r="AG299" i="11"/>
  <c r="AH299" i="11"/>
  <c r="AI299" i="11"/>
  <c r="AF300" i="11"/>
  <c r="AG300" i="11"/>
  <c r="AH300" i="11"/>
  <c r="AI300" i="11"/>
  <c r="AF301" i="11"/>
  <c r="AG301" i="11"/>
  <c r="AH301" i="11"/>
  <c r="AI301" i="11"/>
  <c r="AF302" i="11"/>
  <c r="AG302" i="11"/>
  <c r="AH302" i="11"/>
  <c r="AI302" i="11"/>
  <c r="AF303" i="11"/>
  <c r="AG303" i="11"/>
  <c r="AH303" i="11"/>
  <c r="AI303" i="11"/>
  <c r="AF304" i="11"/>
  <c r="AG304" i="11"/>
  <c r="AH304" i="11"/>
  <c r="AI304" i="11"/>
  <c r="AF305" i="11"/>
  <c r="AG305" i="11"/>
  <c r="AH305" i="11"/>
  <c r="AI305" i="11"/>
  <c r="AF306" i="11"/>
  <c r="AG306" i="11"/>
  <c r="AH306" i="11"/>
  <c r="AI306" i="11"/>
  <c r="AF307" i="11"/>
  <c r="AG307" i="11"/>
  <c r="AH307" i="11"/>
  <c r="AI307" i="11"/>
  <c r="AF308" i="11"/>
  <c r="AG308" i="11"/>
  <c r="AH308" i="11"/>
  <c r="AI308" i="11"/>
  <c r="AF309" i="11"/>
  <c r="AG309" i="11"/>
  <c r="AH309" i="11"/>
  <c r="AI309" i="11"/>
  <c r="AF310" i="11"/>
  <c r="AG310" i="11"/>
  <c r="AH310" i="11"/>
  <c r="AI310" i="11"/>
  <c r="AF311" i="11"/>
  <c r="AG311" i="11"/>
  <c r="AH311" i="11"/>
  <c r="AI311" i="11"/>
  <c r="AF312" i="11"/>
  <c r="AG312" i="11"/>
  <c r="AH312" i="11"/>
  <c r="AI312" i="11"/>
  <c r="AF313" i="11"/>
  <c r="AG313" i="11"/>
  <c r="AH313" i="11"/>
  <c r="AI313" i="11"/>
  <c r="AF314" i="11"/>
  <c r="AG314" i="11"/>
  <c r="AH314" i="11"/>
  <c r="AI314" i="11"/>
  <c r="AF315" i="11"/>
  <c r="AG315" i="11"/>
  <c r="AH315" i="11"/>
  <c r="AI315" i="11"/>
  <c r="AF316" i="11"/>
  <c r="AG316" i="11"/>
  <c r="AH316" i="11"/>
  <c r="AI316" i="11"/>
  <c r="AF317" i="11"/>
  <c r="AG317" i="11"/>
  <c r="AH317" i="11"/>
  <c r="AI317" i="11"/>
  <c r="AF318" i="11"/>
  <c r="AG318" i="11"/>
  <c r="AH318" i="11"/>
  <c r="AI318" i="11"/>
  <c r="AF319" i="11"/>
  <c r="AG319" i="11"/>
  <c r="AH319" i="11"/>
  <c r="AI319" i="11"/>
  <c r="AF320" i="11"/>
  <c r="AG320" i="11"/>
  <c r="AH320" i="11"/>
  <c r="AI320" i="11"/>
  <c r="AF321" i="11"/>
  <c r="AG321" i="11"/>
  <c r="AH321" i="11"/>
  <c r="AI321" i="11"/>
  <c r="AF322" i="11"/>
  <c r="AG322" i="11"/>
  <c r="AH322" i="11"/>
  <c r="AI322" i="11"/>
  <c r="AF323" i="11"/>
  <c r="AG323" i="11"/>
  <c r="AH323" i="11"/>
  <c r="AI323" i="11"/>
  <c r="AF324" i="11"/>
  <c r="AG324" i="11"/>
  <c r="AH324" i="11"/>
  <c r="AI324" i="11"/>
  <c r="AF325" i="11"/>
  <c r="AG325" i="11"/>
  <c r="AH325" i="11"/>
  <c r="AI325" i="11"/>
  <c r="AF326" i="11"/>
  <c r="AG326" i="11"/>
  <c r="AH326" i="11"/>
  <c r="AI326" i="11"/>
  <c r="AF327" i="11"/>
  <c r="AG327" i="11"/>
  <c r="AH327" i="11"/>
  <c r="AI327" i="11"/>
  <c r="AF328" i="11"/>
  <c r="AG328" i="11"/>
  <c r="AH328" i="11"/>
  <c r="AI328" i="11"/>
  <c r="AF329" i="11"/>
  <c r="AG329" i="11"/>
  <c r="AH329" i="11"/>
  <c r="AI329" i="11"/>
  <c r="AF330" i="11"/>
  <c r="AG330" i="11"/>
  <c r="AH330" i="11"/>
  <c r="AI330" i="11"/>
  <c r="AF331" i="11"/>
  <c r="AG331" i="11"/>
  <c r="AH331" i="11"/>
  <c r="AI331" i="11"/>
  <c r="AF332" i="11"/>
  <c r="AG332" i="11"/>
  <c r="AH332" i="11"/>
  <c r="AI332" i="11"/>
  <c r="AF333" i="11"/>
  <c r="AG333" i="11"/>
  <c r="AH333" i="11"/>
  <c r="AI333" i="11"/>
  <c r="AF334" i="11"/>
  <c r="AG334" i="11"/>
  <c r="AH334" i="11"/>
  <c r="AI334" i="11"/>
  <c r="AF335" i="11"/>
  <c r="AG335" i="11"/>
  <c r="AH335" i="11"/>
  <c r="AI335" i="11"/>
  <c r="AF336" i="11"/>
  <c r="AG336" i="11"/>
  <c r="AH336" i="11"/>
  <c r="AI336" i="11"/>
  <c r="AF337" i="11"/>
  <c r="AG337" i="11"/>
  <c r="AH337" i="11"/>
  <c r="AI337" i="11"/>
  <c r="AF338" i="11"/>
  <c r="AG338" i="11"/>
  <c r="AH338" i="11"/>
  <c r="AI338" i="11"/>
  <c r="AF339" i="11"/>
  <c r="AG339" i="11"/>
  <c r="AH339" i="11"/>
  <c r="AI339" i="11"/>
  <c r="AF340" i="11"/>
  <c r="AG340" i="11"/>
  <c r="AH340" i="11"/>
  <c r="AI340" i="11"/>
  <c r="AF341" i="11"/>
  <c r="AG341" i="11"/>
  <c r="AH341" i="11"/>
  <c r="AI341" i="11"/>
  <c r="AF342" i="11"/>
  <c r="AG342" i="11"/>
  <c r="AH342" i="11"/>
  <c r="AI342" i="11"/>
  <c r="AF343" i="11"/>
  <c r="AG343" i="11"/>
  <c r="AH343" i="11"/>
  <c r="AI343" i="11"/>
  <c r="AF344" i="11"/>
  <c r="AG344" i="11"/>
  <c r="AH344" i="11"/>
  <c r="AI344" i="11"/>
  <c r="AF345" i="11"/>
  <c r="AG345" i="11"/>
  <c r="AH345" i="11"/>
  <c r="AI345" i="11"/>
  <c r="AF346" i="11"/>
  <c r="AG346" i="11"/>
  <c r="AH346" i="11"/>
  <c r="AI346" i="11"/>
  <c r="AF347" i="11"/>
  <c r="AG347" i="11"/>
  <c r="AH347" i="11"/>
  <c r="AI347" i="11"/>
  <c r="AF348" i="11"/>
  <c r="AG348" i="11"/>
  <c r="AH348" i="11"/>
  <c r="AI348" i="11"/>
  <c r="AF349" i="11"/>
  <c r="AG349" i="11"/>
  <c r="AH349" i="11"/>
  <c r="AI349" i="11"/>
  <c r="AF350" i="11"/>
  <c r="AG350" i="11"/>
  <c r="AH350" i="11"/>
  <c r="AI350" i="11"/>
  <c r="AF351" i="11"/>
  <c r="AG351" i="11"/>
  <c r="AH351" i="11"/>
  <c r="AI351" i="11"/>
  <c r="AF352" i="11"/>
  <c r="AG352" i="11"/>
  <c r="AH352" i="11"/>
  <c r="AI352" i="11"/>
  <c r="AF353" i="11"/>
  <c r="AG353" i="11"/>
  <c r="AH353" i="11"/>
  <c r="AI353" i="11"/>
  <c r="AF354" i="11"/>
  <c r="AG354" i="11"/>
  <c r="AH354" i="11"/>
  <c r="AI354" i="11"/>
  <c r="AF355" i="11"/>
  <c r="AG355" i="11"/>
  <c r="AH355" i="11"/>
  <c r="AI355" i="11"/>
  <c r="AF356" i="11"/>
  <c r="AG356" i="11"/>
  <c r="AH356" i="11"/>
  <c r="AI356" i="11"/>
  <c r="AF357" i="11"/>
  <c r="AG357" i="11"/>
  <c r="AH357" i="11"/>
  <c r="AI357" i="11"/>
  <c r="AF358" i="11"/>
  <c r="AG358" i="11"/>
  <c r="AH358" i="11"/>
  <c r="AI358" i="11"/>
  <c r="AF359" i="11"/>
  <c r="AG359" i="11"/>
  <c r="AH359" i="11"/>
  <c r="AI359" i="11"/>
  <c r="AF360" i="11"/>
  <c r="AG360" i="11"/>
  <c r="AH360" i="11"/>
  <c r="AI360" i="11"/>
  <c r="AF361" i="11"/>
  <c r="AG361" i="11"/>
  <c r="AH361" i="11"/>
  <c r="AI361" i="11"/>
  <c r="AF362" i="11"/>
  <c r="AG362" i="11"/>
  <c r="AH362" i="11"/>
  <c r="AI362" i="11"/>
  <c r="AF363" i="11"/>
  <c r="AG363" i="11"/>
  <c r="AH363" i="11"/>
  <c r="AI363" i="11"/>
  <c r="AF364" i="11"/>
  <c r="AG364" i="11"/>
  <c r="AH364" i="11"/>
  <c r="AI364" i="11"/>
  <c r="AF365" i="11"/>
  <c r="AG365" i="11"/>
  <c r="AH365" i="11"/>
  <c r="AI365" i="11"/>
  <c r="AF366" i="11"/>
  <c r="AG366" i="11"/>
  <c r="AH366" i="11"/>
  <c r="AI366" i="11"/>
  <c r="AF367" i="11"/>
  <c r="AG367" i="11"/>
  <c r="AH367" i="11"/>
  <c r="AI367" i="11"/>
  <c r="AF368" i="11"/>
  <c r="AG368" i="11"/>
  <c r="AH368" i="11"/>
  <c r="AI368" i="11"/>
  <c r="AF369" i="11"/>
  <c r="AG369" i="11"/>
  <c r="AH369" i="11"/>
  <c r="AI369" i="11"/>
  <c r="AF370" i="11"/>
  <c r="AG370" i="11"/>
  <c r="AH370" i="11"/>
  <c r="AI370" i="11"/>
  <c r="AF371" i="11"/>
  <c r="AG371" i="11"/>
  <c r="AH371" i="11"/>
  <c r="AI371" i="11"/>
  <c r="AF372" i="11"/>
  <c r="AG372" i="11"/>
  <c r="AH372" i="11"/>
  <c r="AI372" i="11"/>
  <c r="AF373" i="11"/>
  <c r="AG373" i="11"/>
  <c r="AH373" i="11"/>
  <c r="AI373" i="11"/>
  <c r="AF374" i="11"/>
  <c r="AG374" i="11"/>
  <c r="AH374" i="11"/>
  <c r="AI374" i="11"/>
  <c r="AF375" i="11"/>
  <c r="AG375" i="11"/>
  <c r="AH375" i="11"/>
  <c r="AI375" i="11"/>
  <c r="AF376" i="11"/>
  <c r="AG376" i="11"/>
  <c r="AH376" i="11"/>
  <c r="AI376" i="11"/>
  <c r="AF377" i="11"/>
  <c r="AG377" i="11"/>
  <c r="AH377" i="11"/>
  <c r="AI377" i="11"/>
  <c r="AF378" i="11"/>
  <c r="AG378" i="11"/>
  <c r="AH378" i="11"/>
  <c r="AI378" i="11"/>
  <c r="AF379" i="11"/>
  <c r="AG379" i="11"/>
  <c r="AH379" i="11"/>
  <c r="AI379" i="11"/>
  <c r="AF380" i="11"/>
  <c r="AG380" i="11"/>
  <c r="AH380" i="11"/>
  <c r="AI380" i="11"/>
  <c r="AF381" i="11"/>
  <c r="AG381" i="11"/>
  <c r="AH381" i="11"/>
  <c r="AI381" i="11"/>
  <c r="AF382" i="11"/>
  <c r="AG382" i="11"/>
  <c r="AH382" i="11"/>
  <c r="AI382" i="11"/>
  <c r="AF383" i="11"/>
  <c r="AG383" i="11"/>
  <c r="AH383" i="11"/>
  <c r="AI383" i="11"/>
  <c r="AF384" i="11"/>
  <c r="AG384" i="11"/>
  <c r="AH384" i="11"/>
  <c r="AI384" i="11"/>
  <c r="AF385" i="11"/>
  <c r="AG385" i="11"/>
  <c r="AH385" i="11"/>
  <c r="AI385" i="11"/>
  <c r="AF386" i="11"/>
  <c r="AG386" i="11"/>
  <c r="AH386" i="11"/>
  <c r="AI386" i="11"/>
  <c r="AF387" i="11"/>
  <c r="AG387" i="11"/>
  <c r="AH387" i="11"/>
  <c r="AI387" i="11"/>
  <c r="AF388" i="11"/>
  <c r="AG388" i="11"/>
  <c r="AH388" i="11"/>
  <c r="AI388" i="11"/>
  <c r="AF389" i="11"/>
  <c r="AG389" i="11"/>
  <c r="AH389" i="11"/>
  <c r="AI389" i="11"/>
  <c r="AF390" i="11"/>
  <c r="AG390" i="11"/>
  <c r="AH390" i="11"/>
  <c r="AI390" i="11"/>
  <c r="AF391" i="11"/>
  <c r="AG391" i="11"/>
  <c r="AH391" i="11"/>
  <c r="AI391" i="11"/>
  <c r="AF392" i="11"/>
  <c r="AG392" i="11"/>
  <c r="AH392" i="11"/>
  <c r="AI392" i="11"/>
  <c r="AF393" i="11"/>
  <c r="AG393" i="11"/>
  <c r="AH393" i="11"/>
  <c r="AI393" i="11"/>
  <c r="AF394" i="11"/>
  <c r="AG394" i="11"/>
  <c r="AH394" i="11"/>
  <c r="AI394" i="11"/>
  <c r="AF395" i="11"/>
  <c r="AG395" i="11"/>
  <c r="AH395" i="11"/>
  <c r="AI395" i="11"/>
  <c r="AF396" i="11"/>
  <c r="AG396" i="11"/>
  <c r="AH396" i="11"/>
  <c r="AI396" i="11"/>
  <c r="AF397" i="11"/>
  <c r="AG397" i="11"/>
  <c r="AH397" i="11"/>
  <c r="AI397" i="11"/>
  <c r="AF398" i="11"/>
  <c r="AG398" i="11"/>
  <c r="AH398" i="11"/>
  <c r="AI398" i="11"/>
  <c r="AF399" i="11"/>
  <c r="AG399" i="11"/>
  <c r="AH399" i="11"/>
  <c r="AI399" i="11"/>
  <c r="AF400" i="11"/>
  <c r="AG400" i="11"/>
  <c r="AH400" i="11"/>
  <c r="AI400" i="11"/>
  <c r="AF401" i="11"/>
  <c r="AG401" i="11"/>
  <c r="AH401" i="11"/>
  <c r="AI401" i="11"/>
  <c r="AF402" i="11"/>
  <c r="AG402" i="11"/>
  <c r="AH402" i="11"/>
  <c r="AI402" i="11"/>
  <c r="AF403" i="11"/>
  <c r="AG403" i="11"/>
  <c r="AH403" i="11"/>
  <c r="AI403" i="11"/>
  <c r="AF404" i="11"/>
  <c r="AG404" i="11"/>
  <c r="AH404" i="11"/>
  <c r="AI404" i="11"/>
  <c r="AF405" i="11"/>
  <c r="AG405" i="11"/>
  <c r="AH405" i="11"/>
  <c r="AI405" i="11"/>
  <c r="AF406" i="11"/>
  <c r="AG406" i="11"/>
  <c r="AH406" i="11"/>
  <c r="AI406" i="11"/>
  <c r="AF407" i="11"/>
  <c r="AG407" i="11"/>
  <c r="AH407" i="11"/>
  <c r="AI407" i="11"/>
  <c r="AF408" i="11"/>
  <c r="AG408" i="11"/>
  <c r="AH408" i="11"/>
  <c r="AI408" i="11"/>
  <c r="AF409" i="11"/>
  <c r="AG409" i="11"/>
  <c r="AH409" i="11"/>
  <c r="AI409" i="11"/>
  <c r="AF410" i="11"/>
  <c r="AG410" i="11"/>
  <c r="AH410" i="11"/>
  <c r="AI410" i="11"/>
  <c r="AF411" i="11"/>
  <c r="AG411" i="11"/>
  <c r="AH411" i="11"/>
  <c r="AI411" i="11"/>
  <c r="AF412" i="11"/>
  <c r="AG412" i="11"/>
  <c r="AH412" i="11"/>
  <c r="AI412" i="11"/>
  <c r="AF413" i="11"/>
  <c r="AG413" i="11"/>
  <c r="AH413" i="11"/>
  <c r="AI413" i="11"/>
  <c r="AF414" i="11"/>
  <c r="AG414" i="11"/>
  <c r="AH414" i="11"/>
  <c r="AI414" i="11"/>
  <c r="AF415" i="11"/>
  <c r="AG415" i="11"/>
  <c r="AH415" i="11"/>
  <c r="AI415" i="11"/>
  <c r="AF416" i="11"/>
  <c r="AG416" i="11"/>
  <c r="AH416" i="11"/>
  <c r="AI416" i="11"/>
  <c r="AF417" i="11"/>
  <c r="AG417" i="11"/>
  <c r="AH417" i="11"/>
  <c r="AI417" i="11"/>
  <c r="AF418" i="11"/>
  <c r="AG418" i="11"/>
  <c r="AH418" i="11"/>
  <c r="AI418" i="11"/>
  <c r="AF419" i="11"/>
  <c r="AG419" i="11"/>
  <c r="AH419" i="11"/>
  <c r="AI419" i="11"/>
  <c r="AF420" i="11"/>
  <c r="AG420" i="11"/>
  <c r="AH420" i="11"/>
  <c r="AI420" i="11"/>
  <c r="AF421" i="11"/>
  <c r="AG421" i="11"/>
  <c r="AH421" i="11"/>
  <c r="AI421" i="11"/>
  <c r="AF422" i="11"/>
  <c r="AG422" i="11"/>
  <c r="AH422" i="11"/>
  <c r="AI422" i="11"/>
  <c r="AF423" i="11"/>
  <c r="AG423" i="11"/>
  <c r="AH423" i="11"/>
  <c r="AI423" i="11"/>
  <c r="AF424" i="11"/>
  <c r="AG424" i="11"/>
  <c r="AH424" i="11"/>
  <c r="AI424" i="11"/>
  <c r="AF425" i="11"/>
  <c r="AG425" i="11"/>
  <c r="AH425" i="11"/>
  <c r="AI425" i="11"/>
  <c r="AF426" i="11"/>
  <c r="AG426" i="11"/>
  <c r="AH426" i="11"/>
  <c r="AI426" i="11"/>
  <c r="AF427" i="11"/>
  <c r="AG427" i="11"/>
  <c r="AH427" i="11"/>
  <c r="AI427" i="11"/>
  <c r="AF428" i="11"/>
  <c r="AG428" i="11"/>
  <c r="AH428" i="11"/>
  <c r="AI428" i="11"/>
  <c r="AF429" i="11"/>
  <c r="AG429" i="11"/>
  <c r="AH429" i="11"/>
  <c r="AI429" i="11"/>
  <c r="AF430" i="11"/>
  <c r="AG430" i="11"/>
  <c r="AH430" i="11"/>
  <c r="AI430" i="11"/>
  <c r="AF431" i="11"/>
  <c r="AG431" i="11"/>
  <c r="AH431" i="11"/>
  <c r="AI431" i="11"/>
  <c r="AF432" i="11"/>
  <c r="AG432" i="11"/>
  <c r="AH432" i="11"/>
  <c r="AI432" i="11"/>
  <c r="AF433" i="11"/>
  <c r="AG433" i="11"/>
  <c r="AH433" i="11"/>
  <c r="AI433" i="11"/>
  <c r="AF434" i="11"/>
  <c r="AG434" i="11"/>
  <c r="AH434" i="11"/>
  <c r="AI434" i="11"/>
  <c r="AF435" i="11"/>
  <c r="AG435" i="11"/>
  <c r="AH435" i="11"/>
  <c r="AI435" i="11"/>
  <c r="AF436" i="11"/>
  <c r="AG436" i="11"/>
  <c r="AH436" i="11"/>
  <c r="AI436" i="11"/>
  <c r="AF437" i="11"/>
  <c r="AG437" i="11"/>
  <c r="AH437" i="11"/>
  <c r="AI437" i="11"/>
  <c r="AF438" i="11"/>
  <c r="AG438" i="11"/>
  <c r="AH438" i="11"/>
  <c r="AI438" i="11"/>
  <c r="AF439" i="11"/>
  <c r="AG439" i="11"/>
  <c r="AH439" i="11"/>
  <c r="AI439" i="11"/>
  <c r="AF440" i="11"/>
  <c r="AG440" i="11"/>
  <c r="AH440" i="11"/>
  <c r="AI440" i="11"/>
  <c r="AF441" i="11"/>
  <c r="AG441" i="11"/>
  <c r="AH441" i="11"/>
  <c r="AI441" i="11"/>
  <c r="AF442" i="11"/>
  <c r="AG442" i="11"/>
  <c r="AH442" i="11"/>
  <c r="AI442" i="11"/>
  <c r="AF443" i="11"/>
  <c r="AG443" i="11"/>
  <c r="AH443" i="11"/>
  <c r="AI443" i="11"/>
  <c r="AF444" i="11"/>
  <c r="AG444" i="11"/>
  <c r="AH444" i="11"/>
  <c r="AI444" i="11"/>
  <c r="AF445" i="11"/>
  <c r="AG445" i="11"/>
  <c r="AH445" i="11"/>
  <c r="AI445" i="11"/>
  <c r="AF446" i="11"/>
  <c r="AG446" i="11"/>
  <c r="AH446" i="11"/>
  <c r="AI446" i="11"/>
  <c r="AF447" i="11"/>
  <c r="AG447" i="11"/>
  <c r="AH447" i="11"/>
  <c r="AI447" i="11"/>
  <c r="AF448" i="11"/>
  <c r="AG448" i="11"/>
  <c r="AH448" i="11"/>
  <c r="AI448" i="11"/>
  <c r="AF449" i="11"/>
  <c r="AG449" i="11"/>
  <c r="AH449" i="11"/>
  <c r="AI449" i="11"/>
  <c r="AF450" i="11"/>
  <c r="AG450" i="11"/>
  <c r="AH450" i="11"/>
  <c r="AI450" i="11"/>
  <c r="AF451" i="11"/>
  <c r="AG451" i="11"/>
  <c r="AH451" i="11"/>
  <c r="AI451" i="11"/>
  <c r="AF452" i="11"/>
  <c r="AG452" i="11"/>
  <c r="AH452" i="11"/>
  <c r="AI452" i="11"/>
  <c r="AF453" i="11"/>
  <c r="AG453" i="11"/>
  <c r="AH453" i="11"/>
  <c r="AI453" i="11"/>
  <c r="AF454" i="11"/>
  <c r="AG454" i="11"/>
  <c r="AH454" i="11"/>
  <c r="AI454" i="11"/>
  <c r="AF455" i="11"/>
  <c r="AG455" i="11"/>
  <c r="AH455" i="11"/>
  <c r="AI455" i="11"/>
  <c r="AF456" i="11"/>
  <c r="AG456" i="11"/>
  <c r="AH456" i="11"/>
  <c r="AI456" i="11"/>
  <c r="AF457" i="11"/>
  <c r="AG457" i="11"/>
  <c r="AH457" i="11"/>
  <c r="AI457" i="11"/>
  <c r="AF458" i="11"/>
  <c r="AG458" i="11"/>
  <c r="AH458" i="11"/>
  <c r="AI458" i="11"/>
  <c r="AF459" i="11"/>
  <c r="AG459" i="11"/>
  <c r="AH459" i="11"/>
  <c r="AI459" i="11"/>
  <c r="AF460" i="11"/>
  <c r="AG460" i="11"/>
  <c r="AH460" i="11"/>
  <c r="AI460" i="11"/>
  <c r="AF461" i="11"/>
  <c r="AG461" i="11"/>
  <c r="AH461" i="11"/>
  <c r="AI461" i="11"/>
  <c r="AF462" i="11"/>
  <c r="AG462" i="11"/>
  <c r="AH462" i="11"/>
  <c r="AI462" i="11"/>
  <c r="AF463" i="11"/>
  <c r="AG463" i="11"/>
  <c r="AH463" i="11"/>
  <c r="AI463" i="11"/>
  <c r="AF464" i="11"/>
  <c r="AG464" i="11"/>
  <c r="AH464" i="11"/>
  <c r="AI464" i="11"/>
  <c r="AF465" i="11"/>
  <c r="AG465" i="11"/>
  <c r="AH465" i="11"/>
  <c r="AI465" i="11"/>
  <c r="AF466" i="11"/>
  <c r="AG466" i="11"/>
  <c r="AH466" i="11"/>
  <c r="AI466" i="11"/>
  <c r="AF467" i="11"/>
  <c r="AG467" i="11"/>
  <c r="AH467" i="11"/>
  <c r="AI467" i="11"/>
  <c r="AF468" i="11"/>
  <c r="AG468" i="11"/>
  <c r="AH468" i="11"/>
  <c r="AI468" i="11"/>
  <c r="AF469" i="11"/>
  <c r="AG469" i="11"/>
  <c r="AH469" i="11"/>
  <c r="AI469" i="11"/>
  <c r="AF470" i="11"/>
  <c r="AG470" i="11"/>
  <c r="AH470" i="11"/>
  <c r="AI470" i="11"/>
  <c r="AF471" i="11"/>
  <c r="AG471" i="11"/>
  <c r="AH471" i="11"/>
  <c r="AI471" i="11"/>
  <c r="AF472" i="11"/>
  <c r="AG472" i="11"/>
  <c r="AH472" i="11"/>
  <c r="AI472" i="11"/>
  <c r="AF473" i="11"/>
  <c r="AG473" i="11"/>
  <c r="AH473" i="11"/>
  <c r="AI473" i="11"/>
  <c r="AF474" i="11"/>
  <c r="AG474" i="11"/>
  <c r="AH474" i="11"/>
  <c r="AI474" i="11"/>
  <c r="AF475" i="11"/>
  <c r="AG475" i="11"/>
  <c r="AH475" i="11"/>
  <c r="AI475" i="11"/>
  <c r="AF476" i="11"/>
  <c r="AG476" i="11"/>
  <c r="AH476" i="11"/>
  <c r="AI476" i="11"/>
  <c r="AF477" i="11"/>
  <c r="AG477" i="11"/>
  <c r="AH477" i="11"/>
  <c r="AI477" i="11"/>
  <c r="AF478" i="11"/>
  <c r="AG478" i="11"/>
  <c r="AH478" i="11"/>
  <c r="AI478" i="11"/>
  <c r="AF479" i="11"/>
  <c r="AG479" i="11"/>
  <c r="AH479" i="11"/>
  <c r="AI479" i="11"/>
  <c r="AF480" i="11"/>
  <c r="AG480" i="11"/>
  <c r="AH480" i="11"/>
  <c r="AI480" i="11"/>
  <c r="AF481" i="11"/>
  <c r="AG481" i="11"/>
  <c r="AH481" i="11"/>
  <c r="AI481" i="11"/>
  <c r="AF482" i="11"/>
  <c r="AG482" i="11"/>
  <c r="AH482" i="11"/>
  <c r="AI482" i="11"/>
  <c r="AF483" i="11"/>
  <c r="AG483" i="11"/>
  <c r="AH483" i="11"/>
  <c r="AI483" i="11"/>
  <c r="AF484" i="11"/>
  <c r="AG484" i="11"/>
  <c r="AH484" i="11"/>
  <c r="AI484" i="11"/>
  <c r="AF485" i="11"/>
  <c r="AG485" i="11"/>
  <c r="AH485" i="11"/>
  <c r="AI485" i="11"/>
  <c r="AF486" i="11"/>
  <c r="AG486" i="11"/>
  <c r="AH486" i="11"/>
  <c r="AI486" i="11"/>
  <c r="AF487" i="11"/>
  <c r="AG487" i="11"/>
  <c r="AH487" i="11"/>
  <c r="AI487" i="11"/>
  <c r="AF488" i="11"/>
  <c r="AG488" i="11"/>
  <c r="AH488" i="11"/>
  <c r="AI488" i="11"/>
  <c r="AF489" i="11"/>
  <c r="AG489" i="11"/>
  <c r="AH489" i="11"/>
  <c r="AI489" i="11"/>
  <c r="AF490" i="11"/>
  <c r="AG490" i="11"/>
  <c r="AH490" i="11"/>
  <c r="AI490" i="11"/>
  <c r="AF491" i="11"/>
  <c r="AG491" i="11"/>
  <c r="AH491" i="11"/>
  <c r="AI491" i="11"/>
  <c r="AF492" i="11"/>
  <c r="AG492" i="11"/>
  <c r="AH492" i="11"/>
  <c r="AI492" i="11"/>
  <c r="AF493" i="11"/>
  <c r="AG493" i="11"/>
  <c r="AH493" i="11"/>
  <c r="AI493" i="11"/>
  <c r="AF494" i="11"/>
  <c r="AG494" i="11"/>
  <c r="AH494" i="11"/>
  <c r="AI494" i="11"/>
  <c r="AF495" i="11"/>
  <c r="AG495" i="11"/>
  <c r="AH495" i="11"/>
  <c r="AI495" i="11"/>
  <c r="AF496" i="11"/>
  <c r="AG496" i="11"/>
  <c r="AH496" i="11"/>
  <c r="AI496" i="11"/>
  <c r="AF497" i="11"/>
  <c r="AG497" i="11"/>
  <c r="AH497" i="11"/>
  <c r="AI497" i="11"/>
  <c r="AF498" i="11"/>
  <c r="AG498" i="11"/>
  <c r="AH498" i="11"/>
  <c r="AI498" i="11"/>
  <c r="AF499" i="11"/>
  <c r="AG499" i="11"/>
  <c r="AH499" i="11"/>
  <c r="AI499" i="11"/>
  <c r="AF500" i="11"/>
  <c r="AG500" i="11"/>
  <c r="AH500" i="11"/>
  <c r="AI500" i="11"/>
  <c r="AF501" i="11"/>
  <c r="AG501" i="11"/>
  <c r="AH501" i="11"/>
  <c r="AI501" i="11"/>
  <c r="AF502" i="11"/>
  <c r="AG502" i="11"/>
  <c r="AH502" i="11"/>
  <c r="AI502" i="11"/>
  <c r="AF503" i="11"/>
  <c r="AG503" i="11"/>
  <c r="AH503" i="11"/>
  <c r="AI503" i="11"/>
  <c r="AF504" i="11"/>
  <c r="AG504" i="11"/>
  <c r="AH504" i="11"/>
  <c r="AI504" i="11"/>
  <c r="AF505" i="11"/>
  <c r="AG505" i="11"/>
  <c r="AH505" i="11"/>
  <c r="AI505" i="11"/>
  <c r="AF506" i="11"/>
  <c r="AG506" i="11"/>
  <c r="AH506" i="11"/>
  <c r="AI506" i="11"/>
  <c r="AF507" i="11"/>
  <c r="AG507" i="11"/>
  <c r="AH507" i="11"/>
  <c r="AI507" i="11"/>
  <c r="AF508" i="11"/>
  <c r="AG508" i="11"/>
  <c r="AH508" i="11"/>
  <c r="AI508" i="11"/>
  <c r="AF509" i="11"/>
  <c r="AG509" i="11"/>
  <c r="AH509" i="11"/>
  <c r="AI509" i="11"/>
  <c r="AF510" i="11"/>
  <c r="AG510" i="11"/>
  <c r="AH510" i="11"/>
  <c r="AI510" i="11"/>
  <c r="AF511" i="11"/>
  <c r="AG511" i="11"/>
  <c r="AH511" i="11"/>
  <c r="AI511" i="11"/>
  <c r="AF512" i="11"/>
  <c r="AG512" i="11"/>
  <c r="AH512" i="11"/>
  <c r="AI512" i="11"/>
  <c r="AF513" i="11"/>
  <c r="AG513" i="11"/>
  <c r="AH513" i="11"/>
  <c r="AI513" i="11"/>
  <c r="AF514" i="11"/>
  <c r="AG514" i="11"/>
  <c r="AH514" i="11"/>
  <c r="AI514" i="11"/>
  <c r="AF515" i="11"/>
  <c r="AG515" i="11"/>
  <c r="AH515" i="11"/>
  <c r="AI515" i="11"/>
  <c r="AF516" i="11"/>
  <c r="AG516" i="11"/>
  <c r="AH516" i="11"/>
  <c r="AI516" i="11"/>
  <c r="AF517" i="11"/>
  <c r="AG517" i="11"/>
  <c r="AH517" i="11"/>
  <c r="AI517" i="11"/>
  <c r="AF518" i="11"/>
  <c r="AG518" i="11"/>
  <c r="AH518" i="11"/>
  <c r="AI518" i="11"/>
  <c r="AF519" i="11"/>
  <c r="AG519" i="11"/>
  <c r="AH519" i="11"/>
  <c r="AI519" i="11"/>
  <c r="AF520" i="11"/>
  <c r="AG520" i="11"/>
  <c r="AH520" i="11"/>
  <c r="AI520" i="11"/>
  <c r="AF521" i="11"/>
  <c r="AG521" i="11"/>
  <c r="AH521" i="11"/>
  <c r="AI521" i="11"/>
  <c r="AF522" i="11"/>
  <c r="AG522" i="11"/>
  <c r="AH522" i="11"/>
  <c r="AI522" i="11"/>
  <c r="AF523" i="11"/>
  <c r="AG523" i="11"/>
  <c r="AH523" i="11"/>
  <c r="AI523" i="11"/>
  <c r="AF524" i="11"/>
  <c r="AG524" i="11"/>
  <c r="AH524" i="11"/>
  <c r="AI524" i="11"/>
  <c r="AF525" i="11"/>
  <c r="AG525" i="11"/>
  <c r="AH525" i="11"/>
  <c r="AI525" i="11"/>
  <c r="AF526" i="11"/>
  <c r="AG526" i="11"/>
  <c r="AH526" i="11"/>
  <c r="AI526" i="11"/>
  <c r="AF527" i="11"/>
  <c r="AG527" i="11"/>
  <c r="AH527" i="11"/>
  <c r="AI527" i="11"/>
  <c r="AF528" i="11"/>
  <c r="AG528" i="11"/>
  <c r="AH528" i="11"/>
  <c r="AI528" i="11"/>
  <c r="AF529" i="11"/>
  <c r="AG529" i="11"/>
  <c r="AH529" i="11"/>
  <c r="AI529" i="11"/>
  <c r="AF530" i="11"/>
  <c r="AG530" i="11"/>
  <c r="AH530" i="11"/>
  <c r="AI530" i="11"/>
  <c r="AF531" i="11"/>
  <c r="AG531" i="11"/>
  <c r="AH531" i="11"/>
  <c r="AI531" i="11"/>
  <c r="AF532" i="11"/>
  <c r="AG532" i="11"/>
  <c r="AH532" i="11"/>
  <c r="AI532" i="11"/>
  <c r="AF533" i="11"/>
  <c r="AG533" i="11"/>
  <c r="AH533" i="11"/>
  <c r="AI533" i="11"/>
  <c r="AF534" i="11"/>
  <c r="AG534" i="11"/>
  <c r="AH534" i="11"/>
  <c r="AI534" i="11"/>
  <c r="AF535" i="11"/>
  <c r="AG535" i="11"/>
  <c r="AH535" i="11"/>
  <c r="AI535" i="11"/>
  <c r="AF536" i="11"/>
  <c r="AG536" i="11"/>
  <c r="AH536" i="11"/>
  <c r="AI536" i="11"/>
  <c r="AF537" i="11"/>
  <c r="AG537" i="11"/>
  <c r="AH537" i="11"/>
  <c r="AI537" i="11"/>
  <c r="AF538" i="11"/>
  <c r="AG538" i="11"/>
  <c r="AH538" i="11"/>
  <c r="AI538" i="11"/>
  <c r="AF539" i="11"/>
  <c r="AG539" i="11"/>
  <c r="AH539" i="11"/>
  <c r="AI539" i="11"/>
  <c r="AF540" i="11"/>
  <c r="AG540" i="11"/>
  <c r="AH540" i="11"/>
  <c r="AI540" i="11"/>
  <c r="AF541" i="11"/>
  <c r="AG541" i="11"/>
  <c r="AH541" i="11"/>
  <c r="AI541" i="11"/>
  <c r="AF542" i="11"/>
  <c r="AG542" i="11"/>
  <c r="AH542" i="11"/>
  <c r="AI542" i="11"/>
  <c r="AF543" i="11"/>
  <c r="AG543" i="11"/>
  <c r="AH543" i="11"/>
  <c r="AI543" i="11"/>
  <c r="AF544" i="11"/>
  <c r="AG544" i="11"/>
  <c r="AH544" i="11"/>
  <c r="AI544" i="11"/>
  <c r="AF545" i="11"/>
  <c r="AG545" i="11"/>
  <c r="AH545" i="11"/>
  <c r="AI545" i="11"/>
  <c r="AF546" i="11"/>
  <c r="AG546" i="11"/>
  <c r="AH546" i="11"/>
  <c r="AI546" i="11"/>
  <c r="AF547" i="11"/>
  <c r="AG547" i="11"/>
  <c r="AH547" i="11"/>
  <c r="AI547" i="11"/>
  <c r="AF548" i="11"/>
  <c r="AG548" i="11"/>
  <c r="AH548" i="11"/>
  <c r="AI548" i="11"/>
  <c r="AF549" i="11"/>
  <c r="AG549" i="11"/>
  <c r="AH549" i="11"/>
  <c r="AI549" i="11"/>
  <c r="AF550" i="11"/>
  <c r="AG550" i="11"/>
  <c r="AH550" i="11"/>
  <c r="AI550" i="11"/>
  <c r="AF551" i="11"/>
  <c r="AG551" i="11"/>
  <c r="AH551" i="11"/>
  <c r="AI551" i="11"/>
  <c r="AF552" i="11"/>
  <c r="AG552" i="11"/>
  <c r="AH552" i="11"/>
  <c r="AI552" i="11"/>
  <c r="AF553" i="11"/>
  <c r="AG553" i="11"/>
  <c r="AH553" i="11"/>
  <c r="AI553" i="11"/>
  <c r="AF554" i="11"/>
  <c r="AG554" i="11"/>
  <c r="AH554" i="11"/>
  <c r="AI554" i="11"/>
  <c r="AF555" i="11"/>
  <c r="AG555" i="11"/>
  <c r="AH555" i="11"/>
  <c r="AI555" i="11"/>
  <c r="AF556" i="11"/>
  <c r="AG556" i="11"/>
  <c r="AH556" i="11"/>
  <c r="AI556" i="11"/>
  <c r="AF557" i="11"/>
  <c r="AG557" i="11"/>
  <c r="AH557" i="11"/>
  <c r="AI557" i="11"/>
  <c r="AF558" i="11"/>
  <c r="AG558" i="11"/>
  <c r="AH558" i="11"/>
  <c r="AI558" i="11"/>
  <c r="AF559" i="11"/>
  <c r="AG559" i="11"/>
  <c r="AH559" i="11"/>
  <c r="AI559" i="11"/>
  <c r="AF560" i="11"/>
  <c r="AG560" i="11"/>
  <c r="AH560" i="11"/>
  <c r="AI560" i="11"/>
  <c r="AF561" i="11"/>
  <c r="AG561" i="11"/>
  <c r="AH561" i="11"/>
  <c r="AI561" i="11"/>
  <c r="AF562" i="11"/>
  <c r="AG562" i="11"/>
  <c r="AH562" i="11"/>
  <c r="AI562" i="11"/>
  <c r="AF563" i="11"/>
  <c r="AG563" i="11"/>
  <c r="AH563" i="11"/>
  <c r="AI563" i="11"/>
  <c r="AF564" i="11"/>
  <c r="AG564" i="11"/>
  <c r="AH564" i="11"/>
  <c r="AI564" i="11"/>
  <c r="AF565" i="11"/>
  <c r="AG565" i="11"/>
  <c r="AH565" i="11"/>
  <c r="AI565" i="11"/>
  <c r="AF566" i="11"/>
  <c r="AG566" i="11"/>
  <c r="AH566" i="11"/>
  <c r="AI566" i="11"/>
  <c r="AF567" i="11"/>
  <c r="AG567" i="11"/>
  <c r="AH567" i="11"/>
  <c r="AI567" i="11"/>
  <c r="AF568" i="11"/>
  <c r="AG568" i="11"/>
  <c r="AH568" i="11"/>
  <c r="AI568" i="11"/>
  <c r="AF569" i="11"/>
  <c r="AG569" i="11"/>
  <c r="AH569" i="11"/>
  <c r="AI569" i="11"/>
  <c r="AF570" i="11"/>
  <c r="AG570" i="11"/>
  <c r="AH570" i="11"/>
  <c r="AI570" i="11"/>
  <c r="AF571" i="11"/>
  <c r="AG571" i="11"/>
  <c r="AH571" i="11"/>
  <c r="AI571" i="11"/>
  <c r="AF572" i="11"/>
  <c r="AG572" i="11"/>
  <c r="AH572" i="11"/>
  <c r="AI572" i="11"/>
  <c r="AF573" i="11"/>
  <c r="AG573" i="11"/>
  <c r="AH573" i="11"/>
  <c r="AI573" i="11"/>
  <c r="AF574" i="11"/>
  <c r="AG574" i="11"/>
  <c r="AH574" i="11"/>
  <c r="AI574" i="11"/>
  <c r="AF575" i="11"/>
  <c r="AG575" i="11"/>
  <c r="AH575" i="11"/>
  <c r="AI575" i="11"/>
  <c r="AF576" i="11"/>
  <c r="AG576" i="11"/>
  <c r="AH576" i="11"/>
  <c r="AI576" i="11"/>
  <c r="AF577" i="11"/>
  <c r="AG577" i="11"/>
  <c r="AH577" i="11"/>
  <c r="AI577" i="11"/>
  <c r="AF578" i="11"/>
  <c r="AG578" i="11"/>
  <c r="AH578" i="11"/>
  <c r="AI578" i="11"/>
  <c r="AF579" i="11"/>
  <c r="AG579" i="11"/>
  <c r="AH579" i="11"/>
  <c r="AI579" i="11"/>
  <c r="AF580" i="11"/>
  <c r="AG580" i="11"/>
  <c r="AH580" i="11"/>
  <c r="AI580" i="11"/>
  <c r="AF581" i="11"/>
  <c r="AG581" i="11"/>
  <c r="AH581" i="11"/>
  <c r="AI581" i="11"/>
  <c r="AF582" i="11"/>
  <c r="AG582" i="11"/>
  <c r="AH582" i="11"/>
  <c r="AI582" i="11"/>
  <c r="AF583" i="11"/>
  <c r="AG583" i="11"/>
  <c r="AH583" i="11"/>
  <c r="AI583" i="11"/>
  <c r="AF584" i="11"/>
  <c r="AG584" i="11"/>
  <c r="AH584" i="11"/>
  <c r="AI584" i="11"/>
  <c r="AF585" i="11"/>
  <c r="AG585" i="11"/>
  <c r="AH585" i="11"/>
  <c r="AI585" i="11"/>
  <c r="AF586" i="11"/>
  <c r="AG586" i="11"/>
  <c r="AH586" i="11"/>
  <c r="AI586" i="11"/>
  <c r="AF587" i="11"/>
  <c r="AG587" i="11"/>
  <c r="AH587" i="11"/>
  <c r="AI587" i="11"/>
  <c r="AF588" i="11"/>
  <c r="AG588" i="11"/>
  <c r="AH588" i="11"/>
  <c r="AI588" i="11"/>
  <c r="AF589" i="11"/>
  <c r="AG589" i="11"/>
  <c r="AH589" i="11"/>
  <c r="AI589" i="11"/>
  <c r="AF590" i="11"/>
  <c r="AG590" i="11"/>
  <c r="AH590" i="11"/>
  <c r="AI590" i="11"/>
  <c r="AF591" i="11"/>
  <c r="AG591" i="11"/>
  <c r="AH591" i="11"/>
  <c r="AI591" i="11"/>
  <c r="AF592" i="11"/>
  <c r="AG592" i="11"/>
  <c r="AH592" i="11"/>
  <c r="AI592" i="11"/>
  <c r="AF593" i="11"/>
  <c r="AG593" i="11"/>
  <c r="AH593" i="11"/>
  <c r="AI593" i="11"/>
  <c r="AF594" i="11"/>
  <c r="AG594" i="11"/>
  <c r="AH594" i="11"/>
  <c r="AI594" i="11"/>
  <c r="AF595" i="11"/>
  <c r="AG595" i="11"/>
  <c r="AH595" i="11"/>
  <c r="AI595" i="11"/>
  <c r="AF596" i="11"/>
  <c r="AG596" i="11"/>
  <c r="AH596" i="11"/>
  <c r="AI596" i="11"/>
  <c r="AF597" i="11"/>
  <c r="AG597" i="11"/>
  <c r="AH597" i="11"/>
  <c r="AI597" i="11"/>
  <c r="AF598" i="11"/>
  <c r="AG598" i="11"/>
  <c r="AH598" i="11"/>
  <c r="AI598" i="11"/>
  <c r="AF599" i="11"/>
  <c r="AG599" i="11"/>
  <c r="AH599" i="11"/>
  <c r="AI599" i="11"/>
  <c r="AF600" i="11"/>
  <c r="AG600" i="11"/>
  <c r="AH600" i="11"/>
  <c r="AI600" i="11"/>
  <c r="AF601" i="11"/>
  <c r="AG601" i="11"/>
  <c r="AH601" i="11"/>
  <c r="AI601" i="11"/>
  <c r="AF602" i="11"/>
  <c r="AG602" i="11"/>
  <c r="AH602" i="11"/>
  <c r="AI602" i="11"/>
  <c r="AF603" i="11"/>
  <c r="AG603" i="11"/>
  <c r="AH603" i="11"/>
  <c r="AI603" i="11"/>
  <c r="AF604" i="11"/>
  <c r="AG604" i="11"/>
  <c r="AH604" i="11"/>
  <c r="AI604" i="11"/>
  <c r="AF605" i="11"/>
  <c r="AG605" i="11"/>
  <c r="AH605" i="11"/>
  <c r="AI605" i="11"/>
  <c r="AF606" i="11"/>
  <c r="AG606" i="11"/>
  <c r="AH606" i="11"/>
  <c r="AI606" i="11"/>
  <c r="AF607" i="11"/>
  <c r="AG607" i="11"/>
  <c r="AH607" i="11"/>
  <c r="AI607" i="11"/>
  <c r="AF608" i="11"/>
  <c r="AG608" i="11"/>
  <c r="AH608" i="11"/>
  <c r="AI608" i="11"/>
  <c r="AF609" i="11"/>
  <c r="AG609" i="11"/>
  <c r="AH609" i="11"/>
  <c r="AI609" i="11"/>
  <c r="AF610" i="11"/>
  <c r="AG610" i="11"/>
  <c r="AH610" i="11"/>
  <c r="AI610" i="11"/>
  <c r="AF611" i="11"/>
  <c r="AG611" i="11"/>
  <c r="AH611" i="11"/>
  <c r="AI611" i="11"/>
  <c r="AF612" i="11"/>
  <c r="AG612" i="11"/>
  <c r="AH612" i="11"/>
  <c r="AI612" i="11"/>
  <c r="AF613" i="11"/>
  <c r="AG613" i="11"/>
  <c r="AH613" i="11"/>
  <c r="AI613" i="11"/>
  <c r="AF614" i="11"/>
  <c r="AG614" i="11"/>
  <c r="AH614" i="11"/>
  <c r="AI614" i="11"/>
  <c r="AF615" i="11"/>
  <c r="AG615" i="11"/>
  <c r="AH615" i="11"/>
  <c r="AI615" i="11"/>
  <c r="AF616" i="11"/>
  <c r="AG616" i="11"/>
  <c r="AH616" i="11"/>
  <c r="AI616" i="11"/>
  <c r="AF617" i="11"/>
  <c r="AG617" i="11"/>
  <c r="AH617" i="11"/>
  <c r="AI617" i="11"/>
  <c r="AF618" i="11"/>
  <c r="AG618" i="11"/>
  <c r="AH618" i="11"/>
  <c r="AI618" i="11"/>
  <c r="AF619" i="11"/>
  <c r="AG619" i="11"/>
  <c r="AH619" i="11"/>
  <c r="AI619" i="11"/>
  <c r="AF620" i="11"/>
  <c r="AG620" i="11"/>
  <c r="AH620" i="11"/>
  <c r="AI620" i="11"/>
  <c r="AF621" i="11"/>
  <c r="AG621" i="11"/>
  <c r="AH621" i="11"/>
  <c r="AI621" i="11"/>
  <c r="AF622" i="11"/>
  <c r="AG622" i="11"/>
  <c r="AH622" i="11"/>
  <c r="AI622" i="11"/>
  <c r="AF623" i="11"/>
  <c r="AG623" i="11"/>
  <c r="AH623" i="11"/>
  <c r="AI623" i="11"/>
  <c r="AF624" i="11"/>
  <c r="AG624" i="11"/>
  <c r="AH624" i="11"/>
  <c r="AI624" i="11"/>
  <c r="AF625" i="11"/>
  <c r="AG625" i="11"/>
  <c r="AH625" i="11"/>
  <c r="AI625" i="11"/>
  <c r="AF626" i="11"/>
  <c r="AG626" i="11"/>
  <c r="AH626" i="11"/>
  <c r="AI626" i="11"/>
  <c r="AF627" i="11"/>
  <c r="AG627" i="11"/>
  <c r="AH627" i="11"/>
  <c r="AI627" i="11"/>
  <c r="AF628" i="11"/>
  <c r="AG628" i="11"/>
  <c r="AH628" i="11"/>
  <c r="AI628" i="11"/>
  <c r="AF629" i="11"/>
  <c r="AG629" i="11"/>
  <c r="AH629" i="11"/>
  <c r="AI629" i="11"/>
  <c r="AF630" i="11"/>
  <c r="AG630" i="11"/>
  <c r="AH630" i="11"/>
  <c r="AI630" i="11"/>
  <c r="AF631" i="11"/>
  <c r="AG631" i="11"/>
  <c r="AH631" i="11"/>
  <c r="AI631" i="11"/>
  <c r="AF632" i="11"/>
  <c r="AG632" i="11"/>
  <c r="AH632" i="11"/>
  <c r="AI632" i="11"/>
  <c r="AF633" i="11"/>
  <c r="AG633" i="11"/>
  <c r="AH633" i="11"/>
  <c r="AI633" i="11"/>
  <c r="AF634" i="11"/>
  <c r="AG634" i="11"/>
  <c r="AH634" i="11"/>
  <c r="AI634" i="11"/>
  <c r="AF635" i="11"/>
  <c r="AG635" i="11"/>
  <c r="AH635" i="11"/>
  <c r="AI635" i="11"/>
  <c r="AF636" i="11"/>
  <c r="AG636" i="11"/>
  <c r="AH636" i="11"/>
  <c r="AI636" i="11"/>
  <c r="AF637" i="11"/>
  <c r="AG637" i="11"/>
  <c r="AH637" i="11"/>
  <c r="AI637" i="11"/>
  <c r="AF638" i="11"/>
  <c r="AG638" i="11"/>
  <c r="AH638" i="11"/>
  <c r="AI638" i="11"/>
  <c r="AF639" i="11"/>
  <c r="AG639" i="11"/>
  <c r="AH639" i="11"/>
  <c r="AI639" i="11"/>
  <c r="AF640" i="11"/>
  <c r="AG640" i="11"/>
  <c r="AH640" i="11"/>
  <c r="AI640" i="11"/>
  <c r="AF641" i="11"/>
  <c r="AG641" i="11"/>
  <c r="AH641" i="11"/>
  <c r="AI641" i="11"/>
  <c r="AF642" i="11"/>
  <c r="AG642" i="11"/>
  <c r="AH642" i="11"/>
  <c r="AI642" i="11"/>
  <c r="AF643" i="11"/>
  <c r="AG643" i="11"/>
  <c r="AH643" i="11"/>
  <c r="AI643" i="11"/>
  <c r="AF644" i="11"/>
  <c r="AG644" i="11"/>
  <c r="AH644" i="11"/>
  <c r="AI644" i="11"/>
  <c r="AF645" i="11"/>
  <c r="AG645" i="11"/>
  <c r="AH645" i="11"/>
  <c r="AI645" i="11"/>
  <c r="AF646" i="11"/>
  <c r="AG646" i="11"/>
  <c r="AH646" i="11"/>
  <c r="AI646" i="11"/>
  <c r="AF647" i="11"/>
  <c r="AG647" i="11"/>
  <c r="AH647" i="11"/>
  <c r="AI647" i="11"/>
  <c r="AF648" i="11"/>
  <c r="AG648" i="11"/>
  <c r="AH648" i="11"/>
  <c r="AI648" i="11"/>
  <c r="AF649" i="11"/>
  <c r="AG649" i="11"/>
  <c r="AH649" i="11"/>
  <c r="AI649" i="11"/>
  <c r="AF650" i="11"/>
  <c r="AG650" i="11"/>
  <c r="AH650" i="11"/>
  <c r="AI650" i="11"/>
  <c r="AF651" i="11"/>
  <c r="AG651" i="11"/>
  <c r="AH651" i="11"/>
  <c r="AI651" i="11"/>
  <c r="AF652" i="11"/>
  <c r="AG652" i="11"/>
  <c r="AH652" i="11"/>
  <c r="AI652" i="11"/>
  <c r="AF653" i="11"/>
  <c r="AG653" i="11"/>
  <c r="AH653" i="11"/>
  <c r="AI653" i="11"/>
  <c r="AF654" i="11"/>
  <c r="AG654" i="11"/>
  <c r="AH654" i="11"/>
  <c r="AI654" i="11"/>
  <c r="AF655" i="11"/>
  <c r="AG655" i="11"/>
  <c r="AH655" i="11"/>
  <c r="AI655" i="11"/>
  <c r="AF656" i="11"/>
  <c r="AG656" i="11"/>
  <c r="AH656" i="11"/>
  <c r="AI656" i="11"/>
  <c r="AF657" i="11"/>
  <c r="AG657" i="11"/>
  <c r="AH657" i="11"/>
  <c r="AI657" i="11"/>
  <c r="AF658" i="11"/>
  <c r="AG658" i="11"/>
  <c r="AH658" i="11"/>
  <c r="AI658" i="11"/>
  <c r="AF659" i="11"/>
  <c r="AG659" i="11"/>
  <c r="AH659" i="11"/>
  <c r="AI659" i="11"/>
  <c r="AF660" i="11"/>
  <c r="AG660" i="11"/>
  <c r="AH660" i="11"/>
  <c r="AI660" i="11"/>
  <c r="AF661" i="11"/>
  <c r="AG661" i="11"/>
  <c r="AH661" i="11"/>
  <c r="AI661" i="11"/>
  <c r="AF662" i="11"/>
  <c r="AG662" i="11"/>
  <c r="AH662" i="11"/>
  <c r="AI662" i="11"/>
  <c r="AF663" i="11"/>
  <c r="AG663" i="11"/>
  <c r="AH663" i="11"/>
  <c r="AI663" i="11"/>
  <c r="AF664" i="11"/>
  <c r="AG664" i="11"/>
  <c r="AH664" i="11"/>
  <c r="AI664" i="11"/>
  <c r="AF665" i="11"/>
  <c r="AG665" i="11"/>
  <c r="AH665" i="11"/>
  <c r="AI665" i="11"/>
  <c r="AF666" i="11"/>
  <c r="AG666" i="11"/>
  <c r="AH666" i="11"/>
  <c r="AI666" i="11"/>
  <c r="AF667" i="11"/>
  <c r="AG667" i="11"/>
  <c r="AH667" i="11"/>
  <c r="AI667" i="11"/>
  <c r="AF668" i="11"/>
  <c r="AG668" i="11"/>
  <c r="AH668" i="11"/>
  <c r="AI668" i="11"/>
  <c r="AF669" i="11"/>
  <c r="AG669" i="11"/>
  <c r="AH669" i="11"/>
  <c r="AI669" i="11"/>
  <c r="AF670" i="11"/>
  <c r="AG670" i="11"/>
  <c r="AH670" i="11"/>
  <c r="AI670" i="11"/>
  <c r="AF671" i="11"/>
  <c r="AG671" i="11"/>
  <c r="AH671" i="11"/>
  <c r="AI671" i="11"/>
  <c r="AF672" i="11"/>
  <c r="AG672" i="11"/>
  <c r="AH672" i="11"/>
  <c r="AI672" i="11"/>
  <c r="AF673" i="11"/>
  <c r="AG673" i="11"/>
  <c r="AH673" i="11"/>
  <c r="AI673" i="11"/>
  <c r="AF674" i="11"/>
  <c r="AG674" i="11"/>
  <c r="AH674" i="11"/>
  <c r="AI674" i="11"/>
  <c r="AF675" i="11"/>
  <c r="AG675" i="11"/>
  <c r="AH675" i="11"/>
  <c r="AI675" i="11"/>
  <c r="AF676" i="11"/>
  <c r="AG676" i="11"/>
  <c r="AH676" i="11"/>
  <c r="AI676" i="11"/>
  <c r="AF677" i="11"/>
  <c r="AG677" i="11"/>
  <c r="AH677" i="11"/>
  <c r="AI677" i="11"/>
  <c r="AF678" i="11"/>
  <c r="AG678" i="11"/>
  <c r="AH678" i="11"/>
  <c r="AI678" i="11"/>
  <c r="AF679" i="11"/>
  <c r="AG679" i="11"/>
  <c r="AH679" i="11"/>
  <c r="AI679" i="11"/>
  <c r="AF680" i="11"/>
  <c r="AG680" i="11"/>
  <c r="AH680" i="11"/>
  <c r="AI680" i="11"/>
  <c r="AF681" i="11"/>
  <c r="AG681" i="11"/>
  <c r="AH681" i="11"/>
  <c r="AI681" i="11"/>
  <c r="AF682" i="11"/>
  <c r="AG682" i="11"/>
  <c r="AH682" i="11"/>
  <c r="AI682" i="11"/>
  <c r="AF683" i="11"/>
  <c r="AG683" i="11"/>
  <c r="AH683" i="11"/>
  <c r="AI683" i="11"/>
  <c r="AF684" i="11"/>
  <c r="AG684" i="11"/>
  <c r="AH684" i="11"/>
  <c r="AI684" i="11"/>
  <c r="AF685" i="11"/>
  <c r="AG685" i="11"/>
  <c r="AH685" i="11"/>
  <c r="AI685" i="11"/>
  <c r="AF686" i="11"/>
  <c r="AG686" i="11"/>
  <c r="AH686" i="11"/>
  <c r="AI686" i="11"/>
  <c r="AF687" i="11"/>
  <c r="AG687" i="11"/>
  <c r="AH687" i="11"/>
  <c r="AI687" i="11"/>
  <c r="AF688" i="11"/>
  <c r="AG688" i="11"/>
  <c r="AH688" i="11"/>
  <c r="AI688" i="11"/>
  <c r="AF689" i="11"/>
  <c r="AG689" i="11"/>
  <c r="AH689" i="11"/>
  <c r="AI689" i="11"/>
  <c r="AF690" i="11"/>
  <c r="AG690" i="11"/>
  <c r="AH690" i="11"/>
  <c r="AI690" i="11"/>
  <c r="AF691" i="11"/>
  <c r="AG691" i="11"/>
  <c r="AH691" i="11"/>
  <c r="AI691" i="11"/>
  <c r="AF692" i="11"/>
  <c r="AG692" i="11"/>
  <c r="AH692" i="11"/>
  <c r="AI692" i="11"/>
  <c r="AF693" i="11"/>
  <c r="AG693" i="11"/>
  <c r="AH693" i="11"/>
  <c r="AI693" i="11"/>
  <c r="AF694" i="11"/>
  <c r="AG694" i="11"/>
  <c r="AH694" i="11"/>
  <c r="AI694" i="11"/>
  <c r="AF695" i="11"/>
  <c r="AG695" i="11"/>
  <c r="AH695" i="11"/>
  <c r="AI695" i="11"/>
  <c r="AF696" i="11"/>
  <c r="AG696" i="11"/>
  <c r="AH696" i="11"/>
  <c r="AI696" i="11"/>
  <c r="AF697" i="11"/>
  <c r="AG697" i="11"/>
  <c r="AH697" i="11"/>
  <c r="AI697" i="11"/>
  <c r="AF698" i="11"/>
  <c r="AG698" i="11"/>
  <c r="AH698" i="11"/>
  <c r="AI698" i="11"/>
  <c r="AF699" i="11"/>
  <c r="AG699" i="11"/>
  <c r="AH699" i="11"/>
  <c r="AI699" i="11"/>
  <c r="AF700" i="11"/>
  <c r="AG700" i="11"/>
  <c r="AH700" i="11"/>
  <c r="AI700" i="11"/>
  <c r="AF701" i="11"/>
  <c r="AG701" i="11"/>
  <c r="AH701" i="11"/>
  <c r="AI701" i="11"/>
  <c r="AF702" i="11"/>
  <c r="AG702" i="11"/>
  <c r="AH702" i="11"/>
  <c r="AI702" i="11"/>
  <c r="AF703" i="11"/>
  <c r="AG703" i="11"/>
  <c r="AH703" i="11"/>
  <c r="AI703" i="11"/>
  <c r="AF704" i="11"/>
  <c r="AG704" i="11"/>
  <c r="AH704" i="11"/>
  <c r="AI704" i="11"/>
  <c r="AF705" i="11"/>
  <c r="AG705" i="11"/>
  <c r="AH705" i="11"/>
  <c r="AI705" i="11"/>
  <c r="AF706" i="11"/>
  <c r="AG706" i="11"/>
  <c r="AH706" i="11"/>
  <c r="AI706" i="11"/>
  <c r="AF707" i="11"/>
  <c r="AG707" i="11"/>
  <c r="AH707" i="11"/>
  <c r="AI707" i="11"/>
  <c r="AF708" i="11"/>
  <c r="AG708" i="11"/>
  <c r="AH708" i="11"/>
  <c r="AI708" i="11"/>
  <c r="AF709" i="11"/>
  <c r="AG709" i="11"/>
  <c r="AH709" i="11"/>
  <c r="AI709" i="11"/>
  <c r="AF710" i="11"/>
  <c r="AG710" i="11"/>
  <c r="AH710" i="11"/>
  <c r="AI710" i="11"/>
  <c r="AF711" i="11"/>
  <c r="AG711" i="11"/>
  <c r="AH711" i="11"/>
  <c r="AI711" i="11"/>
  <c r="AF712" i="11"/>
  <c r="AG712" i="11"/>
  <c r="AH712" i="11"/>
  <c r="AI712" i="11"/>
  <c r="AF713" i="11"/>
  <c r="AG713" i="11"/>
  <c r="AH713" i="11"/>
  <c r="AI713" i="11"/>
  <c r="AF714" i="11"/>
  <c r="AG714" i="11"/>
  <c r="AH714" i="11"/>
  <c r="AI714" i="11"/>
  <c r="AF715" i="11"/>
  <c r="AG715" i="11"/>
  <c r="AH715" i="11"/>
  <c r="AI715" i="11"/>
  <c r="AF716" i="11"/>
  <c r="AG716" i="11"/>
  <c r="AH716" i="11"/>
  <c r="AI716" i="11"/>
  <c r="AF717" i="11"/>
  <c r="AG717" i="11"/>
  <c r="AH717" i="11"/>
  <c r="AI717" i="11"/>
  <c r="AF718" i="11"/>
  <c r="AG718" i="11"/>
  <c r="AH718" i="11"/>
  <c r="AI718" i="11"/>
  <c r="AF719" i="11"/>
  <c r="AG719" i="11"/>
  <c r="AH719" i="11"/>
  <c r="AI719" i="11"/>
  <c r="AF720" i="11"/>
  <c r="AG720" i="11"/>
  <c r="AH720" i="11"/>
  <c r="AI720" i="11"/>
  <c r="AF721" i="11"/>
  <c r="AG721" i="11"/>
  <c r="AH721" i="11"/>
  <c r="AI721" i="11"/>
  <c r="AF722" i="11"/>
  <c r="AG722" i="11"/>
  <c r="AH722" i="11"/>
  <c r="AI722" i="11"/>
  <c r="AF723" i="11"/>
  <c r="AG723" i="11"/>
  <c r="AH723" i="11"/>
  <c r="AI723" i="11"/>
  <c r="AF724" i="11"/>
  <c r="AG724" i="11"/>
  <c r="AH724" i="11"/>
  <c r="AI724" i="11"/>
  <c r="AF725" i="11"/>
  <c r="AG725" i="11"/>
  <c r="AH725" i="11"/>
  <c r="AI725" i="11"/>
  <c r="AF726" i="11"/>
  <c r="AG726" i="11"/>
  <c r="AH726" i="11"/>
  <c r="AI726" i="11"/>
  <c r="AF727" i="11"/>
  <c r="AG727" i="11"/>
  <c r="AH727" i="11"/>
  <c r="AI727" i="11"/>
  <c r="AF728" i="11"/>
  <c r="AG728" i="11"/>
  <c r="AH728" i="11"/>
  <c r="AI728" i="11"/>
  <c r="AF729" i="11"/>
  <c r="AG729" i="11"/>
  <c r="AH729" i="11"/>
  <c r="AI729" i="11"/>
  <c r="AF730" i="11"/>
  <c r="AG730" i="11"/>
  <c r="AH730" i="11"/>
  <c r="AI730" i="11"/>
  <c r="AF731" i="11"/>
  <c r="AG731" i="11"/>
  <c r="AH731" i="11"/>
  <c r="AI731" i="11"/>
  <c r="AF732" i="11"/>
  <c r="AG732" i="11"/>
  <c r="AH732" i="11"/>
  <c r="AI732" i="11"/>
  <c r="AF733" i="11"/>
  <c r="AG733" i="11"/>
  <c r="AH733" i="11"/>
  <c r="AI733" i="11"/>
  <c r="AF734" i="11"/>
  <c r="AG734" i="11"/>
  <c r="AH734" i="11"/>
  <c r="AI734" i="11"/>
  <c r="AF735" i="11"/>
  <c r="AG735" i="11"/>
  <c r="AH735" i="11"/>
  <c r="AI735" i="11"/>
  <c r="AF736" i="11"/>
  <c r="AG736" i="11"/>
  <c r="AH736" i="11"/>
  <c r="AI736" i="11"/>
  <c r="AF737" i="11"/>
  <c r="AG737" i="11"/>
  <c r="AH737" i="11"/>
  <c r="AI737" i="11"/>
  <c r="AF738" i="11"/>
  <c r="AG738" i="11"/>
  <c r="AH738" i="11"/>
  <c r="AI738" i="11"/>
  <c r="AF739" i="11"/>
  <c r="AG739" i="11"/>
  <c r="AH739" i="11"/>
  <c r="AI739" i="11"/>
  <c r="AF740" i="11"/>
  <c r="AG740" i="11"/>
  <c r="AH740" i="11"/>
  <c r="AI740" i="11"/>
  <c r="AF741" i="11"/>
  <c r="AG741" i="11"/>
  <c r="AH741" i="11"/>
  <c r="AI741" i="11"/>
  <c r="AF742" i="11"/>
  <c r="AG742" i="11"/>
  <c r="AH742" i="11"/>
  <c r="AI742" i="11"/>
  <c r="AF743" i="11"/>
  <c r="AG743" i="11"/>
  <c r="AH743" i="11"/>
  <c r="AI743" i="11"/>
  <c r="AF744" i="11"/>
  <c r="AG744" i="11"/>
  <c r="AH744" i="11"/>
  <c r="AI744" i="11"/>
  <c r="AF745" i="11"/>
  <c r="AG745" i="11"/>
  <c r="AH745" i="11"/>
  <c r="AI745" i="11"/>
  <c r="AF746" i="11"/>
  <c r="AG746" i="11"/>
  <c r="AH746" i="11"/>
  <c r="AI746" i="11"/>
  <c r="AF747" i="11"/>
  <c r="AG747" i="11"/>
  <c r="AH747" i="11"/>
  <c r="AI747" i="11"/>
  <c r="AF748" i="11"/>
  <c r="AG748" i="11"/>
  <c r="AH748" i="11"/>
  <c r="AI748" i="11"/>
  <c r="AF749" i="11"/>
  <c r="AG749" i="11"/>
  <c r="AH749" i="11"/>
  <c r="AI749" i="11"/>
  <c r="AF750" i="11"/>
  <c r="AG750" i="11"/>
  <c r="AH750" i="11"/>
  <c r="AI750" i="11"/>
  <c r="AF751" i="11"/>
  <c r="AG751" i="11"/>
  <c r="AH751" i="11"/>
  <c r="AI751" i="11"/>
  <c r="AF752" i="11"/>
  <c r="AG752" i="11"/>
  <c r="AH752" i="11"/>
  <c r="AI752" i="11"/>
  <c r="AF753" i="11"/>
  <c r="AG753" i="11"/>
  <c r="AH753" i="11"/>
  <c r="AI753" i="11"/>
  <c r="AF754" i="11"/>
  <c r="AG754" i="11"/>
  <c r="AH754" i="11"/>
  <c r="AI754" i="11"/>
  <c r="AF755" i="11"/>
  <c r="AG755" i="11"/>
  <c r="AH755" i="11"/>
  <c r="AI755" i="11"/>
  <c r="AF756" i="11"/>
  <c r="AG756" i="11"/>
  <c r="AH756" i="11"/>
  <c r="AI756" i="11"/>
  <c r="AF757" i="11"/>
  <c r="AG757" i="11"/>
  <c r="AH757" i="11"/>
  <c r="AI757" i="11"/>
  <c r="AF758" i="11"/>
  <c r="AG758" i="11"/>
  <c r="AH758" i="11"/>
  <c r="AI758" i="11"/>
  <c r="AF759" i="11"/>
  <c r="AG759" i="11"/>
  <c r="AH759" i="11"/>
  <c r="AI759" i="11"/>
  <c r="AF760" i="11"/>
  <c r="AG760" i="11"/>
  <c r="AH760" i="11"/>
  <c r="AI760" i="11"/>
  <c r="AF761" i="11"/>
  <c r="AG761" i="11"/>
  <c r="AH761" i="11"/>
  <c r="AI761" i="11"/>
  <c r="AF762" i="11"/>
  <c r="AG762" i="11"/>
  <c r="AH762" i="11"/>
  <c r="AI762" i="11"/>
  <c r="AF763" i="11"/>
  <c r="AG763" i="11"/>
  <c r="AH763" i="11"/>
  <c r="AI763" i="11"/>
  <c r="AF764" i="11"/>
  <c r="AG764" i="11"/>
  <c r="AH764" i="11"/>
  <c r="AI764" i="11"/>
  <c r="AF765" i="11"/>
  <c r="AG765" i="11"/>
  <c r="AH765" i="11"/>
  <c r="AI765" i="11"/>
  <c r="AF766" i="11"/>
  <c r="AG766" i="11"/>
  <c r="AH766" i="11"/>
  <c r="AI766" i="11"/>
  <c r="AF767" i="11"/>
  <c r="AG767" i="11"/>
  <c r="AH767" i="11"/>
  <c r="AI767" i="11"/>
  <c r="AF768" i="11"/>
  <c r="AG768" i="11"/>
  <c r="AH768" i="11"/>
  <c r="AI768" i="11"/>
  <c r="AF769" i="11"/>
  <c r="AG769" i="11"/>
  <c r="AH769" i="11"/>
  <c r="AI769" i="11"/>
  <c r="AF770" i="11"/>
  <c r="AG770" i="11"/>
  <c r="AH770" i="11"/>
  <c r="AI770" i="11"/>
  <c r="AF771" i="11"/>
  <c r="AG771" i="11"/>
  <c r="AH771" i="11"/>
  <c r="AI771" i="11"/>
  <c r="AF772" i="11"/>
  <c r="AG772" i="11"/>
  <c r="AH772" i="11"/>
  <c r="AI772" i="11"/>
  <c r="AF773" i="11"/>
  <c r="AG773" i="11"/>
  <c r="AH773" i="11"/>
  <c r="AI773" i="11"/>
  <c r="AF774" i="11"/>
  <c r="AG774" i="11"/>
  <c r="AH774" i="11"/>
  <c r="AI774" i="11"/>
  <c r="AF775" i="11"/>
  <c r="AG775" i="11"/>
  <c r="AH775" i="11"/>
  <c r="AI775" i="11"/>
  <c r="AF776" i="11"/>
  <c r="AG776" i="11"/>
  <c r="AH776" i="11"/>
  <c r="AI776" i="11"/>
  <c r="AF777" i="11"/>
  <c r="AG777" i="11"/>
  <c r="AH777" i="11"/>
  <c r="AI777" i="11"/>
  <c r="AF778" i="11"/>
  <c r="AG778" i="11"/>
  <c r="AH778" i="11"/>
  <c r="AI778" i="11"/>
  <c r="AF779" i="11"/>
  <c r="AG779" i="11"/>
  <c r="AH779" i="11"/>
  <c r="AI779" i="11"/>
  <c r="AF780" i="11"/>
  <c r="AG780" i="11"/>
  <c r="AH780" i="11"/>
  <c r="AI780" i="11"/>
  <c r="AF781" i="11"/>
  <c r="AG781" i="11"/>
  <c r="AH781" i="11"/>
  <c r="AI781" i="11"/>
  <c r="AF782" i="11"/>
  <c r="AG782" i="11"/>
  <c r="AH782" i="11"/>
  <c r="AI782" i="11"/>
  <c r="AF783" i="11"/>
  <c r="AG783" i="11"/>
  <c r="AH783" i="11"/>
  <c r="AI783" i="11"/>
  <c r="AF784" i="11"/>
  <c r="AG784" i="11"/>
  <c r="AH784" i="11"/>
  <c r="AI784" i="11"/>
  <c r="AF785" i="11"/>
  <c r="AG785" i="11"/>
  <c r="AH785" i="11"/>
  <c r="AI785" i="11"/>
  <c r="AF786" i="11"/>
  <c r="AG786" i="11"/>
  <c r="AH786" i="11"/>
  <c r="AI786" i="11"/>
  <c r="AF787" i="11"/>
  <c r="AG787" i="11"/>
  <c r="AH787" i="11"/>
  <c r="AI787" i="11"/>
  <c r="AF788" i="11"/>
  <c r="AG788" i="11"/>
  <c r="AH788" i="11"/>
  <c r="AI788" i="11"/>
  <c r="AF789" i="11"/>
  <c r="AG789" i="11"/>
  <c r="AH789" i="11"/>
  <c r="AI789" i="11"/>
  <c r="AF790" i="11"/>
  <c r="AG790" i="11"/>
  <c r="AH790" i="11"/>
  <c r="AI790" i="11"/>
  <c r="AF791" i="11"/>
  <c r="AG791" i="11"/>
  <c r="AH791" i="11"/>
  <c r="AI791" i="11"/>
  <c r="AF792" i="11"/>
  <c r="AG792" i="11"/>
  <c r="AH792" i="11"/>
  <c r="AI792" i="11"/>
  <c r="AF793" i="11"/>
  <c r="AG793" i="11"/>
  <c r="AH793" i="11"/>
  <c r="AI793" i="11"/>
  <c r="AF794" i="11"/>
  <c r="AG794" i="11"/>
  <c r="AH794" i="11"/>
  <c r="AI794" i="11"/>
  <c r="AF795" i="11"/>
  <c r="AG795" i="11"/>
  <c r="AH795" i="11"/>
  <c r="AI795" i="11"/>
  <c r="AF796" i="11"/>
  <c r="AG796" i="11"/>
  <c r="AH796" i="11"/>
  <c r="AI796" i="11"/>
  <c r="AF797" i="11"/>
  <c r="AG797" i="11"/>
  <c r="AH797" i="11"/>
  <c r="AI797" i="11"/>
  <c r="AF798" i="11"/>
  <c r="AG798" i="11"/>
  <c r="AH798" i="11"/>
  <c r="AI798" i="11"/>
  <c r="AF799" i="11"/>
  <c r="AG799" i="11"/>
  <c r="AH799" i="11"/>
  <c r="AI799" i="11"/>
  <c r="AF800" i="11"/>
  <c r="AG800" i="11"/>
  <c r="AH800" i="11"/>
  <c r="AI800" i="11"/>
  <c r="AF801" i="11"/>
  <c r="AG801" i="11"/>
  <c r="AH801" i="11"/>
  <c r="AI801" i="11"/>
  <c r="AF802" i="11"/>
  <c r="AG802" i="11"/>
  <c r="AH802" i="11"/>
  <c r="AI802" i="11"/>
  <c r="AF803" i="11"/>
  <c r="AG803" i="11"/>
  <c r="AH803" i="11"/>
  <c r="AI803" i="11"/>
  <c r="AF804" i="11"/>
  <c r="AG804" i="11"/>
  <c r="AH804" i="11"/>
  <c r="AI804" i="11"/>
  <c r="AF805" i="11"/>
  <c r="AG805" i="11"/>
  <c r="AH805" i="11"/>
  <c r="AI805" i="11"/>
  <c r="AF806" i="11"/>
  <c r="AG806" i="11"/>
  <c r="AH806" i="11"/>
  <c r="AI806" i="11"/>
  <c r="AF807" i="11"/>
  <c r="AG807" i="11"/>
  <c r="AH807" i="11"/>
  <c r="AI807" i="11"/>
  <c r="AF808" i="11"/>
  <c r="AG808" i="11"/>
  <c r="AH808" i="11"/>
  <c r="AI808" i="11"/>
  <c r="AF809" i="11"/>
  <c r="AG809" i="11"/>
  <c r="AH809" i="11"/>
  <c r="AI809" i="11"/>
  <c r="AF810" i="11"/>
  <c r="AG810" i="11"/>
  <c r="AH810" i="11"/>
  <c r="AI810" i="11"/>
  <c r="AF811" i="11"/>
  <c r="AG811" i="11"/>
  <c r="AH811" i="11"/>
  <c r="AI811" i="11"/>
  <c r="AF812" i="11"/>
  <c r="AG812" i="11"/>
  <c r="AH812" i="11"/>
  <c r="AI812" i="11"/>
  <c r="AF813" i="11"/>
  <c r="AG813" i="11"/>
  <c r="AH813" i="11"/>
  <c r="AI813" i="11"/>
  <c r="AF814" i="11"/>
  <c r="AG814" i="11"/>
  <c r="AH814" i="11"/>
  <c r="AI814" i="11"/>
  <c r="AF815" i="11"/>
  <c r="AG815" i="11"/>
  <c r="AH815" i="11"/>
  <c r="AI815" i="11"/>
  <c r="AF816" i="11"/>
  <c r="AG816" i="11"/>
  <c r="AH816" i="11"/>
  <c r="AI816" i="11"/>
  <c r="AF817" i="11"/>
  <c r="AG817" i="11"/>
  <c r="AH817" i="11"/>
  <c r="AI817" i="11"/>
  <c r="AF818" i="11"/>
  <c r="AG818" i="11"/>
  <c r="AH818" i="11"/>
  <c r="AI818" i="11"/>
  <c r="AF819" i="11"/>
  <c r="AG819" i="11"/>
  <c r="AH819" i="11"/>
  <c r="AI819" i="11"/>
  <c r="AF820" i="11"/>
  <c r="AG820" i="11"/>
  <c r="AH820" i="11"/>
  <c r="AI820" i="11"/>
  <c r="AF821" i="11"/>
  <c r="AG821" i="11"/>
  <c r="AH821" i="11"/>
  <c r="AI821" i="11"/>
  <c r="AF822" i="11"/>
  <c r="AG822" i="11"/>
  <c r="AH822" i="11"/>
  <c r="AI822" i="11"/>
  <c r="AF823" i="11"/>
  <c r="AG823" i="11"/>
  <c r="AH823" i="11"/>
  <c r="AI823" i="11"/>
  <c r="AF824" i="11"/>
  <c r="AG824" i="11"/>
  <c r="AH824" i="11"/>
  <c r="AI824" i="11"/>
  <c r="AF825" i="11"/>
  <c r="AG825" i="11"/>
  <c r="AH825" i="11"/>
  <c r="AI825" i="11"/>
  <c r="AF826" i="11"/>
  <c r="AG826" i="11"/>
  <c r="AH826" i="11"/>
  <c r="AI826" i="11"/>
  <c r="AF827" i="11"/>
  <c r="AG827" i="11"/>
  <c r="AH827" i="11"/>
  <c r="AI827" i="11"/>
  <c r="AF828" i="11"/>
  <c r="AG828" i="11"/>
  <c r="AH828" i="11"/>
  <c r="AI828" i="11"/>
  <c r="AF829" i="11"/>
  <c r="AG829" i="11"/>
  <c r="AH829" i="11"/>
  <c r="AI829" i="11"/>
  <c r="AF830" i="11"/>
  <c r="AG830" i="11"/>
  <c r="AH830" i="11"/>
  <c r="AI830" i="11"/>
  <c r="AF831" i="11"/>
  <c r="AG831" i="11"/>
  <c r="AH831" i="11"/>
  <c r="AI831" i="11"/>
  <c r="AF832" i="11"/>
  <c r="AG832" i="11"/>
  <c r="AH832" i="11"/>
  <c r="AI832" i="11"/>
  <c r="AF833" i="11"/>
  <c r="AG833" i="11"/>
  <c r="AH833" i="11"/>
  <c r="AI833" i="11"/>
  <c r="AF834" i="11"/>
  <c r="AG834" i="11"/>
  <c r="AH834" i="11"/>
  <c r="AI834" i="11"/>
  <c r="AF835" i="11"/>
  <c r="AG835" i="11"/>
  <c r="AH835" i="11"/>
  <c r="AI835" i="11"/>
  <c r="AF836" i="11"/>
  <c r="AG836" i="11"/>
  <c r="AH836" i="11"/>
  <c r="AI836" i="11"/>
  <c r="AF837" i="11"/>
  <c r="AG837" i="11"/>
  <c r="AH837" i="11"/>
  <c r="AI837" i="11"/>
  <c r="AF838" i="11"/>
  <c r="AG838" i="11"/>
  <c r="AH838" i="11"/>
  <c r="AI838" i="11"/>
  <c r="AF839" i="11"/>
  <c r="AG839" i="11"/>
  <c r="AH839" i="11"/>
  <c r="AI839" i="11"/>
  <c r="AF840" i="11"/>
  <c r="AG840" i="11"/>
  <c r="AH840" i="11"/>
  <c r="AI840" i="11"/>
  <c r="AF841" i="11"/>
  <c r="AG841" i="11"/>
  <c r="AH841" i="11"/>
  <c r="AI841" i="11"/>
  <c r="AF842" i="11"/>
  <c r="AG842" i="11"/>
  <c r="AH842" i="11"/>
  <c r="AI842" i="11"/>
  <c r="AF843" i="11"/>
  <c r="AG843" i="11"/>
  <c r="AH843" i="11"/>
  <c r="AI843" i="11"/>
  <c r="AF844" i="11"/>
  <c r="AG844" i="11"/>
  <c r="AH844" i="11"/>
  <c r="AI844" i="11"/>
  <c r="AF845" i="11"/>
  <c r="AG845" i="11"/>
  <c r="AH845" i="11"/>
  <c r="AI845" i="11"/>
  <c r="AF846" i="11"/>
  <c r="AG846" i="11"/>
  <c r="AH846" i="11"/>
  <c r="AI846" i="11"/>
  <c r="AF847" i="11"/>
  <c r="AG847" i="11"/>
  <c r="AH847" i="11"/>
  <c r="AI847" i="11"/>
  <c r="AF848" i="11"/>
  <c r="AG848" i="11"/>
  <c r="AH848" i="11"/>
  <c r="AI848" i="11"/>
  <c r="AF849" i="11"/>
  <c r="AG849" i="11"/>
  <c r="AH849" i="11"/>
  <c r="AI849" i="11"/>
  <c r="AF850" i="11"/>
  <c r="AG850" i="11"/>
  <c r="AH850" i="11"/>
  <c r="AI850" i="11"/>
  <c r="AF851" i="11"/>
  <c r="AG851" i="11"/>
  <c r="AH851" i="11"/>
  <c r="AI851" i="11"/>
  <c r="AF852" i="11"/>
  <c r="AG852" i="11"/>
  <c r="AH852" i="11"/>
  <c r="AI852" i="11"/>
  <c r="AF853" i="11"/>
  <c r="AG853" i="11"/>
  <c r="AH853" i="11"/>
  <c r="AI853" i="11"/>
  <c r="AF854" i="11"/>
  <c r="AG854" i="11"/>
  <c r="AH854" i="11"/>
  <c r="AI854" i="11"/>
  <c r="AF855" i="11"/>
  <c r="AG855" i="11"/>
  <c r="AH855" i="11"/>
  <c r="AI855" i="11"/>
  <c r="AF856" i="11"/>
  <c r="AG856" i="11"/>
  <c r="AH856" i="11"/>
  <c r="AI856" i="11"/>
  <c r="AF857" i="11"/>
  <c r="AG857" i="11"/>
  <c r="AH857" i="11"/>
  <c r="AI857" i="11"/>
  <c r="AF858" i="11"/>
  <c r="AG858" i="11"/>
  <c r="AH858" i="11"/>
  <c r="AI858" i="11"/>
  <c r="AF859" i="11"/>
  <c r="AG859" i="11"/>
  <c r="AH859" i="11"/>
  <c r="AI859" i="11"/>
  <c r="AF860" i="11"/>
  <c r="AG860" i="11"/>
  <c r="AH860" i="11"/>
  <c r="AI860" i="11"/>
  <c r="AF861" i="11"/>
  <c r="AG861" i="11"/>
  <c r="AH861" i="11"/>
  <c r="AI861" i="11"/>
  <c r="AF862" i="11"/>
  <c r="AG862" i="11"/>
  <c r="AH862" i="11"/>
  <c r="AI862" i="11"/>
  <c r="AF863" i="11"/>
  <c r="AG863" i="11"/>
  <c r="AH863" i="11"/>
  <c r="AI863" i="11"/>
  <c r="AF864" i="11"/>
  <c r="AG864" i="11"/>
  <c r="AH864" i="11"/>
  <c r="AI864" i="11"/>
  <c r="AF865" i="11"/>
  <c r="AG865" i="11"/>
  <c r="AH865" i="11"/>
  <c r="AI865" i="11"/>
  <c r="AF866" i="11"/>
  <c r="AG866" i="11"/>
  <c r="AH866" i="11"/>
  <c r="AI866" i="11"/>
  <c r="AF867" i="11"/>
  <c r="AG867" i="11"/>
  <c r="AH867" i="11"/>
  <c r="AI867" i="11"/>
  <c r="AF868" i="11"/>
  <c r="AG868" i="11"/>
  <c r="AH868" i="11"/>
  <c r="AI868" i="11"/>
  <c r="AF869" i="11"/>
  <c r="AG869" i="11"/>
  <c r="AH869" i="11"/>
  <c r="AI869" i="11"/>
  <c r="AF870" i="11"/>
  <c r="AG870" i="11"/>
  <c r="AH870" i="11"/>
  <c r="AI870" i="11"/>
  <c r="AF871" i="11"/>
  <c r="AG871" i="11"/>
  <c r="AH871" i="11"/>
  <c r="AI871" i="11"/>
  <c r="AF872" i="11"/>
  <c r="AG872" i="11"/>
  <c r="AH872" i="11"/>
  <c r="AI872" i="11"/>
  <c r="AF873" i="11"/>
  <c r="AG873" i="11"/>
  <c r="AH873" i="11"/>
  <c r="AI873" i="11"/>
  <c r="AF874" i="11"/>
  <c r="AG874" i="11"/>
  <c r="AH874" i="11"/>
  <c r="AI874" i="11"/>
  <c r="AF875" i="11"/>
  <c r="AG875" i="11"/>
  <c r="AH875" i="11"/>
  <c r="AI875" i="11"/>
  <c r="AF876" i="11"/>
  <c r="AG876" i="11"/>
  <c r="AH876" i="11"/>
  <c r="AI876" i="11"/>
  <c r="AF877" i="11"/>
  <c r="AG877" i="11"/>
  <c r="AH877" i="11"/>
  <c r="AI877" i="11"/>
  <c r="AF878" i="11"/>
  <c r="AG878" i="11"/>
  <c r="AH878" i="11"/>
  <c r="AI878" i="11"/>
  <c r="AF879" i="11"/>
  <c r="AG879" i="11"/>
  <c r="AH879" i="11"/>
  <c r="AI879" i="11"/>
  <c r="AF880" i="11"/>
  <c r="AG880" i="11"/>
  <c r="AH880" i="11"/>
  <c r="AI880" i="11"/>
  <c r="AF881" i="11"/>
  <c r="AG881" i="11"/>
  <c r="AH881" i="11"/>
  <c r="AI881" i="11"/>
  <c r="AF882" i="11"/>
  <c r="AG882" i="11"/>
  <c r="AH882" i="11"/>
  <c r="AI882" i="11"/>
  <c r="AF883" i="11"/>
  <c r="AG883" i="11"/>
  <c r="AH883" i="11"/>
  <c r="AI883" i="11"/>
  <c r="AF884" i="11"/>
  <c r="AG884" i="11"/>
  <c r="AH884" i="11"/>
  <c r="AI884" i="11"/>
  <c r="AF885" i="11"/>
  <c r="AG885" i="11"/>
  <c r="AH885" i="11"/>
  <c r="AI885" i="11"/>
  <c r="AF886" i="11"/>
  <c r="AG886" i="11"/>
  <c r="AH886" i="11"/>
  <c r="AI886" i="11"/>
  <c r="AF887" i="11"/>
  <c r="AG887" i="11"/>
  <c r="AH887" i="11"/>
  <c r="AI887" i="11"/>
  <c r="AF888" i="11"/>
  <c r="AG888" i="11"/>
  <c r="AH888" i="11"/>
  <c r="AI888" i="11"/>
  <c r="AF889" i="11"/>
  <c r="AG889" i="11"/>
  <c r="AH889" i="11"/>
  <c r="AI889" i="11"/>
  <c r="AF890" i="11"/>
  <c r="AG890" i="11"/>
  <c r="AH890" i="11"/>
  <c r="AI890" i="11"/>
  <c r="AF891" i="11"/>
  <c r="AG891" i="11"/>
  <c r="AH891" i="11"/>
  <c r="AI891" i="11"/>
  <c r="AF892" i="11"/>
  <c r="AG892" i="11"/>
  <c r="AH892" i="11"/>
  <c r="AI892" i="11"/>
  <c r="AF893" i="11"/>
  <c r="AG893" i="11"/>
  <c r="AH893" i="11"/>
  <c r="AI893" i="11"/>
  <c r="AF894" i="11"/>
  <c r="AG894" i="11"/>
  <c r="AH894" i="11"/>
  <c r="AI894" i="11"/>
  <c r="AF895" i="11"/>
  <c r="AG895" i="11"/>
  <c r="AH895" i="11"/>
  <c r="AI895" i="11"/>
  <c r="AF896" i="11"/>
  <c r="AG896" i="11"/>
  <c r="AH896" i="11"/>
  <c r="AI896" i="11"/>
  <c r="AF897" i="11"/>
  <c r="AG897" i="11"/>
  <c r="AH897" i="11"/>
  <c r="AI897" i="11"/>
  <c r="AF898" i="11"/>
  <c r="AG898" i="11"/>
  <c r="AH898" i="11"/>
  <c r="AI898" i="11"/>
  <c r="AF899" i="11"/>
  <c r="AG899" i="11"/>
  <c r="AH899" i="11"/>
  <c r="AI899" i="11"/>
  <c r="AF900" i="11"/>
  <c r="AG900" i="11"/>
  <c r="AH900" i="11"/>
  <c r="AI900" i="11"/>
  <c r="AF901" i="11"/>
  <c r="AG901" i="11"/>
  <c r="AH901" i="11"/>
  <c r="AI901" i="11"/>
  <c r="AF902" i="11"/>
  <c r="AG902" i="11"/>
  <c r="AH902" i="11"/>
  <c r="AI902" i="11"/>
  <c r="AF903" i="11"/>
  <c r="AG903" i="11"/>
  <c r="AH903" i="11"/>
  <c r="AI903" i="11"/>
  <c r="AF904" i="11"/>
  <c r="AG904" i="11"/>
  <c r="AH904" i="11"/>
  <c r="AI904" i="11"/>
  <c r="AF905" i="11"/>
  <c r="AG905" i="11"/>
  <c r="AH905" i="11"/>
  <c r="AI905" i="11"/>
  <c r="AF906" i="11"/>
  <c r="AG906" i="11"/>
  <c r="AH906" i="11"/>
  <c r="AI906" i="11"/>
  <c r="AF907" i="11"/>
  <c r="AG907" i="11"/>
  <c r="AH907" i="11"/>
  <c r="AI907" i="11"/>
  <c r="AF908" i="11"/>
  <c r="AG908" i="11"/>
  <c r="AH908" i="11"/>
  <c r="AI908" i="11"/>
  <c r="AF909" i="11"/>
  <c r="AG909" i="11"/>
  <c r="AH909" i="11"/>
  <c r="AI909" i="11"/>
  <c r="AF910" i="11"/>
  <c r="AG910" i="11"/>
  <c r="AH910" i="11"/>
  <c r="AI910" i="11"/>
  <c r="AF911" i="11"/>
  <c r="AG911" i="11"/>
  <c r="AH911" i="11"/>
  <c r="AI911" i="11"/>
  <c r="AF912" i="11"/>
  <c r="AG912" i="11"/>
  <c r="AH912" i="11"/>
  <c r="AI912" i="11"/>
  <c r="AF913" i="11"/>
  <c r="AG913" i="11"/>
  <c r="AH913" i="11"/>
  <c r="AI913" i="11"/>
  <c r="AF914" i="11"/>
  <c r="AG914" i="11"/>
  <c r="AH914" i="11"/>
  <c r="AI914" i="11"/>
  <c r="AF915" i="11"/>
  <c r="AG915" i="11"/>
  <c r="AH915" i="11"/>
  <c r="AI915" i="11"/>
  <c r="AF916" i="11"/>
  <c r="AG916" i="11"/>
  <c r="AH916" i="11"/>
  <c r="AI916" i="11"/>
  <c r="AF917" i="11"/>
  <c r="AG917" i="11"/>
  <c r="AH917" i="11"/>
  <c r="AI917" i="11"/>
  <c r="AF918" i="11"/>
  <c r="AG918" i="11"/>
  <c r="AH918" i="11"/>
  <c r="AI918" i="11"/>
  <c r="AF919" i="11"/>
  <c r="AG919" i="11"/>
  <c r="AH919" i="11"/>
  <c r="AI919" i="11"/>
  <c r="AF920" i="11"/>
  <c r="AG920" i="11"/>
  <c r="AH920" i="11"/>
  <c r="AI920" i="11"/>
  <c r="AF921" i="11"/>
  <c r="AG921" i="11"/>
  <c r="AH921" i="11"/>
  <c r="AI921" i="11"/>
  <c r="AF922" i="11"/>
  <c r="AG922" i="11"/>
  <c r="AH922" i="11"/>
  <c r="AI922" i="11"/>
  <c r="AF923" i="11"/>
  <c r="AG923" i="11"/>
  <c r="AH923" i="11"/>
  <c r="AI923" i="11"/>
  <c r="AF924" i="11"/>
  <c r="AG924" i="11"/>
  <c r="AH924" i="11"/>
  <c r="AI924" i="11"/>
  <c r="AF925" i="11"/>
  <c r="AG925" i="11"/>
  <c r="AH925" i="11"/>
  <c r="AI925" i="11"/>
  <c r="AF926" i="11"/>
  <c r="AG926" i="11"/>
  <c r="AH926" i="11"/>
  <c r="AI926" i="11"/>
  <c r="AF927" i="11"/>
  <c r="AG927" i="11"/>
  <c r="AH927" i="11"/>
  <c r="AI927" i="11"/>
  <c r="AF928" i="11"/>
  <c r="AG928" i="11"/>
  <c r="AH928" i="11"/>
  <c r="AI928" i="11"/>
  <c r="AF929" i="11"/>
  <c r="AG929" i="11"/>
  <c r="AH929" i="11"/>
  <c r="AI929" i="11"/>
  <c r="AF930" i="11"/>
  <c r="AG930" i="11"/>
  <c r="AH930" i="11"/>
  <c r="AI930" i="11"/>
  <c r="AF931" i="11"/>
  <c r="AG931" i="11"/>
  <c r="AH931" i="11"/>
  <c r="AI931" i="11"/>
  <c r="AF932" i="11"/>
  <c r="AG932" i="11"/>
  <c r="AH932" i="11"/>
  <c r="AI932" i="11"/>
  <c r="AF933" i="11"/>
  <c r="AG933" i="11"/>
  <c r="AH933" i="11"/>
  <c r="AI933" i="11"/>
  <c r="AF934" i="11"/>
  <c r="AG934" i="11"/>
  <c r="AH934" i="11"/>
  <c r="AI934" i="11"/>
  <c r="AF935" i="11"/>
  <c r="AG935" i="11"/>
  <c r="AH935" i="11"/>
  <c r="AI935" i="11"/>
  <c r="AF936" i="11"/>
  <c r="AG936" i="11"/>
  <c r="AH936" i="11"/>
  <c r="AI936" i="11"/>
  <c r="AF937" i="11"/>
  <c r="AG937" i="11"/>
  <c r="AH937" i="11"/>
  <c r="AI937" i="11"/>
  <c r="AF938" i="11"/>
  <c r="AG938" i="11"/>
  <c r="AH938" i="11"/>
  <c r="AI938" i="11"/>
  <c r="AF939" i="11"/>
  <c r="AG939" i="11"/>
  <c r="AH939" i="11"/>
  <c r="AI939" i="11"/>
  <c r="AF940" i="11"/>
  <c r="AG940" i="11"/>
  <c r="AH940" i="11"/>
  <c r="AI940" i="11"/>
  <c r="AF941" i="11"/>
  <c r="AG941" i="11"/>
  <c r="AH941" i="11"/>
  <c r="AI941" i="11"/>
  <c r="AF942" i="11"/>
  <c r="AG942" i="11"/>
  <c r="AH942" i="11"/>
  <c r="AI942" i="11"/>
  <c r="AF943" i="11"/>
  <c r="AG943" i="11"/>
  <c r="AH943" i="11"/>
  <c r="AI943" i="11"/>
  <c r="AF944" i="11"/>
  <c r="AG944" i="11"/>
  <c r="AH944" i="11"/>
  <c r="AI944" i="11"/>
  <c r="AF945" i="11"/>
  <c r="AG945" i="11"/>
  <c r="AH945" i="11"/>
  <c r="AI945" i="11"/>
  <c r="AF946" i="11"/>
  <c r="AG946" i="11"/>
  <c r="AH946" i="11"/>
  <c r="AI946" i="11"/>
  <c r="AF947" i="11"/>
  <c r="AG947" i="11"/>
  <c r="AH947" i="11"/>
  <c r="AI947" i="11"/>
  <c r="AF948" i="11"/>
  <c r="AG948" i="11"/>
  <c r="AH948" i="11"/>
  <c r="AI948" i="11"/>
  <c r="AF949" i="11"/>
  <c r="AG949" i="11"/>
  <c r="AH949" i="11"/>
  <c r="AI949" i="11"/>
  <c r="AF950" i="11"/>
  <c r="AG950" i="11"/>
  <c r="AH950" i="11"/>
  <c r="AI950" i="11"/>
  <c r="AF951" i="11"/>
  <c r="AG951" i="11"/>
  <c r="AH951" i="11"/>
  <c r="AI951" i="11"/>
  <c r="AF952" i="11"/>
  <c r="AG952" i="11"/>
  <c r="AH952" i="11"/>
  <c r="AI952" i="11"/>
  <c r="AF953" i="11"/>
  <c r="AG953" i="11"/>
  <c r="AH953" i="11"/>
  <c r="AI953" i="11"/>
  <c r="AF954" i="11"/>
  <c r="AG954" i="11"/>
  <c r="AH954" i="11"/>
  <c r="AI954" i="11"/>
  <c r="AF955" i="11"/>
  <c r="AG955" i="11"/>
  <c r="AH955" i="11"/>
  <c r="AI955" i="11"/>
  <c r="AF956" i="11"/>
  <c r="AG956" i="11"/>
  <c r="AH956" i="11"/>
  <c r="AI956" i="11"/>
  <c r="AF957" i="11"/>
  <c r="AG957" i="11"/>
  <c r="AH957" i="11"/>
  <c r="AI957" i="11"/>
  <c r="AF958" i="11"/>
  <c r="AG958" i="11"/>
  <c r="AH958" i="11"/>
  <c r="AI958" i="11"/>
  <c r="AF959" i="11"/>
  <c r="AG959" i="11"/>
  <c r="AH959" i="11"/>
  <c r="AI959" i="11"/>
  <c r="AF960" i="11"/>
  <c r="AG960" i="11"/>
  <c r="AH960" i="11"/>
  <c r="AI960" i="11"/>
  <c r="AF961" i="11"/>
  <c r="AG961" i="11"/>
  <c r="AH961" i="11"/>
  <c r="AI961" i="11"/>
  <c r="AF962" i="11"/>
  <c r="AG962" i="11"/>
  <c r="AH962" i="11"/>
  <c r="AI962" i="11"/>
  <c r="AF963" i="11"/>
  <c r="AG963" i="11"/>
  <c r="AH963" i="11"/>
  <c r="AI963" i="11"/>
  <c r="AF964" i="11"/>
  <c r="AG964" i="11"/>
  <c r="AH964" i="11"/>
  <c r="AI964" i="11"/>
  <c r="AF965" i="11"/>
  <c r="AG965" i="11"/>
  <c r="AH965" i="11"/>
  <c r="AI965" i="11"/>
  <c r="AF966" i="11"/>
  <c r="AG966" i="11"/>
  <c r="AH966" i="11"/>
  <c r="AI966" i="11"/>
  <c r="AF967" i="11"/>
  <c r="AG967" i="11"/>
  <c r="AH967" i="11"/>
  <c r="AI967" i="11"/>
  <c r="AF968" i="11"/>
  <c r="AG968" i="11"/>
  <c r="AH968" i="11"/>
  <c r="AI968" i="11"/>
  <c r="AF969" i="11"/>
  <c r="AG969" i="11"/>
  <c r="AH969" i="11"/>
  <c r="AI969" i="11"/>
  <c r="AF970" i="11"/>
  <c r="AG970" i="11"/>
  <c r="AH970" i="11"/>
  <c r="AI970" i="11"/>
  <c r="AF971" i="11"/>
  <c r="AG971" i="11"/>
  <c r="AH971" i="11"/>
  <c r="AI971" i="11"/>
  <c r="AF972" i="11"/>
  <c r="AG972" i="11"/>
  <c r="AH972" i="11"/>
  <c r="AI972" i="11"/>
  <c r="AF973" i="11"/>
  <c r="AG973" i="11"/>
  <c r="AH973" i="11"/>
  <c r="AI973" i="11"/>
  <c r="AF974" i="11"/>
  <c r="AG974" i="11"/>
  <c r="AH974" i="11"/>
  <c r="AI974" i="11"/>
  <c r="AF975" i="11"/>
  <c r="AG975" i="11"/>
  <c r="AH975" i="11"/>
  <c r="AI975" i="11"/>
  <c r="AF976" i="11"/>
  <c r="AG976" i="11"/>
  <c r="AH976" i="11"/>
  <c r="AI976" i="11"/>
  <c r="AF977" i="11"/>
  <c r="AG977" i="11"/>
  <c r="AH977" i="11"/>
  <c r="AI977" i="11"/>
  <c r="AF978" i="11"/>
  <c r="AG978" i="11"/>
  <c r="AH978" i="11"/>
  <c r="AI978" i="11"/>
  <c r="AF979" i="11"/>
  <c r="AG979" i="11"/>
  <c r="AH979" i="11"/>
  <c r="AI979" i="11"/>
  <c r="AF980" i="11"/>
  <c r="AG980" i="11"/>
  <c r="AH980" i="11"/>
  <c r="AI980" i="11"/>
  <c r="AF981" i="11"/>
  <c r="AG981" i="11"/>
  <c r="AH981" i="11"/>
  <c r="AI981" i="11"/>
  <c r="AF982" i="11"/>
  <c r="AG982" i="11"/>
  <c r="AH982" i="11"/>
  <c r="AI982" i="11"/>
  <c r="AF983" i="11"/>
  <c r="AG983" i="11"/>
  <c r="AH983" i="11"/>
  <c r="AI983" i="11"/>
  <c r="AF984" i="11"/>
  <c r="AG984" i="11"/>
  <c r="AH984" i="11"/>
  <c r="AI984" i="11"/>
  <c r="AF985" i="11"/>
  <c r="AG985" i="11"/>
  <c r="AH985" i="11"/>
  <c r="AI985" i="11"/>
  <c r="AF986" i="11"/>
  <c r="AG986" i="11"/>
  <c r="AH986" i="11"/>
  <c r="AI986" i="11"/>
  <c r="AF987" i="11"/>
  <c r="AG987" i="11"/>
  <c r="AH987" i="11"/>
  <c r="AI987" i="11"/>
  <c r="AF988" i="11"/>
  <c r="AG988" i="11"/>
  <c r="AH988" i="11"/>
  <c r="AI988" i="11"/>
  <c r="AF989" i="11"/>
  <c r="AG989" i="11"/>
  <c r="AH989" i="11"/>
  <c r="AI989" i="11"/>
  <c r="AF990" i="11"/>
  <c r="AG990" i="11"/>
  <c r="AH990" i="11"/>
  <c r="AI990" i="11"/>
  <c r="AF991" i="11"/>
  <c r="AG991" i="11"/>
  <c r="AH991" i="11"/>
  <c r="AI991" i="11"/>
  <c r="AF992" i="11"/>
  <c r="AG992" i="11"/>
  <c r="AH992" i="11"/>
  <c r="AI992" i="11"/>
  <c r="AF993" i="11"/>
  <c r="AG993" i="11"/>
  <c r="AH993" i="11"/>
  <c r="AI993" i="11"/>
  <c r="AF994" i="11"/>
  <c r="AG994" i="11"/>
  <c r="AH994" i="11"/>
  <c r="AI994" i="11"/>
  <c r="AF995" i="11"/>
  <c r="AG995" i="11"/>
  <c r="AH995" i="11"/>
  <c r="AF996" i="11"/>
  <c r="AG996" i="11"/>
  <c r="AH996" i="11"/>
  <c r="AF997" i="11"/>
  <c r="AG997" i="11"/>
  <c r="AH997" i="11"/>
  <c r="AI997" i="11"/>
  <c r="AF998" i="11"/>
  <c r="AG998" i="11"/>
  <c r="AH998" i="11"/>
  <c r="AI998" i="11"/>
  <c r="AF999" i="11"/>
  <c r="AG999" i="11"/>
  <c r="AH999" i="11"/>
  <c r="AI999" i="11"/>
  <c r="AF1000" i="11"/>
  <c r="AG1000" i="11"/>
  <c r="AH1000" i="11"/>
  <c r="AI1000" i="11"/>
  <c r="AF1001" i="11"/>
  <c r="AG1001" i="11"/>
  <c r="AH1001" i="11"/>
  <c r="AI1001" i="11"/>
  <c r="AF1002" i="11"/>
  <c r="AG1002" i="11"/>
  <c r="AH1002" i="11"/>
  <c r="AI1002" i="11"/>
  <c r="AG13" i="11"/>
  <c r="AH13" i="11"/>
  <c r="AI13" i="11"/>
  <c r="AF13" i="11"/>
  <c r="AA14" i="11"/>
  <c r="AB14" i="11"/>
  <c r="AC14" i="11"/>
  <c r="AD14" i="11"/>
  <c r="AA15" i="11"/>
  <c r="AB15" i="11"/>
  <c r="AC15" i="11"/>
  <c r="AD15" i="11"/>
  <c r="AA16" i="11"/>
  <c r="AB16" i="11"/>
  <c r="AC16" i="11"/>
  <c r="AD16" i="11"/>
  <c r="AA17" i="11"/>
  <c r="AB17" i="11"/>
  <c r="AC17" i="11"/>
  <c r="AD17" i="11"/>
  <c r="AA18" i="11"/>
  <c r="AB18" i="11"/>
  <c r="AC18" i="11"/>
  <c r="AD18" i="11"/>
  <c r="AA19" i="11"/>
  <c r="AB19" i="11"/>
  <c r="AC19" i="11"/>
  <c r="AD19" i="11"/>
  <c r="AA20" i="11"/>
  <c r="AB20" i="11"/>
  <c r="AC20" i="11"/>
  <c r="AD20" i="11"/>
  <c r="AA21" i="11"/>
  <c r="AB21" i="11"/>
  <c r="AC21" i="11"/>
  <c r="AD21" i="11"/>
  <c r="AA22" i="11"/>
  <c r="AB22" i="11"/>
  <c r="AC22" i="11"/>
  <c r="AD22" i="11"/>
  <c r="AA23" i="11"/>
  <c r="AB23" i="11"/>
  <c r="AC23" i="11"/>
  <c r="AD23" i="11"/>
  <c r="AA24" i="11"/>
  <c r="AB24" i="11"/>
  <c r="AC24" i="11"/>
  <c r="AD24" i="11"/>
  <c r="AA25" i="11"/>
  <c r="AB25" i="11"/>
  <c r="AC25" i="11"/>
  <c r="AD25" i="11"/>
  <c r="AA26" i="11"/>
  <c r="AB26" i="11"/>
  <c r="AC26" i="11"/>
  <c r="AD26" i="11"/>
  <c r="AA27" i="11"/>
  <c r="AB27" i="11"/>
  <c r="AC27" i="11"/>
  <c r="AD27" i="11"/>
  <c r="AA28" i="11"/>
  <c r="AB28" i="11"/>
  <c r="AC28" i="11"/>
  <c r="AD28" i="11"/>
  <c r="AA29" i="11"/>
  <c r="AB29" i="11"/>
  <c r="AC29" i="11"/>
  <c r="AD29" i="11"/>
  <c r="AA30" i="11"/>
  <c r="AB30" i="11"/>
  <c r="AC30" i="11"/>
  <c r="AD30" i="11"/>
  <c r="AA31" i="11"/>
  <c r="AB31" i="11"/>
  <c r="AC31" i="11"/>
  <c r="AD31" i="11"/>
  <c r="AA32" i="11"/>
  <c r="AB32" i="11"/>
  <c r="AC32" i="11"/>
  <c r="AD32" i="11"/>
  <c r="AA33" i="11"/>
  <c r="AB33" i="11"/>
  <c r="AC33" i="11"/>
  <c r="AD33" i="11"/>
  <c r="AA34" i="11"/>
  <c r="AB34" i="11"/>
  <c r="AC34" i="11"/>
  <c r="AD34" i="11"/>
  <c r="AA35" i="11"/>
  <c r="AB35" i="11"/>
  <c r="AC35" i="11"/>
  <c r="AD35" i="11"/>
  <c r="AA36" i="11"/>
  <c r="AB36" i="11"/>
  <c r="AC36" i="11"/>
  <c r="AD36" i="11"/>
  <c r="AA37" i="11"/>
  <c r="AB37" i="11"/>
  <c r="AC37" i="11"/>
  <c r="AD37" i="11"/>
  <c r="AA38" i="11"/>
  <c r="AB38" i="11"/>
  <c r="AC38" i="11"/>
  <c r="AD38" i="11"/>
  <c r="AA39" i="11"/>
  <c r="AB39" i="11"/>
  <c r="AC39" i="11"/>
  <c r="AD39" i="11"/>
  <c r="AA40" i="11"/>
  <c r="AB40" i="11"/>
  <c r="AC40" i="11"/>
  <c r="AD40" i="11"/>
  <c r="AA41" i="11"/>
  <c r="AB41" i="11"/>
  <c r="AC41" i="11"/>
  <c r="AD41" i="11"/>
  <c r="AA42" i="11"/>
  <c r="AB42" i="11"/>
  <c r="AC42" i="11"/>
  <c r="AD42" i="11"/>
  <c r="AA43" i="11"/>
  <c r="AB43" i="11"/>
  <c r="AC43" i="11"/>
  <c r="AD43" i="11"/>
  <c r="AA44" i="11"/>
  <c r="AB44" i="11"/>
  <c r="AC44" i="11"/>
  <c r="AD44" i="11"/>
  <c r="AA45" i="11"/>
  <c r="AB45" i="11"/>
  <c r="AC45" i="11"/>
  <c r="AD45" i="11"/>
  <c r="AA46" i="11"/>
  <c r="AB46" i="11"/>
  <c r="AC46" i="11"/>
  <c r="AD46" i="11"/>
  <c r="AA47" i="11"/>
  <c r="AB47" i="11"/>
  <c r="AC47" i="11"/>
  <c r="AD47" i="11"/>
  <c r="AA48" i="11"/>
  <c r="AB48" i="11"/>
  <c r="AC48" i="11"/>
  <c r="AD48" i="11"/>
  <c r="AA49" i="11"/>
  <c r="AB49" i="11"/>
  <c r="AC49" i="11"/>
  <c r="AD49" i="11"/>
  <c r="AA50" i="11"/>
  <c r="AB50" i="11"/>
  <c r="AC50" i="11"/>
  <c r="AD50" i="11"/>
  <c r="AA51" i="11"/>
  <c r="AB51" i="11"/>
  <c r="AC51" i="11"/>
  <c r="AD51" i="11"/>
  <c r="AA52" i="11"/>
  <c r="AB52" i="11"/>
  <c r="AC52" i="11"/>
  <c r="AD52" i="11"/>
  <c r="AA53" i="11"/>
  <c r="AB53" i="11"/>
  <c r="AC53" i="11"/>
  <c r="AD53" i="11"/>
  <c r="AA54" i="11"/>
  <c r="AB54" i="11"/>
  <c r="AC54" i="11"/>
  <c r="AD54" i="11"/>
  <c r="AA55" i="11"/>
  <c r="AB55" i="11"/>
  <c r="AC55" i="11"/>
  <c r="AD55" i="11"/>
  <c r="AA56" i="11"/>
  <c r="AB56" i="11"/>
  <c r="AC56" i="11"/>
  <c r="AD56" i="11"/>
  <c r="AA57" i="11"/>
  <c r="AB57" i="11"/>
  <c r="AC57" i="11"/>
  <c r="AD57" i="11"/>
  <c r="AA58" i="11"/>
  <c r="AB58" i="11"/>
  <c r="AC58" i="11"/>
  <c r="AD58" i="11"/>
  <c r="AA59" i="11"/>
  <c r="AB59" i="11"/>
  <c r="AC59" i="11"/>
  <c r="AD59" i="11"/>
  <c r="AA60" i="11"/>
  <c r="AB60" i="11"/>
  <c r="AC60" i="11"/>
  <c r="AD60" i="11"/>
  <c r="AA61" i="11"/>
  <c r="AB61" i="11"/>
  <c r="AC61" i="11"/>
  <c r="AD61" i="11"/>
  <c r="AA62" i="11"/>
  <c r="AB62" i="11"/>
  <c r="AC62" i="11"/>
  <c r="AD62" i="11"/>
  <c r="AA63" i="11"/>
  <c r="AB63" i="11"/>
  <c r="AC63" i="11"/>
  <c r="AD63" i="11"/>
  <c r="AA64" i="11"/>
  <c r="AB64" i="11"/>
  <c r="AC64" i="11"/>
  <c r="AD64" i="11"/>
  <c r="AA65" i="11"/>
  <c r="AB65" i="11"/>
  <c r="AC65" i="11"/>
  <c r="AD65" i="11"/>
  <c r="AA66" i="11"/>
  <c r="AB66" i="11"/>
  <c r="AC66" i="11"/>
  <c r="AD66" i="11"/>
  <c r="AA67" i="11"/>
  <c r="AB67" i="11"/>
  <c r="AC67" i="11"/>
  <c r="AD67" i="11"/>
  <c r="AA68" i="11"/>
  <c r="AB68" i="11"/>
  <c r="AC68" i="11"/>
  <c r="AD68" i="11"/>
  <c r="AA69" i="11"/>
  <c r="AB69" i="11"/>
  <c r="AC69" i="11"/>
  <c r="AD69" i="11"/>
  <c r="AA70" i="11"/>
  <c r="AB70" i="11"/>
  <c r="AC70" i="11"/>
  <c r="AD70" i="11"/>
  <c r="AA71" i="11"/>
  <c r="AB71" i="11"/>
  <c r="AC71" i="11"/>
  <c r="AD71" i="11"/>
  <c r="AA72" i="11"/>
  <c r="AB72" i="11"/>
  <c r="AC72" i="11"/>
  <c r="AD72" i="11"/>
  <c r="AA73" i="11"/>
  <c r="AB73" i="11"/>
  <c r="AC73" i="11"/>
  <c r="AD73" i="11"/>
  <c r="AA74" i="11"/>
  <c r="AB74" i="11"/>
  <c r="AC74" i="11"/>
  <c r="AD74" i="11"/>
  <c r="AA75" i="11"/>
  <c r="AB75" i="11"/>
  <c r="AC75" i="11"/>
  <c r="AD75" i="11"/>
  <c r="AA76" i="11"/>
  <c r="AB76" i="11"/>
  <c r="AC76" i="11"/>
  <c r="AD76" i="11"/>
  <c r="AA77" i="11"/>
  <c r="AB77" i="11"/>
  <c r="AC77" i="11"/>
  <c r="AD77" i="11"/>
  <c r="AA78" i="11"/>
  <c r="AB78" i="11"/>
  <c r="AC78" i="11"/>
  <c r="AD78" i="11"/>
  <c r="AA79" i="11"/>
  <c r="AB79" i="11"/>
  <c r="AC79" i="11"/>
  <c r="AD79" i="11"/>
  <c r="AA80" i="11"/>
  <c r="AB80" i="11"/>
  <c r="AC80" i="11"/>
  <c r="AD80" i="11"/>
  <c r="AA81" i="11"/>
  <c r="AB81" i="11"/>
  <c r="AC81" i="11"/>
  <c r="AD81" i="11"/>
  <c r="AA82" i="11"/>
  <c r="AB82" i="11"/>
  <c r="AC82" i="11"/>
  <c r="AD82" i="11"/>
  <c r="AA83" i="11"/>
  <c r="AB83" i="11"/>
  <c r="AC83" i="11"/>
  <c r="AD83" i="11"/>
  <c r="AA84" i="11"/>
  <c r="AB84" i="11"/>
  <c r="AC84" i="11"/>
  <c r="AD84" i="11"/>
  <c r="AA85" i="11"/>
  <c r="AB85" i="11"/>
  <c r="AC85" i="11"/>
  <c r="AD85" i="11"/>
  <c r="AA86" i="11"/>
  <c r="AB86" i="11"/>
  <c r="AC86" i="11"/>
  <c r="AD86" i="11"/>
  <c r="AA87" i="11"/>
  <c r="AB87" i="11"/>
  <c r="AC87" i="11"/>
  <c r="AD87" i="11"/>
  <c r="AA88" i="11"/>
  <c r="AB88" i="11"/>
  <c r="AC88" i="11"/>
  <c r="AD88" i="11"/>
  <c r="AA89" i="11"/>
  <c r="AB89" i="11"/>
  <c r="AC89" i="11"/>
  <c r="AD89" i="11"/>
  <c r="AA90" i="11"/>
  <c r="AB90" i="11"/>
  <c r="AC90" i="11"/>
  <c r="AD90" i="11"/>
  <c r="AA91" i="11"/>
  <c r="AB91" i="11"/>
  <c r="AC91" i="11"/>
  <c r="AD91" i="11"/>
  <c r="AA92" i="11"/>
  <c r="AB92" i="11"/>
  <c r="AC92" i="11"/>
  <c r="AD92" i="11"/>
  <c r="AA93" i="11"/>
  <c r="AB93" i="11"/>
  <c r="AC93" i="11"/>
  <c r="AD93" i="11"/>
  <c r="AA94" i="11"/>
  <c r="AB94" i="11"/>
  <c r="AC94" i="11"/>
  <c r="AD94" i="11"/>
  <c r="AA95" i="11"/>
  <c r="AB95" i="11"/>
  <c r="AC95" i="11"/>
  <c r="AD95" i="11"/>
  <c r="AA96" i="11"/>
  <c r="AB96" i="11"/>
  <c r="AC96" i="11"/>
  <c r="AD96" i="11"/>
  <c r="AA97" i="11"/>
  <c r="AB97" i="11"/>
  <c r="AC97" i="11"/>
  <c r="AD97" i="11"/>
  <c r="AA98" i="11"/>
  <c r="AB98" i="11"/>
  <c r="AC98" i="11"/>
  <c r="AD98" i="11"/>
  <c r="AA99" i="11"/>
  <c r="AB99" i="11"/>
  <c r="AC99" i="11"/>
  <c r="AD99" i="11"/>
  <c r="AA100" i="11"/>
  <c r="AB100" i="11"/>
  <c r="AC100" i="11"/>
  <c r="AD100" i="11"/>
  <c r="AA101" i="11"/>
  <c r="AB101" i="11"/>
  <c r="AC101" i="11"/>
  <c r="AD101" i="11"/>
  <c r="AA102" i="11"/>
  <c r="AB102" i="11"/>
  <c r="AC102" i="11"/>
  <c r="AD102" i="11"/>
  <c r="AA103" i="11"/>
  <c r="AB103" i="11"/>
  <c r="AC103" i="11"/>
  <c r="AD103" i="11"/>
  <c r="AA104" i="11"/>
  <c r="AB104" i="11"/>
  <c r="AC104" i="11"/>
  <c r="AD104" i="11"/>
  <c r="AA105" i="11"/>
  <c r="AB105" i="11"/>
  <c r="AC105" i="11"/>
  <c r="AD105" i="11"/>
  <c r="AA106" i="11"/>
  <c r="AB106" i="11"/>
  <c r="AC106" i="11"/>
  <c r="AD106" i="11"/>
  <c r="AA107" i="11"/>
  <c r="AB107" i="11"/>
  <c r="AC107" i="11"/>
  <c r="AD107" i="11"/>
  <c r="AA108" i="11"/>
  <c r="AB108" i="11"/>
  <c r="AC108" i="11"/>
  <c r="AD108" i="11"/>
  <c r="AA109" i="11"/>
  <c r="AB109" i="11"/>
  <c r="AC109" i="11"/>
  <c r="AD109" i="11"/>
  <c r="AA110" i="11"/>
  <c r="AB110" i="11"/>
  <c r="AC110" i="11"/>
  <c r="AD110" i="11"/>
  <c r="AA111" i="11"/>
  <c r="AB111" i="11"/>
  <c r="AC111" i="11"/>
  <c r="AD111" i="11"/>
  <c r="AA112" i="11"/>
  <c r="AB112" i="11"/>
  <c r="AC112" i="11"/>
  <c r="AD112" i="11"/>
  <c r="AA113" i="11"/>
  <c r="AB113" i="11"/>
  <c r="AC113" i="11"/>
  <c r="AD113" i="11"/>
  <c r="AA114" i="11"/>
  <c r="AB114" i="11"/>
  <c r="AC114" i="11"/>
  <c r="AD114" i="11"/>
  <c r="AA115" i="11"/>
  <c r="AB115" i="11"/>
  <c r="AC115" i="11"/>
  <c r="AD115" i="11"/>
  <c r="AA116" i="11"/>
  <c r="AB116" i="11"/>
  <c r="AC116" i="11"/>
  <c r="AD116" i="11"/>
  <c r="AA117" i="11"/>
  <c r="AB117" i="11"/>
  <c r="AC117" i="11"/>
  <c r="AD117" i="11"/>
  <c r="AA118" i="11"/>
  <c r="AB118" i="11"/>
  <c r="AC118" i="11"/>
  <c r="AD118" i="11"/>
  <c r="AA119" i="11"/>
  <c r="AB119" i="11"/>
  <c r="AC119" i="11"/>
  <c r="AD119" i="11"/>
  <c r="AA120" i="11"/>
  <c r="AB120" i="11"/>
  <c r="AC120" i="11"/>
  <c r="AD120" i="11"/>
  <c r="AA121" i="11"/>
  <c r="AB121" i="11"/>
  <c r="AC121" i="11"/>
  <c r="AD121" i="11"/>
  <c r="AA122" i="11"/>
  <c r="AB122" i="11"/>
  <c r="AC122" i="11"/>
  <c r="AD122" i="11"/>
  <c r="AA123" i="11"/>
  <c r="AB123" i="11"/>
  <c r="AC123" i="11"/>
  <c r="AD123" i="11"/>
  <c r="AA124" i="11"/>
  <c r="AB124" i="11"/>
  <c r="AC124" i="11"/>
  <c r="AD124" i="11"/>
  <c r="AA125" i="11"/>
  <c r="AB125" i="11"/>
  <c r="AC125" i="11"/>
  <c r="AD125" i="11"/>
  <c r="AA126" i="11"/>
  <c r="AB126" i="11"/>
  <c r="AC126" i="11"/>
  <c r="AD126" i="11"/>
  <c r="AA127" i="11"/>
  <c r="AB127" i="11"/>
  <c r="AC127" i="11"/>
  <c r="AD127" i="11"/>
  <c r="AA128" i="11"/>
  <c r="AB128" i="11"/>
  <c r="AC128" i="11"/>
  <c r="AD128" i="11"/>
  <c r="AA129" i="11"/>
  <c r="AB129" i="11"/>
  <c r="AC129" i="11"/>
  <c r="AD129" i="11"/>
  <c r="AA130" i="11"/>
  <c r="AB130" i="11"/>
  <c r="AC130" i="11"/>
  <c r="AD130" i="11"/>
  <c r="AA131" i="11"/>
  <c r="AB131" i="11"/>
  <c r="AC131" i="11"/>
  <c r="AD131" i="11"/>
  <c r="AA132" i="11"/>
  <c r="AB132" i="11"/>
  <c r="AC132" i="11"/>
  <c r="AD132" i="11"/>
  <c r="AA133" i="11"/>
  <c r="AB133" i="11"/>
  <c r="AC133" i="11"/>
  <c r="AD133" i="11"/>
  <c r="AA134" i="11"/>
  <c r="AB134" i="11"/>
  <c r="AC134" i="11"/>
  <c r="AD134" i="11"/>
  <c r="AA135" i="11"/>
  <c r="AB135" i="11"/>
  <c r="AC135" i="11"/>
  <c r="AD135" i="11"/>
  <c r="AA136" i="11"/>
  <c r="AB136" i="11"/>
  <c r="AC136" i="11"/>
  <c r="AD136" i="11"/>
  <c r="AA137" i="11"/>
  <c r="AB137" i="11"/>
  <c r="AC137" i="11"/>
  <c r="AD137" i="11"/>
  <c r="AA138" i="11"/>
  <c r="AB138" i="11"/>
  <c r="AC138" i="11"/>
  <c r="AD138" i="11"/>
  <c r="AA139" i="11"/>
  <c r="AB139" i="11"/>
  <c r="AC139" i="11"/>
  <c r="AD139" i="11"/>
  <c r="AA140" i="11"/>
  <c r="AB140" i="11"/>
  <c r="AC140" i="11"/>
  <c r="AD140" i="11"/>
  <c r="AA141" i="11"/>
  <c r="AB141" i="11"/>
  <c r="AC141" i="11"/>
  <c r="AD141" i="11"/>
  <c r="AA142" i="11"/>
  <c r="AB142" i="11"/>
  <c r="AC142" i="11"/>
  <c r="AD142" i="11"/>
  <c r="AA143" i="11"/>
  <c r="AB143" i="11"/>
  <c r="AC143" i="11"/>
  <c r="AD143" i="11"/>
  <c r="AA144" i="11"/>
  <c r="AB144" i="11"/>
  <c r="AC144" i="11"/>
  <c r="AD144" i="11"/>
  <c r="AA145" i="11"/>
  <c r="AB145" i="11"/>
  <c r="AC145" i="11"/>
  <c r="AD145" i="11"/>
  <c r="AA146" i="11"/>
  <c r="AB146" i="11"/>
  <c r="AC146" i="11"/>
  <c r="AD146" i="11"/>
  <c r="AA147" i="11"/>
  <c r="AB147" i="11"/>
  <c r="AC147" i="11"/>
  <c r="AD147" i="11"/>
  <c r="AA148" i="11"/>
  <c r="AB148" i="11"/>
  <c r="AC148" i="11"/>
  <c r="AD148" i="11"/>
  <c r="AA149" i="11"/>
  <c r="AB149" i="11"/>
  <c r="AC149" i="11"/>
  <c r="AD149" i="11"/>
  <c r="AA150" i="11"/>
  <c r="AB150" i="11"/>
  <c r="AC150" i="11"/>
  <c r="AD150" i="11"/>
  <c r="AA151" i="11"/>
  <c r="AB151" i="11"/>
  <c r="AC151" i="11"/>
  <c r="AD151" i="11"/>
  <c r="AA152" i="11"/>
  <c r="AB152" i="11"/>
  <c r="AC152" i="11"/>
  <c r="AD152" i="11"/>
  <c r="AA153" i="11"/>
  <c r="AB153" i="11"/>
  <c r="AC153" i="11"/>
  <c r="AD153" i="11"/>
  <c r="AA154" i="11"/>
  <c r="AB154" i="11"/>
  <c r="AC154" i="11"/>
  <c r="AD154" i="11"/>
  <c r="AA155" i="11"/>
  <c r="AB155" i="11"/>
  <c r="AC155" i="11"/>
  <c r="AD155" i="11"/>
  <c r="AA156" i="11"/>
  <c r="AB156" i="11"/>
  <c r="AC156" i="11"/>
  <c r="AD156" i="11"/>
  <c r="AA157" i="11"/>
  <c r="AB157" i="11"/>
  <c r="AC157" i="11"/>
  <c r="AD157" i="11"/>
  <c r="AA158" i="11"/>
  <c r="AB158" i="11"/>
  <c r="AC158" i="11"/>
  <c r="AD158" i="11"/>
  <c r="AA159" i="11"/>
  <c r="AB159" i="11"/>
  <c r="AC159" i="11"/>
  <c r="AD159" i="11"/>
  <c r="AA160" i="11"/>
  <c r="AB160" i="11"/>
  <c r="AC160" i="11"/>
  <c r="AD160" i="11"/>
  <c r="AA161" i="11"/>
  <c r="AB161" i="11"/>
  <c r="AC161" i="11"/>
  <c r="AD161" i="11"/>
  <c r="AA162" i="11"/>
  <c r="AB162" i="11"/>
  <c r="AC162" i="11"/>
  <c r="AD162" i="11"/>
  <c r="AA163" i="11"/>
  <c r="AB163" i="11"/>
  <c r="AC163" i="11"/>
  <c r="AD163" i="11"/>
  <c r="AA164" i="11"/>
  <c r="AB164" i="11"/>
  <c r="AC164" i="11"/>
  <c r="AD164" i="11"/>
  <c r="AA165" i="11"/>
  <c r="AB165" i="11"/>
  <c r="AC165" i="11"/>
  <c r="AD165" i="11"/>
  <c r="AA166" i="11"/>
  <c r="AB166" i="11"/>
  <c r="AC166" i="11"/>
  <c r="AD166" i="11"/>
  <c r="AA167" i="11"/>
  <c r="AB167" i="11"/>
  <c r="AC167" i="11"/>
  <c r="AD167" i="11"/>
  <c r="AA168" i="11"/>
  <c r="AB168" i="11"/>
  <c r="AC168" i="11"/>
  <c r="AD168" i="11"/>
  <c r="AA169" i="11"/>
  <c r="AB169" i="11"/>
  <c r="AC169" i="11"/>
  <c r="AD169" i="11"/>
  <c r="AA170" i="11"/>
  <c r="AB170" i="11"/>
  <c r="AC170" i="11"/>
  <c r="AD170" i="11"/>
  <c r="AA171" i="11"/>
  <c r="AB171" i="11"/>
  <c r="AC171" i="11"/>
  <c r="AD171" i="11"/>
  <c r="AA172" i="11"/>
  <c r="AB172" i="11"/>
  <c r="AC172" i="11"/>
  <c r="AD172" i="11"/>
  <c r="AA173" i="11"/>
  <c r="AB173" i="11"/>
  <c r="AC173" i="11"/>
  <c r="AD173" i="11"/>
  <c r="AA174" i="11"/>
  <c r="AB174" i="11"/>
  <c r="AC174" i="11"/>
  <c r="AD174" i="11"/>
  <c r="AA175" i="11"/>
  <c r="AB175" i="11"/>
  <c r="AC175" i="11"/>
  <c r="AD175" i="11"/>
  <c r="AA176" i="11"/>
  <c r="AB176" i="11"/>
  <c r="AC176" i="11"/>
  <c r="AD176" i="11"/>
  <c r="AA177" i="11"/>
  <c r="AB177" i="11"/>
  <c r="AC177" i="11"/>
  <c r="AD177" i="11"/>
  <c r="AA178" i="11"/>
  <c r="AB178" i="11"/>
  <c r="AC178" i="11"/>
  <c r="AD178" i="11"/>
  <c r="AA179" i="11"/>
  <c r="AB179" i="11"/>
  <c r="AC179" i="11"/>
  <c r="AD179" i="11"/>
  <c r="AA180" i="11"/>
  <c r="AB180" i="11"/>
  <c r="AC180" i="11"/>
  <c r="AD180" i="11"/>
  <c r="AA181" i="11"/>
  <c r="AB181" i="11"/>
  <c r="AC181" i="11"/>
  <c r="AD181" i="11"/>
  <c r="AA182" i="11"/>
  <c r="AB182" i="11"/>
  <c r="AC182" i="11"/>
  <c r="AD182" i="11"/>
  <c r="AA183" i="11"/>
  <c r="AB183" i="11"/>
  <c r="AC183" i="11"/>
  <c r="AD183" i="11"/>
  <c r="AA184" i="11"/>
  <c r="AB184" i="11"/>
  <c r="AC184" i="11"/>
  <c r="AD184" i="11"/>
  <c r="AA185" i="11"/>
  <c r="AB185" i="11"/>
  <c r="AC185" i="11"/>
  <c r="AD185" i="11"/>
  <c r="AA186" i="11"/>
  <c r="AB186" i="11"/>
  <c r="AC186" i="11"/>
  <c r="AD186" i="11"/>
  <c r="AA187" i="11"/>
  <c r="AB187" i="11"/>
  <c r="AC187" i="11"/>
  <c r="AD187" i="11"/>
  <c r="AA188" i="11"/>
  <c r="AB188" i="11"/>
  <c r="AC188" i="11"/>
  <c r="AD188" i="11"/>
  <c r="AA189" i="11"/>
  <c r="AB189" i="11"/>
  <c r="AC189" i="11"/>
  <c r="AD189" i="11"/>
  <c r="AA190" i="11"/>
  <c r="AB190" i="11"/>
  <c r="AC190" i="11"/>
  <c r="AD190" i="11"/>
  <c r="AA191" i="11"/>
  <c r="AB191" i="11"/>
  <c r="AC191" i="11"/>
  <c r="AD191" i="11"/>
  <c r="AA192" i="11"/>
  <c r="AB192" i="11"/>
  <c r="AC192" i="11"/>
  <c r="AD192" i="11"/>
  <c r="AA193" i="11"/>
  <c r="AB193" i="11"/>
  <c r="AC193" i="11"/>
  <c r="AD193" i="11"/>
  <c r="AA194" i="11"/>
  <c r="AB194" i="11"/>
  <c r="AC194" i="11"/>
  <c r="AD194" i="11"/>
  <c r="AA195" i="11"/>
  <c r="AB195" i="11"/>
  <c r="AC195" i="11"/>
  <c r="AD195" i="11"/>
  <c r="AA196" i="11"/>
  <c r="AB196" i="11"/>
  <c r="AC196" i="11"/>
  <c r="AD196" i="11"/>
  <c r="AA197" i="11"/>
  <c r="AB197" i="11"/>
  <c r="AC197" i="11"/>
  <c r="AD197" i="11"/>
  <c r="AA198" i="11"/>
  <c r="AB198" i="11"/>
  <c r="AC198" i="11"/>
  <c r="AD198" i="11"/>
  <c r="AA199" i="11"/>
  <c r="AB199" i="11"/>
  <c r="AC199" i="11"/>
  <c r="AD199" i="11"/>
  <c r="AA200" i="11"/>
  <c r="AB200" i="11"/>
  <c r="AC200" i="11"/>
  <c r="AD200" i="11"/>
  <c r="AA201" i="11"/>
  <c r="AB201" i="11"/>
  <c r="AC201" i="11"/>
  <c r="AD201" i="11"/>
  <c r="AA202" i="11"/>
  <c r="AB202" i="11"/>
  <c r="AC202" i="11"/>
  <c r="AD202" i="11"/>
  <c r="AA203" i="11"/>
  <c r="AB203" i="11"/>
  <c r="AC203" i="11"/>
  <c r="AD203" i="11"/>
  <c r="AA204" i="11"/>
  <c r="AB204" i="11"/>
  <c r="AC204" i="11"/>
  <c r="AD204" i="11"/>
  <c r="AA205" i="11"/>
  <c r="AB205" i="11"/>
  <c r="AC205" i="11"/>
  <c r="AD205" i="11"/>
  <c r="AA206" i="11"/>
  <c r="AB206" i="11"/>
  <c r="AC206" i="11"/>
  <c r="AD206" i="11"/>
  <c r="AA207" i="11"/>
  <c r="AB207" i="11"/>
  <c r="AC207" i="11"/>
  <c r="AD207" i="11"/>
  <c r="AA208" i="11"/>
  <c r="AB208" i="11"/>
  <c r="AC208" i="11"/>
  <c r="AD208" i="11"/>
  <c r="AA209" i="11"/>
  <c r="AB209" i="11"/>
  <c r="AC209" i="11"/>
  <c r="AD209" i="11"/>
  <c r="AA210" i="11"/>
  <c r="AB210" i="11"/>
  <c r="AC210" i="11"/>
  <c r="AD210" i="11"/>
  <c r="AA211" i="11"/>
  <c r="AB211" i="11"/>
  <c r="AC211" i="11"/>
  <c r="AD211" i="11"/>
  <c r="AA212" i="11"/>
  <c r="AB212" i="11"/>
  <c r="AC212" i="11"/>
  <c r="AD212" i="11"/>
  <c r="AA213" i="11"/>
  <c r="AB213" i="11"/>
  <c r="AC213" i="11"/>
  <c r="AD213" i="11"/>
  <c r="AA214" i="11"/>
  <c r="AB214" i="11"/>
  <c r="AC214" i="11"/>
  <c r="AD214" i="11"/>
  <c r="AA215" i="11"/>
  <c r="AB215" i="11"/>
  <c r="AC215" i="11"/>
  <c r="AD215" i="11"/>
  <c r="AA216" i="11"/>
  <c r="AB216" i="11"/>
  <c r="AC216" i="11"/>
  <c r="AD216" i="11"/>
  <c r="AA217" i="11"/>
  <c r="AB217" i="11"/>
  <c r="AC217" i="11"/>
  <c r="AD217" i="11"/>
  <c r="AA218" i="11"/>
  <c r="AB218" i="11"/>
  <c r="AC218" i="11"/>
  <c r="AD218" i="11"/>
  <c r="AA219" i="11"/>
  <c r="AB219" i="11"/>
  <c r="AC219" i="11"/>
  <c r="AD219" i="11"/>
  <c r="AA220" i="11"/>
  <c r="AB220" i="11"/>
  <c r="AC220" i="11"/>
  <c r="AD220" i="11"/>
  <c r="AA221" i="11"/>
  <c r="AB221" i="11"/>
  <c r="AC221" i="11"/>
  <c r="AD221" i="11"/>
  <c r="AA222" i="11"/>
  <c r="AB222" i="11"/>
  <c r="AC222" i="11"/>
  <c r="AD222" i="11"/>
  <c r="AA223" i="11"/>
  <c r="AB223" i="11"/>
  <c r="AC223" i="11"/>
  <c r="AD223" i="11"/>
  <c r="AA224" i="11"/>
  <c r="AB224" i="11"/>
  <c r="AC224" i="11"/>
  <c r="AD224" i="11"/>
  <c r="AA225" i="11"/>
  <c r="AB225" i="11"/>
  <c r="AC225" i="11"/>
  <c r="AD225" i="11"/>
  <c r="AA226" i="11"/>
  <c r="AB226" i="11"/>
  <c r="AC226" i="11"/>
  <c r="AD226" i="11"/>
  <c r="AA227" i="11"/>
  <c r="AB227" i="11"/>
  <c r="AC227" i="11"/>
  <c r="AD227" i="11"/>
  <c r="AA228" i="11"/>
  <c r="AB228" i="11"/>
  <c r="AC228" i="11"/>
  <c r="AD228" i="11"/>
  <c r="AA229" i="11"/>
  <c r="AB229" i="11"/>
  <c r="AC229" i="11"/>
  <c r="AD229" i="11"/>
  <c r="AA230" i="11"/>
  <c r="AB230" i="11"/>
  <c r="AC230" i="11"/>
  <c r="AD230" i="11"/>
  <c r="AA231" i="11"/>
  <c r="AB231" i="11"/>
  <c r="AC231" i="11"/>
  <c r="AD231" i="11"/>
  <c r="AA232" i="11"/>
  <c r="AB232" i="11"/>
  <c r="AC232" i="11"/>
  <c r="AD232" i="11"/>
  <c r="AA233" i="11"/>
  <c r="AB233" i="11"/>
  <c r="AC233" i="11"/>
  <c r="AD233" i="11"/>
  <c r="AA234" i="11"/>
  <c r="AB234" i="11"/>
  <c r="AC234" i="11"/>
  <c r="AD234" i="11"/>
  <c r="AA235" i="11"/>
  <c r="AB235" i="11"/>
  <c r="AC235" i="11"/>
  <c r="AD235" i="11"/>
  <c r="AA236" i="11"/>
  <c r="AB236" i="11"/>
  <c r="AC236" i="11"/>
  <c r="AD236" i="11"/>
  <c r="AA237" i="11"/>
  <c r="AB237" i="11"/>
  <c r="AC237" i="11"/>
  <c r="AD237" i="11"/>
  <c r="AA238" i="11"/>
  <c r="AB238" i="11"/>
  <c r="AC238" i="11"/>
  <c r="AD238" i="11"/>
  <c r="AA239" i="11"/>
  <c r="AB239" i="11"/>
  <c r="AC239" i="11"/>
  <c r="AD239" i="11"/>
  <c r="AA240" i="11"/>
  <c r="AB240" i="11"/>
  <c r="AC240" i="11"/>
  <c r="AD240" i="11"/>
  <c r="AA241" i="11"/>
  <c r="AB241" i="11"/>
  <c r="AC241" i="11"/>
  <c r="AD241" i="11"/>
  <c r="AA242" i="11"/>
  <c r="AB242" i="11"/>
  <c r="AC242" i="11"/>
  <c r="AD242" i="11"/>
  <c r="AA243" i="11"/>
  <c r="AB243" i="11"/>
  <c r="AC243" i="11"/>
  <c r="AD243" i="11"/>
  <c r="AA244" i="11"/>
  <c r="AB244" i="11"/>
  <c r="AC244" i="11"/>
  <c r="AD244" i="11"/>
  <c r="AA245" i="11"/>
  <c r="AB245" i="11"/>
  <c r="AC245" i="11"/>
  <c r="AD245" i="11"/>
  <c r="AA246" i="11"/>
  <c r="AB246" i="11"/>
  <c r="AC246" i="11"/>
  <c r="AD246" i="11"/>
  <c r="AA247" i="11"/>
  <c r="AB247" i="11"/>
  <c r="AC247" i="11"/>
  <c r="AD247" i="11"/>
  <c r="AA248" i="11"/>
  <c r="AB248" i="11"/>
  <c r="AC248" i="11"/>
  <c r="AD248" i="11"/>
  <c r="AA249" i="11"/>
  <c r="AB249" i="11"/>
  <c r="AC249" i="11"/>
  <c r="AD249" i="11"/>
  <c r="AA250" i="11"/>
  <c r="AB250" i="11"/>
  <c r="AC250" i="11"/>
  <c r="AD250" i="11"/>
  <c r="AA251" i="11"/>
  <c r="AB251" i="11"/>
  <c r="AC251" i="11"/>
  <c r="AD251" i="11"/>
  <c r="AA252" i="11"/>
  <c r="AB252" i="11"/>
  <c r="AC252" i="11"/>
  <c r="AD252" i="11"/>
  <c r="AA253" i="11"/>
  <c r="AB253" i="11"/>
  <c r="AC253" i="11"/>
  <c r="AD253" i="11"/>
  <c r="AA254" i="11"/>
  <c r="AB254" i="11"/>
  <c r="AC254" i="11"/>
  <c r="AD254" i="11"/>
  <c r="AA255" i="11"/>
  <c r="AB255" i="11"/>
  <c r="AC255" i="11"/>
  <c r="AD255" i="11"/>
  <c r="AA256" i="11"/>
  <c r="AB256" i="11"/>
  <c r="AC256" i="11"/>
  <c r="AD256" i="11"/>
  <c r="AA257" i="11"/>
  <c r="AB257" i="11"/>
  <c r="AC257" i="11"/>
  <c r="AD257" i="11"/>
  <c r="AA258" i="11"/>
  <c r="AB258" i="11"/>
  <c r="AC258" i="11"/>
  <c r="AD258" i="11"/>
  <c r="AA259" i="11"/>
  <c r="AB259" i="11"/>
  <c r="AC259" i="11"/>
  <c r="AD259" i="11"/>
  <c r="AA260" i="11"/>
  <c r="AB260" i="11"/>
  <c r="AC260" i="11"/>
  <c r="AD260" i="11"/>
  <c r="AA261" i="11"/>
  <c r="AB261" i="11"/>
  <c r="AC261" i="11"/>
  <c r="AD261" i="11"/>
  <c r="AA262" i="11"/>
  <c r="AB262" i="11"/>
  <c r="AC262" i="11"/>
  <c r="AD262" i="11"/>
  <c r="AA263" i="11"/>
  <c r="AB263" i="11"/>
  <c r="AC263" i="11"/>
  <c r="AD263" i="11"/>
  <c r="AA264" i="11"/>
  <c r="AB264" i="11"/>
  <c r="AC264" i="11"/>
  <c r="AD264" i="11"/>
  <c r="AA265" i="11"/>
  <c r="AB265" i="11"/>
  <c r="AC265" i="11"/>
  <c r="AD265" i="11"/>
  <c r="AA266" i="11"/>
  <c r="AB266" i="11"/>
  <c r="AC266" i="11"/>
  <c r="AD266" i="11"/>
  <c r="AA267" i="11"/>
  <c r="AB267" i="11"/>
  <c r="AC267" i="11"/>
  <c r="AD267" i="11"/>
  <c r="AA268" i="11"/>
  <c r="AB268" i="11"/>
  <c r="AC268" i="11"/>
  <c r="AD268" i="11"/>
  <c r="AA269" i="11"/>
  <c r="AB269" i="11"/>
  <c r="AC269" i="11"/>
  <c r="AD269" i="11"/>
  <c r="AA270" i="11"/>
  <c r="AB270" i="11"/>
  <c r="AC270" i="11"/>
  <c r="AD270" i="11"/>
  <c r="AA271" i="11"/>
  <c r="AB271" i="11"/>
  <c r="AC271" i="11"/>
  <c r="AD271" i="11"/>
  <c r="AA272" i="11"/>
  <c r="AB272" i="11"/>
  <c r="AC272" i="11"/>
  <c r="AD272" i="11"/>
  <c r="AA273" i="11"/>
  <c r="AB273" i="11"/>
  <c r="AC273" i="11"/>
  <c r="AD273" i="11"/>
  <c r="AA274" i="11"/>
  <c r="AB274" i="11"/>
  <c r="AC274" i="11"/>
  <c r="AD274" i="11"/>
  <c r="AA275" i="11"/>
  <c r="AB275" i="11"/>
  <c r="AC275" i="11"/>
  <c r="AD275" i="11"/>
  <c r="AA276" i="11"/>
  <c r="AB276" i="11"/>
  <c r="AC276" i="11"/>
  <c r="AD276" i="11"/>
  <c r="AA277" i="11"/>
  <c r="AB277" i="11"/>
  <c r="AC277" i="11"/>
  <c r="AD277" i="11"/>
  <c r="AA278" i="11"/>
  <c r="AB278" i="11"/>
  <c r="AC278" i="11"/>
  <c r="AD278" i="11"/>
  <c r="AA279" i="11"/>
  <c r="AB279" i="11"/>
  <c r="AC279" i="11"/>
  <c r="AD279" i="11"/>
  <c r="AA280" i="11"/>
  <c r="AB280" i="11"/>
  <c r="AC280" i="11"/>
  <c r="AD280" i="11"/>
  <c r="AA281" i="11"/>
  <c r="AB281" i="11"/>
  <c r="AC281" i="11"/>
  <c r="AD281" i="11"/>
  <c r="AA282" i="11"/>
  <c r="AB282" i="11"/>
  <c r="AC282" i="11"/>
  <c r="AD282" i="11"/>
  <c r="AA283" i="11"/>
  <c r="AB283" i="11"/>
  <c r="AC283" i="11"/>
  <c r="AD283" i="11"/>
  <c r="AA284" i="11"/>
  <c r="AB284" i="11"/>
  <c r="AC284" i="11"/>
  <c r="AD284" i="11"/>
  <c r="AA285" i="11"/>
  <c r="AB285" i="11"/>
  <c r="AC285" i="11"/>
  <c r="AD285" i="11"/>
  <c r="AA286" i="11"/>
  <c r="AB286" i="11"/>
  <c r="AC286" i="11"/>
  <c r="AD286" i="11"/>
  <c r="AA287" i="11"/>
  <c r="AB287" i="11"/>
  <c r="AC287" i="11"/>
  <c r="AD287" i="11"/>
  <c r="AA288" i="11"/>
  <c r="AB288" i="11"/>
  <c r="AC288" i="11"/>
  <c r="AD288" i="11"/>
  <c r="AA289" i="11"/>
  <c r="AB289" i="11"/>
  <c r="AC289" i="11"/>
  <c r="AD289" i="11"/>
  <c r="AA290" i="11"/>
  <c r="AB290" i="11"/>
  <c r="AC290" i="11"/>
  <c r="AD290" i="11"/>
  <c r="AA291" i="11"/>
  <c r="AB291" i="11"/>
  <c r="AC291" i="11"/>
  <c r="AD291" i="11"/>
  <c r="AA292" i="11"/>
  <c r="AB292" i="11"/>
  <c r="AC292" i="11"/>
  <c r="AD292" i="11"/>
  <c r="AA293" i="11"/>
  <c r="AB293" i="11"/>
  <c r="AC293" i="11"/>
  <c r="AD293" i="11"/>
  <c r="AA294" i="11"/>
  <c r="AB294" i="11"/>
  <c r="AC294" i="11"/>
  <c r="AD294" i="11"/>
  <c r="AA295" i="11"/>
  <c r="AB295" i="11"/>
  <c r="AC295" i="11"/>
  <c r="AD295" i="11"/>
  <c r="AA296" i="11"/>
  <c r="AB296" i="11"/>
  <c r="AC296" i="11"/>
  <c r="AD296" i="11"/>
  <c r="AA297" i="11"/>
  <c r="AB297" i="11"/>
  <c r="AC297" i="11"/>
  <c r="AD297" i="11"/>
  <c r="AA298" i="11"/>
  <c r="AB298" i="11"/>
  <c r="AC298" i="11"/>
  <c r="AD298" i="11"/>
  <c r="AA299" i="11"/>
  <c r="AB299" i="11"/>
  <c r="AC299" i="11"/>
  <c r="AD299" i="11"/>
  <c r="AA300" i="11"/>
  <c r="AB300" i="11"/>
  <c r="AC300" i="11"/>
  <c r="AD300" i="11"/>
  <c r="AA301" i="11"/>
  <c r="AB301" i="11"/>
  <c r="AC301" i="11"/>
  <c r="AD301" i="11"/>
  <c r="AA302" i="11"/>
  <c r="AB302" i="11"/>
  <c r="AC302" i="11"/>
  <c r="AD302" i="11"/>
  <c r="AA303" i="11"/>
  <c r="AB303" i="11"/>
  <c r="AC303" i="11"/>
  <c r="AD303" i="11"/>
  <c r="AA304" i="11"/>
  <c r="AB304" i="11"/>
  <c r="AC304" i="11"/>
  <c r="AD304" i="11"/>
  <c r="AA305" i="11"/>
  <c r="AB305" i="11"/>
  <c r="AC305" i="11"/>
  <c r="AD305" i="11"/>
  <c r="AA306" i="11"/>
  <c r="AB306" i="11"/>
  <c r="AC306" i="11"/>
  <c r="AD306" i="11"/>
  <c r="AA307" i="11"/>
  <c r="AB307" i="11"/>
  <c r="AC307" i="11"/>
  <c r="AD307" i="11"/>
  <c r="AA308" i="11"/>
  <c r="AB308" i="11"/>
  <c r="AC308" i="11"/>
  <c r="AD308" i="11"/>
  <c r="AA309" i="11"/>
  <c r="AB309" i="11"/>
  <c r="AC309" i="11"/>
  <c r="AD309" i="11"/>
  <c r="AA310" i="11"/>
  <c r="AB310" i="11"/>
  <c r="AC310" i="11"/>
  <c r="AD310" i="11"/>
  <c r="AA311" i="11"/>
  <c r="AB311" i="11"/>
  <c r="AC311" i="11"/>
  <c r="AD311" i="11"/>
  <c r="AA312" i="11"/>
  <c r="AB312" i="11"/>
  <c r="AC312" i="11"/>
  <c r="AD312" i="11"/>
  <c r="AA313" i="11"/>
  <c r="AB313" i="11"/>
  <c r="AC313" i="11"/>
  <c r="AD313" i="11"/>
  <c r="AA314" i="11"/>
  <c r="AB314" i="11"/>
  <c r="AC314" i="11"/>
  <c r="AD314" i="11"/>
  <c r="AA315" i="11"/>
  <c r="AB315" i="11"/>
  <c r="AC315" i="11"/>
  <c r="AD315" i="11"/>
  <c r="AA316" i="11"/>
  <c r="AB316" i="11"/>
  <c r="AC316" i="11"/>
  <c r="AD316" i="11"/>
  <c r="AA317" i="11"/>
  <c r="AB317" i="11"/>
  <c r="AC317" i="11"/>
  <c r="AD317" i="11"/>
  <c r="AA318" i="11"/>
  <c r="AB318" i="11"/>
  <c r="AC318" i="11"/>
  <c r="AD318" i="11"/>
  <c r="AA319" i="11"/>
  <c r="AB319" i="11"/>
  <c r="AC319" i="11"/>
  <c r="AD319" i="11"/>
  <c r="AA320" i="11"/>
  <c r="AB320" i="11"/>
  <c r="AC320" i="11"/>
  <c r="AD320" i="11"/>
  <c r="AA321" i="11"/>
  <c r="AB321" i="11"/>
  <c r="AC321" i="11"/>
  <c r="AD321" i="11"/>
  <c r="AA322" i="11"/>
  <c r="AB322" i="11"/>
  <c r="AC322" i="11"/>
  <c r="AD322" i="11"/>
  <c r="AA323" i="11"/>
  <c r="AB323" i="11"/>
  <c r="AC323" i="11"/>
  <c r="AD323" i="11"/>
  <c r="AA324" i="11"/>
  <c r="AB324" i="11"/>
  <c r="AC324" i="11"/>
  <c r="AD324" i="11"/>
  <c r="AA325" i="11"/>
  <c r="AB325" i="11"/>
  <c r="AC325" i="11"/>
  <c r="AD325" i="11"/>
  <c r="AA326" i="11"/>
  <c r="AB326" i="11"/>
  <c r="AC326" i="11"/>
  <c r="AD326" i="11"/>
  <c r="AA327" i="11"/>
  <c r="AB327" i="11"/>
  <c r="AC327" i="11"/>
  <c r="AD327" i="11"/>
  <c r="AA328" i="11"/>
  <c r="AB328" i="11"/>
  <c r="AC328" i="11"/>
  <c r="AD328" i="11"/>
  <c r="AA329" i="11"/>
  <c r="AB329" i="11"/>
  <c r="AC329" i="11"/>
  <c r="AD329" i="11"/>
  <c r="AA330" i="11"/>
  <c r="AB330" i="11"/>
  <c r="AC330" i="11"/>
  <c r="AD330" i="11"/>
  <c r="AA331" i="11"/>
  <c r="AB331" i="11"/>
  <c r="AC331" i="11"/>
  <c r="AD331" i="11"/>
  <c r="AA332" i="11"/>
  <c r="AB332" i="11"/>
  <c r="AC332" i="11"/>
  <c r="AD332" i="11"/>
  <c r="AA333" i="11"/>
  <c r="AB333" i="11"/>
  <c r="AC333" i="11"/>
  <c r="AD333" i="11"/>
  <c r="AA334" i="11"/>
  <c r="AB334" i="11"/>
  <c r="AC334" i="11"/>
  <c r="AD334" i="11"/>
  <c r="AA335" i="11"/>
  <c r="AB335" i="11"/>
  <c r="AC335" i="11"/>
  <c r="AD335" i="11"/>
  <c r="AA336" i="11"/>
  <c r="AB336" i="11"/>
  <c r="AC336" i="11"/>
  <c r="AD336" i="11"/>
  <c r="AA337" i="11"/>
  <c r="AB337" i="11"/>
  <c r="AC337" i="11"/>
  <c r="AD337" i="11"/>
  <c r="AA338" i="11"/>
  <c r="AB338" i="11"/>
  <c r="AC338" i="11"/>
  <c r="AD338" i="11"/>
  <c r="AA339" i="11"/>
  <c r="AB339" i="11"/>
  <c r="AC339" i="11"/>
  <c r="AD339" i="11"/>
  <c r="AA340" i="11"/>
  <c r="AB340" i="11"/>
  <c r="AC340" i="11"/>
  <c r="AD340" i="11"/>
  <c r="AA341" i="11"/>
  <c r="AB341" i="11"/>
  <c r="AC341" i="11"/>
  <c r="AD341" i="11"/>
  <c r="AA342" i="11"/>
  <c r="AB342" i="11"/>
  <c r="AC342" i="11"/>
  <c r="AD342" i="11"/>
  <c r="AA343" i="11"/>
  <c r="AB343" i="11"/>
  <c r="AC343" i="11"/>
  <c r="AD343" i="11"/>
  <c r="AA344" i="11"/>
  <c r="AB344" i="11"/>
  <c r="AC344" i="11"/>
  <c r="AD344" i="11"/>
  <c r="AA345" i="11"/>
  <c r="AB345" i="11"/>
  <c r="AC345" i="11"/>
  <c r="AD345" i="11"/>
  <c r="AA346" i="11"/>
  <c r="AB346" i="11"/>
  <c r="AC346" i="11"/>
  <c r="AD346" i="11"/>
  <c r="AA347" i="11"/>
  <c r="AB347" i="11"/>
  <c r="AC347" i="11"/>
  <c r="AD347" i="11"/>
  <c r="AA348" i="11"/>
  <c r="AB348" i="11"/>
  <c r="AC348" i="11"/>
  <c r="AD348" i="11"/>
  <c r="AA349" i="11"/>
  <c r="AB349" i="11"/>
  <c r="AC349" i="11"/>
  <c r="AD349" i="11"/>
  <c r="AA350" i="11"/>
  <c r="AB350" i="11"/>
  <c r="AC350" i="11"/>
  <c r="AD350" i="11"/>
  <c r="AA351" i="11"/>
  <c r="AB351" i="11"/>
  <c r="AC351" i="11"/>
  <c r="AD351" i="11"/>
  <c r="AA352" i="11"/>
  <c r="AB352" i="11"/>
  <c r="AC352" i="11"/>
  <c r="AD352" i="11"/>
  <c r="AA353" i="11"/>
  <c r="AB353" i="11"/>
  <c r="AC353" i="11"/>
  <c r="AD353" i="11"/>
  <c r="AA354" i="11"/>
  <c r="AB354" i="11"/>
  <c r="AC354" i="11"/>
  <c r="AD354" i="11"/>
  <c r="AA355" i="11"/>
  <c r="AB355" i="11"/>
  <c r="AC355" i="11"/>
  <c r="AD355" i="11"/>
  <c r="AA356" i="11"/>
  <c r="AB356" i="11"/>
  <c r="AC356" i="11"/>
  <c r="AD356" i="11"/>
  <c r="AA357" i="11"/>
  <c r="AB357" i="11"/>
  <c r="AC357" i="11"/>
  <c r="AD357" i="11"/>
  <c r="AA358" i="11"/>
  <c r="AB358" i="11"/>
  <c r="AC358" i="11"/>
  <c r="AD358" i="11"/>
  <c r="AA359" i="11"/>
  <c r="AB359" i="11"/>
  <c r="AC359" i="11"/>
  <c r="AD359" i="11"/>
  <c r="AA360" i="11"/>
  <c r="AB360" i="11"/>
  <c r="AC360" i="11"/>
  <c r="AD360" i="11"/>
  <c r="AA361" i="11"/>
  <c r="AB361" i="11"/>
  <c r="AC361" i="11"/>
  <c r="AD361" i="11"/>
  <c r="AA362" i="11"/>
  <c r="AB362" i="11"/>
  <c r="AC362" i="11"/>
  <c r="AD362" i="11"/>
  <c r="AA363" i="11"/>
  <c r="AB363" i="11"/>
  <c r="AC363" i="11"/>
  <c r="AD363" i="11"/>
  <c r="AA364" i="11"/>
  <c r="AB364" i="11"/>
  <c r="AC364" i="11"/>
  <c r="AD364" i="11"/>
  <c r="AA365" i="11"/>
  <c r="AB365" i="11"/>
  <c r="AC365" i="11"/>
  <c r="AD365" i="11"/>
  <c r="AA366" i="11"/>
  <c r="AB366" i="11"/>
  <c r="AC366" i="11"/>
  <c r="AD366" i="11"/>
  <c r="AA367" i="11"/>
  <c r="AB367" i="11"/>
  <c r="AC367" i="11"/>
  <c r="AD367" i="11"/>
  <c r="AA368" i="11"/>
  <c r="AB368" i="11"/>
  <c r="AC368" i="11"/>
  <c r="AD368" i="11"/>
  <c r="AA369" i="11"/>
  <c r="AB369" i="11"/>
  <c r="AC369" i="11"/>
  <c r="AD369" i="11"/>
  <c r="AA370" i="11"/>
  <c r="AB370" i="11"/>
  <c r="AC370" i="11"/>
  <c r="AD370" i="11"/>
  <c r="AA371" i="11"/>
  <c r="AB371" i="11"/>
  <c r="AC371" i="11"/>
  <c r="AD371" i="11"/>
  <c r="AA372" i="11"/>
  <c r="AB372" i="11"/>
  <c r="AC372" i="11"/>
  <c r="AD372" i="11"/>
  <c r="AA373" i="11"/>
  <c r="AB373" i="11"/>
  <c r="AC373" i="11"/>
  <c r="AD373" i="11"/>
  <c r="AA374" i="11"/>
  <c r="AB374" i="11"/>
  <c r="AC374" i="11"/>
  <c r="AD374" i="11"/>
  <c r="AA375" i="11"/>
  <c r="AB375" i="11"/>
  <c r="AC375" i="11"/>
  <c r="AD375" i="11"/>
  <c r="AA376" i="11"/>
  <c r="AB376" i="11"/>
  <c r="AC376" i="11"/>
  <c r="AD376" i="11"/>
  <c r="AA377" i="11"/>
  <c r="AB377" i="11"/>
  <c r="AC377" i="11"/>
  <c r="AD377" i="11"/>
  <c r="AA378" i="11"/>
  <c r="AB378" i="11"/>
  <c r="AC378" i="11"/>
  <c r="AD378" i="11"/>
  <c r="AA379" i="11"/>
  <c r="AB379" i="11"/>
  <c r="AC379" i="11"/>
  <c r="AD379" i="11"/>
  <c r="AA380" i="11"/>
  <c r="AB380" i="11"/>
  <c r="AC380" i="11"/>
  <c r="AD380" i="11"/>
  <c r="AA381" i="11"/>
  <c r="AB381" i="11"/>
  <c r="AC381" i="11"/>
  <c r="AD381" i="11"/>
  <c r="AA382" i="11"/>
  <c r="AB382" i="11"/>
  <c r="AC382" i="11"/>
  <c r="AD382" i="11"/>
  <c r="AA383" i="11"/>
  <c r="AB383" i="11"/>
  <c r="AC383" i="11"/>
  <c r="AD383" i="11"/>
  <c r="AA384" i="11"/>
  <c r="AB384" i="11"/>
  <c r="AC384" i="11"/>
  <c r="AD384" i="11"/>
  <c r="AA385" i="11"/>
  <c r="AB385" i="11"/>
  <c r="AC385" i="11"/>
  <c r="AD385" i="11"/>
  <c r="AA386" i="11"/>
  <c r="AB386" i="11"/>
  <c r="AC386" i="11"/>
  <c r="AD386" i="11"/>
  <c r="AA387" i="11"/>
  <c r="AB387" i="11"/>
  <c r="AC387" i="11"/>
  <c r="AD387" i="11"/>
  <c r="AA388" i="11"/>
  <c r="AB388" i="11"/>
  <c r="AC388" i="11"/>
  <c r="AD388" i="11"/>
  <c r="AA389" i="11"/>
  <c r="AB389" i="11"/>
  <c r="AC389" i="11"/>
  <c r="AD389" i="11"/>
  <c r="AA390" i="11"/>
  <c r="AB390" i="11"/>
  <c r="AC390" i="11"/>
  <c r="AD390" i="11"/>
  <c r="AA391" i="11"/>
  <c r="AB391" i="11"/>
  <c r="AC391" i="11"/>
  <c r="AD391" i="11"/>
  <c r="AA392" i="11"/>
  <c r="AB392" i="11"/>
  <c r="AC392" i="11"/>
  <c r="AD392" i="11"/>
  <c r="AA393" i="11"/>
  <c r="AB393" i="11"/>
  <c r="AC393" i="11"/>
  <c r="AD393" i="11"/>
  <c r="AA394" i="11"/>
  <c r="AB394" i="11"/>
  <c r="AC394" i="11"/>
  <c r="AD394" i="11"/>
  <c r="AA395" i="11"/>
  <c r="AB395" i="11"/>
  <c r="AC395" i="11"/>
  <c r="AD395" i="11"/>
  <c r="AA396" i="11"/>
  <c r="AB396" i="11"/>
  <c r="AC396" i="11"/>
  <c r="AD396" i="11"/>
  <c r="AA397" i="11"/>
  <c r="AB397" i="11"/>
  <c r="AC397" i="11"/>
  <c r="AD397" i="11"/>
  <c r="AA398" i="11"/>
  <c r="AB398" i="11"/>
  <c r="AC398" i="11"/>
  <c r="AD398" i="11"/>
  <c r="AA399" i="11"/>
  <c r="AB399" i="11"/>
  <c r="AC399" i="11"/>
  <c r="AD399" i="11"/>
  <c r="AA400" i="11"/>
  <c r="AB400" i="11"/>
  <c r="AC400" i="11"/>
  <c r="AD400" i="11"/>
  <c r="AA401" i="11"/>
  <c r="AB401" i="11"/>
  <c r="AC401" i="11"/>
  <c r="AD401" i="11"/>
  <c r="AA402" i="11"/>
  <c r="AB402" i="11"/>
  <c r="AC402" i="11"/>
  <c r="AD402" i="11"/>
  <c r="AA403" i="11"/>
  <c r="AB403" i="11"/>
  <c r="AC403" i="11"/>
  <c r="AD403" i="11"/>
  <c r="AA404" i="11"/>
  <c r="AB404" i="11"/>
  <c r="AC404" i="11"/>
  <c r="AD404" i="11"/>
  <c r="AA405" i="11"/>
  <c r="AB405" i="11"/>
  <c r="AC405" i="11"/>
  <c r="AD405" i="11"/>
  <c r="AA406" i="11"/>
  <c r="AB406" i="11"/>
  <c r="AC406" i="11"/>
  <c r="AD406" i="11"/>
  <c r="AA407" i="11"/>
  <c r="AB407" i="11"/>
  <c r="AC407" i="11"/>
  <c r="AD407" i="11"/>
  <c r="AA408" i="11"/>
  <c r="AB408" i="11"/>
  <c r="AC408" i="11"/>
  <c r="AD408" i="11"/>
  <c r="AA409" i="11"/>
  <c r="AB409" i="11"/>
  <c r="AC409" i="11"/>
  <c r="AD409" i="11"/>
  <c r="AA410" i="11"/>
  <c r="AB410" i="11"/>
  <c r="AC410" i="11"/>
  <c r="AD410" i="11"/>
  <c r="AA411" i="11"/>
  <c r="AB411" i="11"/>
  <c r="AC411" i="11"/>
  <c r="AD411" i="11"/>
  <c r="AA412" i="11"/>
  <c r="AB412" i="11"/>
  <c r="AC412" i="11"/>
  <c r="AD412" i="11"/>
  <c r="AA413" i="11"/>
  <c r="AB413" i="11"/>
  <c r="AC413" i="11"/>
  <c r="AD413" i="11"/>
  <c r="AA414" i="11"/>
  <c r="AB414" i="11"/>
  <c r="AC414" i="11"/>
  <c r="AD414" i="11"/>
  <c r="AA415" i="11"/>
  <c r="AB415" i="11"/>
  <c r="AC415" i="11"/>
  <c r="AD415" i="11"/>
  <c r="AA416" i="11"/>
  <c r="AB416" i="11"/>
  <c r="AC416" i="11"/>
  <c r="AD416" i="11"/>
  <c r="AA417" i="11"/>
  <c r="AB417" i="11"/>
  <c r="AC417" i="11"/>
  <c r="AD417" i="11"/>
  <c r="AA418" i="11"/>
  <c r="AB418" i="11"/>
  <c r="AC418" i="11"/>
  <c r="AD418" i="11"/>
  <c r="AA419" i="11"/>
  <c r="AB419" i="11"/>
  <c r="AC419" i="11"/>
  <c r="AD419" i="11"/>
  <c r="AA420" i="11"/>
  <c r="AB420" i="11"/>
  <c r="AC420" i="11"/>
  <c r="AD420" i="11"/>
  <c r="AA421" i="11"/>
  <c r="AB421" i="11"/>
  <c r="AC421" i="11"/>
  <c r="AD421" i="11"/>
  <c r="AA422" i="11"/>
  <c r="AB422" i="11"/>
  <c r="AC422" i="11"/>
  <c r="AD422" i="11"/>
  <c r="AA423" i="11"/>
  <c r="AB423" i="11"/>
  <c r="AC423" i="11"/>
  <c r="AD423" i="11"/>
  <c r="AA424" i="11"/>
  <c r="AB424" i="11"/>
  <c r="AC424" i="11"/>
  <c r="AD424" i="11"/>
  <c r="AA425" i="11"/>
  <c r="AB425" i="11"/>
  <c r="AC425" i="11"/>
  <c r="AD425" i="11"/>
  <c r="AA426" i="11"/>
  <c r="AB426" i="11"/>
  <c r="AC426" i="11"/>
  <c r="AD426" i="11"/>
  <c r="AA427" i="11"/>
  <c r="AB427" i="11"/>
  <c r="AC427" i="11"/>
  <c r="AD427" i="11"/>
  <c r="AA428" i="11"/>
  <c r="AB428" i="11"/>
  <c r="AC428" i="11"/>
  <c r="AD428" i="11"/>
  <c r="AA429" i="11"/>
  <c r="AB429" i="11"/>
  <c r="AC429" i="11"/>
  <c r="AD429" i="11"/>
  <c r="AA430" i="11"/>
  <c r="AB430" i="11"/>
  <c r="AC430" i="11"/>
  <c r="AD430" i="11"/>
  <c r="AA431" i="11"/>
  <c r="AB431" i="11"/>
  <c r="AC431" i="11"/>
  <c r="AD431" i="11"/>
  <c r="AA432" i="11"/>
  <c r="AB432" i="11"/>
  <c r="AC432" i="11"/>
  <c r="AD432" i="11"/>
  <c r="AA433" i="11"/>
  <c r="AB433" i="11"/>
  <c r="AC433" i="11"/>
  <c r="AD433" i="11"/>
  <c r="AA434" i="11"/>
  <c r="AB434" i="11"/>
  <c r="AC434" i="11"/>
  <c r="AD434" i="11"/>
  <c r="AA435" i="11"/>
  <c r="AB435" i="11"/>
  <c r="AC435" i="11"/>
  <c r="AD435" i="11"/>
  <c r="AA436" i="11"/>
  <c r="AB436" i="11"/>
  <c r="AC436" i="11"/>
  <c r="AD436" i="11"/>
  <c r="AA437" i="11"/>
  <c r="AB437" i="11"/>
  <c r="AC437" i="11"/>
  <c r="AD437" i="11"/>
  <c r="AA438" i="11"/>
  <c r="AB438" i="11"/>
  <c r="AC438" i="11"/>
  <c r="AD438" i="11"/>
  <c r="AA439" i="11"/>
  <c r="AB439" i="11"/>
  <c r="AC439" i="11"/>
  <c r="AD439" i="11"/>
  <c r="AA440" i="11"/>
  <c r="AB440" i="11"/>
  <c r="AC440" i="11"/>
  <c r="AD440" i="11"/>
  <c r="AA441" i="11"/>
  <c r="AB441" i="11"/>
  <c r="AC441" i="11"/>
  <c r="AD441" i="11"/>
  <c r="AA442" i="11"/>
  <c r="AB442" i="11"/>
  <c r="AC442" i="11"/>
  <c r="AD442" i="11"/>
  <c r="AA443" i="11"/>
  <c r="AB443" i="11"/>
  <c r="AC443" i="11"/>
  <c r="AD443" i="11"/>
  <c r="AA444" i="11"/>
  <c r="AB444" i="11"/>
  <c r="AC444" i="11"/>
  <c r="AD444" i="11"/>
  <c r="AA445" i="11"/>
  <c r="AB445" i="11"/>
  <c r="AC445" i="11"/>
  <c r="AD445" i="11"/>
  <c r="AA446" i="11"/>
  <c r="AB446" i="11"/>
  <c r="AC446" i="11"/>
  <c r="AD446" i="11"/>
  <c r="AA447" i="11"/>
  <c r="AB447" i="11"/>
  <c r="AC447" i="11"/>
  <c r="AD447" i="11"/>
  <c r="AA448" i="11"/>
  <c r="AB448" i="11"/>
  <c r="AC448" i="11"/>
  <c r="AD448" i="11"/>
  <c r="AA449" i="11"/>
  <c r="AB449" i="11"/>
  <c r="AC449" i="11"/>
  <c r="AD449" i="11"/>
  <c r="AA450" i="11"/>
  <c r="AB450" i="11"/>
  <c r="AC450" i="11"/>
  <c r="AD450" i="11"/>
  <c r="AA451" i="11"/>
  <c r="AB451" i="11"/>
  <c r="AC451" i="11"/>
  <c r="AD451" i="11"/>
  <c r="AA452" i="11"/>
  <c r="AB452" i="11"/>
  <c r="AC452" i="11"/>
  <c r="AD452" i="11"/>
  <c r="AA453" i="11"/>
  <c r="AB453" i="11"/>
  <c r="AC453" i="11"/>
  <c r="AD453" i="11"/>
  <c r="AA454" i="11"/>
  <c r="AB454" i="11"/>
  <c r="AC454" i="11"/>
  <c r="AD454" i="11"/>
  <c r="AA455" i="11"/>
  <c r="AB455" i="11"/>
  <c r="AC455" i="11"/>
  <c r="AD455" i="11"/>
  <c r="AA456" i="11"/>
  <c r="AB456" i="11"/>
  <c r="AC456" i="11"/>
  <c r="AD456" i="11"/>
  <c r="AA457" i="11"/>
  <c r="AB457" i="11"/>
  <c r="AC457" i="11"/>
  <c r="AD457" i="11"/>
  <c r="AA458" i="11"/>
  <c r="AB458" i="11"/>
  <c r="AC458" i="11"/>
  <c r="AD458" i="11"/>
  <c r="AA459" i="11"/>
  <c r="AB459" i="11"/>
  <c r="AC459" i="11"/>
  <c r="AD459" i="11"/>
  <c r="AA460" i="11"/>
  <c r="AB460" i="11"/>
  <c r="AC460" i="11"/>
  <c r="AD460" i="11"/>
  <c r="AA461" i="11"/>
  <c r="AB461" i="11"/>
  <c r="AC461" i="11"/>
  <c r="AD461" i="11"/>
  <c r="AA462" i="11"/>
  <c r="AB462" i="11"/>
  <c r="AC462" i="11"/>
  <c r="AD462" i="11"/>
  <c r="AA463" i="11"/>
  <c r="AB463" i="11"/>
  <c r="AC463" i="11"/>
  <c r="AD463" i="11"/>
  <c r="AA464" i="11"/>
  <c r="AB464" i="11"/>
  <c r="AC464" i="11"/>
  <c r="AD464" i="11"/>
  <c r="AA465" i="11"/>
  <c r="AB465" i="11"/>
  <c r="AC465" i="11"/>
  <c r="AD465" i="11"/>
  <c r="AA466" i="11"/>
  <c r="AB466" i="11"/>
  <c r="AC466" i="11"/>
  <c r="AD466" i="11"/>
  <c r="AA467" i="11"/>
  <c r="AB467" i="11"/>
  <c r="AC467" i="11"/>
  <c r="AD467" i="11"/>
  <c r="AA468" i="11"/>
  <c r="AB468" i="11"/>
  <c r="AC468" i="11"/>
  <c r="AD468" i="11"/>
  <c r="AA469" i="11"/>
  <c r="AB469" i="11"/>
  <c r="AC469" i="11"/>
  <c r="AD469" i="11"/>
  <c r="AA470" i="11"/>
  <c r="AB470" i="11"/>
  <c r="AC470" i="11"/>
  <c r="AD470" i="11"/>
  <c r="AA471" i="11"/>
  <c r="AB471" i="11"/>
  <c r="AC471" i="11"/>
  <c r="AD471" i="11"/>
  <c r="AA472" i="11"/>
  <c r="AB472" i="11"/>
  <c r="AC472" i="11"/>
  <c r="AD472" i="11"/>
  <c r="AA473" i="11"/>
  <c r="AB473" i="11"/>
  <c r="AC473" i="11"/>
  <c r="AD473" i="11"/>
  <c r="AA474" i="11"/>
  <c r="AB474" i="11"/>
  <c r="AC474" i="11"/>
  <c r="AD474" i="11"/>
  <c r="AA475" i="11"/>
  <c r="AB475" i="11"/>
  <c r="AC475" i="11"/>
  <c r="AD475" i="11"/>
  <c r="AA476" i="11"/>
  <c r="AB476" i="11"/>
  <c r="AC476" i="11"/>
  <c r="AD476" i="11"/>
  <c r="AA477" i="11"/>
  <c r="AB477" i="11"/>
  <c r="AC477" i="11"/>
  <c r="AD477" i="11"/>
  <c r="AA478" i="11"/>
  <c r="AB478" i="11"/>
  <c r="AC478" i="11"/>
  <c r="AD478" i="11"/>
  <c r="AA479" i="11"/>
  <c r="AB479" i="11"/>
  <c r="AC479" i="11"/>
  <c r="AD479" i="11"/>
  <c r="AA480" i="11"/>
  <c r="AB480" i="11"/>
  <c r="AC480" i="11"/>
  <c r="AD480" i="11"/>
  <c r="AA481" i="11"/>
  <c r="AB481" i="11"/>
  <c r="AC481" i="11"/>
  <c r="AD481" i="11"/>
  <c r="AA482" i="11"/>
  <c r="AB482" i="11"/>
  <c r="AC482" i="11"/>
  <c r="AD482" i="11"/>
  <c r="AA483" i="11"/>
  <c r="AB483" i="11"/>
  <c r="AC483" i="11"/>
  <c r="AD483" i="11"/>
  <c r="AA484" i="11"/>
  <c r="AB484" i="11"/>
  <c r="AC484" i="11"/>
  <c r="AD484" i="11"/>
  <c r="AA485" i="11"/>
  <c r="AB485" i="11"/>
  <c r="AC485" i="11"/>
  <c r="AD485" i="11"/>
  <c r="AA486" i="11"/>
  <c r="AB486" i="11"/>
  <c r="AC486" i="11"/>
  <c r="AD486" i="11"/>
  <c r="AA487" i="11"/>
  <c r="AB487" i="11"/>
  <c r="AC487" i="11"/>
  <c r="AD487" i="11"/>
  <c r="AA488" i="11"/>
  <c r="AB488" i="11"/>
  <c r="AC488" i="11"/>
  <c r="AD488" i="11"/>
  <c r="AA489" i="11"/>
  <c r="AB489" i="11"/>
  <c r="AC489" i="11"/>
  <c r="AD489" i="11"/>
  <c r="AA490" i="11"/>
  <c r="AB490" i="11"/>
  <c r="AC490" i="11"/>
  <c r="AD490" i="11"/>
  <c r="AA491" i="11"/>
  <c r="AB491" i="11"/>
  <c r="AC491" i="11"/>
  <c r="AD491" i="11"/>
  <c r="AA492" i="11"/>
  <c r="AB492" i="11"/>
  <c r="AC492" i="11"/>
  <c r="AD492" i="11"/>
  <c r="AA493" i="11"/>
  <c r="AB493" i="11"/>
  <c r="AC493" i="11"/>
  <c r="AD493" i="11"/>
  <c r="AA494" i="11"/>
  <c r="AB494" i="11"/>
  <c r="AC494" i="11"/>
  <c r="AD494" i="11"/>
  <c r="AA495" i="11"/>
  <c r="AB495" i="11"/>
  <c r="AC495" i="11"/>
  <c r="AD495" i="11"/>
  <c r="AA496" i="11"/>
  <c r="AB496" i="11"/>
  <c r="AC496" i="11"/>
  <c r="AD496" i="11"/>
  <c r="AA497" i="11"/>
  <c r="AB497" i="11"/>
  <c r="AC497" i="11"/>
  <c r="AD497" i="11"/>
  <c r="AA498" i="11"/>
  <c r="AB498" i="11"/>
  <c r="AC498" i="11"/>
  <c r="AD498" i="11"/>
  <c r="AA499" i="11"/>
  <c r="AB499" i="11"/>
  <c r="AC499" i="11"/>
  <c r="AD499" i="11"/>
  <c r="AA500" i="11"/>
  <c r="AB500" i="11"/>
  <c r="AC500" i="11"/>
  <c r="AD500" i="11"/>
  <c r="AA501" i="11"/>
  <c r="AB501" i="11"/>
  <c r="AC501" i="11"/>
  <c r="AD501" i="11"/>
  <c r="AA502" i="11"/>
  <c r="AB502" i="11"/>
  <c r="AC502" i="11"/>
  <c r="AD502" i="11"/>
  <c r="AA503" i="11"/>
  <c r="AB503" i="11"/>
  <c r="AC503" i="11"/>
  <c r="AD503" i="11"/>
  <c r="AA504" i="11"/>
  <c r="AB504" i="11"/>
  <c r="AC504" i="11"/>
  <c r="AD504" i="11"/>
  <c r="AA505" i="11"/>
  <c r="AB505" i="11"/>
  <c r="AC505" i="11"/>
  <c r="AD505" i="11"/>
  <c r="AA506" i="11"/>
  <c r="AB506" i="11"/>
  <c r="AC506" i="11"/>
  <c r="AD506" i="11"/>
  <c r="AA507" i="11"/>
  <c r="AB507" i="11"/>
  <c r="AC507" i="11"/>
  <c r="AD507" i="11"/>
  <c r="AA508" i="11"/>
  <c r="AB508" i="11"/>
  <c r="AC508" i="11"/>
  <c r="AD508" i="11"/>
  <c r="AA509" i="11"/>
  <c r="AB509" i="11"/>
  <c r="AC509" i="11"/>
  <c r="AD509" i="11"/>
  <c r="AA510" i="11"/>
  <c r="AB510" i="11"/>
  <c r="AC510" i="11"/>
  <c r="AD510" i="11"/>
  <c r="AA511" i="11"/>
  <c r="AB511" i="11"/>
  <c r="AC511" i="11"/>
  <c r="AD511" i="11"/>
  <c r="AA512" i="11"/>
  <c r="AB512" i="11"/>
  <c r="AC512" i="11"/>
  <c r="AD512" i="11"/>
  <c r="AA513" i="11"/>
  <c r="AB513" i="11"/>
  <c r="AC513" i="11"/>
  <c r="AD513" i="11"/>
  <c r="AA514" i="11"/>
  <c r="AB514" i="11"/>
  <c r="AC514" i="11"/>
  <c r="AD514" i="11"/>
  <c r="AA515" i="11"/>
  <c r="AB515" i="11"/>
  <c r="AC515" i="11"/>
  <c r="AD515" i="11"/>
  <c r="AA516" i="11"/>
  <c r="AB516" i="11"/>
  <c r="AC516" i="11"/>
  <c r="AD516" i="11"/>
  <c r="AA517" i="11"/>
  <c r="AB517" i="11"/>
  <c r="AC517" i="11"/>
  <c r="AD517" i="11"/>
  <c r="AA518" i="11"/>
  <c r="AB518" i="11"/>
  <c r="AC518" i="11"/>
  <c r="AD518" i="11"/>
  <c r="AA519" i="11"/>
  <c r="AB519" i="11"/>
  <c r="AC519" i="11"/>
  <c r="AD519" i="11"/>
  <c r="AA520" i="11"/>
  <c r="AB520" i="11"/>
  <c r="AC520" i="11"/>
  <c r="AD520" i="11"/>
  <c r="AA521" i="11"/>
  <c r="AB521" i="11"/>
  <c r="AC521" i="11"/>
  <c r="AD521" i="11"/>
  <c r="AA522" i="11"/>
  <c r="AB522" i="11"/>
  <c r="AC522" i="11"/>
  <c r="AD522" i="11"/>
  <c r="AA523" i="11"/>
  <c r="AB523" i="11"/>
  <c r="AC523" i="11"/>
  <c r="AD523" i="11"/>
  <c r="AA524" i="11"/>
  <c r="AB524" i="11"/>
  <c r="AC524" i="11"/>
  <c r="AD524" i="11"/>
  <c r="AA525" i="11"/>
  <c r="AB525" i="11"/>
  <c r="AC525" i="11"/>
  <c r="AD525" i="11"/>
  <c r="AA526" i="11"/>
  <c r="AB526" i="11"/>
  <c r="AC526" i="11"/>
  <c r="AD526" i="11"/>
  <c r="AA527" i="11"/>
  <c r="AB527" i="11"/>
  <c r="AC527" i="11"/>
  <c r="AD527" i="11"/>
  <c r="AA528" i="11"/>
  <c r="AB528" i="11"/>
  <c r="AC528" i="11"/>
  <c r="AD528" i="11"/>
  <c r="AA529" i="11"/>
  <c r="AB529" i="11"/>
  <c r="AC529" i="11"/>
  <c r="AD529" i="11"/>
  <c r="AA530" i="11"/>
  <c r="AB530" i="11"/>
  <c r="AC530" i="11"/>
  <c r="AD530" i="11"/>
  <c r="AA531" i="11"/>
  <c r="AB531" i="11"/>
  <c r="AC531" i="11"/>
  <c r="AD531" i="11"/>
  <c r="AA532" i="11"/>
  <c r="AB532" i="11"/>
  <c r="AC532" i="11"/>
  <c r="AD532" i="11"/>
  <c r="AA533" i="11"/>
  <c r="AB533" i="11"/>
  <c r="AC533" i="11"/>
  <c r="AD533" i="11"/>
  <c r="AA534" i="11"/>
  <c r="AB534" i="11"/>
  <c r="AC534" i="11"/>
  <c r="AD534" i="11"/>
  <c r="AA535" i="11"/>
  <c r="AB535" i="11"/>
  <c r="AC535" i="11"/>
  <c r="AD535" i="11"/>
  <c r="AA536" i="11"/>
  <c r="AB536" i="11"/>
  <c r="AC536" i="11"/>
  <c r="AD536" i="11"/>
  <c r="AA537" i="11"/>
  <c r="AB537" i="11"/>
  <c r="AC537" i="11"/>
  <c r="AD537" i="11"/>
  <c r="AA538" i="11"/>
  <c r="AB538" i="11"/>
  <c r="AC538" i="11"/>
  <c r="AD538" i="11"/>
  <c r="AA539" i="11"/>
  <c r="AB539" i="11"/>
  <c r="AC539" i="11"/>
  <c r="AD539" i="11"/>
  <c r="AA540" i="11"/>
  <c r="AB540" i="11"/>
  <c r="AC540" i="11"/>
  <c r="AD540" i="11"/>
  <c r="AA541" i="11"/>
  <c r="AB541" i="11"/>
  <c r="AC541" i="11"/>
  <c r="AD541" i="11"/>
  <c r="AA542" i="11"/>
  <c r="AB542" i="11"/>
  <c r="AC542" i="11"/>
  <c r="AD542" i="11"/>
  <c r="AA543" i="11"/>
  <c r="AB543" i="11"/>
  <c r="AC543" i="11"/>
  <c r="AD543" i="11"/>
  <c r="AA544" i="11"/>
  <c r="AB544" i="11"/>
  <c r="AC544" i="11"/>
  <c r="AD544" i="11"/>
  <c r="AA545" i="11"/>
  <c r="AB545" i="11"/>
  <c r="AC545" i="11"/>
  <c r="AD545" i="11"/>
  <c r="AA546" i="11"/>
  <c r="AB546" i="11"/>
  <c r="AC546" i="11"/>
  <c r="AD546" i="11"/>
  <c r="AA547" i="11"/>
  <c r="AB547" i="11"/>
  <c r="AC547" i="11"/>
  <c r="AD547" i="11"/>
  <c r="AA548" i="11"/>
  <c r="AB548" i="11"/>
  <c r="AC548" i="11"/>
  <c r="AD548" i="11"/>
  <c r="AA549" i="11"/>
  <c r="AB549" i="11"/>
  <c r="AC549" i="11"/>
  <c r="AD549" i="11"/>
  <c r="AA550" i="11"/>
  <c r="AB550" i="11"/>
  <c r="AC550" i="11"/>
  <c r="AD550" i="11"/>
  <c r="AA551" i="11"/>
  <c r="AB551" i="11"/>
  <c r="AC551" i="11"/>
  <c r="AD551" i="11"/>
  <c r="AA552" i="11"/>
  <c r="AB552" i="11"/>
  <c r="AC552" i="11"/>
  <c r="AD552" i="11"/>
  <c r="AA553" i="11"/>
  <c r="AB553" i="11"/>
  <c r="AC553" i="11"/>
  <c r="AD553" i="11"/>
  <c r="AA554" i="11"/>
  <c r="AB554" i="11"/>
  <c r="AC554" i="11"/>
  <c r="AD554" i="11"/>
  <c r="AA555" i="11"/>
  <c r="AB555" i="11"/>
  <c r="AC555" i="11"/>
  <c r="AD555" i="11"/>
  <c r="AA556" i="11"/>
  <c r="AB556" i="11"/>
  <c r="AC556" i="11"/>
  <c r="AD556" i="11"/>
  <c r="AA557" i="11"/>
  <c r="AB557" i="11"/>
  <c r="AC557" i="11"/>
  <c r="AD557" i="11"/>
  <c r="AA558" i="11"/>
  <c r="AB558" i="11"/>
  <c r="AC558" i="11"/>
  <c r="AD558" i="11"/>
  <c r="AA559" i="11"/>
  <c r="AB559" i="11"/>
  <c r="AC559" i="11"/>
  <c r="AD559" i="11"/>
  <c r="AA560" i="11"/>
  <c r="AB560" i="11"/>
  <c r="AC560" i="11"/>
  <c r="AD560" i="11"/>
  <c r="AA561" i="11"/>
  <c r="AB561" i="11"/>
  <c r="AC561" i="11"/>
  <c r="AD561" i="11"/>
  <c r="AA562" i="11"/>
  <c r="AB562" i="11"/>
  <c r="AC562" i="11"/>
  <c r="AD562" i="11"/>
  <c r="AA563" i="11"/>
  <c r="AB563" i="11"/>
  <c r="AC563" i="11"/>
  <c r="AD563" i="11"/>
  <c r="AA564" i="11"/>
  <c r="AB564" i="11"/>
  <c r="AC564" i="11"/>
  <c r="AD564" i="11"/>
  <c r="AA565" i="11"/>
  <c r="AB565" i="11"/>
  <c r="AC565" i="11"/>
  <c r="AD565" i="11"/>
  <c r="AA566" i="11"/>
  <c r="AB566" i="11"/>
  <c r="AC566" i="11"/>
  <c r="AD566" i="11"/>
  <c r="AA567" i="11"/>
  <c r="AB567" i="11"/>
  <c r="AC567" i="11"/>
  <c r="AD567" i="11"/>
  <c r="AA568" i="11"/>
  <c r="AB568" i="11"/>
  <c r="AC568" i="11"/>
  <c r="AD568" i="11"/>
  <c r="AA569" i="11"/>
  <c r="AB569" i="11"/>
  <c r="AC569" i="11"/>
  <c r="AD569" i="11"/>
  <c r="AA570" i="11"/>
  <c r="AB570" i="11"/>
  <c r="AC570" i="11"/>
  <c r="AD570" i="11"/>
  <c r="AA571" i="11"/>
  <c r="AB571" i="11"/>
  <c r="AC571" i="11"/>
  <c r="AD571" i="11"/>
  <c r="AA572" i="11"/>
  <c r="AB572" i="11"/>
  <c r="AC572" i="11"/>
  <c r="AD572" i="11"/>
  <c r="AA573" i="11"/>
  <c r="AB573" i="11"/>
  <c r="AC573" i="11"/>
  <c r="AD573" i="11"/>
  <c r="AA574" i="11"/>
  <c r="AB574" i="11"/>
  <c r="AC574" i="11"/>
  <c r="AD574" i="11"/>
  <c r="AA575" i="11"/>
  <c r="AB575" i="11"/>
  <c r="AC575" i="11"/>
  <c r="AD575" i="11"/>
  <c r="AA576" i="11"/>
  <c r="AB576" i="11"/>
  <c r="AC576" i="11"/>
  <c r="AD576" i="11"/>
  <c r="AA577" i="11"/>
  <c r="AB577" i="11"/>
  <c r="AC577" i="11"/>
  <c r="AD577" i="11"/>
  <c r="AA578" i="11"/>
  <c r="AB578" i="11"/>
  <c r="AC578" i="11"/>
  <c r="AD578" i="11"/>
  <c r="AA579" i="11"/>
  <c r="AB579" i="11"/>
  <c r="AC579" i="11"/>
  <c r="AD579" i="11"/>
  <c r="AA580" i="11"/>
  <c r="AB580" i="11"/>
  <c r="AC580" i="11"/>
  <c r="AD580" i="11"/>
  <c r="AA581" i="11"/>
  <c r="AB581" i="11"/>
  <c r="AC581" i="11"/>
  <c r="AD581" i="11"/>
  <c r="AA582" i="11"/>
  <c r="AB582" i="11"/>
  <c r="AC582" i="11"/>
  <c r="AD582" i="11"/>
  <c r="AA583" i="11"/>
  <c r="AB583" i="11"/>
  <c r="AC583" i="11"/>
  <c r="AD583" i="11"/>
  <c r="AA584" i="11"/>
  <c r="AB584" i="11"/>
  <c r="AC584" i="11"/>
  <c r="AD584" i="11"/>
  <c r="AA585" i="11"/>
  <c r="AB585" i="11"/>
  <c r="AC585" i="11"/>
  <c r="AD585" i="11"/>
  <c r="AA586" i="11"/>
  <c r="AB586" i="11"/>
  <c r="AC586" i="11"/>
  <c r="AD586" i="11"/>
  <c r="AA587" i="11"/>
  <c r="AB587" i="11"/>
  <c r="AC587" i="11"/>
  <c r="AD587" i="11"/>
  <c r="AA588" i="11"/>
  <c r="AB588" i="11"/>
  <c r="AC588" i="11"/>
  <c r="AD588" i="11"/>
  <c r="AA589" i="11"/>
  <c r="AB589" i="11"/>
  <c r="AC589" i="11"/>
  <c r="AD589" i="11"/>
  <c r="AA590" i="11"/>
  <c r="AB590" i="11"/>
  <c r="AC590" i="11"/>
  <c r="AD590" i="11"/>
  <c r="AA591" i="11"/>
  <c r="AB591" i="11"/>
  <c r="AC591" i="11"/>
  <c r="AD591" i="11"/>
  <c r="AA592" i="11"/>
  <c r="AB592" i="11"/>
  <c r="AC592" i="11"/>
  <c r="AD592" i="11"/>
  <c r="AA593" i="11"/>
  <c r="AB593" i="11"/>
  <c r="AC593" i="11"/>
  <c r="AD593" i="11"/>
  <c r="AA594" i="11"/>
  <c r="AB594" i="11"/>
  <c r="AC594" i="11"/>
  <c r="AD594" i="11"/>
  <c r="AA595" i="11"/>
  <c r="AB595" i="11"/>
  <c r="AC595" i="11"/>
  <c r="AD595" i="11"/>
  <c r="AA596" i="11"/>
  <c r="AB596" i="11"/>
  <c r="AC596" i="11"/>
  <c r="AD596" i="11"/>
  <c r="AA597" i="11"/>
  <c r="AB597" i="11"/>
  <c r="AC597" i="11"/>
  <c r="AD597" i="11"/>
  <c r="AA598" i="11"/>
  <c r="AB598" i="11"/>
  <c r="AC598" i="11"/>
  <c r="AD598" i="11"/>
  <c r="AA599" i="11"/>
  <c r="AB599" i="11"/>
  <c r="AC599" i="11"/>
  <c r="AD599" i="11"/>
  <c r="AA600" i="11"/>
  <c r="AB600" i="11"/>
  <c r="AC600" i="11"/>
  <c r="AD600" i="11"/>
  <c r="AA601" i="11"/>
  <c r="AB601" i="11"/>
  <c r="AC601" i="11"/>
  <c r="AD601" i="11"/>
  <c r="AA602" i="11"/>
  <c r="AB602" i="11"/>
  <c r="AC602" i="11"/>
  <c r="AD602" i="11"/>
  <c r="AA603" i="11"/>
  <c r="AB603" i="11"/>
  <c r="AC603" i="11"/>
  <c r="AD603" i="11"/>
  <c r="AA604" i="11"/>
  <c r="AB604" i="11"/>
  <c r="AC604" i="11"/>
  <c r="AD604" i="11"/>
  <c r="AA605" i="11"/>
  <c r="AB605" i="11"/>
  <c r="AC605" i="11"/>
  <c r="AD605" i="11"/>
  <c r="AA606" i="11"/>
  <c r="AB606" i="11"/>
  <c r="AC606" i="11"/>
  <c r="AD606" i="11"/>
  <c r="AA607" i="11"/>
  <c r="AB607" i="11"/>
  <c r="AC607" i="11"/>
  <c r="AD607" i="11"/>
  <c r="AA608" i="11"/>
  <c r="AB608" i="11"/>
  <c r="AC608" i="11"/>
  <c r="AD608" i="11"/>
  <c r="AA609" i="11"/>
  <c r="AB609" i="11"/>
  <c r="AC609" i="11"/>
  <c r="AD609" i="11"/>
  <c r="AA610" i="11"/>
  <c r="AB610" i="11"/>
  <c r="AC610" i="11"/>
  <c r="AD610" i="11"/>
  <c r="AA611" i="11"/>
  <c r="AB611" i="11"/>
  <c r="AC611" i="11"/>
  <c r="AD611" i="11"/>
  <c r="AA612" i="11"/>
  <c r="AB612" i="11"/>
  <c r="AC612" i="11"/>
  <c r="AD612" i="11"/>
  <c r="AA613" i="11"/>
  <c r="AB613" i="11"/>
  <c r="AC613" i="11"/>
  <c r="AD613" i="11"/>
  <c r="AA614" i="11"/>
  <c r="AB614" i="11"/>
  <c r="AC614" i="11"/>
  <c r="AD614" i="11"/>
  <c r="AA615" i="11"/>
  <c r="AB615" i="11"/>
  <c r="AC615" i="11"/>
  <c r="AD615" i="11"/>
  <c r="AA616" i="11"/>
  <c r="AB616" i="11"/>
  <c r="AC616" i="11"/>
  <c r="AD616" i="11"/>
  <c r="AA617" i="11"/>
  <c r="AB617" i="11"/>
  <c r="AC617" i="11"/>
  <c r="AD617" i="11"/>
  <c r="AA618" i="11"/>
  <c r="AB618" i="11"/>
  <c r="AC618" i="11"/>
  <c r="AD618" i="11"/>
  <c r="AA619" i="11"/>
  <c r="AB619" i="11"/>
  <c r="AC619" i="11"/>
  <c r="AD619" i="11"/>
  <c r="AA620" i="11"/>
  <c r="AB620" i="11"/>
  <c r="AC620" i="11"/>
  <c r="AD620" i="11"/>
  <c r="AA621" i="11"/>
  <c r="AB621" i="11"/>
  <c r="AC621" i="11"/>
  <c r="AD621" i="11"/>
  <c r="AA622" i="11"/>
  <c r="AB622" i="11"/>
  <c r="AC622" i="11"/>
  <c r="AD622" i="11"/>
  <c r="AA623" i="11"/>
  <c r="AB623" i="11"/>
  <c r="AC623" i="11"/>
  <c r="AD623" i="11"/>
  <c r="AA624" i="11"/>
  <c r="AB624" i="11"/>
  <c r="AC624" i="11"/>
  <c r="AD624" i="11"/>
  <c r="AA625" i="11"/>
  <c r="AB625" i="11"/>
  <c r="AC625" i="11"/>
  <c r="AD625" i="11"/>
  <c r="AA626" i="11"/>
  <c r="AB626" i="11"/>
  <c r="AC626" i="11"/>
  <c r="AD626" i="11"/>
  <c r="AA627" i="11"/>
  <c r="AB627" i="11"/>
  <c r="AC627" i="11"/>
  <c r="AD627" i="11"/>
  <c r="AA628" i="11"/>
  <c r="AB628" i="11"/>
  <c r="AC628" i="11"/>
  <c r="AD628" i="11"/>
  <c r="AA629" i="11"/>
  <c r="AB629" i="11"/>
  <c r="AC629" i="11"/>
  <c r="AD629" i="11"/>
  <c r="AA630" i="11"/>
  <c r="AB630" i="11"/>
  <c r="AC630" i="11"/>
  <c r="AD630" i="11"/>
  <c r="AA631" i="11"/>
  <c r="AB631" i="11"/>
  <c r="AC631" i="11"/>
  <c r="AD631" i="11"/>
  <c r="AA632" i="11"/>
  <c r="AB632" i="11"/>
  <c r="AC632" i="11"/>
  <c r="AD632" i="11"/>
  <c r="AA633" i="11"/>
  <c r="AB633" i="11"/>
  <c r="AC633" i="11"/>
  <c r="AD633" i="11"/>
  <c r="AA634" i="11"/>
  <c r="AB634" i="11"/>
  <c r="AC634" i="11"/>
  <c r="AD634" i="11"/>
  <c r="AA635" i="11"/>
  <c r="AB635" i="11"/>
  <c r="AC635" i="11"/>
  <c r="AD635" i="11"/>
  <c r="AA636" i="11"/>
  <c r="AB636" i="11"/>
  <c r="AC636" i="11"/>
  <c r="AD636" i="11"/>
  <c r="AA637" i="11"/>
  <c r="AB637" i="11"/>
  <c r="AC637" i="11"/>
  <c r="AD637" i="11"/>
  <c r="AA638" i="11"/>
  <c r="AB638" i="11"/>
  <c r="AC638" i="11"/>
  <c r="AD638" i="11"/>
  <c r="AA639" i="11"/>
  <c r="AB639" i="11"/>
  <c r="AC639" i="11"/>
  <c r="AD639" i="11"/>
  <c r="AA640" i="11"/>
  <c r="AB640" i="11"/>
  <c r="AC640" i="11"/>
  <c r="AD640" i="11"/>
  <c r="AA641" i="11"/>
  <c r="AB641" i="11"/>
  <c r="AC641" i="11"/>
  <c r="AD641" i="11"/>
  <c r="AA642" i="11"/>
  <c r="AB642" i="11"/>
  <c r="AC642" i="11"/>
  <c r="AD642" i="11"/>
  <c r="AA643" i="11"/>
  <c r="AB643" i="11"/>
  <c r="AC643" i="11"/>
  <c r="AD643" i="11"/>
  <c r="AA644" i="11"/>
  <c r="AB644" i="11"/>
  <c r="AC644" i="11"/>
  <c r="AD644" i="11"/>
  <c r="AA645" i="11"/>
  <c r="AB645" i="11"/>
  <c r="AC645" i="11"/>
  <c r="AD645" i="11"/>
  <c r="AA646" i="11"/>
  <c r="AB646" i="11"/>
  <c r="AC646" i="11"/>
  <c r="AD646" i="11"/>
  <c r="AA647" i="11"/>
  <c r="AB647" i="11"/>
  <c r="AC647" i="11"/>
  <c r="AD647" i="11"/>
  <c r="AA648" i="11"/>
  <c r="AB648" i="11"/>
  <c r="AC648" i="11"/>
  <c r="AD648" i="11"/>
  <c r="AA649" i="11"/>
  <c r="AB649" i="11"/>
  <c r="AC649" i="11"/>
  <c r="AD649" i="11"/>
  <c r="AA650" i="11"/>
  <c r="AB650" i="11"/>
  <c r="AC650" i="11"/>
  <c r="AD650" i="11"/>
  <c r="AA651" i="11"/>
  <c r="AB651" i="11"/>
  <c r="AC651" i="11"/>
  <c r="AD651" i="11"/>
  <c r="AA652" i="11"/>
  <c r="AB652" i="11"/>
  <c r="AC652" i="11"/>
  <c r="AD652" i="11"/>
  <c r="AA653" i="11"/>
  <c r="AB653" i="11"/>
  <c r="AC653" i="11"/>
  <c r="AD653" i="11"/>
  <c r="AA654" i="11"/>
  <c r="AB654" i="11"/>
  <c r="AC654" i="11"/>
  <c r="AD654" i="11"/>
  <c r="AA655" i="11"/>
  <c r="AB655" i="11"/>
  <c r="AC655" i="11"/>
  <c r="AD655" i="11"/>
  <c r="AA656" i="11"/>
  <c r="AB656" i="11"/>
  <c r="AC656" i="11"/>
  <c r="AD656" i="11"/>
  <c r="AA657" i="11"/>
  <c r="AB657" i="11"/>
  <c r="AC657" i="11"/>
  <c r="AD657" i="11"/>
  <c r="AA658" i="11"/>
  <c r="AB658" i="11"/>
  <c r="AC658" i="11"/>
  <c r="AD658" i="11"/>
  <c r="AA659" i="11"/>
  <c r="AB659" i="11"/>
  <c r="AC659" i="11"/>
  <c r="AD659" i="11"/>
  <c r="AA660" i="11"/>
  <c r="AB660" i="11"/>
  <c r="AC660" i="11"/>
  <c r="AD660" i="11"/>
  <c r="AA661" i="11"/>
  <c r="AB661" i="11"/>
  <c r="AC661" i="11"/>
  <c r="AD661" i="11"/>
  <c r="AA662" i="11"/>
  <c r="AB662" i="11"/>
  <c r="AC662" i="11"/>
  <c r="AD662" i="11"/>
  <c r="AA663" i="11"/>
  <c r="AB663" i="11"/>
  <c r="AC663" i="11"/>
  <c r="AD663" i="11"/>
  <c r="AA664" i="11"/>
  <c r="AB664" i="11"/>
  <c r="AC664" i="11"/>
  <c r="AD664" i="11"/>
  <c r="AA665" i="11"/>
  <c r="AB665" i="11"/>
  <c r="AC665" i="11"/>
  <c r="AD665" i="11"/>
  <c r="AA666" i="11"/>
  <c r="AB666" i="11"/>
  <c r="AC666" i="11"/>
  <c r="AD666" i="11"/>
  <c r="AA667" i="11"/>
  <c r="AB667" i="11"/>
  <c r="AC667" i="11"/>
  <c r="AD667" i="11"/>
  <c r="AA668" i="11"/>
  <c r="AB668" i="11"/>
  <c r="AC668" i="11"/>
  <c r="AD668" i="11"/>
  <c r="AA669" i="11"/>
  <c r="AB669" i="11"/>
  <c r="AC669" i="11"/>
  <c r="AD669" i="11"/>
  <c r="AA670" i="11"/>
  <c r="AB670" i="11"/>
  <c r="AC670" i="11"/>
  <c r="AD670" i="11"/>
  <c r="AA671" i="11"/>
  <c r="AB671" i="11"/>
  <c r="AC671" i="11"/>
  <c r="AD671" i="11"/>
  <c r="AA672" i="11"/>
  <c r="AB672" i="11"/>
  <c r="AC672" i="11"/>
  <c r="AD672" i="11"/>
  <c r="AA673" i="11"/>
  <c r="AB673" i="11"/>
  <c r="AC673" i="11"/>
  <c r="AD673" i="11"/>
  <c r="AA674" i="11"/>
  <c r="AB674" i="11"/>
  <c r="AC674" i="11"/>
  <c r="AD674" i="11"/>
  <c r="AA675" i="11"/>
  <c r="AB675" i="11"/>
  <c r="AC675" i="11"/>
  <c r="AD675" i="11"/>
  <c r="AA676" i="11"/>
  <c r="AB676" i="11"/>
  <c r="AC676" i="11"/>
  <c r="AD676" i="11"/>
  <c r="AA677" i="11"/>
  <c r="AB677" i="11"/>
  <c r="AC677" i="11"/>
  <c r="AD677" i="11"/>
  <c r="AA678" i="11"/>
  <c r="AB678" i="11"/>
  <c r="AC678" i="11"/>
  <c r="AD678" i="11"/>
  <c r="AA679" i="11"/>
  <c r="AB679" i="11"/>
  <c r="AC679" i="11"/>
  <c r="AD679" i="11"/>
  <c r="AA680" i="11"/>
  <c r="AB680" i="11"/>
  <c r="AC680" i="11"/>
  <c r="AD680" i="11"/>
  <c r="AA681" i="11"/>
  <c r="AB681" i="11"/>
  <c r="AC681" i="11"/>
  <c r="AD681" i="11"/>
  <c r="AA682" i="11"/>
  <c r="AB682" i="11"/>
  <c r="AC682" i="11"/>
  <c r="AD682" i="11"/>
  <c r="AA683" i="11"/>
  <c r="AB683" i="11"/>
  <c r="AC683" i="11"/>
  <c r="AD683" i="11"/>
  <c r="AA684" i="11"/>
  <c r="AB684" i="11"/>
  <c r="AC684" i="11"/>
  <c r="AD684" i="11"/>
  <c r="AA685" i="11"/>
  <c r="AB685" i="11"/>
  <c r="AC685" i="11"/>
  <c r="AD685" i="11"/>
  <c r="AA686" i="11"/>
  <c r="AB686" i="11"/>
  <c r="AC686" i="11"/>
  <c r="AD686" i="11"/>
  <c r="AA687" i="11"/>
  <c r="AB687" i="11"/>
  <c r="AC687" i="11"/>
  <c r="AD687" i="11"/>
  <c r="AA688" i="11"/>
  <c r="AB688" i="11"/>
  <c r="AC688" i="11"/>
  <c r="AD688" i="11"/>
  <c r="AA689" i="11"/>
  <c r="AB689" i="11"/>
  <c r="AC689" i="11"/>
  <c r="AD689" i="11"/>
  <c r="AA690" i="11"/>
  <c r="AB690" i="11"/>
  <c r="AC690" i="11"/>
  <c r="AD690" i="11"/>
  <c r="AA691" i="11"/>
  <c r="AB691" i="11"/>
  <c r="AC691" i="11"/>
  <c r="AD691" i="11"/>
  <c r="AA692" i="11"/>
  <c r="AB692" i="11"/>
  <c r="AC692" i="11"/>
  <c r="AD692" i="11"/>
  <c r="AA693" i="11"/>
  <c r="AB693" i="11"/>
  <c r="AC693" i="11"/>
  <c r="AD693" i="11"/>
  <c r="AA694" i="11"/>
  <c r="AB694" i="11"/>
  <c r="AC694" i="11"/>
  <c r="AD694" i="11"/>
  <c r="AA695" i="11"/>
  <c r="AB695" i="11"/>
  <c r="AC695" i="11"/>
  <c r="AD695" i="11"/>
  <c r="AA696" i="11"/>
  <c r="AB696" i="11"/>
  <c r="AC696" i="11"/>
  <c r="AD696" i="11"/>
  <c r="AA697" i="11"/>
  <c r="AB697" i="11"/>
  <c r="AC697" i="11"/>
  <c r="AD697" i="11"/>
  <c r="AA698" i="11"/>
  <c r="AB698" i="11"/>
  <c r="AC698" i="11"/>
  <c r="AD698" i="11"/>
  <c r="AA699" i="11"/>
  <c r="AB699" i="11"/>
  <c r="AC699" i="11"/>
  <c r="AD699" i="11"/>
  <c r="AA700" i="11"/>
  <c r="AB700" i="11"/>
  <c r="AC700" i="11"/>
  <c r="AD700" i="11"/>
  <c r="AA701" i="11"/>
  <c r="AB701" i="11"/>
  <c r="AC701" i="11"/>
  <c r="AD701" i="11"/>
  <c r="AA702" i="11"/>
  <c r="AB702" i="11"/>
  <c r="AC702" i="11"/>
  <c r="AD702" i="11"/>
  <c r="AA703" i="11"/>
  <c r="AB703" i="11"/>
  <c r="AC703" i="11"/>
  <c r="AD703" i="11"/>
  <c r="AA704" i="11"/>
  <c r="AB704" i="11"/>
  <c r="AC704" i="11"/>
  <c r="AD704" i="11"/>
  <c r="AA705" i="11"/>
  <c r="AB705" i="11"/>
  <c r="AC705" i="11"/>
  <c r="AD705" i="11"/>
  <c r="AA706" i="11"/>
  <c r="AB706" i="11"/>
  <c r="AC706" i="11"/>
  <c r="AD706" i="11"/>
  <c r="AA707" i="11"/>
  <c r="AB707" i="11"/>
  <c r="AC707" i="11"/>
  <c r="AD707" i="11"/>
  <c r="AA708" i="11"/>
  <c r="AB708" i="11"/>
  <c r="AC708" i="11"/>
  <c r="AD708" i="11"/>
  <c r="AA709" i="11"/>
  <c r="AB709" i="11"/>
  <c r="AC709" i="11"/>
  <c r="AD709" i="11"/>
  <c r="AA710" i="11"/>
  <c r="AB710" i="11"/>
  <c r="AC710" i="11"/>
  <c r="AD710" i="11"/>
  <c r="AA711" i="11"/>
  <c r="AB711" i="11"/>
  <c r="AC711" i="11"/>
  <c r="AD711" i="11"/>
  <c r="AA712" i="11"/>
  <c r="AB712" i="11"/>
  <c r="AC712" i="11"/>
  <c r="AD712" i="11"/>
  <c r="AA713" i="11"/>
  <c r="AB713" i="11"/>
  <c r="AC713" i="11"/>
  <c r="AD713" i="11"/>
  <c r="AA714" i="11"/>
  <c r="AB714" i="11"/>
  <c r="AC714" i="11"/>
  <c r="AD714" i="11"/>
  <c r="AA715" i="11"/>
  <c r="AB715" i="11"/>
  <c r="AC715" i="11"/>
  <c r="AD715" i="11"/>
  <c r="AA716" i="11"/>
  <c r="AB716" i="11"/>
  <c r="AC716" i="11"/>
  <c r="AD716" i="11"/>
  <c r="AA717" i="11"/>
  <c r="AB717" i="11"/>
  <c r="AC717" i="11"/>
  <c r="AD717" i="11"/>
  <c r="AA718" i="11"/>
  <c r="AB718" i="11"/>
  <c r="AC718" i="11"/>
  <c r="AD718" i="11"/>
  <c r="AA719" i="11"/>
  <c r="AB719" i="11"/>
  <c r="AC719" i="11"/>
  <c r="AD719" i="11"/>
  <c r="AA720" i="11"/>
  <c r="AB720" i="11"/>
  <c r="AC720" i="11"/>
  <c r="AD720" i="11"/>
  <c r="AA721" i="11"/>
  <c r="AB721" i="11"/>
  <c r="AC721" i="11"/>
  <c r="AD721" i="11"/>
  <c r="AA722" i="11"/>
  <c r="AB722" i="11"/>
  <c r="AC722" i="11"/>
  <c r="AD722" i="11"/>
  <c r="AA723" i="11"/>
  <c r="AB723" i="11"/>
  <c r="AC723" i="11"/>
  <c r="AD723" i="11"/>
  <c r="AA724" i="11"/>
  <c r="AB724" i="11"/>
  <c r="AC724" i="11"/>
  <c r="AD724" i="11"/>
  <c r="AA725" i="11"/>
  <c r="AB725" i="11"/>
  <c r="AC725" i="11"/>
  <c r="AD725" i="11"/>
  <c r="AA726" i="11"/>
  <c r="AB726" i="11"/>
  <c r="AC726" i="11"/>
  <c r="AD726" i="11"/>
  <c r="AA727" i="11"/>
  <c r="AB727" i="11"/>
  <c r="AC727" i="11"/>
  <c r="AD727" i="11"/>
  <c r="AA728" i="11"/>
  <c r="AB728" i="11"/>
  <c r="AC728" i="11"/>
  <c r="AD728" i="11"/>
  <c r="AA729" i="11"/>
  <c r="AB729" i="11"/>
  <c r="AC729" i="11"/>
  <c r="AD729" i="11"/>
  <c r="AA730" i="11"/>
  <c r="AB730" i="11"/>
  <c r="AC730" i="11"/>
  <c r="AD730" i="11"/>
  <c r="AA731" i="11"/>
  <c r="AB731" i="11"/>
  <c r="AC731" i="11"/>
  <c r="AD731" i="11"/>
  <c r="AA732" i="11"/>
  <c r="AB732" i="11"/>
  <c r="AC732" i="11"/>
  <c r="AD732" i="11"/>
  <c r="AA733" i="11"/>
  <c r="AB733" i="11"/>
  <c r="AC733" i="11"/>
  <c r="AD733" i="11"/>
  <c r="AA734" i="11"/>
  <c r="AB734" i="11"/>
  <c r="AC734" i="11"/>
  <c r="AD734" i="11"/>
  <c r="AA735" i="11"/>
  <c r="AB735" i="11"/>
  <c r="AC735" i="11"/>
  <c r="AD735" i="11"/>
  <c r="AA736" i="11"/>
  <c r="AB736" i="11"/>
  <c r="AC736" i="11"/>
  <c r="AD736" i="11"/>
  <c r="AA737" i="11"/>
  <c r="AB737" i="11"/>
  <c r="AC737" i="11"/>
  <c r="AD737" i="11"/>
  <c r="AA738" i="11"/>
  <c r="AB738" i="11"/>
  <c r="AC738" i="11"/>
  <c r="AD738" i="11"/>
  <c r="AA739" i="11"/>
  <c r="AB739" i="11"/>
  <c r="AC739" i="11"/>
  <c r="AD739" i="11"/>
  <c r="AA740" i="11"/>
  <c r="AB740" i="11"/>
  <c r="AC740" i="11"/>
  <c r="AD740" i="11"/>
  <c r="AA741" i="11"/>
  <c r="AB741" i="11"/>
  <c r="AC741" i="11"/>
  <c r="AD741" i="11"/>
  <c r="AA742" i="11"/>
  <c r="AB742" i="11"/>
  <c r="AC742" i="11"/>
  <c r="AD742" i="11"/>
  <c r="AA743" i="11"/>
  <c r="AB743" i="11"/>
  <c r="AC743" i="11"/>
  <c r="AD743" i="11"/>
  <c r="AA744" i="11"/>
  <c r="AB744" i="11"/>
  <c r="AC744" i="11"/>
  <c r="AD744" i="11"/>
  <c r="AA745" i="11"/>
  <c r="AB745" i="11"/>
  <c r="AC745" i="11"/>
  <c r="AD745" i="11"/>
  <c r="AA746" i="11"/>
  <c r="AB746" i="11"/>
  <c r="AC746" i="11"/>
  <c r="AD746" i="11"/>
  <c r="AA747" i="11"/>
  <c r="AB747" i="11"/>
  <c r="AC747" i="11"/>
  <c r="AD747" i="11"/>
  <c r="AA748" i="11"/>
  <c r="AB748" i="11"/>
  <c r="AC748" i="11"/>
  <c r="AD748" i="11"/>
  <c r="AA749" i="11"/>
  <c r="AB749" i="11"/>
  <c r="AC749" i="11"/>
  <c r="AD749" i="11"/>
  <c r="AA750" i="11"/>
  <c r="AB750" i="11"/>
  <c r="AC750" i="11"/>
  <c r="AD750" i="11"/>
  <c r="AA751" i="11"/>
  <c r="AB751" i="11"/>
  <c r="AC751" i="11"/>
  <c r="AD751" i="11"/>
  <c r="AA752" i="11"/>
  <c r="AB752" i="11"/>
  <c r="AC752" i="11"/>
  <c r="AD752" i="11"/>
  <c r="AA753" i="11"/>
  <c r="AB753" i="11"/>
  <c r="AC753" i="11"/>
  <c r="AD753" i="11"/>
  <c r="AA754" i="11"/>
  <c r="AB754" i="11"/>
  <c r="AC754" i="11"/>
  <c r="AD754" i="11"/>
  <c r="AA755" i="11"/>
  <c r="AB755" i="11"/>
  <c r="AC755" i="11"/>
  <c r="AD755" i="11"/>
  <c r="AA756" i="11"/>
  <c r="AB756" i="11"/>
  <c r="AC756" i="11"/>
  <c r="AD756" i="11"/>
  <c r="AA757" i="11"/>
  <c r="AB757" i="11"/>
  <c r="AC757" i="11"/>
  <c r="AD757" i="11"/>
  <c r="AA758" i="11"/>
  <c r="AB758" i="11"/>
  <c r="AC758" i="11"/>
  <c r="AD758" i="11"/>
  <c r="AA759" i="11"/>
  <c r="AB759" i="11"/>
  <c r="AC759" i="11"/>
  <c r="AD759" i="11"/>
  <c r="AA760" i="11"/>
  <c r="AB760" i="11"/>
  <c r="AC760" i="11"/>
  <c r="AD760" i="11"/>
  <c r="AA761" i="11"/>
  <c r="AB761" i="11"/>
  <c r="AC761" i="11"/>
  <c r="AD761" i="11"/>
  <c r="AA762" i="11"/>
  <c r="AB762" i="11"/>
  <c r="AC762" i="11"/>
  <c r="AD762" i="11"/>
  <c r="AA763" i="11"/>
  <c r="AB763" i="11"/>
  <c r="AC763" i="11"/>
  <c r="AD763" i="11"/>
  <c r="AA764" i="11"/>
  <c r="AB764" i="11"/>
  <c r="AC764" i="11"/>
  <c r="AD764" i="11"/>
  <c r="AA765" i="11"/>
  <c r="AB765" i="11"/>
  <c r="AC765" i="11"/>
  <c r="AD765" i="11"/>
  <c r="AA766" i="11"/>
  <c r="AB766" i="11"/>
  <c r="AC766" i="11"/>
  <c r="AD766" i="11"/>
  <c r="AA767" i="11"/>
  <c r="AB767" i="11"/>
  <c r="AC767" i="11"/>
  <c r="AD767" i="11"/>
  <c r="AA768" i="11"/>
  <c r="AB768" i="11"/>
  <c r="AC768" i="11"/>
  <c r="AD768" i="11"/>
  <c r="AA769" i="11"/>
  <c r="AB769" i="11"/>
  <c r="AC769" i="11"/>
  <c r="AD769" i="11"/>
  <c r="AA770" i="11"/>
  <c r="AB770" i="11"/>
  <c r="AC770" i="11"/>
  <c r="AD770" i="11"/>
  <c r="AA771" i="11"/>
  <c r="AB771" i="11"/>
  <c r="AC771" i="11"/>
  <c r="AD771" i="11"/>
  <c r="AA772" i="11"/>
  <c r="AB772" i="11"/>
  <c r="AC772" i="11"/>
  <c r="AD772" i="11"/>
  <c r="AA773" i="11"/>
  <c r="AB773" i="11"/>
  <c r="AC773" i="11"/>
  <c r="AD773" i="11"/>
  <c r="AA774" i="11"/>
  <c r="AB774" i="11"/>
  <c r="AC774" i="11"/>
  <c r="AD774" i="11"/>
  <c r="AA775" i="11"/>
  <c r="AB775" i="11"/>
  <c r="AC775" i="11"/>
  <c r="AD775" i="11"/>
  <c r="AA776" i="11"/>
  <c r="AB776" i="11"/>
  <c r="AC776" i="11"/>
  <c r="AD776" i="11"/>
  <c r="AA777" i="11"/>
  <c r="AB777" i="11"/>
  <c r="AC777" i="11"/>
  <c r="AD777" i="11"/>
  <c r="AA778" i="11"/>
  <c r="AB778" i="11"/>
  <c r="AC778" i="11"/>
  <c r="AD778" i="11"/>
  <c r="AA779" i="11"/>
  <c r="AB779" i="11"/>
  <c r="AC779" i="11"/>
  <c r="AD779" i="11"/>
  <c r="AA780" i="11"/>
  <c r="AB780" i="11"/>
  <c r="AC780" i="11"/>
  <c r="AD780" i="11"/>
  <c r="AA781" i="11"/>
  <c r="AB781" i="11"/>
  <c r="AC781" i="11"/>
  <c r="AD781" i="11"/>
  <c r="AA782" i="11"/>
  <c r="AB782" i="11"/>
  <c r="AC782" i="11"/>
  <c r="AD782" i="11"/>
  <c r="AA783" i="11"/>
  <c r="AB783" i="11"/>
  <c r="AC783" i="11"/>
  <c r="AD783" i="11"/>
  <c r="AA784" i="11"/>
  <c r="AB784" i="11"/>
  <c r="AC784" i="11"/>
  <c r="AD784" i="11"/>
  <c r="AA785" i="11"/>
  <c r="AB785" i="11"/>
  <c r="AC785" i="11"/>
  <c r="AD785" i="11"/>
  <c r="AA786" i="11"/>
  <c r="AB786" i="11"/>
  <c r="AC786" i="11"/>
  <c r="AD786" i="11"/>
  <c r="AA787" i="11"/>
  <c r="AB787" i="11"/>
  <c r="AC787" i="11"/>
  <c r="AD787" i="11"/>
  <c r="AA788" i="11"/>
  <c r="AB788" i="11"/>
  <c r="AC788" i="11"/>
  <c r="AD788" i="11"/>
  <c r="AA789" i="11"/>
  <c r="AB789" i="11"/>
  <c r="AC789" i="11"/>
  <c r="AD789" i="11"/>
  <c r="AA790" i="11"/>
  <c r="AB790" i="11"/>
  <c r="AC790" i="11"/>
  <c r="AD790" i="11"/>
  <c r="AA791" i="11"/>
  <c r="AB791" i="11"/>
  <c r="AC791" i="11"/>
  <c r="AD791" i="11"/>
  <c r="AA792" i="11"/>
  <c r="AB792" i="11"/>
  <c r="AC792" i="11"/>
  <c r="AD792" i="11"/>
  <c r="AA793" i="11"/>
  <c r="AB793" i="11"/>
  <c r="AC793" i="11"/>
  <c r="AD793" i="11"/>
  <c r="AA794" i="11"/>
  <c r="AB794" i="11"/>
  <c r="AC794" i="11"/>
  <c r="AD794" i="11"/>
  <c r="AA795" i="11"/>
  <c r="AB795" i="11"/>
  <c r="AC795" i="11"/>
  <c r="AD795" i="11"/>
  <c r="AA796" i="11"/>
  <c r="AB796" i="11"/>
  <c r="AC796" i="11"/>
  <c r="AD796" i="11"/>
  <c r="AA797" i="11"/>
  <c r="AB797" i="11"/>
  <c r="AC797" i="11"/>
  <c r="AD797" i="11"/>
  <c r="AA798" i="11"/>
  <c r="AB798" i="11"/>
  <c r="AC798" i="11"/>
  <c r="AD798" i="11"/>
  <c r="AA799" i="11"/>
  <c r="AB799" i="11"/>
  <c r="AC799" i="11"/>
  <c r="AD799" i="11"/>
  <c r="AA800" i="11"/>
  <c r="AB800" i="11"/>
  <c r="AC800" i="11"/>
  <c r="AD800" i="11"/>
  <c r="AA801" i="11"/>
  <c r="AB801" i="11"/>
  <c r="AC801" i="11"/>
  <c r="AD801" i="11"/>
  <c r="AA802" i="11"/>
  <c r="AB802" i="11"/>
  <c r="AC802" i="11"/>
  <c r="AD802" i="11"/>
  <c r="AA803" i="11"/>
  <c r="AB803" i="11"/>
  <c r="AC803" i="11"/>
  <c r="AD803" i="11"/>
  <c r="AA804" i="11"/>
  <c r="AB804" i="11"/>
  <c r="AC804" i="11"/>
  <c r="AD804" i="11"/>
  <c r="AA805" i="11"/>
  <c r="AB805" i="11"/>
  <c r="AC805" i="11"/>
  <c r="AD805" i="11"/>
  <c r="AA806" i="11"/>
  <c r="AB806" i="11"/>
  <c r="AC806" i="11"/>
  <c r="AD806" i="11"/>
  <c r="AA807" i="11"/>
  <c r="AB807" i="11"/>
  <c r="AC807" i="11"/>
  <c r="AD807" i="11"/>
  <c r="AA808" i="11"/>
  <c r="AB808" i="11"/>
  <c r="AC808" i="11"/>
  <c r="AD808" i="11"/>
  <c r="AA809" i="11"/>
  <c r="AB809" i="11"/>
  <c r="AC809" i="11"/>
  <c r="AD809" i="11"/>
  <c r="AA810" i="11"/>
  <c r="AB810" i="11"/>
  <c r="AC810" i="11"/>
  <c r="AD810" i="11"/>
  <c r="AA811" i="11"/>
  <c r="AB811" i="11"/>
  <c r="AC811" i="11"/>
  <c r="AD811" i="11"/>
  <c r="AA812" i="11"/>
  <c r="AB812" i="11"/>
  <c r="AC812" i="11"/>
  <c r="AD812" i="11"/>
  <c r="AA813" i="11"/>
  <c r="AB813" i="11"/>
  <c r="AC813" i="11"/>
  <c r="AD813" i="11"/>
  <c r="AA814" i="11"/>
  <c r="AB814" i="11"/>
  <c r="AC814" i="11"/>
  <c r="AD814" i="11"/>
  <c r="AA815" i="11"/>
  <c r="AB815" i="11"/>
  <c r="AC815" i="11"/>
  <c r="AD815" i="11"/>
  <c r="AA816" i="11"/>
  <c r="AB816" i="11"/>
  <c r="AC816" i="11"/>
  <c r="AD816" i="11"/>
  <c r="AA817" i="11"/>
  <c r="AB817" i="11"/>
  <c r="AC817" i="11"/>
  <c r="AD817" i="11"/>
  <c r="AA818" i="11"/>
  <c r="AB818" i="11"/>
  <c r="AC818" i="11"/>
  <c r="AD818" i="11"/>
  <c r="AA819" i="11"/>
  <c r="AB819" i="11"/>
  <c r="AC819" i="11"/>
  <c r="AD819" i="11"/>
  <c r="AA820" i="11"/>
  <c r="AB820" i="11"/>
  <c r="AC820" i="11"/>
  <c r="AD820" i="11"/>
  <c r="AA821" i="11"/>
  <c r="AB821" i="11"/>
  <c r="AC821" i="11"/>
  <c r="AD821" i="11"/>
  <c r="AA822" i="11"/>
  <c r="AB822" i="11"/>
  <c r="AC822" i="11"/>
  <c r="AD822" i="11"/>
  <c r="AA823" i="11"/>
  <c r="AB823" i="11"/>
  <c r="AC823" i="11"/>
  <c r="AD823" i="11"/>
  <c r="AA824" i="11"/>
  <c r="AB824" i="11"/>
  <c r="AC824" i="11"/>
  <c r="AD824" i="11"/>
  <c r="AA825" i="11"/>
  <c r="AB825" i="11"/>
  <c r="AC825" i="11"/>
  <c r="AD825" i="11"/>
  <c r="AA826" i="11"/>
  <c r="AB826" i="11"/>
  <c r="AC826" i="11"/>
  <c r="AD826" i="11"/>
  <c r="AA827" i="11"/>
  <c r="AB827" i="11"/>
  <c r="AC827" i="11"/>
  <c r="AD827" i="11"/>
  <c r="AA828" i="11"/>
  <c r="AB828" i="11"/>
  <c r="AC828" i="11"/>
  <c r="AD828" i="11"/>
  <c r="AA829" i="11"/>
  <c r="AB829" i="11"/>
  <c r="AC829" i="11"/>
  <c r="AD829" i="11"/>
  <c r="AA830" i="11"/>
  <c r="AB830" i="11"/>
  <c r="AC830" i="11"/>
  <c r="AD830" i="11"/>
  <c r="AA831" i="11"/>
  <c r="AB831" i="11"/>
  <c r="AC831" i="11"/>
  <c r="AD831" i="11"/>
  <c r="AA832" i="11"/>
  <c r="AB832" i="11"/>
  <c r="AC832" i="11"/>
  <c r="AD832" i="11"/>
  <c r="AA833" i="11"/>
  <c r="AB833" i="11"/>
  <c r="AC833" i="11"/>
  <c r="AD833" i="11"/>
  <c r="AA834" i="11"/>
  <c r="AB834" i="11"/>
  <c r="AC834" i="11"/>
  <c r="AD834" i="11"/>
  <c r="AA835" i="11"/>
  <c r="AB835" i="11"/>
  <c r="AC835" i="11"/>
  <c r="AD835" i="11"/>
  <c r="AA836" i="11"/>
  <c r="AB836" i="11"/>
  <c r="AC836" i="11"/>
  <c r="AD836" i="11"/>
  <c r="AA837" i="11"/>
  <c r="AB837" i="11"/>
  <c r="AC837" i="11"/>
  <c r="AD837" i="11"/>
  <c r="AA838" i="11"/>
  <c r="AB838" i="11"/>
  <c r="AC838" i="11"/>
  <c r="AD838" i="11"/>
  <c r="AA839" i="11"/>
  <c r="AB839" i="11"/>
  <c r="AC839" i="11"/>
  <c r="AD839" i="11"/>
  <c r="AA840" i="11"/>
  <c r="AB840" i="11"/>
  <c r="AC840" i="11"/>
  <c r="AD840" i="11"/>
  <c r="AA841" i="11"/>
  <c r="AB841" i="11"/>
  <c r="AC841" i="11"/>
  <c r="AD841" i="11"/>
  <c r="AA842" i="11"/>
  <c r="AB842" i="11"/>
  <c r="AC842" i="11"/>
  <c r="AD842" i="11"/>
  <c r="AA843" i="11"/>
  <c r="AB843" i="11"/>
  <c r="AC843" i="11"/>
  <c r="AD843" i="11"/>
  <c r="AA844" i="11"/>
  <c r="AB844" i="11"/>
  <c r="AC844" i="11"/>
  <c r="AD844" i="11"/>
  <c r="AA845" i="11"/>
  <c r="AB845" i="11"/>
  <c r="AC845" i="11"/>
  <c r="AD845" i="11"/>
  <c r="AA846" i="11"/>
  <c r="AB846" i="11"/>
  <c r="AC846" i="11"/>
  <c r="AD846" i="11"/>
  <c r="AA847" i="11"/>
  <c r="AB847" i="11"/>
  <c r="AC847" i="11"/>
  <c r="AD847" i="11"/>
  <c r="AA848" i="11"/>
  <c r="AB848" i="11"/>
  <c r="AC848" i="11"/>
  <c r="AD848" i="11"/>
  <c r="AA849" i="11"/>
  <c r="AB849" i="11"/>
  <c r="AC849" i="11"/>
  <c r="AD849" i="11"/>
  <c r="AA850" i="11"/>
  <c r="AB850" i="11"/>
  <c r="AC850" i="11"/>
  <c r="AD850" i="11"/>
  <c r="AA851" i="11"/>
  <c r="AB851" i="11"/>
  <c r="AC851" i="11"/>
  <c r="AD851" i="11"/>
  <c r="AA852" i="11"/>
  <c r="AB852" i="11"/>
  <c r="AC852" i="11"/>
  <c r="AD852" i="11"/>
  <c r="AA853" i="11"/>
  <c r="AB853" i="11"/>
  <c r="AC853" i="11"/>
  <c r="AD853" i="11"/>
  <c r="AA854" i="11"/>
  <c r="AB854" i="11"/>
  <c r="AC854" i="11"/>
  <c r="AD854" i="11"/>
  <c r="AA855" i="11"/>
  <c r="AB855" i="11"/>
  <c r="AC855" i="11"/>
  <c r="AD855" i="11"/>
  <c r="AA856" i="11"/>
  <c r="AB856" i="11"/>
  <c r="AC856" i="11"/>
  <c r="AD856" i="11"/>
  <c r="AA857" i="11"/>
  <c r="AB857" i="11"/>
  <c r="AC857" i="11"/>
  <c r="AD857" i="11"/>
  <c r="AA858" i="11"/>
  <c r="AB858" i="11"/>
  <c r="AC858" i="11"/>
  <c r="AD858" i="11"/>
  <c r="AA859" i="11"/>
  <c r="AB859" i="11"/>
  <c r="AC859" i="11"/>
  <c r="AD859" i="11"/>
  <c r="AA860" i="11"/>
  <c r="AB860" i="11"/>
  <c r="AC860" i="11"/>
  <c r="AD860" i="11"/>
  <c r="AA861" i="11"/>
  <c r="AB861" i="11"/>
  <c r="AC861" i="11"/>
  <c r="AD861" i="11"/>
  <c r="AA862" i="11"/>
  <c r="AB862" i="11"/>
  <c r="AC862" i="11"/>
  <c r="AD862" i="11"/>
  <c r="AA863" i="11"/>
  <c r="AB863" i="11"/>
  <c r="AC863" i="11"/>
  <c r="AD863" i="11"/>
  <c r="AA864" i="11"/>
  <c r="AB864" i="11"/>
  <c r="AC864" i="11"/>
  <c r="AD864" i="11"/>
  <c r="AA865" i="11"/>
  <c r="AB865" i="11"/>
  <c r="AC865" i="11"/>
  <c r="AD865" i="11"/>
  <c r="AA866" i="11"/>
  <c r="AB866" i="11"/>
  <c r="AC866" i="11"/>
  <c r="AD866" i="11"/>
  <c r="AA867" i="11"/>
  <c r="AB867" i="11"/>
  <c r="AC867" i="11"/>
  <c r="AD867" i="11"/>
  <c r="AA868" i="11"/>
  <c r="AB868" i="11"/>
  <c r="AC868" i="11"/>
  <c r="AD868" i="11"/>
  <c r="AA869" i="11"/>
  <c r="AB869" i="11"/>
  <c r="AC869" i="11"/>
  <c r="AD869" i="11"/>
  <c r="AA870" i="11"/>
  <c r="AB870" i="11"/>
  <c r="AC870" i="11"/>
  <c r="AD870" i="11"/>
  <c r="AA871" i="11"/>
  <c r="AB871" i="11"/>
  <c r="AC871" i="11"/>
  <c r="AD871" i="11"/>
  <c r="AA872" i="11"/>
  <c r="AB872" i="11"/>
  <c r="AC872" i="11"/>
  <c r="AD872" i="11"/>
  <c r="AA873" i="11"/>
  <c r="AB873" i="11"/>
  <c r="AC873" i="11"/>
  <c r="AD873" i="11"/>
  <c r="AA874" i="11"/>
  <c r="AB874" i="11"/>
  <c r="AC874" i="11"/>
  <c r="AD874" i="11"/>
  <c r="AA875" i="11"/>
  <c r="AB875" i="11"/>
  <c r="AC875" i="11"/>
  <c r="AD875" i="11"/>
  <c r="AA876" i="11"/>
  <c r="AB876" i="11"/>
  <c r="AC876" i="11"/>
  <c r="AD876" i="11"/>
  <c r="AA877" i="11"/>
  <c r="AB877" i="11"/>
  <c r="AC877" i="11"/>
  <c r="AD877" i="11"/>
  <c r="AA878" i="11"/>
  <c r="AB878" i="11"/>
  <c r="AC878" i="11"/>
  <c r="AD878" i="11"/>
  <c r="AA879" i="11"/>
  <c r="AB879" i="11"/>
  <c r="AC879" i="11"/>
  <c r="AD879" i="11"/>
  <c r="AA880" i="11"/>
  <c r="AB880" i="11"/>
  <c r="AC880" i="11"/>
  <c r="AD880" i="11"/>
  <c r="AA881" i="11"/>
  <c r="AB881" i="11"/>
  <c r="AC881" i="11"/>
  <c r="AD881" i="11"/>
  <c r="AA882" i="11"/>
  <c r="AB882" i="11"/>
  <c r="AC882" i="11"/>
  <c r="AD882" i="11"/>
  <c r="AA883" i="11"/>
  <c r="AB883" i="11"/>
  <c r="AC883" i="11"/>
  <c r="AD883" i="11"/>
  <c r="AA884" i="11"/>
  <c r="AB884" i="11"/>
  <c r="AC884" i="11"/>
  <c r="AD884" i="11"/>
  <c r="AA885" i="11"/>
  <c r="AB885" i="11"/>
  <c r="AC885" i="11"/>
  <c r="AD885" i="11"/>
  <c r="AA886" i="11"/>
  <c r="AB886" i="11"/>
  <c r="AC886" i="11"/>
  <c r="AD886" i="11"/>
  <c r="AA887" i="11"/>
  <c r="AB887" i="11"/>
  <c r="AC887" i="11"/>
  <c r="AD887" i="11"/>
  <c r="AA888" i="11"/>
  <c r="AB888" i="11"/>
  <c r="AC888" i="11"/>
  <c r="AD888" i="11"/>
  <c r="AA889" i="11"/>
  <c r="AB889" i="11"/>
  <c r="AC889" i="11"/>
  <c r="AD889" i="11"/>
  <c r="AA890" i="11"/>
  <c r="AB890" i="11"/>
  <c r="AC890" i="11"/>
  <c r="AD890" i="11"/>
  <c r="AA891" i="11"/>
  <c r="AB891" i="11"/>
  <c r="AC891" i="11"/>
  <c r="AD891" i="11"/>
  <c r="AA892" i="11"/>
  <c r="AB892" i="11"/>
  <c r="AC892" i="11"/>
  <c r="AD892" i="11"/>
  <c r="AA893" i="11"/>
  <c r="AB893" i="11"/>
  <c r="AC893" i="11"/>
  <c r="AD893" i="11"/>
  <c r="AA894" i="11"/>
  <c r="AB894" i="11"/>
  <c r="AC894" i="11"/>
  <c r="AD894" i="11"/>
  <c r="AA895" i="11"/>
  <c r="AB895" i="11"/>
  <c r="AC895" i="11"/>
  <c r="AD895" i="11"/>
  <c r="AA896" i="11"/>
  <c r="AB896" i="11"/>
  <c r="AC896" i="11"/>
  <c r="AD896" i="11"/>
  <c r="AA897" i="11"/>
  <c r="AB897" i="11"/>
  <c r="AC897" i="11"/>
  <c r="AD897" i="11"/>
  <c r="AA898" i="11"/>
  <c r="AB898" i="11"/>
  <c r="AC898" i="11"/>
  <c r="AD898" i="11"/>
  <c r="AA899" i="11"/>
  <c r="AB899" i="11"/>
  <c r="AC899" i="11"/>
  <c r="AD899" i="11"/>
  <c r="AA900" i="11"/>
  <c r="AB900" i="11"/>
  <c r="AC900" i="11"/>
  <c r="AD900" i="11"/>
  <c r="AA901" i="11"/>
  <c r="AB901" i="11"/>
  <c r="AC901" i="11"/>
  <c r="AD901" i="11"/>
  <c r="AA902" i="11"/>
  <c r="AB902" i="11"/>
  <c r="AC902" i="11"/>
  <c r="AD902" i="11"/>
  <c r="AA903" i="11"/>
  <c r="AB903" i="11"/>
  <c r="AC903" i="11"/>
  <c r="AD903" i="11"/>
  <c r="AA904" i="11"/>
  <c r="AB904" i="11"/>
  <c r="AC904" i="11"/>
  <c r="AD904" i="11"/>
  <c r="AA905" i="11"/>
  <c r="AB905" i="11"/>
  <c r="AC905" i="11"/>
  <c r="AD905" i="11"/>
  <c r="AA906" i="11"/>
  <c r="AB906" i="11"/>
  <c r="AC906" i="11"/>
  <c r="AD906" i="11"/>
  <c r="AA907" i="11"/>
  <c r="AB907" i="11"/>
  <c r="AC907" i="11"/>
  <c r="AD907" i="11"/>
  <c r="AA908" i="11"/>
  <c r="AB908" i="11"/>
  <c r="AC908" i="11"/>
  <c r="AD908" i="11"/>
  <c r="AA909" i="11"/>
  <c r="AB909" i="11"/>
  <c r="AC909" i="11"/>
  <c r="AD909" i="11"/>
  <c r="AA910" i="11"/>
  <c r="AB910" i="11"/>
  <c r="AC910" i="11"/>
  <c r="AD910" i="11"/>
  <c r="AA911" i="11"/>
  <c r="AB911" i="11"/>
  <c r="AC911" i="11"/>
  <c r="AD911" i="11"/>
  <c r="AA912" i="11"/>
  <c r="AB912" i="11"/>
  <c r="AC912" i="11"/>
  <c r="AD912" i="11"/>
  <c r="AA913" i="11"/>
  <c r="AB913" i="11"/>
  <c r="AC913" i="11"/>
  <c r="AD913" i="11"/>
  <c r="AA914" i="11"/>
  <c r="AB914" i="11"/>
  <c r="AC914" i="11"/>
  <c r="AD914" i="11"/>
  <c r="AA915" i="11"/>
  <c r="AB915" i="11"/>
  <c r="AC915" i="11"/>
  <c r="AD915" i="11"/>
  <c r="AA916" i="11"/>
  <c r="AB916" i="11"/>
  <c r="AC916" i="11"/>
  <c r="AD916" i="11"/>
  <c r="AA917" i="11"/>
  <c r="AB917" i="11"/>
  <c r="AC917" i="11"/>
  <c r="AD917" i="11"/>
  <c r="AA918" i="11"/>
  <c r="AB918" i="11"/>
  <c r="AC918" i="11"/>
  <c r="AD918" i="11"/>
  <c r="AA919" i="11"/>
  <c r="AB919" i="11"/>
  <c r="AC919" i="11"/>
  <c r="AD919" i="11"/>
  <c r="AA920" i="11"/>
  <c r="AB920" i="11"/>
  <c r="AC920" i="11"/>
  <c r="AD920" i="11"/>
  <c r="AA921" i="11"/>
  <c r="AB921" i="11"/>
  <c r="AC921" i="11"/>
  <c r="AD921" i="11"/>
  <c r="AA922" i="11"/>
  <c r="AB922" i="11"/>
  <c r="AC922" i="11"/>
  <c r="AD922" i="11"/>
  <c r="AA923" i="11"/>
  <c r="AB923" i="11"/>
  <c r="AC923" i="11"/>
  <c r="AD923" i="11"/>
  <c r="AA924" i="11"/>
  <c r="AB924" i="11"/>
  <c r="AC924" i="11"/>
  <c r="AD924" i="11"/>
  <c r="AA925" i="11"/>
  <c r="AB925" i="11"/>
  <c r="AC925" i="11"/>
  <c r="AD925" i="11"/>
  <c r="AA926" i="11"/>
  <c r="AB926" i="11"/>
  <c r="AC926" i="11"/>
  <c r="AD926" i="11"/>
  <c r="AA927" i="11"/>
  <c r="AB927" i="11"/>
  <c r="AC927" i="11"/>
  <c r="AD927" i="11"/>
  <c r="AA928" i="11"/>
  <c r="AB928" i="11"/>
  <c r="AC928" i="11"/>
  <c r="AD928" i="11"/>
  <c r="AA929" i="11"/>
  <c r="AB929" i="11"/>
  <c r="AC929" i="11"/>
  <c r="AD929" i="11"/>
  <c r="AA930" i="11"/>
  <c r="AB930" i="11"/>
  <c r="AC930" i="11"/>
  <c r="AD930" i="11"/>
  <c r="AA931" i="11"/>
  <c r="AB931" i="11"/>
  <c r="AC931" i="11"/>
  <c r="AD931" i="11"/>
  <c r="AA932" i="11"/>
  <c r="AB932" i="11"/>
  <c r="AC932" i="11"/>
  <c r="AD932" i="11"/>
  <c r="AA933" i="11"/>
  <c r="AB933" i="11"/>
  <c r="AC933" i="11"/>
  <c r="AD933" i="11"/>
  <c r="AA934" i="11"/>
  <c r="AB934" i="11"/>
  <c r="AC934" i="11"/>
  <c r="AD934" i="11"/>
  <c r="AA935" i="11"/>
  <c r="AB935" i="11"/>
  <c r="AC935" i="11"/>
  <c r="AD935" i="11"/>
  <c r="AA936" i="11"/>
  <c r="AB936" i="11"/>
  <c r="AC936" i="11"/>
  <c r="AD936" i="11"/>
  <c r="AA937" i="11"/>
  <c r="AB937" i="11"/>
  <c r="AC937" i="11"/>
  <c r="AD937" i="11"/>
  <c r="AA938" i="11"/>
  <c r="AB938" i="11"/>
  <c r="AC938" i="11"/>
  <c r="AD938" i="11"/>
  <c r="AA939" i="11"/>
  <c r="AB939" i="11"/>
  <c r="AC939" i="11"/>
  <c r="AD939" i="11"/>
  <c r="AA940" i="11"/>
  <c r="AB940" i="11"/>
  <c r="AC940" i="11"/>
  <c r="AD940" i="11"/>
  <c r="AA941" i="11"/>
  <c r="AB941" i="11"/>
  <c r="AC941" i="11"/>
  <c r="AD941" i="11"/>
  <c r="AA942" i="11"/>
  <c r="AB942" i="11"/>
  <c r="AC942" i="11"/>
  <c r="AD942" i="11"/>
  <c r="AA943" i="11"/>
  <c r="AB943" i="11"/>
  <c r="AC943" i="11"/>
  <c r="AD943" i="11"/>
  <c r="AA944" i="11"/>
  <c r="AB944" i="11"/>
  <c r="AC944" i="11"/>
  <c r="AD944" i="11"/>
  <c r="AA945" i="11"/>
  <c r="AB945" i="11"/>
  <c r="AC945" i="11"/>
  <c r="AD945" i="11"/>
  <c r="AA946" i="11"/>
  <c r="AB946" i="11"/>
  <c r="AC946" i="11"/>
  <c r="AD946" i="11"/>
  <c r="AA947" i="11"/>
  <c r="AB947" i="11"/>
  <c r="AC947" i="11"/>
  <c r="AD947" i="11"/>
  <c r="AA948" i="11"/>
  <c r="AB948" i="11"/>
  <c r="AC948" i="11"/>
  <c r="AD948" i="11"/>
  <c r="AA949" i="11"/>
  <c r="AB949" i="11"/>
  <c r="AC949" i="11"/>
  <c r="AD949" i="11"/>
  <c r="AA950" i="11"/>
  <c r="AB950" i="11"/>
  <c r="AC950" i="11"/>
  <c r="AD950" i="11"/>
  <c r="AA951" i="11"/>
  <c r="AB951" i="11"/>
  <c r="AC951" i="11"/>
  <c r="AD951" i="11"/>
  <c r="AA952" i="11"/>
  <c r="AB952" i="11"/>
  <c r="AC952" i="11"/>
  <c r="AD952" i="11"/>
  <c r="AA953" i="11"/>
  <c r="AB953" i="11"/>
  <c r="AC953" i="11"/>
  <c r="AD953" i="11"/>
  <c r="AA954" i="11"/>
  <c r="AB954" i="11"/>
  <c r="AC954" i="11"/>
  <c r="AD954" i="11"/>
  <c r="AA955" i="11"/>
  <c r="AB955" i="11"/>
  <c r="AC955" i="11"/>
  <c r="AD955" i="11"/>
  <c r="AA956" i="11"/>
  <c r="AB956" i="11"/>
  <c r="AC956" i="11"/>
  <c r="AD956" i="11"/>
  <c r="AA957" i="11"/>
  <c r="AB957" i="11"/>
  <c r="AC957" i="11"/>
  <c r="AD957" i="11"/>
  <c r="AA958" i="11"/>
  <c r="AB958" i="11"/>
  <c r="AC958" i="11"/>
  <c r="AD958" i="11"/>
  <c r="AA959" i="11"/>
  <c r="AB959" i="11"/>
  <c r="AC959" i="11"/>
  <c r="AD959" i="11"/>
  <c r="AA960" i="11"/>
  <c r="AB960" i="11"/>
  <c r="AC960" i="11"/>
  <c r="AD960" i="11"/>
  <c r="AA961" i="11"/>
  <c r="AB961" i="11"/>
  <c r="AC961" i="11"/>
  <c r="AD961" i="11"/>
  <c r="AA962" i="11"/>
  <c r="AB962" i="11"/>
  <c r="AC962" i="11"/>
  <c r="AD962" i="11"/>
  <c r="AA963" i="11"/>
  <c r="AB963" i="11"/>
  <c r="AC963" i="11"/>
  <c r="AD963" i="11"/>
  <c r="AA964" i="11"/>
  <c r="AB964" i="11"/>
  <c r="AC964" i="11"/>
  <c r="AD964" i="11"/>
  <c r="AA965" i="11"/>
  <c r="AB965" i="11"/>
  <c r="AC965" i="11"/>
  <c r="AD965" i="11"/>
  <c r="AA966" i="11"/>
  <c r="AB966" i="11"/>
  <c r="AC966" i="11"/>
  <c r="AD966" i="11"/>
  <c r="AA967" i="11"/>
  <c r="AB967" i="11"/>
  <c r="AC967" i="11"/>
  <c r="AD967" i="11"/>
  <c r="AA968" i="11"/>
  <c r="AB968" i="11"/>
  <c r="AC968" i="11"/>
  <c r="AD968" i="11"/>
  <c r="AA969" i="11"/>
  <c r="AB969" i="11"/>
  <c r="AC969" i="11"/>
  <c r="AD969" i="11"/>
  <c r="AA970" i="11"/>
  <c r="AB970" i="11"/>
  <c r="AC970" i="11"/>
  <c r="AD970" i="11"/>
  <c r="AA971" i="11"/>
  <c r="AB971" i="11"/>
  <c r="AC971" i="11"/>
  <c r="AD971" i="11"/>
  <c r="AA972" i="11"/>
  <c r="AB972" i="11"/>
  <c r="AC972" i="11"/>
  <c r="AD972" i="11"/>
  <c r="AA973" i="11"/>
  <c r="AB973" i="11"/>
  <c r="AC973" i="11"/>
  <c r="AD973" i="11"/>
  <c r="AA974" i="11"/>
  <c r="AB974" i="11"/>
  <c r="AC974" i="11"/>
  <c r="AD974" i="11"/>
  <c r="AA975" i="11"/>
  <c r="AB975" i="11"/>
  <c r="AC975" i="11"/>
  <c r="AD975" i="11"/>
  <c r="AA976" i="11"/>
  <c r="AB976" i="11"/>
  <c r="AC976" i="11"/>
  <c r="AD976" i="11"/>
  <c r="AA977" i="11"/>
  <c r="AB977" i="11"/>
  <c r="AC977" i="11"/>
  <c r="AD977" i="11"/>
  <c r="AA978" i="11"/>
  <c r="AB978" i="11"/>
  <c r="AC978" i="11"/>
  <c r="AD978" i="11"/>
  <c r="AA979" i="11"/>
  <c r="AB979" i="11"/>
  <c r="AC979" i="11"/>
  <c r="AD979" i="11"/>
  <c r="AA980" i="11"/>
  <c r="AB980" i="11"/>
  <c r="AC980" i="11"/>
  <c r="AD980" i="11"/>
  <c r="AA981" i="11"/>
  <c r="AB981" i="11"/>
  <c r="AC981" i="11"/>
  <c r="AD981" i="11"/>
  <c r="AA982" i="11"/>
  <c r="AB982" i="11"/>
  <c r="AC982" i="11"/>
  <c r="AD982" i="11"/>
  <c r="AA983" i="11"/>
  <c r="AB983" i="11"/>
  <c r="AC983" i="11"/>
  <c r="AD983" i="11"/>
  <c r="AA984" i="11"/>
  <c r="AB984" i="11"/>
  <c r="AC984" i="11"/>
  <c r="AD984" i="11"/>
  <c r="AA985" i="11"/>
  <c r="AB985" i="11"/>
  <c r="AC985" i="11"/>
  <c r="AD985" i="11"/>
  <c r="AA986" i="11"/>
  <c r="AB986" i="11"/>
  <c r="AC986" i="11"/>
  <c r="AD986" i="11"/>
  <c r="AA987" i="11"/>
  <c r="AB987" i="11"/>
  <c r="AC987" i="11"/>
  <c r="AD987" i="11"/>
  <c r="AA988" i="11"/>
  <c r="AB988" i="11"/>
  <c r="AC988" i="11"/>
  <c r="AD988" i="11"/>
  <c r="AA989" i="11"/>
  <c r="AB989" i="11"/>
  <c r="AC989" i="11"/>
  <c r="AD989" i="11"/>
  <c r="AA990" i="11"/>
  <c r="AB990" i="11"/>
  <c r="AC990" i="11"/>
  <c r="AD990" i="11"/>
  <c r="AA991" i="11"/>
  <c r="AB991" i="11"/>
  <c r="AC991" i="11"/>
  <c r="AD991" i="11"/>
  <c r="AA992" i="11"/>
  <c r="AB992" i="11"/>
  <c r="AC992" i="11"/>
  <c r="AD992" i="11"/>
  <c r="AB13" i="11"/>
  <c r="AC13" i="11"/>
  <c r="AD13" i="11"/>
  <c r="AA13" i="11"/>
  <c r="C3" i="11"/>
  <c r="C2" i="13"/>
  <c r="C3" i="13"/>
  <c r="C4" i="13"/>
  <c r="C5" i="13"/>
  <c r="C6" i="13"/>
  <c r="C1" i="13"/>
  <c r="AG2" i="12"/>
  <c r="AH2" i="12"/>
  <c r="AI2" i="12"/>
  <c r="AJ2" i="12"/>
  <c r="AK2" i="12"/>
  <c r="AL2" i="12"/>
  <c r="AM2" i="12"/>
  <c r="AN2" i="12"/>
  <c r="AO2" i="12"/>
  <c r="AP2" i="12"/>
  <c r="AQ2" i="12"/>
  <c r="AR2" i="12"/>
  <c r="AS2" i="12"/>
  <c r="AT2" i="12"/>
  <c r="AU2" i="12"/>
  <c r="AV2" i="12"/>
  <c r="AW2" i="12"/>
  <c r="AX2" i="12"/>
  <c r="AY2" i="12"/>
  <c r="AG3" i="12"/>
  <c r="AH3" i="12"/>
  <c r="AI3" i="12"/>
  <c r="AJ3" i="12"/>
  <c r="AK3" i="12"/>
  <c r="AL3" i="12"/>
  <c r="AM3" i="12"/>
  <c r="AN3" i="12"/>
  <c r="AO3" i="12"/>
  <c r="AP3" i="12"/>
  <c r="AQ3" i="12"/>
  <c r="AR3" i="12"/>
  <c r="AS3" i="12"/>
  <c r="AT3" i="12"/>
  <c r="AU3" i="12"/>
  <c r="AV3" i="12"/>
  <c r="AW3" i="12"/>
  <c r="AX3" i="12"/>
  <c r="AY3" i="12"/>
  <c r="AG4" i="12"/>
  <c r="AH4" i="12"/>
  <c r="AI4" i="12"/>
  <c r="AJ4" i="12"/>
  <c r="AK4" i="12"/>
  <c r="AL4" i="12"/>
  <c r="AM4" i="12"/>
  <c r="AN4" i="12"/>
  <c r="AO4" i="12"/>
  <c r="AP4" i="12"/>
  <c r="AQ4" i="12"/>
  <c r="AR4" i="12"/>
  <c r="AS4" i="12"/>
  <c r="AT4" i="12"/>
  <c r="AU4" i="12"/>
  <c r="AV4" i="12"/>
  <c r="AW4" i="12"/>
  <c r="AX4" i="12"/>
  <c r="AY4" i="12"/>
  <c r="AG5" i="12"/>
  <c r="AH5" i="12"/>
  <c r="AI5" i="12"/>
  <c r="AJ5" i="12"/>
  <c r="AK5" i="12"/>
  <c r="AL5" i="12"/>
  <c r="AM5" i="12"/>
  <c r="AN5" i="12"/>
  <c r="AO5" i="12"/>
  <c r="AP5" i="12"/>
  <c r="AQ5" i="12"/>
  <c r="AR5" i="12"/>
  <c r="AS5" i="12"/>
  <c r="AT5" i="12"/>
  <c r="AU5" i="12"/>
  <c r="AV5" i="12"/>
  <c r="AW5" i="12"/>
  <c r="AX5" i="12"/>
  <c r="AY5" i="12"/>
  <c r="AG6" i="12"/>
  <c r="AH6" i="12"/>
  <c r="AI6" i="12"/>
  <c r="AJ6" i="12"/>
  <c r="AK6" i="12"/>
  <c r="AL6" i="12"/>
  <c r="AM6" i="12"/>
  <c r="AN6" i="12"/>
  <c r="AO6" i="12"/>
  <c r="AP6" i="12"/>
  <c r="AQ6" i="12"/>
  <c r="AR6" i="12"/>
  <c r="AS6" i="12"/>
  <c r="AT6" i="12"/>
  <c r="AU6" i="12"/>
  <c r="AV6" i="12"/>
  <c r="AW6" i="12"/>
  <c r="AX6" i="12"/>
  <c r="AY6" i="12"/>
  <c r="AG7" i="12"/>
  <c r="AH7" i="12"/>
  <c r="AI7" i="12"/>
  <c r="AJ7" i="12"/>
  <c r="AK7" i="12"/>
  <c r="AL7" i="12"/>
  <c r="AM7" i="12"/>
  <c r="AN7" i="12"/>
  <c r="AO7" i="12"/>
  <c r="AP7" i="12"/>
  <c r="AQ7" i="12"/>
  <c r="AR7" i="12"/>
  <c r="AS7" i="12"/>
  <c r="AT7" i="12"/>
  <c r="AU7" i="12"/>
  <c r="AV7" i="12"/>
  <c r="AW7" i="12"/>
  <c r="AX7" i="12"/>
  <c r="AY7" i="12"/>
  <c r="AG8" i="12"/>
  <c r="AH8" i="12"/>
  <c r="AI8" i="12"/>
  <c r="AJ8" i="12"/>
  <c r="AK8" i="12"/>
  <c r="AL8" i="12"/>
  <c r="AM8" i="12"/>
  <c r="AN8" i="12"/>
  <c r="AO8" i="12"/>
  <c r="AP8" i="12"/>
  <c r="AQ8" i="12"/>
  <c r="AR8" i="12"/>
  <c r="AS8" i="12"/>
  <c r="AT8" i="12"/>
  <c r="AU8" i="12"/>
  <c r="AV8" i="12"/>
  <c r="AW8" i="12"/>
  <c r="AX8" i="12"/>
  <c r="AY8" i="12"/>
  <c r="AG9" i="12"/>
  <c r="AH9" i="12"/>
  <c r="AI9" i="12"/>
  <c r="AJ9" i="12"/>
  <c r="AK9" i="12"/>
  <c r="AL9" i="12"/>
  <c r="AM9" i="12"/>
  <c r="AN9" i="12"/>
  <c r="AO9" i="12"/>
  <c r="AP9" i="12"/>
  <c r="AQ9" i="12"/>
  <c r="AR9" i="12"/>
  <c r="AS9" i="12"/>
  <c r="AT9" i="12"/>
  <c r="AU9" i="12"/>
  <c r="AV9" i="12"/>
  <c r="AW9" i="12"/>
  <c r="AX9" i="12"/>
  <c r="AY9" i="12"/>
  <c r="AG10" i="12"/>
  <c r="AH10" i="12"/>
  <c r="AI10" i="12"/>
  <c r="AJ10" i="12"/>
  <c r="AK10" i="12"/>
  <c r="AL10" i="12"/>
  <c r="AM10" i="12"/>
  <c r="AN10" i="12"/>
  <c r="AO10" i="12"/>
  <c r="AP10" i="12"/>
  <c r="AQ10" i="12"/>
  <c r="AR10" i="12"/>
  <c r="AS10" i="12"/>
  <c r="AT10" i="12"/>
  <c r="AU10" i="12"/>
  <c r="AV10" i="12"/>
  <c r="AW10" i="12"/>
  <c r="AX10" i="12"/>
  <c r="AY10" i="12"/>
  <c r="AG11" i="12"/>
  <c r="AH11" i="12"/>
  <c r="AI11" i="12"/>
  <c r="AJ11" i="12"/>
  <c r="AK11" i="12"/>
  <c r="AL11" i="12"/>
  <c r="AM11" i="12"/>
  <c r="AN11" i="12"/>
  <c r="AO11" i="12"/>
  <c r="AP11" i="12"/>
  <c r="AQ11" i="12"/>
  <c r="AR11" i="12"/>
  <c r="AS11" i="12"/>
  <c r="AT11" i="12"/>
  <c r="AU11" i="12"/>
  <c r="AV11" i="12"/>
  <c r="AW11" i="12"/>
  <c r="AX11" i="12"/>
  <c r="AY11" i="12"/>
  <c r="AG12" i="12"/>
  <c r="AH12" i="12"/>
  <c r="AI12" i="12"/>
  <c r="AJ12" i="12"/>
  <c r="AK12" i="12"/>
  <c r="AL12" i="12"/>
  <c r="AM12" i="12"/>
  <c r="AN12" i="12"/>
  <c r="AO12" i="12"/>
  <c r="AP12" i="12"/>
  <c r="AQ12" i="12"/>
  <c r="AR12" i="12"/>
  <c r="AS12" i="12"/>
  <c r="AT12" i="12"/>
  <c r="AU12" i="12"/>
  <c r="AV12" i="12"/>
  <c r="AW12" i="12"/>
  <c r="AX12" i="12"/>
  <c r="AY12" i="12"/>
  <c r="AG13" i="12"/>
  <c r="AH13" i="12"/>
  <c r="AI13" i="12"/>
  <c r="AJ13" i="12"/>
  <c r="AK13" i="12"/>
  <c r="AL13" i="12"/>
  <c r="AM13" i="12"/>
  <c r="AN13" i="12"/>
  <c r="AO13" i="12"/>
  <c r="AP13" i="12"/>
  <c r="AQ13" i="12"/>
  <c r="AR13" i="12"/>
  <c r="AS13" i="12"/>
  <c r="AT13" i="12"/>
  <c r="AU13" i="12"/>
  <c r="AV13" i="12"/>
  <c r="AW13" i="12"/>
  <c r="AX13" i="12"/>
  <c r="AY13" i="12"/>
  <c r="AG14" i="12"/>
  <c r="AH14" i="12"/>
  <c r="AI14" i="12"/>
  <c r="AJ14" i="12"/>
  <c r="AK14" i="12"/>
  <c r="AL14" i="12"/>
  <c r="AM14" i="12"/>
  <c r="AN14" i="12"/>
  <c r="AO14" i="12"/>
  <c r="AP14" i="12"/>
  <c r="AQ14" i="12"/>
  <c r="AR14" i="12"/>
  <c r="AS14" i="12"/>
  <c r="AT14" i="12"/>
  <c r="AU14" i="12"/>
  <c r="AV14" i="12"/>
  <c r="AW14" i="12"/>
  <c r="AX14" i="12"/>
  <c r="AY14" i="12"/>
  <c r="AG15" i="12"/>
  <c r="AH15" i="12"/>
  <c r="AI15" i="12"/>
  <c r="AJ15" i="12"/>
  <c r="AK15" i="12"/>
  <c r="AL15" i="12"/>
  <c r="AM15" i="12"/>
  <c r="AN15" i="12"/>
  <c r="AO15" i="12"/>
  <c r="AP15" i="12"/>
  <c r="AQ15" i="12"/>
  <c r="AR15" i="12"/>
  <c r="AS15" i="12"/>
  <c r="AT15" i="12"/>
  <c r="AU15" i="12"/>
  <c r="AV15" i="12"/>
  <c r="AW15" i="12"/>
  <c r="AX15" i="12"/>
  <c r="AY15" i="12"/>
  <c r="AG16" i="12"/>
  <c r="AH16" i="12"/>
  <c r="AI16" i="12"/>
  <c r="AJ16" i="12"/>
  <c r="AK16" i="12"/>
  <c r="AL16" i="12"/>
  <c r="AM16" i="12"/>
  <c r="AN16" i="12"/>
  <c r="AO16" i="12"/>
  <c r="AP16" i="12"/>
  <c r="AQ16" i="12"/>
  <c r="AR16" i="12"/>
  <c r="AS16" i="12"/>
  <c r="AT16" i="12"/>
  <c r="AU16" i="12"/>
  <c r="AV16" i="12"/>
  <c r="AW16" i="12"/>
  <c r="AX16" i="12"/>
  <c r="AY16" i="12"/>
  <c r="AG17" i="12"/>
  <c r="AH17" i="12"/>
  <c r="AI17" i="12"/>
  <c r="AJ17" i="12"/>
  <c r="AK17" i="12"/>
  <c r="AL17" i="12"/>
  <c r="AM17" i="12"/>
  <c r="AN17" i="12"/>
  <c r="AO17" i="12"/>
  <c r="AP17" i="12"/>
  <c r="AQ17" i="12"/>
  <c r="AR17" i="12"/>
  <c r="AS17" i="12"/>
  <c r="AT17" i="12"/>
  <c r="AU17" i="12"/>
  <c r="AV17" i="12"/>
  <c r="AW17" i="12"/>
  <c r="AX17" i="12"/>
  <c r="AY17" i="12"/>
  <c r="AG18" i="12"/>
  <c r="AH18" i="12"/>
  <c r="AI18" i="12"/>
  <c r="AJ18" i="12"/>
  <c r="AK18" i="12"/>
  <c r="AL18" i="12"/>
  <c r="AM18" i="12"/>
  <c r="AN18" i="12"/>
  <c r="AO18" i="12"/>
  <c r="AP18" i="12"/>
  <c r="AQ18" i="12"/>
  <c r="AR18" i="12"/>
  <c r="AS18" i="12"/>
  <c r="AT18" i="12"/>
  <c r="AU18" i="12"/>
  <c r="AV18" i="12"/>
  <c r="AW18" i="12"/>
  <c r="AX18" i="12"/>
  <c r="AY18" i="12"/>
  <c r="AG19" i="12"/>
  <c r="AH19" i="12"/>
  <c r="AI19" i="12"/>
  <c r="AJ19" i="12"/>
  <c r="AK19" i="12"/>
  <c r="AL19" i="12"/>
  <c r="AM19" i="12"/>
  <c r="AN19" i="12"/>
  <c r="AO19" i="12"/>
  <c r="AP19" i="12"/>
  <c r="AQ19" i="12"/>
  <c r="AR19" i="12"/>
  <c r="AS19" i="12"/>
  <c r="AT19" i="12"/>
  <c r="AU19" i="12"/>
  <c r="AV19" i="12"/>
  <c r="AW19" i="12"/>
  <c r="AX19" i="12"/>
  <c r="AY19" i="12"/>
  <c r="AG20" i="12"/>
  <c r="AH20" i="12"/>
  <c r="AI20" i="12"/>
  <c r="AJ20" i="12"/>
  <c r="AK20" i="12"/>
  <c r="AL20" i="12"/>
  <c r="AM20" i="12"/>
  <c r="AN20" i="12"/>
  <c r="AO20" i="12"/>
  <c r="AP20" i="12"/>
  <c r="AQ20" i="12"/>
  <c r="AR20" i="12"/>
  <c r="AS20" i="12"/>
  <c r="AT20" i="12"/>
  <c r="AU20" i="12"/>
  <c r="AV20" i="12"/>
  <c r="AW20" i="12"/>
  <c r="AX20" i="12"/>
  <c r="AY20" i="12"/>
  <c r="AG21" i="12"/>
  <c r="AH21" i="12"/>
  <c r="AI21" i="12"/>
  <c r="AJ21" i="12"/>
  <c r="AK21" i="12"/>
  <c r="AL21" i="12"/>
  <c r="AM21" i="12"/>
  <c r="AN21" i="12"/>
  <c r="AO21" i="12"/>
  <c r="AP21" i="12"/>
  <c r="AQ21" i="12"/>
  <c r="AR21" i="12"/>
  <c r="AS21" i="12"/>
  <c r="AT21" i="12"/>
  <c r="AU21" i="12"/>
  <c r="AV21" i="12"/>
  <c r="AW21" i="12"/>
  <c r="AX21" i="12"/>
  <c r="AY21" i="12"/>
  <c r="AG22" i="12"/>
  <c r="AH22" i="12"/>
  <c r="AI22" i="12"/>
  <c r="AJ22" i="12"/>
  <c r="AK22" i="12"/>
  <c r="AL22" i="12"/>
  <c r="AM22" i="12"/>
  <c r="AN22" i="12"/>
  <c r="AO22" i="12"/>
  <c r="AP22" i="12"/>
  <c r="AQ22" i="12"/>
  <c r="AR22" i="12"/>
  <c r="AS22" i="12"/>
  <c r="AT22" i="12"/>
  <c r="AU22" i="12"/>
  <c r="AV22" i="12"/>
  <c r="AW22" i="12"/>
  <c r="AX22" i="12"/>
  <c r="AY22" i="12"/>
  <c r="AG23" i="12"/>
  <c r="AH23" i="12"/>
  <c r="AI23" i="12"/>
  <c r="AJ23" i="12"/>
  <c r="AK23" i="12"/>
  <c r="AL23" i="12"/>
  <c r="AM23" i="12"/>
  <c r="AN23" i="12"/>
  <c r="AO23" i="12"/>
  <c r="AP23" i="12"/>
  <c r="AQ23" i="12"/>
  <c r="AR23" i="12"/>
  <c r="AS23" i="12"/>
  <c r="AT23" i="12"/>
  <c r="AU23" i="12"/>
  <c r="AV23" i="12"/>
  <c r="AW23" i="12"/>
  <c r="AX23" i="12"/>
  <c r="AY23" i="12"/>
  <c r="AG24" i="12"/>
  <c r="AH24" i="12"/>
  <c r="AI24" i="12"/>
  <c r="AJ24" i="12"/>
  <c r="AK24" i="12"/>
  <c r="AL24" i="12"/>
  <c r="AM24" i="12"/>
  <c r="AN24" i="12"/>
  <c r="AO24" i="12"/>
  <c r="AP24" i="12"/>
  <c r="AQ24" i="12"/>
  <c r="AR24" i="12"/>
  <c r="AS24" i="12"/>
  <c r="AT24" i="12"/>
  <c r="AU24" i="12"/>
  <c r="AV24" i="12"/>
  <c r="AW24" i="12"/>
  <c r="AX24" i="12"/>
  <c r="AY24" i="12"/>
  <c r="AG25" i="12"/>
  <c r="AH25" i="12"/>
  <c r="AI25" i="12"/>
  <c r="AJ25" i="12"/>
  <c r="AK25" i="12"/>
  <c r="AL25" i="12"/>
  <c r="AM25" i="12"/>
  <c r="AN25" i="12"/>
  <c r="AO25" i="12"/>
  <c r="AP25" i="12"/>
  <c r="AQ25" i="12"/>
  <c r="AR25" i="12"/>
  <c r="AS25" i="12"/>
  <c r="AT25" i="12"/>
  <c r="AU25" i="12"/>
  <c r="AV25" i="12"/>
  <c r="AW25" i="12"/>
  <c r="AX25" i="12"/>
  <c r="AY25" i="12"/>
  <c r="AG26" i="12"/>
  <c r="AH26" i="12"/>
  <c r="AI26" i="12"/>
  <c r="AJ26" i="12"/>
  <c r="AK26" i="12"/>
  <c r="AL26" i="12"/>
  <c r="AM26" i="12"/>
  <c r="AN26" i="12"/>
  <c r="AO26" i="12"/>
  <c r="AP26" i="12"/>
  <c r="AQ26" i="12"/>
  <c r="AR26" i="12"/>
  <c r="AS26" i="12"/>
  <c r="AT26" i="12"/>
  <c r="AU26" i="12"/>
  <c r="AV26" i="12"/>
  <c r="AW26" i="12"/>
  <c r="AX26" i="12"/>
  <c r="AY26" i="12"/>
  <c r="AG27" i="12"/>
  <c r="AH27" i="12"/>
  <c r="AI27" i="12"/>
  <c r="AJ27" i="12"/>
  <c r="AK27" i="12"/>
  <c r="AL27" i="12"/>
  <c r="AM27" i="12"/>
  <c r="AN27" i="12"/>
  <c r="AO27" i="12"/>
  <c r="AP27" i="12"/>
  <c r="AQ27" i="12"/>
  <c r="AR27" i="12"/>
  <c r="AS27" i="12"/>
  <c r="AT27" i="12"/>
  <c r="AU27" i="12"/>
  <c r="AV27" i="12"/>
  <c r="AW27" i="12"/>
  <c r="AX27" i="12"/>
  <c r="AY27" i="12"/>
  <c r="AG28" i="12"/>
  <c r="AH28" i="12"/>
  <c r="AI28" i="12"/>
  <c r="AJ28" i="12"/>
  <c r="AK28" i="12"/>
  <c r="AL28" i="12"/>
  <c r="AM28" i="12"/>
  <c r="AN28" i="12"/>
  <c r="AO28" i="12"/>
  <c r="AP28" i="12"/>
  <c r="AQ28" i="12"/>
  <c r="AR28" i="12"/>
  <c r="AS28" i="12"/>
  <c r="AT28" i="12"/>
  <c r="AU28" i="12"/>
  <c r="AV28" i="12"/>
  <c r="AW28" i="12"/>
  <c r="AX28" i="12"/>
  <c r="AY28" i="12"/>
  <c r="AG29" i="12"/>
  <c r="AH29" i="12"/>
  <c r="AI29" i="12"/>
  <c r="AJ29" i="12"/>
  <c r="AK29" i="12"/>
  <c r="AL29" i="12"/>
  <c r="AM29" i="12"/>
  <c r="AN29" i="12"/>
  <c r="AO29" i="12"/>
  <c r="AP29" i="12"/>
  <c r="AQ29" i="12"/>
  <c r="AR29" i="12"/>
  <c r="AS29" i="12"/>
  <c r="AT29" i="12"/>
  <c r="AU29" i="12"/>
  <c r="AV29" i="12"/>
  <c r="AW29" i="12"/>
  <c r="AX29" i="12"/>
  <c r="AY29" i="12"/>
  <c r="AG30" i="12"/>
  <c r="AH30" i="12"/>
  <c r="AI30" i="12"/>
  <c r="AJ30" i="12"/>
  <c r="AK30" i="12"/>
  <c r="AL30" i="12"/>
  <c r="AM30" i="12"/>
  <c r="AN30" i="12"/>
  <c r="AO30" i="12"/>
  <c r="AP30" i="12"/>
  <c r="AQ30" i="12"/>
  <c r="AR30" i="12"/>
  <c r="AS30" i="12"/>
  <c r="AT30" i="12"/>
  <c r="AU30" i="12"/>
  <c r="AV30" i="12"/>
  <c r="AW30" i="12"/>
  <c r="AX30" i="12"/>
  <c r="AY30" i="12"/>
  <c r="AG31" i="12"/>
  <c r="AH31" i="12"/>
  <c r="AI31" i="12"/>
  <c r="AJ31" i="12"/>
  <c r="AK31" i="12"/>
  <c r="AL31" i="12"/>
  <c r="AM31" i="12"/>
  <c r="AN31" i="12"/>
  <c r="AO31" i="12"/>
  <c r="AP31" i="12"/>
  <c r="AQ31" i="12"/>
  <c r="AR31" i="12"/>
  <c r="AS31" i="12"/>
  <c r="AT31" i="12"/>
  <c r="AU31" i="12"/>
  <c r="AV31" i="12"/>
  <c r="AW31" i="12"/>
  <c r="AX31" i="12"/>
  <c r="AY31" i="12"/>
  <c r="AG32" i="12"/>
  <c r="AH32" i="12"/>
  <c r="AI32" i="12"/>
  <c r="AJ32" i="12"/>
  <c r="AK32" i="12"/>
  <c r="AL32" i="12"/>
  <c r="AM32" i="12"/>
  <c r="AN32" i="12"/>
  <c r="AO32" i="12"/>
  <c r="AP32" i="12"/>
  <c r="AQ32" i="12"/>
  <c r="AR32" i="12"/>
  <c r="AS32" i="12"/>
  <c r="AT32" i="12"/>
  <c r="AU32" i="12"/>
  <c r="AV32" i="12"/>
  <c r="AW32" i="12"/>
  <c r="AX32" i="12"/>
  <c r="AY32" i="12"/>
  <c r="AG33" i="12"/>
  <c r="AH33" i="12"/>
  <c r="AI33" i="12"/>
  <c r="AJ33" i="12"/>
  <c r="AK33" i="12"/>
  <c r="AL33" i="12"/>
  <c r="AM33" i="12"/>
  <c r="AN33" i="12"/>
  <c r="AO33" i="12"/>
  <c r="AP33" i="12"/>
  <c r="AQ33" i="12"/>
  <c r="AR33" i="12"/>
  <c r="AS33" i="12"/>
  <c r="AT33" i="12"/>
  <c r="AU33" i="12"/>
  <c r="AV33" i="12"/>
  <c r="AW33" i="12"/>
  <c r="AX33" i="12"/>
  <c r="AY33" i="12"/>
  <c r="AG34" i="12"/>
  <c r="AH34" i="12"/>
  <c r="AI34" i="12"/>
  <c r="AJ34" i="12"/>
  <c r="AK34" i="12"/>
  <c r="AL34" i="12"/>
  <c r="AM34" i="12"/>
  <c r="AN34" i="12"/>
  <c r="AO34" i="12"/>
  <c r="AP34" i="12"/>
  <c r="AQ34" i="12"/>
  <c r="AR34" i="12"/>
  <c r="AS34" i="12"/>
  <c r="AT34" i="12"/>
  <c r="AU34" i="12"/>
  <c r="AV34" i="12"/>
  <c r="AW34" i="12"/>
  <c r="AX34" i="12"/>
  <c r="AY34" i="12"/>
  <c r="AG35" i="12"/>
  <c r="AH35" i="12"/>
  <c r="AI35" i="12"/>
  <c r="AJ35" i="12"/>
  <c r="AK35" i="12"/>
  <c r="AL35" i="12"/>
  <c r="AM35" i="12"/>
  <c r="AN35" i="12"/>
  <c r="AO35" i="12"/>
  <c r="AP35" i="12"/>
  <c r="AQ35" i="12"/>
  <c r="AR35" i="12"/>
  <c r="AS35" i="12"/>
  <c r="AT35" i="12"/>
  <c r="AU35" i="12"/>
  <c r="AV35" i="12"/>
  <c r="AW35" i="12"/>
  <c r="AX35" i="12"/>
  <c r="AY35" i="12"/>
  <c r="AG36" i="12"/>
  <c r="AH36" i="12"/>
  <c r="AI36" i="12"/>
  <c r="AJ36" i="12"/>
  <c r="AK36" i="12"/>
  <c r="AL36" i="12"/>
  <c r="AM36" i="12"/>
  <c r="AN36" i="12"/>
  <c r="AO36" i="12"/>
  <c r="AP36" i="12"/>
  <c r="AQ36" i="12"/>
  <c r="AR36" i="12"/>
  <c r="AS36" i="12"/>
  <c r="AT36" i="12"/>
  <c r="AU36" i="12"/>
  <c r="AV36" i="12"/>
  <c r="AW36" i="12"/>
  <c r="AX36" i="12"/>
  <c r="AY36" i="12"/>
  <c r="AG37" i="12"/>
  <c r="AH37" i="12"/>
  <c r="AI37" i="12"/>
  <c r="AJ37" i="12"/>
  <c r="AK37" i="12"/>
  <c r="AL37" i="12"/>
  <c r="AM37" i="12"/>
  <c r="AN37" i="12"/>
  <c r="AO37" i="12"/>
  <c r="AP37" i="12"/>
  <c r="AQ37" i="12"/>
  <c r="AR37" i="12"/>
  <c r="AS37" i="12"/>
  <c r="AT37" i="12"/>
  <c r="AU37" i="12"/>
  <c r="AV37" i="12"/>
  <c r="AW37" i="12"/>
  <c r="AX37" i="12"/>
  <c r="AY37" i="12"/>
  <c r="AG38" i="12"/>
  <c r="AH38" i="12"/>
  <c r="AI38" i="12"/>
  <c r="AJ38" i="12"/>
  <c r="AK38" i="12"/>
  <c r="AL38" i="12"/>
  <c r="AM38" i="12"/>
  <c r="AN38" i="12"/>
  <c r="AO38" i="12"/>
  <c r="AP38" i="12"/>
  <c r="AQ38" i="12"/>
  <c r="AR38" i="12"/>
  <c r="AS38" i="12"/>
  <c r="AT38" i="12"/>
  <c r="AU38" i="12"/>
  <c r="AV38" i="12"/>
  <c r="AW38" i="12"/>
  <c r="AX38" i="12"/>
  <c r="AY38" i="12"/>
  <c r="AG39" i="12"/>
  <c r="AH39" i="12"/>
  <c r="AI39" i="12"/>
  <c r="AJ39" i="12"/>
  <c r="AK39" i="12"/>
  <c r="AL39" i="12"/>
  <c r="AM39" i="12"/>
  <c r="AN39" i="12"/>
  <c r="AO39" i="12"/>
  <c r="AP39" i="12"/>
  <c r="AQ39" i="12"/>
  <c r="AR39" i="12"/>
  <c r="AS39" i="12"/>
  <c r="AT39" i="12"/>
  <c r="AU39" i="12"/>
  <c r="AV39" i="12"/>
  <c r="AW39" i="12"/>
  <c r="AX39" i="12"/>
  <c r="AY39" i="12"/>
  <c r="AG40" i="12"/>
  <c r="AH40" i="12"/>
  <c r="AI40" i="12"/>
  <c r="AJ40" i="12"/>
  <c r="AK40" i="12"/>
  <c r="AL40" i="12"/>
  <c r="AM40" i="12"/>
  <c r="AN40" i="12"/>
  <c r="AO40" i="12"/>
  <c r="AP40" i="12"/>
  <c r="AQ40" i="12"/>
  <c r="AR40" i="12"/>
  <c r="AS40" i="12"/>
  <c r="AT40" i="12"/>
  <c r="AU40" i="12"/>
  <c r="AV40" i="12"/>
  <c r="AW40" i="12"/>
  <c r="AX40" i="12"/>
  <c r="AY40" i="12"/>
  <c r="AG41" i="12"/>
  <c r="AH41" i="12"/>
  <c r="AI41" i="12"/>
  <c r="AJ41" i="12"/>
  <c r="AK41" i="12"/>
  <c r="AL41" i="12"/>
  <c r="AM41" i="12"/>
  <c r="AN41" i="12"/>
  <c r="AO41" i="12"/>
  <c r="AP41" i="12"/>
  <c r="AQ41" i="12"/>
  <c r="AR41" i="12"/>
  <c r="AS41" i="12"/>
  <c r="AT41" i="12"/>
  <c r="AU41" i="12"/>
  <c r="AV41" i="12"/>
  <c r="AW41" i="12"/>
  <c r="AX41" i="12"/>
  <c r="AY41" i="12"/>
  <c r="AF3" i="12"/>
  <c r="AF4" i="12"/>
  <c r="AF5" i="12"/>
  <c r="AF6" i="12"/>
  <c r="AF7" i="12"/>
  <c r="AF8" i="12"/>
  <c r="AF9" i="12"/>
  <c r="AF10" i="12"/>
  <c r="AF11" i="12"/>
  <c r="AF12" i="12"/>
  <c r="AF13" i="12"/>
  <c r="AF14" i="12"/>
  <c r="AF15" i="12"/>
  <c r="AF16" i="12"/>
  <c r="AF17" i="12"/>
  <c r="AF18" i="12"/>
  <c r="AF19" i="12"/>
  <c r="AF20" i="12"/>
  <c r="AF21" i="12"/>
  <c r="AF22" i="12"/>
  <c r="AF23" i="12"/>
  <c r="AF24" i="12"/>
  <c r="AF25" i="12"/>
  <c r="AF26" i="12"/>
  <c r="AF27" i="12"/>
  <c r="AF28" i="12"/>
  <c r="AF29" i="12"/>
  <c r="AF30" i="12"/>
  <c r="AF31" i="12"/>
  <c r="AF32" i="12"/>
  <c r="AF33" i="12"/>
  <c r="AF34" i="12"/>
  <c r="AF35" i="12"/>
  <c r="AF36" i="12"/>
  <c r="AF37" i="12"/>
  <c r="AF38" i="12"/>
  <c r="AF39" i="12"/>
  <c r="AF40" i="12"/>
  <c r="AF41" i="12"/>
  <c r="AF2" i="12"/>
  <c r="AB2" i="12"/>
  <c r="AB3" i="12"/>
  <c r="AB4" i="12"/>
  <c r="AB5" i="12"/>
  <c r="AB6" i="12"/>
  <c r="AB7" i="12"/>
  <c r="AB8" i="12"/>
  <c r="AB9" i="12"/>
  <c r="AB10" i="12"/>
  <c r="AB11" i="12"/>
  <c r="AB12" i="12"/>
  <c r="AB13" i="12"/>
  <c r="AB14" i="12"/>
  <c r="AB15" i="12"/>
  <c r="AB16" i="12"/>
  <c r="AB17" i="12"/>
  <c r="AB18" i="12"/>
  <c r="AB19" i="12"/>
  <c r="AB20" i="12"/>
  <c r="AB21" i="12"/>
  <c r="AB22" i="12"/>
  <c r="AB23" i="12"/>
  <c r="AB24" i="12"/>
  <c r="AB25" i="12"/>
  <c r="AB26" i="12"/>
  <c r="AB27" i="12"/>
  <c r="AB28" i="12"/>
  <c r="AB29" i="12"/>
  <c r="AB30" i="12"/>
  <c r="AB31" i="12"/>
  <c r="AB32" i="12"/>
  <c r="AB33" i="12"/>
  <c r="AB34" i="12"/>
  <c r="AB35" i="12"/>
  <c r="AB36" i="12"/>
  <c r="AB37" i="12"/>
  <c r="AB38" i="12"/>
  <c r="AB39" i="12"/>
  <c r="AB40" i="12"/>
  <c r="AB41" i="12"/>
  <c r="AB1" i="12"/>
  <c r="AC2" i="12"/>
  <c r="AC3" i="12"/>
  <c r="AC4" i="12"/>
  <c r="AC5" i="12"/>
  <c r="AC6" i="12"/>
  <c r="AC7" i="12"/>
  <c r="AC8" i="12"/>
  <c r="AC9" i="12"/>
  <c r="AC10" i="12"/>
  <c r="AC11" i="12"/>
  <c r="AC12" i="12"/>
  <c r="AC13" i="12"/>
  <c r="AC14" i="12"/>
  <c r="AC15" i="12"/>
  <c r="AC16" i="12"/>
  <c r="AC17" i="12"/>
  <c r="AC18" i="12"/>
  <c r="AC19" i="12"/>
  <c r="AC20" i="12"/>
  <c r="AC21" i="12"/>
  <c r="AC22" i="12"/>
  <c r="AC23" i="12"/>
  <c r="AC24" i="12"/>
  <c r="AC25" i="12"/>
  <c r="AC26" i="12"/>
  <c r="AC27" i="12"/>
  <c r="AC28" i="12"/>
  <c r="AC29" i="12"/>
  <c r="AC30" i="12"/>
  <c r="AC31" i="12"/>
  <c r="AC32" i="12"/>
  <c r="AC33" i="12"/>
  <c r="AC34" i="12"/>
  <c r="AC35" i="12"/>
  <c r="AC36" i="12"/>
  <c r="AC37" i="12"/>
  <c r="AC38" i="12"/>
  <c r="AC39" i="12"/>
  <c r="AC40" i="12"/>
  <c r="AC41" i="12"/>
  <c r="AC1" i="12"/>
  <c r="AA37" i="15" l="1"/>
  <c r="AB4" i="15"/>
  <c r="AD5" i="15"/>
  <c r="AD27" i="15"/>
  <c r="AB27" i="15"/>
  <c r="AA32" i="15"/>
  <c r="AD19" i="15"/>
  <c r="AD12" i="15"/>
  <c r="AB19" i="15"/>
  <c r="AD10" i="15"/>
  <c r="AD15" i="15"/>
  <c r="AB34" i="15"/>
  <c r="AD9" i="15"/>
  <c r="AD14" i="15"/>
  <c r="AD20" i="15"/>
  <c r="AB9" i="15"/>
  <c r="AD8" i="15"/>
  <c r="AD35" i="15"/>
  <c r="AB10" i="15"/>
  <c r="AD21" i="15"/>
  <c r="AD11" i="15"/>
  <c r="AD36" i="15"/>
  <c r="AB8" i="15"/>
  <c r="AD16" i="15"/>
  <c r="AD31" i="15"/>
  <c r="AB21" i="15"/>
  <c r="AB37" i="15"/>
  <c r="AB11" i="15"/>
  <c r="AD13" i="15"/>
  <c r="AD23" i="15"/>
  <c r="AB16" i="15"/>
  <c r="AD28" i="15"/>
  <c r="AD33" i="15"/>
  <c r="AD17" i="15"/>
  <c r="AD3" i="15"/>
  <c r="AB13" i="15"/>
  <c r="AD30" i="15"/>
  <c r="AD18" i="15"/>
  <c r="AB28" i="15"/>
  <c r="AD32" i="15"/>
  <c r="AB17" i="15"/>
  <c r="AD25" i="15"/>
  <c r="AD6" i="15"/>
  <c r="AB30" i="15"/>
  <c r="AD7" i="15"/>
  <c r="AD24" i="15"/>
  <c r="AB32" i="15"/>
  <c r="AD29" i="15"/>
  <c r="AB25" i="15"/>
  <c r="AD4" i="15"/>
  <c r="AD22" i="15"/>
  <c r="AB7" i="15"/>
  <c r="AD34" i="15"/>
  <c r="AD37" i="15"/>
  <c r="AA26" i="15"/>
  <c r="AC29" i="15"/>
  <c r="AC20" i="15"/>
  <c r="AC3" i="15"/>
  <c r="AC15" i="15"/>
  <c r="AC36" i="15"/>
  <c r="AC6" i="15"/>
  <c r="AC5" i="15"/>
  <c r="AC23" i="15"/>
  <c r="AC22" i="15"/>
  <c r="AC35" i="15"/>
  <c r="AC18" i="15"/>
  <c r="AC12" i="15"/>
  <c r="AC31" i="15"/>
  <c r="AC24" i="15"/>
  <c r="AC14" i="15"/>
  <c r="AC33" i="15"/>
  <c r="AC37" i="15"/>
  <c r="AC26" i="15"/>
  <c r="AB29" i="15"/>
  <c r="AB20" i="15"/>
  <c r="AB3" i="15"/>
  <c r="AB15" i="15"/>
  <c r="AB36" i="15"/>
  <c r="AB6" i="15"/>
  <c r="AB5" i="15"/>
  <c r="AB23" i="15"/>
  <c r="AB22" i="15"/>
  <c r="AB35" i="15"/>
  <c r="AB18" i="15"/>
  <c r="AB12" i="15"/>
  <c r="AB31" i="15"/>
  <c r="AB24" i="15"/>
  <c r="AB14" i="15"/>
  <c r="AB26" i="15"/>
  <c r="AA29" i="15"/>
  <c r="AA20" i="15"/>
  <c r="AA3" i="15"/>
  <c r="AF3" i="15" s="1"/>
  <c r="AA15" i="15"/>
  <c r="AA36" i="15"/>
  <c r="AA6" i="15"/>
  <c r="AA5" i="15"/>
  <c r="AA23" i="15"/>
  <c r="AA22" i="15"/>
  <c r="AA35" i="15"/>
  <c r="AA18" i="15"/>
  <c r="AA12" i="15"/>
  <c r="AA31" i="15"/>
  <c r="AA24" i="15"/>
  <c r="AA14" i="15"/>
  <c r="AA33" i="15"/>
  <c r="AC17" i="15"/>
  <c r="AC19" i="15"/>
  <c r="AC11" i="15"/>
  <c r="AC25" i="15"/>
  <c r="AC9" i="15"/>
  <c r="AC13" i="15"/>
  <c r="AC4" i="15"/>
  <c r="AC8" i="15"/>
  <c r="AC30" i="15"/>
  <c r="AC27" i="15"/>
  <c r="AC16" i="15"/>
  <c r="AC7" i="15"/>
  <c r="AC10" i="15"/>
  <c r="AC28" i="15"/>
  <c r="AC34" i="15"/>
  <c r="AC21" i="15"/>
  <c r="AA17" i="15"/>
  <c r="AA19" i="15"/>
  <c r="AA11" i="15"/>
  <c r="AA25" i="15"/>
  <c r="AA9" i="15"/>
  <c r="AA13" i="15"/>
  <c r="AA4" i="15"/>
  <c r="AA8" i="15"/>
  <c r="AA30" i="15"/>
  <c r="AA27" i="15"/>
  <c r="AA16" i="15"/>
  <c r="AA7" i="15"/>
  <c r="AG7" i="15" s="1"/>
  <c r="AA10" i="15"/>
  <c r="AA28" i="15"/>
  <c r="AA34" i="15"/>
  <c r="AA21" i="15"/>
  <c r="X37" i="15"/>
  <c r="AI996" i="11"/>
  <c r="AF13" i="15" l="1"/>
  <c r="AF19" i="15"/>
  <c r="AG32" i="15"/>
  <c r="AH31" i="15"/>
  <c r="AG30" i="15"/>
  <c r="AF16" i="15"/>
  <c r="AF27" i="15"/>
  <c r="AI30" i="15"/>
  <c r="AF11" i="15"/>
  <c r="AH12" i="15"/>
  <c r="AH32" i="15"/>
  <c r="AI32" i="15"/>
  <c r="AF32" i="15"/>
  <c r="AI25" i="15"/>
  <c r="AF28" i="15"/>
  <c r="AI35" i="15"/>
  <c r="AH15" i="15"/>
  <c r="AF8" i="15"/>
  <c r="AF24" i="15"/>
  <c r="AF6" i="15"/>
  <c r="AF10" i="15"/>
  <c r="AF9" i="15"/>
  <c r="AI6" i="15"/>
  <c r="AG37" i="15"/>
  <c r="AG10" i="15"/>
  <c r="AF7" i="15"/>
  <c r="AF25" i="15"/>
  <c r="AG25" i="15"/>
  <c r="AH16" i="15"/>
  <c r="AI28" i="15"/>
  <c r="AF30" i="15"/>
  <c r="AI17" i="15"/>
  <c r="AI9" i="15"/>
  <c r="AF18" i="15"/>
  <c r="AF21" i="15"/>
  <c r="AF33" i="15"/>
  <c r="AF23" i="15"/>
  <c r="AG26" i="15"/>
  <c r="AH35" i="15"/>
  <c r="AH20" i="15"/>
  <c r="AI10" i="15"/>
  <c r="AH36" i="15"/>
  <c r="AF4" i="15"/>
  <c r="AH34" i="15"/>
  <c r="AF14" i="15"/>
  <c r="AF5" i="15"/>
  <c r="AH37" i="15"/>
  <c r="AH22" i="15"/>
  <c r="AH29" i="15"/>
  <c r="AG4" i="15"/>
  <c r="AH8" i="15"/>
  <c r="AH26" i="15"/>
  <c r="AI21" i="15"/>
  <c r="AF34" i="15"/>
  <c r="AH4" i="15"/>
  <c r="AG5" i="15"/>
  <c r="AI29" i="15"/>
  <c r="AG16" i="15"/>
  <c r="AG34" i="15"/>
  <c r="AH13" i="15"/>
  <c r="AG6" i="15"/>
  <c r="AF26" i="15"/>
  <c r="AG13" i="15"/>
  <c r="AH10" i="15"/>
  <c r="AH9" i="15"/>
  <c r="AF31" i="15"/>
  <c r="AF36" i="15"/>
  <c r="AG31" i="15"/>
  <c r="AG36" i="15"/>
  <c r="AH14" i="15"/>
  <c r="AH5" i="15"/>
  <c r="AI37" i="15"/>
  <c r="AG27" i="15"/>
  <c r="AF37" i="15"/>
  <c r="AI3" i="15"/>
  <c r="AI13" i="15"/>
  <c r="AG8" i="15"/>
  <c r="AI8" i="15"/>
  <c r="AH21" i="15"/>
  <c r="AG23" i="15"/>
  <c r="AI18" i="15"/>
  <c r="AG21" i="15"/>
  <c r="AG33" i="15"/>
  <c r="AG14" i="15"/>
  <c r="AI31" i="15"/>
  <c r="AH28" i="15"/>
  <c r="AG24" i="15"/>
  <c r="AH33" i="15"/>
  <c r="AH23" i="15"/>
  <c r="AI26" i="15"/>
  <c r="AI23" i="15"/>
  <c r="AI16" i="15"/>
  <c r="AH7" i="15"/>
  <c r="AH25" i="15"/>
  <c r="AF12" i="15"/>
  <c r="AF15" i="15"/>
  <c r="AG12" i="15"/>
  <c r="AG15" i="15"/>
  <c r="AH24" i="15"/>
  <c r="AH6" i="15"/>
  <c r="AI34" i="15"/>
  <c r="AI12" i="15"/>
  <c r="AI5" i="15"/>
  <c r="AG11" i="15"/>
  <c r="AI36" i="15"/>
  <c r="AG9" i="15"/>
  <c r="AG3" i="15"/>
  <c r="AI20" i="15"/>
  <c r="AH11" i="15"/>
  <c r="AG18" i="15"/>
  <c r="AI11" i="15"/>
  <c r="AH27" i="15"/>
  <c r="AH19" i="15"/>
  <c r="AF35" i="15"/>
  <c r="AF20" i="15"/>
  <c r="AG35" i="15"/>
  <c r="AG20" i="15"/>
  <c r="AI22" i="15"/>
  <c r="AI24" i="15"/>
  <c r="AI19" i="15"/>
  <c r="AI14" i="15"/>
  <c r="AF17" i="15"/>
  <c r="AG17" i="15"/>
  <c r="AH30" i="15"/>
  <c r="AH17" i="15"/>
  <c r="AF22" i="15"/>
  <c r="AF29" i="15"/>
  <c r="AG22" i="15"/>
  <c r="AG29" i="15"/>
  <c r="AH18" i="15"/>
  <c r="AH3" i="15"/>
  <c r="AI4" i="15"/>
  <c r="AI7" i="15"/>
  <c r="AG28" i="15"/>
  <c r="AI33" i="15"/>
  <c r="AI15" i="15"/>
  <c r="AI27" i="15"/>
  <c r="AG19" i="15"/>
  <c r="X32" i="15" l="1"/>
  <c r="X18" i="15"/>
  <c r="X35" i="15"/>
  <c r="X19" i="15"/>
  <c r="X30" i="15"/>
  <c r="X31" i="15"/>
  <c r="C2" i="12"/>
  <c r="C3" i="12"/>
  <c r="C4" i="12"/>
  <c r="C5" i="12"/>
  <c r="C6" i="12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37" i="12"/>
  <c r="C38" i="12"/>
  <c r="C39" i="12"/>
  <c r="C40" i="12"/>
  <c r="C41" i="12"/>
  <c r="C42" i="12"/>
  <c r="C43" i="12"/>
  <c r="C44" i="12"/>
  <c r="C45" i="12"/>
  <c r="C46" i="12"/>
  <c r="C47" i="12"/>
  <c r="C48" i="12"/>
  <c r="C49" i="12"/>
  <c r="C50" i="12"/>
  <c r="C51" i="12"/>
  <c r="C52" i="12"/>
  <c r="C53" i="12"/>
  <c r="C54" i="12"/>
  <c r="C55" i="12"/>
  <c r="C56" i="12"/>
  <c r="C57" i="12"/>
  <c r="C58" i="12"/>
  <c r="C59" i="12"/>
  <c r="C60" i="12"/>
  <c r="C61" i="12"/>
  <c r="C62" i="12"/>
  <c r="C63" i="12"/>
  <c r="C64" i="12"/>
  <c r="C65" i="12"/>
  <c r="C66" i="12"/>
  <c r="C67" i="12"/>
  <c r="C68" i="12"/>
  <c r="C69" i="12"/>
  <c r="C70" i="12"/>
  <c r="C71" i="12"/>
  <c r="C72" i="12"/>
  <c r="C73" i="12"/>
  <c r="C74" i="12"/>
  <c r="C75" i="12"/>
  <c r="C76" i="12"/>
  <c r="C77" i="12"/>
  <c r="C78" i="12"/>
  <c r="C79" i="12"/>
  <c r="C80" i="12"/>
  <c r="C81" i="12"/>
  <c r="C82" i="12"/>
  <c r="C83" i="12"/>
  <c r="C84" i="12"/>
  <c r="C85" i="12"/>
  <c r="C86" i="12"/>
  <c r="C87" i="12"/>
  <c r="C88" i="12"/>
  <c r="C89" i="12"/>
  <c r="C90" i="12"/>
  <c r="C91" i="12"/>
  <c r="C92" i="12"/>
  <c r="C93" i="12"/>
  <c r="C94" i="12"/>
  <c r="C95" i="12"/>
  <c r="C96" i="12"/>
  <c r="C97" i="12"/>
  <c r="C98" i="12"/>
  <c r="C99" i="12"/>
  <c r="C100" i="12"/>
  <c r="C101" i="12"/>
  <c r="C102" i="12"/>
  <c r="C103" i="12"/>
  <c r="C104" i="12"/>
  <c r="C105" i="12"/>
  <c r="C106" i="12"/>
  <c r="C107" i="12"/>
  <c r="C108" i="12"/>
  <c r="C109" i="12"/>
  <c r="C110" i="12"/>
  <c r="C111" i="12"/>
  <c r="C112" i="12"/>
  <c r="C113" i="12"/>
  <c r="C114" i="12"/>
  <c r="C115" i="12"/>
  <c r="C116" i="12"/>
  <c r="C117" i="12"/>
  <c r="C118" i="12"/>
  <c r="C119" i="12"/>
  <c r="C120" i="12"/>
  <c r="C121" i="12"/>
  <c r="C122" i="12"/>
  <c r="C123" i="12"/>
  <c r="C124" i="12"/>
  <c r="C125" i="12"/>
  <c r="C126" i="12"/>
  <c r="C127" i="12"/>
  <c r="C128" i="12"/>
  <c r="C129" i="12"/>
  <c r="Q129" i="12" s="1"/>
  <c r="C130" i="12"/>
  <c r="C131" i="12"/>
  <c r="C132" i="12"/>
  <c r="C133" i="12"/>
  <c r="C134" i="12"/>
  <c r="C135" i="12"/>
  <c r="C136" i="12"/>
  <c r="C137" i="12"/>
  <c r="C138" i="12"/>
  <c r="C139" i="12"/>
  <c r="C140" i="12"/>
  <c r="C141" i="12"/>
  <c r="C142" i="12"/>
  <c r="C143" i="12"/>
  <c r="C144" i="12"/>
  <c r="C145" i="12"/>
  <c r="C146" i="12"/>
  <c r="C147" i="12"/>
  <c r="C148" i="12"/>
  <c r="C149" i="12"/>
  <c r="C150" i="12"/>
  <c r="C151" i="12"/>
  <c r="C152" i="12"/>
  <c r="C153" i="12"/>
  <c r="C154" i="12"/>
  <c r="C155" i="12"/>
  <c r="C156" i="12"/>
  <c r="C157" i="12"/>
  <c r="C158" i="12"/>
  <c r="C159" i="12"/>
  <c r="C160" i="12"/>
  <c r="C161" i="12"/>
  <c r="C162" i="12"/>
  <c r="C163" i="12"/>
  <c r="C164" i="12"/>
  <c r="C165" i="12"/>
  <c r="C166" i="12"/>
  <c r="C167" i="12"/>
  <c r="C168" i="12"/>
  <c r="C169" i="12"/>
  <c r="C170" i="12"/>
  <c r="C171" i="12"/>
  <c r="C172" i="12"/>
  <c r="C173" i="12"/>
  <c r="C174" i="12"/>
  <c r="C175" i="12"/>
  <c r="C176" i="12"/>
  <c r="C177" i="12"/>
  <c r="C178" i="12"/>
  <c r="C179" i="12"/>
  <c r="C180" i="12"/>
  <c r="C181" i="12"/>
  <c r="C182" i="12"/>
  <c r="C183" i="12"/>
  <c r="C184" i="12"/>
  <c r="C185" i="12"/>
  <c r="C186" i="12"/>
  <c r="C187" i="12"/>
  <c r="C188" i="12"/>
  <c r="C189" i="12"/>
  <c r="C190" i="12"/>
  <c r="C191" i="12"/>
  <c r="C192" i="12"/>
  <c r="C193" i="12"/>
  <c r="C194" i="12"/>
  <c r="C195" i="12"/>
  <c r="C196" i="12"/>
  <c r="C197" i="12"/>
  <c r="C198" i="12"/>
  <c r="C199" i="12"/>
  <c r="C200" i="12"/>
  <c r="C201" i="12"/>
  <c r="C202" i="12"/>
  <c r="C203" i="12"/>
  <c r="C204" i="12"/>
  <c r="C205" i="12"/>
  <c r="C206" i="12"/>
  <c r="C207" i="12"/>
  <c r="C208" i="12"/>
  <c r="C209" i="12"/>
  <c r="P209" i="12" s="1"/>
  <c r="C210" i="12"/>
  <c r="C211" i="12"/>
  <c r="C212" i="12"/>
  <c r="C213" i="12"/>
  <c r="C214" i="12"/>
  <c r="C215" i="12"/>
  <c r="C216" i="12"/>
  <c r="C217" i="12"/>
  <c r="C218" i="12"/>
  <c r="C219" i="12"/>
  <c r="C220" i="12"/>
  <c r="C221" i="12"/>
  <c r="C222" i="12"/>
  <c r="C223" i="12"/>
  <c r="C224" i="12"/>
  <c r="C225" i="12"/>
  <c r="C226" i="12"/>
  <c r="C227" i="12"/>
  <c r="C228" i="12"/>
  <c r="C229" i="12"/>
  <c r="C230" i="12"/>
  <c r="C231" i="12"/>
  <c r="C232" i="12"/>
  <c r="C233" i="12"/>
  <c r="C234" i="12"/>
  <c r="C235" i="12"/>
  <c r="C236" i="12"/>
  <c r="C237" i="12"/>
  <c r="C238" i="12"/>
  <c r="C239" i="12"/>
  <c r="C240" i="12"/>
  <c r="C241" i="12"/>
  <c r="C242" i="12"/>
  <c r="C243" i="12"/>
  <c r="C244" i="12"/>
  <c r="C245" i="12"/>
  <c r="C246" i="12"/>
  <c r="C247" i="12"/>
  <c r="C248" i="12"/>
  <c r="C249" i="12"/>
  <c r="C250" i="12"/>
  <c r="C251" i="12"/>
  <c r="C252" i="12"/>
  <c r="C253" i="12"/>
  <c r="C254" i="12"/>
  <c r="C255" i="12"/>
  <c r="C256" i="12"/>
  <c r="C257" i="12"/>
  <c r="C258" i="12"/>
  <c r="C259" i="12"/>
  <c r="C260" i="12"/>
  <c r="C261" i="12"/>
  <c r="C262" i="12"/>
  <c r="C263" i="12"/>
  <c r="C264" i="12"/>
  <c r="C265" i="12"/>
  <c r="K265" i="12" s="1"/>
  <c r="C266" i="12"/>
  <c r="C267" i="12"/>
  <c r="C268" i="12"/>
  <c r="C269" i="12"/>
  <c r="C270" i="12"/>
  <c r="C271" i="12"/>
  <c r="C272" i="12"/>
  <c r="C273" i="12"/>
  <c r="M273" i="12" s="1"/>
  <c r="C274" i="12"/>
  <c r="C275" i="12"/>
  <c r="C276" i="12"/>
  <c r="C277" i="12"/>
  <c r="C278" i="12"/>
  <c r="C279" i="12"/>
  <c r="C280" i="12"/>
  <c r="C281" i="12"/>
  <c r="R281" i="12" s="1"/>
  <c r="C282" i="12"/>
  <c r="C283" i="12"/>
  <c r="C284" i="12"/>
  <c r="C285" i="12"/>
  <c r="C286" i="12"/>
  <c r="C287" i="12"/>
  <c r="C288" i="12"/>
  <c r="C289" i="12"/>
  <c r="C290" i="12"/>
  <c r="C291" i="12"/>
  <c r="C292" i="12"/>
  <c r="C293" i="12"/>
  <c r="C294" i="12"/>
  <c r="C295" i="12"/>
  <c r="C296" i="12"/>
  <c r="C297" i="12"/>
  <c r="C298" i="12"/>
  <c r="C299" i="12"/>
  <c r="C300" i="12"/>
  <c r="C301" i="12"/>
  <c r="C302" i="12"/>
  <c r="C303" i="12"/>
  <c r="C304" i="12"/>
  <c r="C305" i="12"/>
  <c r="C306" i="12"/>
  <c r="C307" i="12"/>
  <c r="C308" i="12"/>
  <c r="C309" i="12"/>
  <c r="C310" i="12"/>
  <c r="C311" i="12"/>
  <c r="C312" i="12"/>
  <c r="C313" i="12"/>
  <c r="C314" i="12"/>
  <c r="C315" i="12"/>
  <c r="C316" i="12"/>
  <c r="C317" i="12"/>
  <c r="C318" i="12"/>
  <c r="C319" i="12"/>
  <c r="C320" i="12"/>
  <c r="C321" i="12"/>
  <c r="C322" i="12"/>
  <c r="C323" i="12"/>
  <c r="C324" i="12"/>
  <c r="C325" i="12"/>
  <c r="C326" i="12"/>
  <c r="C327" i="12"/>
  <c r="C328" i="12"/>
  <c r="C329" i="12"/>
  <c r="C330" i="12"/>
  <c r="C331" i="12"/>
  <c r="C332" i="12"/>
  <c r="C333" i="12"/>
  <c r="C334" i="12"/>
  <c r="C335" i="12"/>
  <c r="C336" i="12"/>
  <c r="C337" i="12"/>
  <c r="K337" i="12" s="1"/>
  <c r="C338" i="12"/>
  <c r="C339" i="12"/>
  <c r="C340" i="12"/>
  <c r="C341" i="12"/>
  <c r="C342" i="12"/>
  <c r="C343" i="12"/>
  <c r="C344" i="12"/>
  <c r="C345" i="12"/>
  <c r="M345" i="12" s="1"/>
  <c r="C346" i="12"/>
  <c r="C347" i="12"/>
  <c r="C348" i="12"/>
  <c r="C349" i="12"/>
  <c r="C350" i="12"/>
  <c r="C351" i="12"/>
  <c r="C352" i="12"/>
  <c r="C353" i="12"/>
  <c r="C354" i="12"/>
  <c r="C355" i="12"/>
  <c r="C356" i="12"/>
  <c r="C357" i="12"/>
  <c r="C358" i="12"/>
  <c r="C359" i="12"/>
  <c r="C360" i="12"/>
  <c r="C361" i="12"/>
  <c r="C362" i="12"/>
  <c r="C363" i="12"/>
  <c r="C364" i="12"/>
  <c r="C365" i="12"/>
  <c r="C366" i="12"/>
  <c r="C367" i="12"/>
  <c r="C368" i="12"/>
  <c r="C369" i="12"/>
  <c r="C370" i="12"/>
  <c r="C371" i="12"/>
  <c r="C372" i="12"/>
  <c r="C373" i="12"/>
  <c r="C374" i="12"/>
  <c r="C375" i="12"/>
  <c r="C376" i="12"/>
  <c r="C377" i="12"/>
  <c r="C378" i="12"/>
  <c r="C379" i="12"/>
  <c r="C380" i="12"/>
  <c r="C381" i="12"/>
  <c r="C382" i="12"/>
  <c r="C383" i="12"/>
  <c r="C384" i="12"/>
  <c r="C385" i="12"/>
  <c r="C386" i="12"/>
  <c r="C387" i="12"/>
  <c r="C388" i="12"/>
  <c r="C389" i="12"/>
  <c r="C390" i="12"/>
  <c r="C391" i="12"/>
  <c r="C392" i="12"/>
  <c r="C393" i="12"/>
  <c r="C394" i="12"/>
  <c r="C395" i="12"/>
  <c r="C396" i="12"/>
  <c r="C397" i="12"/>
  <c r="C398" i="12"/>
  <c r="C399" i="12"/>
  <c r="C400" i="12"/>
  <c r="C401" i="12"/>
  <c r="C402" i="12"/>
  <c r="C403" i="12"/>
  <c r="C404" i="12"/>
  <c r="C405" i="12"/>
  <c r="C406" i="12"/>
  <c r="C407" i="12"/>
  <c r="C408" i="12"/>
  <c r="C409" i="12"/>
  <c r="C410" i="12"/>
  <c r="C411" i="12"/>
  <c r="C412" i="12"/>
  <c r="C413" i="12"/>
  <c r="C414" i="12"/>
  <c r="C415" i="12"/>
  <c r="C416" i="12"/>
  <c r="C417" i="12"/>
  <c r="C418" i="12"/>
  <c r="C419" i="12"/>
  <c r="C420" i="12"/>
  <c r="C421" i="12"/>
  <c r="C422" i="12"/>
  <c r="C423" i="12"/>
  <c r="C424" i="12"/>
  <c r="C425" i="12"/>
  <c r="M425" i="12" s="1"/>
  <c r="C426" i="12"/>
  <c r="C427" i="12"/>
  <c r="C428" i="12"/>
  <c r="C429" i="12"/>
  <c r="C430" i="12"/>
  <c r="C431" i="12"/>
  <c r="C432" i="12"/>
  <c r="C433" i="12"/>
  <c r="C434" i="12"/>
  <c r="C435" i="12"/>
  <c r="C436" i="12"/>
  <c r="C437" i="12"/>
  <c r="C438" i="12"/>
  <c r="C439" i="12"/>
  <c r="C440" i="12"/>
  <c r="C441" i="12"/>
  <c r="M441" i="12" s="1"/>
  <c r="C442" i="12"/>
  <c r="C443" i="12"/>
  <c r="C444" i="12"/>
  <c r="C445" i="12"/>
  <c r="C446" i="12"/>
  <c r="C447" i="12"/>
  <c r="C448" i="12"/>
  <c r="C449" i="12"/>
  <c r="C450" i="12"/>
  <c r="C451" i="12"/>
  <c r="C452" i="12"/>
  <c r="C453" i="12"/>
  <c r="C454" i="12"/>
  <c r="C455" i="12"/>
  <c r="C456" i="12"/>
  <c r="C457" i="12"/>
  <c r="C458" i="12"/>
  <c r="C459" i="12"/>
  <c r="C460" i="12"/>
  <c r="C461" i="12"/>
  <c r="C462" i="12"/>
  <c r="C463" i="12"/>
  <c r="C464" i="12"/>
  <c r="C465" i="12"/>
  <c r="C466" i="12"/>
  <c r="C467" i="12"/>
  <c r="C468" i="12"/>
  <c r="C469" i="12"/>
  <c r="C470" i="12"/>
  <c r="C471" i="12"/>
  <c r="C472" i="12"/>
  <c r="C473" i="12"/>
  <c r="C474" i="12"/>
  <c r="C475" i="12"/>
  <c r="C476" i="12"/>
  <c r="C477" i="12"/>
  <c r="C478" i="12"/>
  <c r="C479" i="12"/>
  <c r="C480" i="12"/>
  <c r="C481" i="12"/>
  <c r="C482" i="12"/>
  <c r="C483" i="12"/>
  <c r="C484" i="12"/>
  <c r="C485" i="12"/>
  <c r="C486" i="12"/>
  <c r="C487" i="12"/>
  <c r="C488" i="12"/>
  <c r="C489" i="12"/>
  <c r="C490" i="12"/>
  <c r="C491" i="12"/>
  <c r="C492" i="12"/>
  <c r="C493" i="12"/>
  <c r="C494" i="12"/>
  <c r="C495" i="12"/>
  <c r="C496" i="12"/>
  <c r="C497" i="12"/>
  <c r="C498" i="12"/>
  <c r="C499" i="12"/>
  <c r="C500" i="12"/>
  <c r="C501" i="12"/>
  <c r="C502" i="12"/>
  <c r="C503" i="12"/>
  <c r="C504" i="12"/>
  <c r="C505" i="12"/>
  <c r="C506" i="12"/>
  <c r="C507" i="12"/>
  <c r="C508" i="12"/>
  <c r="C509" i="12"/>
  <c r="C510" i="12"/>
  <c r="C511" i="12"/>
  <c r="C512" i="12"/>
  <c r="C513" i="12"/>
  <c r="C514" i="12"/>
  <c r="C515" i="12"/>
  <c r="C516" i="12"/>
  <c r="C517" i="12"/>
  <c r="C518" i="12"/>
  <c r="C519" i="12"/>
  <c r="C520" i="12"/>
  <c r="C521" i="12"/>
  <c r="C522" i="12"/>
  <c r="C523" i="12"/>
  <c r="C524" i="12"/>
  <c r="C525" i="12"/>
  <c r="C526" i="12"/>
  <c r="C527" i="12"/>
  <c r="C528" i="12"/>
  <c r="C529" i="12"/>
  <c r="C530" i="12"/>
  <c r="C531" i="12"/>
  <c r="C532" i="12"/>
  <c r="C533" i="12"/>
  <c r="C534" i="12"/>
  <c r="C535" i="12"/>
  <c r="C536" i="12"/>
  <c r="C537" i="12"/>
  <c r="C538" i="12"/>
  <c r="C539" i="12"/>
  <c r="C540" i="12"/>
  <c r="C541" i="12"/>
  <c r="C542" i="12"/>
  <c r="C543" i="12"/>
  <c r="C544" i="12"/>
  <c r="C545" i="12"/>
  <c r="C546" i="12"/>
  <c r="C547" i="12"/>
  <c r="C548" i="12"/>
  <c r="C549" i="12"/>
  <c r="C550" i="12"/>
  <c r="C551" i="12"/>
  <c r="C552" i="12"/>
  <c r="C553" i="12"/>
  <c r="C554" i="12"/>
  <c r="C555" i="12"/>
  <c r="C556" i="12"/>
  <c r="C557" i="12"/>
  <c r="C558" i="12"/>
  <c r="C559" i="12"/>
  <c r="C560" i="12"/>
  <c r="C561" i="12"/>
  <c r="C562" i="12"/>
  <c r="C563" i="12"/>
  <c r="C564" i="12"/>
  <c r="C565" i="12"/>
  <c r="C566" i="12"/>
  <c r="C567" i="12"/>
  <c r="C568" i="12"/>
  <c r="C569" i="12"/>
  <c r="C570" i="12"/>
  <c r="C571" i="12"/>
  <c r="C572" i="12"/>
  <c r="C573" i="12"/>
  <c r="C574" i="12"/>
  <c r="C575" i="12"/>
  <c r="C576" i="12"/>
  <c r="C577" i="12"/>
  <c r="C578" i="12"/>
  <c r="C579" i="12"/>
  <c r="C580" i="12"/>
  <c r="C581" i="12"/>
  <c r="C582" i="12"/>
  <c r="C583" i="12"/>
  <c r="C584" i="12"/>
  <c r="C585" i="12"/>
  <c r="C586" i="12"/>
  <c r="C587" i="12"/>
  <c r="C588" i="12"/>
  <c r="C589" i="12"/>
  <c r="C590" i="12"/>
  <c r="C591" i="12"/>
  <c r="C592" i="12"/>
  <c r="C593" i="12"/>
  <c r="C594" i="12"/>
  <c r="C595" i="12"/>
  <c r="C596" i="12"/>
  <c r="C597" i="12"/>
  <c r="C598" i="12"/>
  <c r="C599" i="12"/>
  <c r="C600" i="12"/>
  <c r="C601" i="12"/>
  <c r="C602" i="12"/>
  <c r="C603" i="12"/>
  <c r="C604" i="12"/>
  <c r="C605" i="12"/>
  <c r="C606" i="12"/>
  <c r="C607" i="12"/>
  <c r="C608" i="12"/>
  <c r="C609" i="12"/>
  <c r="C610" i="12"/>
  <c r="C611" i="12"/>
  <c r="C612" i="12"/>
  <c r="C613" i="12"/>
  <c r="C614" i="12"/>
  <c r="C615" i="12"/>
  <c r="C616" i="12"/>
  <c r="C617" i="12"/>
  <c r="C618" i="12"/>
  <c r="C619" i="12"/>
  <c r="C620" i="12"/>
  <c r="C621" i="12"/>
  <c r="C622" i="12"/>
  <c r="C623" i="12"/>
  <c r="C624" i="12"/>
  <c r="C625" i="12"/>
  <c r="C626" i="12"/>
  <c r="C627" i="12"/>
  <c r="C628" i="12"/>
  <c r="C629" i="12"/>
  <c r="C630" i="12"/>
  <c r="C631" i="12"/>
  <c r="C632" i="12"/>
  <c r="C633" i="12"/>
  <c r="C634" i="12"/>
  <c r="C635" i="12"/>
  <c r="C636" i="12"/>
  <c r="C637" i="12"/>
  <c r="C638" i="12"/>
  <c r="C639" i="12"/>
  <c r="C640" i="12"/>
  <c r="C641" i="12"/>
  <c r="C642" i="12"/>
  <c r="C643" i="12"/>
  <c r="C644" i="12"/>
  <c r="C645" i="12"/>
  <c r="C646" i="12"/>
  <c r="C647" i="12"/>
  <c r="C648" i="12"/>
  <c r="C649" i="12"/>
  <c r="C650" i="12"/>
  <c r="C651" i="12"/>
  <c r="C652" i="12"/>
  <c r="C653" i="12"/>
  <c r="C654" i="12"/>
  <c r="C655" i="12"/>
  <c r="C656" i="12"/>
  <c r="C657" i="12"/>
  <c r="C658" i="12"/>
  <c r="C659" i="12"/>
  <c r="C660" i="12"/>
  <c r="C661" i="12"/>
  <c r="C662" i="12"/>
  <c r="C663" i="12"/>
  <c r="C664" i="12"/>
  <c r="C665" i="12"/>
  <c r="C666" i="12"/>
  <c r="C667" i="12"/>
  <c r="C668" i="12"/>
  <c r="C669" i="12"/>
  <c r="C670" i="12"/>
  <c r="C671" i="12"/>
  <c r="C672" i="12"/>
  <c r="C673" i="12"/>
  <c r="C674" i="12"/>
  <c r="C675" i="12"/>
  <c r="C676" i="12"/>
  <c r="C677" i="12"/>
  <c r="C678" i="12"/>
  <c r="C679" i="12"/>
  <c r="C680" i="12"/>
  <c r="C681" i="12"/>
  <c r="C682" i="12"/>
  <c r="C683" i="12"/>
  <c r="C684" i="12"/>
  <c r="C685" i="12"/>
  <c r="C686" i="12"/>
  <c r="C687" i="12"/>
  <c r="C688" i="12"/>
  <c r="C689" i="12"/>
  <c r="C690" i="12"/>
  <c r="C691" i="12"/>
  <c r="C692" i="12"/>
  <c r="C693" i="12"/>
  <c r="C694" i="12"/>
  <c r="C695" i="12"/>
  <c r="C696" i="12"/>
  <c r="C697" i="12"/>
  <c r="C698" i="12"/>
  <c r="C699" i="12"/>
  <c r="C700" i="12"/>
  <c r="C701" i="12"/>
  <c r="C702" i="12"/>
  <c r="C703" i="12"/>
  <c r="C704" i="12"/>
  <c r="C705" i="12"/>
  <c r="C706" i="12"/>
  <c r="C707" i="12"/>
  <c r="C708" i="12"/>
  <c r="C709" i="12"/>
  <c r="C710" i="12"/>
  <c r="C711" i="12"/>
  <c r="C712" i="12"/>
  <c r="C713" i="12"/>
  <c r="C714" i="12"/>
  <c r="C715" i="12"/>
  <c r="C716" i="12"/>
  <c r="C717" i="12"/>
  <c r="C718" i="12"/>
  <c r="C719" i="12"/>
  <c r="C720" i="12"/>
  <c r="C721" i="12"/>
  <c r="C722" i="12"/>
  <c r="C723" i="12"/>
  <c r="C724" i="12"/>
  <c r="C725" i="12"/>
  <c r="C726" i="12"/>
  <c r="C727" i="12"/>
  <c r="C728" i="12"/>
  <c r="C729" i="12"/>
  <c r="C730" i="12"/>
  <c r="C731" i="12"/>
  <c r="C732" i="12"/>
  <c r="C733" i="12"/>
  <c r="C734" i="12"/>
  <c r="C735" i="12"/>
  <c r="C736" i="12"/>
  <c r="C737" i="12"/>
  <c r="C738" i="12"/>
  <c r="C739" i="12"/>
  <c r="C740" i="12"/>
  <c r="C741" i="12"/>
  <c r="C742" i="12"/>
  <c r="C743" i="12"/>
  <c r="C744" i="12"/>
  <c r="C745" i="12"/>
  <c r="C746" i="12"/>
  <c r="C747" i="12"/>
  <c r="C748" i="12"/>
  <c r="C749" i="12"/>
  <c r="C750" i="12"/>
  <c r="C751" i="12"/>
  <c r="C752" i="12"/>
  <c r="C753" i="12"/>
  <c r="C754" i="12"/>
  <c r="C755" i="12"/>
  <c r="C756" i="12"/>
  <c r="C757" i="12"/>
  <c r="C758" i="12"/>
  <c r="C759" i="12"/>
  <c r="C760" i="12"/>
  <c r="C761" i="12"/>
  <c r="C762" i="12"/>
  <c r="C763" i="12"/>
  <c r="C764" i="12"/>
  <c r="C765" i="12"/>
  <c r="C766" i="12"/>
  <c r="C767" i="12"/>
  <c r="C768" i="12"/>
  <c r="C769" i="12"/>
  <c r="C770" i="12"/>
  <c r="C771" i="12"/>
  <c r="C772" i="12"/>
  <c r="C773" i="12"/>
  <c r="C774" i="12"/>
  <c r="C775" i="12"/>
  <c r="C776" i="12"/>
  <c r="C777" i="12"/>
  <c r="C778" i="12"/>
  <c r="C779" i="12"/>
  <c r="C780" i="12"/>
  <c r="C781" i="12"/>
  <c r="C782" i="12"/>
  <c r="C783" i="12"/>
  <c r="C784" i="12"/>
  <c r="C785" i="12"/>
  <c r="C786" i="12"/>
  <c r="C787" i="12"/>
  <c r="C788" i="12"/>
  <c r="C789" i="12"/>
  <c r="C790" i="12"/>
  <c r="C791" i="12"/>
  <c r="C792" i="12"/>
  <c r="C793" i="12"/>
  <c r="C794" i="12"/>
  <c r="C795" i="12"/>
  <c r="C796" i="12"/>
  <c r="C797" i="12"/>
  <c r="C798" i="12"/>
  <c r="C799" i="12"/>
  <c r="C800" i="12"/>
  <c r="C801" i="12"/>
  <c r="C802" i="12"/>
  <c r="C803" i="12"/>
  <c r="C804" i="12"/>
  <c r="C805" i="12"/>
  <c r="C806" i="12"/>
  <c r="C807" i="12"/>
  <c r="C808" i="12"/>
  <c r="C809" i="12"/>
  <c r="C810" i="12"/>
  <c r="C811" i="12"/>
  <c r="C812" i="12"/>
  <c r="C813" i="12"/>
  <c r="C814" i="12"/>
  <c r="C815" i="12"/>
  <c r="C816" i="12"/>
  <c r="C817" i="12"/>
  <c r="C818" i="12"/>
  <c r="C819" i="12"/>
  <c r="C820" i="12"/>
  <c r="C821" i="12"/>
  <c r="C822" i="12"/>
  <c r="C823" i="12"/>
  <c r="C824" i="12"/>
  <c r="C825" i="12"/>
  <c r="C826" i="12"/>
  <c r="C827" i="12"/>
  <c r="C828" i="12"/>
  <c r="C829" i="12"/>
  <c r="C830" i="12"/>
  <c r="C831" i="12"/>
  <c r="C832" i="12"/>
  <c r="C833" i="12"/>
  <c r="C834" i="12"/>
  <c r="C835" i="12"/>
  <c r="C836" i="12"/>
  <c r="C837" i="12"/>
  <c r="C838" i="12"/>
  <c r="C839" i="12"/>
  <c r="C840" i="12"/>
  <c r="C841" i="12"/>
  <c r="C842" i="12"/>
  <c r="C843" i="12"/>
  <c r="C844" i="12"/>
  <c r="C845" i="12"/>
  <c r="C846" i="12"/>
  <c r="C847" i="12"/>
  <c r="C848" i="12"/>
  <c r="C849" i="12"/>
  <c r="C850" i="12"/>
  <c r="C851" i="12"/>
  <c r="C852" i="12"/>
  <c r="C853" i="12"/>
  <c r="C854" i="12"/>
  <c r="C855" i="12"/>
  <c r="C856" i="12"/>
  <c r="C857" i="12"/>
  <c r="C858" i="12"/>
  <c r="C859" i="12"/>
  <c r="C860" i="12"/>
  <c r="C861" i="12"/>
  <c r="C862" i="12"/>
  <c r="C863" i="12"/>
  <c r="C864" i="12"/>
  <c r="C865" i="12"/>
  <c r="C866" i="12"/>
  <c r="C867" i="12"/>
  <c r="C868" i="12"/>
  <c r="C869" i="12"/>
  <c r="C870" i="12"/>
  <c r="C871" i="12"/>
  <c r="C872" i="12"/>
  <c r="C873" i="12"/>
  <c r="C874" i="12"/>
  <c r="C875" i="12"/>
  <c r="C876" i="12"/>
  <c r="C877" i="12"/>
  <c r="C878" i="12"/>
  <c r="C879" i="12"/>
  <c r="C880" i="12"/>
  <c r="C881" i="12"/>
  <c r="C882" i="12"/>
  <c r="C883" i="12"/>
  <c r="C884" i="12"/>
  <c r="C885" i="12"/>
  <c r="C886" i="12"/>
  <c r="C887" i="12"/>
  <c r="C888" i="12"/>
  <c r="C889" i="12"/>
  <c r="C890" i="12"/>
  <c r="C891" i="12"/>
  <c r="C892" i="12"/>
  <c r="C893" i="12"/>
  <c r="C894" i="12"/>
  <c r="C895" i="12"/>
  <c r="C896" i="12"/>
  <c r="C897" i="12"/>
  <c r="C898" i="12"/>
  <c r="C899" i="12"/>
  <c r="C900" i="12"/>
  <c r="C901" i="12"/>
  <c r="C902" i="12"/>
  <c r="C903" i="12"/>
  <c r="C904" i="12"/>
  <c r="C905" i="12"/>
  <c r="C906" i="12"/>
  <c r="C907" i="12"/>
  <c r="C908" i="12"/>
  <c r="C909" i="12"/>
  <c r="C910" i="12"/>
  <c r="C911" i="12"/>
  <c r="C912" i="12"/>
  <c r="C913" i="12"/>
  <c r="C914" i="12"/>
  <c r="C915" i="12"/>
  <c r="C916" i="12"/>
  <c r="C917" i="12"/>
  <c r="C918" i="12"/>
  <c r="C919" i="12"/>
  <c r="C920" i="12"/>
  <c r="C921" i="12"/>
  <c r="C922" i="12"/>
  <c r="C923" i="12"/>
  <c r="C924" i="12"/>
  <c r="C925" i="12"/>
  <c r="C926" i="12"/>
  <c r="C927" i="12"/>
  <c r="C928" i="12"/>
  <c r="C929" i="12"/>
  <c r="C930" i="12"/>
  <c r="C931" i="12"/>
  <c r="C932" i="12"/>
  <c r="C933" i="12"/>
  <c r="C934" i="12"/>
  <c r="C935" i="12"/>
  <c r="C936" i="12"/>
  <c r="C937" i="12"/>
  <c r="C938" i="12"/>
  <c r="C939" i="12"/>
  <c r="C940" i="12"/>
  <c r="C941" i="12"/>
  <c r="C942" i="12"/>
  <c r="C943" i="12"/>
  <c r="C944" i="12"/>
  <c r="C945" i="12"/>
  <c r="C946" i="12"/>
  <c r="C947" i="12"/>
  <c r="C948" i="12"/>
  <c r="C949" i="12"/>
  <c r="C950" i="12"/>
  <c r="C951" i="12"/>
  <c r="C952" i="12"/>
  <c r="C953" i="12"/>
  <c r="C954" i="12"/>
  <c r="C955" i="12"/>
  <c r="C956" i="12"/>
  <c r="C957" i="12"/>
  <c r="C958" i="12"/>
  <c r="C959" i="12"/>
  <c r="C960" i="12"/>
  <c r="C961" i="12"/>
  <c r="C962" i="12"/>
  <c r="C963" i="12"/>
  <c r="C964" i="12"/>
  <c r="C965" i="12"/>
  <c r="C966" i="12"/>
  <c r="C967" i="12"/>
  <c r="C968" i="12"/>
  <c r="C969" i="12"/>
  <c r="C970" i="12"/>
  <c r="C971" i="12"/>
  <c r="C972" i="12"/>
  <c r="C973" i="12"/>
  <c r="C974" i="12"/>
  <c r="C975" i="12"/>
  <c r="C976" i="12"/>
  <c r="C977" i="12"/>
  <c r="C978" i="12"/>
  <c r="C979" i="12"/>
  <c r="C980" i="12"/>
  <c r="C981" i="12"/>
  <c r="C982" i="12"/>
  <c r="C983" i="12"/>
  <c r="C984" i="12"/>
  <c r="C985" i="12"/>
  <c r="C986" i="12"/>
  <c r="C987" i="12"/>
  <c r="C988" i="12"/>
  <c r="C989" i="12"/>
  <c r="C990" i="12"/>
  <c r="C991" i="12"/>
  <c r="C992" i="12"/>
  <c r="C993" i="12"/>
  <c r="C994" i="12"/>
  <c r="C995" i="12"/>
  <c r="C996" i="12"/>
  <c r="C997" i="12"/>
  <c r="C998" i="12"/>
  <c r="C999" i="12"/>
  <c r="C1000" i="12"/>
  <c r="C1001" i="12"/>
  <c r="C1002" i="12"/>
  <c r="C1003" i="12"/>
  <c r="C1004" i="12"/>
  <c r="C1005" i="12"/>
  <c r="C1006" i="12"/>
  <c r="C1007" i="12"/>
  <c r="C1008" i="12"/>
  <c r="C1009" i="12"/>
  <c r="C1010" i="12"/>
  <c r="C1011" i="12"/>
  <c r="C1012" i="12"/>
  <c r="C1013" i="12"/>
  <c r="C1014" i="12"/>
  <c r="C1015" i="12"/>
  <c r="C1016" i="12"/>
  <c r="C1017" i="12"/>
  <c r="C1018" i="12"/>
  <c r="C1019" i="12"/>
  <c r="C1020" i="12"/>
  <c r="C1021" i="12"/>
  <c r="C1022" i="12"/>
  <c r="C1023" i="12"/>
  <c r="C1" i="12"/>
  <c r="A6" i="12"/>
  <c r="B6" i="12"/>
  <c r="D6" i="12"/>
  <c r="E6" i="12"/>
  <c r="F6" i="12"/>
  <c r="G6" i="12"/>
  <c r="Q6" i="12" s="1"/>
  <c r="H6" i="12"/>
  <c r="I6" i="12"/>
  <c r="J6" i="12"/>
  <c r="A7" i="12"/>
  <c r="B7" i="12"/>
  <c r="D7" i="12"/>
  <c r="E7" i="12"/>
  <c r="F7" i="12"/>
  <c r="P7" i="12" s="1"/>
  <c r="G7" i="12"/>
  <c r="H7" i="12"/>
  <c r="I7" i="12"/>
  <c r="J7" i="12"/>
  <c r="A8" i="12"/>
  <c r="B8" i="12"/>
  <c r="D8" i="12"/>
  <c r="E8" i="12"/>
  <c r="F8" i="12"/>
  <c r="G8" i="12"/>
  <c r="H8" i="12"/>
  <c r="I8" i="12"/>
  <c r="J8" i="12"/>
  <c r="A9" i="12"/>
  <c r="B9" i="12"/>
  <c r="D9" i="12"/>
  <c r="E9" i="12"/>
  <c r="F9" i="12"/>
  <c r="G9" i="12"/>
  <c r="H9" i="12"/>
  <c r="I9" i="12"/>
  <c r="J9" i="12"/>
  <c r="A10" i="12"/>
  <c r="B10" i="12"/>
  <c r="L10" i="12" s="1"/>
  <c r="D10" i="12"/>
  <c r="E10" i="12"/>
  <c r="F10" i="12"/>
  <c r="G10" i="12"/>
  <c r="H10" i="12"/>
  <c r="I10" i="12"/>
  <c r="J10" i="12"/>
  <c r="A11" i="12"/>
  <c r="B11" i="12"/>
  <c r="D11" i="12"/>
  <c r="E11" i="12"/>
  <c r="F11" i="12"/>
  <c r="G11" i="12"/>
  <c r="H11" i="12"/>
  <c r="I11" i="12"/>
  <c r="J11" i="12"/>
  <c r="T11" i="12" s="1"/>
  <c r="A12" i="12"/>
  <c r="B12" i="12"/>
  <c r="D12" i="12"/>
  <c r="E12" i="12"/>
  <c r="F12" i="12"/>
  <c r="G12" i="12"/>
  <c r="H12" i="12"/>
  <c r="I12" i="12"/>
  <c r="S12" i="12" s="1"/>
  <c r="J12" i="12"/>
  <c r="A13" i="12"/>
  <c r="B13" i="12"/>
  <c r="D13" i="12"/>
  <c r="E13" i="12"/>
  <c r="F13" i="12"/>
  <c r="G13" i="12"/>
  <c r="H13" i="12"/>
  <c r="R13" i="12" s="1"/>
  <c r="I13" i="12"/>
  <c r="J13" i="12"/>
  <c r="A14" i="12"/>
  <c r="B14" i="12"/>
  <c r="D14" i="12"/>
  <c r="E14" i="12"/>
  <c r="F14" i="12"/>
  <c r="G14" i="12"/>
  <c r="Q14" i="12" s="1"/>
  <c r="H14" i="12"/>
  <c r="I14" i="12"/>
  <c r="J14" i="12"/>
  <c r="A15" i="12"/>
  <c r="B15" i="12"/>
  <c r="D15" i="12"/>
  <c r="E15" i="12"/>
  <c r="F15" i="12"/>
  <c r="P15" i="12" s="1"/>
  <c r="G15" i="12"/>
  <c r="H15" i="12"/>
  <c r="I15" i="12"/>
  <c r="J15" i="12"/>
  <c r="A16" i="12"/>
  <c r="B16" i="12"/>
  <c r="D16" i="12"/>
  <c r="E16" i="12"/>
  <c r="F16" i="12"/>
  <c r="G16" i="12"/>
  <c r="H16" i="12"/>
  <c r="I16" i="12"/>
  <c r="J16" i="12"/>
  <c r="A17" i="12"/>
  <c r="B17" i="12"/>
  <c r="D17" i="12"/>
  <c r="E17" i="12"/>
  <c r="F17" i="12"/>
  <c r="G17" i="12"/>
  <c r="H17" i="12"/>
  <c r="I17" i="12"/>
  <c r="J17" i="12"/>
  <c r="A18" i="12"/>
  <c r="B18" i="12"/>
  <c r="L18" i="12" s="1"/>
  <c r="D18" i="12"/>
  <c r="E18" i="12"/>
  <c r="F18" i="12"/>
  <c r="G18" i="12"/>
  <c r="H18" i="12"/>
  <c r="I18" i="12"/>
  <c r="J18" i="12"/>
  <c r="A19" i="12"/>
  <c r="B19" i="12"/>
  <c r="D19" i="12"/>
  <c r="E19" i="12"/>
  <c r="F19" i="12"/>
  <c r="G19" i="12"/>
  <c r="H19" i="12"/>
  <c r="I19" i="12"/>
  <c r="J19" i="12"/>
  <c r="T19" i="12" s="1"/>
  <c r="A20" i="12"/>
  <c r="B20" i="12"/>
  <c r="D20" i="12"/>
  <c r="E20" i="12"/>
  <c r="F20" i="12"/>
  <c r="G20" i="12"/>
  <c r="H20" i="12"/>
  <c r="I20" i="12"/>
  <c r="S20" i="12" s="1"/>
  <c r="J20" i="12"/>
  <c r="A21" i="12"/>
  <c r="B21" i="12"/>
  <c r="D21" i="12"/>
  <c r="E21" i="12"/>
  <c r="F21" i="12"/>
  <c r="G21" i="12"/>
  <c r="H21" i="12"/>
  <c r="R21" i="12" s="1"/>
  <c r="I21" i="12"/>
  <c r="J21" i="12"/>
  <c r="A22" i="12"/>
  <c r="B22" i="12"/>
  <c r="D22" i="12"/>
  <c r="E22" i="12"/>
  <c r="F22" i="12"/>
  <c r="G22" i="12"/>
  <c r="Q22" i="12" s="1"/>
  <c r="H22" i="12"/>
  <c r="I22" i="12"/>
  <c r="J22" i="12"/>
  <c r="A23" i="12"/>
  <c r="B23" i="12"/>
  <c r="D23" i="12"/>
  <c r="E23" i="12"/>
  <c r="F23" i="12"/>
  <c r="P23" i="12" s="1"/>
  <c r="G23" i="12"/>
  <c r="H23" i="12"/>
  <c r="I23" i="12"/>
  <c r="J23" i="12"/>
  <c r="A24" i="12"/>
  <c r="B24" i="12"/>
  <c r="D24" i="12"/>
  <c r="E24" i="12"/>
  <c r="F24" i="12"/>
  <c r="G24" i="12"/>
  <c r="H24" i="12"/>
  <c r="I24" i="12"/>
  <c r="J24" i="12"/>
  <c r="A25" i="12"/>
  <c r="B25" i="12"/>
  <c r="D25" i="12"/>
  <c r="E25" i="12"/>
  <c r="F25" i="12"/>
  <c r="G25" i="12"/>
  <c r="H25" i="12"/>
  <c r="I25" i="12"/>
  <c r="J25" i="12"/>
  <c r="A26" i="12"/>
  <c r="B26" i="12"/>
  <c r="L26" i="12" s="1"/>
  <c r="D26" i="12"/>
  <c r="E26" i="12"/>
  <c r="F26" i="12"/>
  <c r="G26" i="12"/>
  <c r="H26" i="12"/>
  <c r="I26" i="12"/>
  <c r="J26" i="12"/>
  <c r="A27" i="12"/>
  <c r="B27" i="12"/>
  <c r="D27" i="12"/>
  <c r="E27" i="12"/>
  <c r="F27" i="12"/>
  <c r="G27" i="12"/>
  <c r="H27" i="12"/>
  <c r="I27" i="12"/>
  <c r="J27" i="12"/>
  <c r="T27" i="12" s="1"/>
  <c r="A28" i="12"/>
  <c r="B28" i="12"/>
  <c r="D28" i="12"/>
  <c r="E28" i="12"/>
  <c r="F28" i="12"/>
  <c r="G28" i="12"/>
  <c r="H28" i="12"/>
  <c r="I28" i="12"/>
  <c r="S28" i="12" s="1"/>
  <c r="J28" i="12"/>
  <c r="A29" i="12"/>
  <c r="B29" i="12"/>
  <c r="D29" i="12"/>
  <c r="E29" i="12"/>
  <c r="F29" i="12"/>
  <c r="G29" i="12"/>
  <c r="H29" i="12"/>
  <c r="R29" i="12" s="1"/>
  <c r="I29" i="12"/>
  <c r="J29" i="12"/>
  <c r="A30" i="12"/>
  <c r="B30" i="12"/>
  <c r="D30" i="12"/>
  <c r="E30" i="12"/>
  <c r="F30" i="12"/>
  <c r="G30" i="12"/>
  <c r="Q30" i="12" s="1"/>
  <c r="H30" i="12"/>
  <c r="I30" i="12"/>
  <c r="J30" i="12"/>
  <c r="A31" i="12"/>
  <c r="B31" i="12"/>
  <c r="D31" i="12"/>
  <c r="E31" i="12"/>
  <c r="F31" i="12"/>
  <c r="P31" i="12" s="1"/>
  <c r="G31" i="12"/>
  <c r="H31" i="12"/>
  <c r="I31" i="12"/>
  <c r="J31" i="12"/>
  <c r="A32" i="12"/>
  <c r="B32" i="12"/>
  <c r="D32" i="12"/>
  <c r="E32" i="12"/>
  <c r="F32" i="12"/>
  <c r="G32" i="12"/>
  <c r="H32" i="12"/>
  <c r="I32" i="12"/>
  <c r="J32" i="12"/>
  <c r="A33" i="12"/>
  <c r="B33" i="12"/>
  <c r="D33" i="12"/>
  <c r="E33" i="12"/>
  <c r="F33" i="12"/>
  <c r="G33" i="12"/>
  <c r="H33" i="12"/>
  <c r="I33" i="12"/>
  <c r="J33" i="12"/>
  <c r="A34" i="12"/>
  <c r="B34" i="12"/>
  <c r="L34" i="12" s="1"/>
  <c r="D34" i="12"/>
  <c r="E34" i="12"/>
  <c r="F34" i="12"/>
  <c r="G34" i="12"/>
  <c r="H34" i="12"/>
  <c r="I34" i="12"/>
  <c r="J34" i="12"/>
  <c r="A35" i="12"/>
  <c r="B35" i="12"/>
  <c r="D35" i="12"/>
  <c r="E35" i="12"/>
  <c r="F35" i="12"/>
  <c r="G35" i="12"/>
  <c r="H35" i="12"/>
  <c r="I35" i="12"/>
  <c r="J35" i="12"/>
  <c r="T35" i="12" s="1"/>
  <c r="A36" i="12"/>
  <c r="B36" i="12"/>
  <c r="D36" i="12"/>
  <c r="E36" i="12"/>
  <c r="F36" i="12"/>
  <c r="G36" i="12"/>
  <c r="H36" i="12"/>
  <c r="I36" i="12"/>
  <c r="S36" i="12" s="1"/>
  <c r="J36" i="12"/>
  <c r="A37" i="12"/>
  <c r="B37" i="12"/>
  <c r="D37" i="12"/>
  <c r="E37" i="12"/>
  <c r="F37" i="12"/>
  <c r="G37" i="12"/>
  <c r="H37" i="12"/>
  <c r="R37" i="12" s="1"/>
  <c r="I37" i="12"/>
  <c r="J37" i="12"/>
  <c r="A38" i="12"/>
  <c r="B38" i="12"/>
  <c r="D38" i="12"/>
  <c r="E38" i="12"/>
  <c r="F38" i="12"/>
  <c r="G38" i="12"/>
  <c r="Q38" i="12" s="1"/>
  <c r="H38" i="12"/>
  <c r="I38" i="12"/>
  <c r="J38" i="12"/>
  <c r="A39" i="12"/>
  <c r="B39" i="12"/>
  <c r="D39" i="12"/>
  <c r="E39" i="12"/>
  <c r="F39" i="12"/>
  <c r="P39" i="12" s="1"/>
  <c r="G39" i="12"/>
  <c r="H39" i="12"/>
  <c r="I39" i="12"/>
  <c r="J39" i="12"/>
  <c r="A40" i="12"/>
  <c r="B40" i="12"/>
  <c r="D40" i="12"/>
  <c r="E40" i="12"/>
  <c r="F40" i="12"/>
  <c r="G40" i="12"/>
  <c r="H40" i="12"/>
  <c r="I40" i="12"/>
  <c r="J40" i="12"/>
  <c r="A41" i="12"/>
  <c r="B41" i="12"/>
  <c r="D41" i="12"/>
  <c r="E41" i="12"/>
  <c r="F41" i="12"/>
  <c r="G41" i="12"/>
  <c r="H41" i="12"/>
  <c r="I41" i="12"/>
  <c r="J41" i="12"/>
  <c r="A42" i="12"/>
  <c r="B42" i="12"/>
  <c r="L42" i="12" s="1"/>
  <c r="D42" i="12"/>
  <c r="E42" i="12"/>
  <c r="F42" i="12"/>
  <c r="G42" i="12"/>
  <c r="H42" i="12"/>
  <c r="I42" i="12"/>
  <c r="J42" i="12"/>
  <c r="A43" i="12"/>
  <c r="B43" i="12"/>
  <c r="D43" i="12"/>
  <c r="E43" i="12"/>
  <c r="F43" i="12"/>
  <c r="G43" i="12"/>
  <c r="H43" i="12"/>
  <c r="I43" i="12"/>
  <c r="J43" i="12"/>
  <c r="T43" i="12" s="1"/>
  <c r="A44" i="12"/>
  <c r="B44" i="12"/>
  <c r="D44" i="12"/>
  <c r="E44" i="12"/>
  <c r="F44" i="12"/>
  <c r="G44" i="12"/>
  <c r="H44" i="12"/>
  <c r="I44" i="12"/>
  <c r="S44" i="12" s="1"/>
  <c r="J44" i="12"/>
  <c r="A45" i="12"/>
  <c r="B45" i="12"/>
  <c r="D45" i="12"/>
  <c r="E45" i="12"/>
  <c r="F45" i="12"/>
  <c r="G45" i="12"/>
  <c r="H45" i="12"/>
  <c r="R45" i="12" s="1"/>
  <c r="I45" i="12"/>
  <c r="J45" i="12"/>
  <c r="A46" i="12"/>
  <c r="B46" i="12"/>
  <c r="D46" i="12"/>
  <c r="E46" i="12"/>
  <c r="F46" i="12"/>
  <c r="G46" i="12"/>
  <c r="Q46" i="12" s="1"/>
  <c r="H46" i="12"/>
  <c r="I46" i="12"/>
  <c r="J46" i="12"/>
  <c r="A47" i="12"/>
  <c r="B47" i="12"/>
  <c r="D47" i="12"/>
  <c r="E47" i="12"/>
  <c r="F47" i="12"/>
  <c r="P47" i="12" s="1"/>
  <c r="G47" i="12"/>
  <c r="H47" i="12"/>
  <c r="I47" i="12"/>
  <c r="J47" i="12"/>
  <c r="A48" i="12"/>
  <c r="B48" i="12"/>
  <c r="D48" i="12"/>
  <c r="E48" i="12"/>
  <c r="F48" i="12"/>
  <c r="G48" i="12"/>
  <c r="H48" i="12"/>
  <c r="I48" i="12"/>
  <c r="J48" i="12"/>
  <c r="A49" i="12"/>
  <c r="B49" i="12"/>
  <c r="D49" i="12"/>
  <c r="E49" i="12"/>
  <c r="F49" i="12"/>
  <c r="G49" i="12"/>
  <c r="H49" i="12"/>
  <c r="I49" i="12"/>
  <c r="J49" i="12"/>
  <c r="A50" i="12"/>
  <c r="B50" i="12"/>
  <c r="L50" i="12" s="1"/>
  <c r="D50" i="12"/>
  <c r="E50" i="12"/>
  <c r="F50" i="12"/>
  <c r="G50" i="12"/>
  <c r="H50" i="12"/>
  <c r="I50" i="12"/>
  <c r="J50" i="12"/>
  <c r="A51" i="12"/>
  <c r="B51" i="12"/>
  <c r="D51" i="12"/>
  <c r="E51" i="12"/>
  <c r="F51" i="12"/>
  <c r="G51" i="12"/>
  <c r="H51" i="12"/>
  <c r="I51" i="12"/>
  <c r="J51" i="12"/>
  <c r="T51" i="12" s="1"/>
  <c r="A52" i="12"/>
  <c r="B52" i="12"/>
  <c r="D52" i="12"/>
  <c r="E52" i="12"/>
  <c r="F52" i="12"/>
  <c r="G52" i="12"/>
  <c r="H52" i="12"/>
  <c r="I52" i="12"/>
  <c r="S52" i="12" s="1"/>
  <c r="J52" i="12"/>
  <c r="A53" i="12"/>
  <c r="B53" i="12"/>
  <c r="D53" i="12"/>
  <c r="E53" i="12"/>
  <c r="F53" i="12"/>
  <c r="G53" i="12"/>
  <c r="H53" i="12"/>
  <c r="R53" i="12" s="1"/>
  <c r="I53" i="12"/>
  <c r="J53" i="12"/>
  <c r="A54" i="12"/>
  <c r="B54" i="12"/>
  <c r="D54" i="12"/>
  <c r="E54" i="12"/>
  <c r="F54" i="12"/>
  <c r="G54" i="12"/>
  <c r="Q54" i="12" s="1"/>
  <c r="H54" i="12"/>
  <c r="I54" i="12"/>
  <c r="J54" i="12"/>
  <c r="A55" i="12"/>
  <c r="B55" i="12"/>
  <c r="D55" i="12"/>
  <c r="E55" i="12"/>
  <c r="F55" i="12"/>
  <c r="P55" i="12" s="1"/>
  <c r="G55" i="12"/>
  <c r="H55" i="12"/>
  <c r="I55" i="12"/>
  <c r="J55" i="12"/>
  <c r="A56" i="12"/>
  <c r="B56" i="12"/>
  <c r="D56" i="12"/>
  <c r="E56" i="12"/>
  <c r="F56" i="12"/>
  <c r="G56" i="12"/>
  <c r="H56" i="12"/>
  <c r="I56" i="12"/>
  <c r="J56" i="12"/>
  <c r="A57" i="12"/>
  <c r="B57" i="12"/>
  <c r="D57" i="12"/>
  <c r="E57" i="12"/>
  <c r="F57" i="12"/>
  <c r="G57" i="12"/>
  <c r="H57" i="12"/>
  <c r="I57" i="12"/>
  <c r="J57" i="12"/>
  <c r="A58" i="12"/>
  <c r="B58" i="12"/>
  <c r="L58" i="12" s="1"/>
  <c r="D58" i="12"/>
  <c r="E58" i="12"/>
  <c r="F58" i="12"/>
  <c r="G58" i="12"/>
  <c r="H58" i="12"/>
  <c r="I58" i="12"/>
  <c r="J58" i="12"/>
  <c r="A59" i="12"/>
  <c r="B59" i="12"/>
  <c r="D59" i="12"/>
  <c r="E59" i="12"/>
  <c r="F59" i="12"/>
  <c r="G59" i="12"/>
  <c r="H59" i="12"/>
  <c r="I59" i="12"/>
  <c r="J59" i="12"/>
  <c r="T59" i="12" s="1"/>
  <c r="A60" i="12"/>
  <c r="B60" i="12"/>
  <c r="D60" i="12"/>
  <c r="E60" i="12"/>
  <c r="F60" i="12"/>
  <c r="G60" i="12"/>
  <c r="H60" i="12"/>
  <c r="I60" i="12"/>
  <c r="S60" i="12" s="1"/>
  <c r="J60" i="12"/>
  <c r="A61" i="12"/>
  <c r="B61" i="12"/>
  <c r="D61" i="12"/>
  <c r="E61" i="12"/>
  <c r="F61" i="12"/>
  <c r="G61" i="12"/>
  <c r="H61" i="12"/>
  <c r="R61" i="12" s="1"/>
  <c r="I61" i="12"/>
  <c r="J61" i="12"/>
  <c r="A62" i="12"/>
  <c r="B62" i="12"/>
  <c r="D62" i="12"/>
  <c r="E62" i="12"/>
  <c r="F62" i="12"/>
  <c r="G62" i="12"/>
  <c r="Q62" i="12" s="1"/>
  <c r="H62" i="12"/>
  <c r="I62" i="12"/>
  <c r="J62" i="12"/>
  <c r="A63" i="12"/>
  <c r="B63" i="12"/>
  <c r="D63" i="12"/>
  <c r="E63" i="12"/>
  <c r="F63" i="12"/>
  <c r="P63" i="12" s="1"/>
  <c r="G63" i="12"/>
  <c r="H63" i="12"/>
  <c r="I63" i="12"/>
  <c r="J63" i="12"/>
  <c r="A64" i="12"/>
  <c r="B64" i="12"/>
  <c r="D64" i="12"/>
  <c r="E64" i="12"/>
  <c r="F64" i="12"/>
  <c r="G64" i="12"/>
  <c r="H64" i="12"/>
  <c r="I64" i="12"/>
  <c r="J64" i="12"/>
  <c r="A65" i="12"/>
  <c r="B65" i="12"/>
  <c r="D65" i="12"/>
  <c r="E65" i="12"/>
  <c r="F65" i="12"/>
  <c r="G65" i="12"/>
  <c r="H65" i="12"/>
  <c r="I65" i="12"/>
  <c r="J65" i="12"/>
  <c r="A66" i="12"/>
  <c r="B66" i="12"/>
  <c r="L66" i="12" s="1"/>
  <c r="D66" i="12"/>
  <c r="E66" i="12"/>
  <c r="F66" i="12"/>
  <c r="G66" i="12"/>
  <c r="H66" i="12"/>
  <c r="I66" i="12"/>
  <c r="J66" i="12"/>
  <c r="A67" i="12"/>
  <c r="B67" i="12"/>
  <c r="D67" i="12"/>
  <c r="E67" i="12"/>
  <c r="F67" i="12"/>
  <c r="G67" i="12"/>
  <c r="H67" i="12"/>
  <c r="I67" i="12"/>
  <c r="J67" i="12"/>
  <c r="T67" i="12" s="1"/>
  <c r="A68" i="12"/>
  <c r="B68" i="12"/>
  <c r="D68" i="12"/>
  <c r="E68" i="12"/>
  <c r="F68" i="12"/>
  <c r="G68" i="12"/>
  <c r="H68" i="12"/>
  <c r="I68" i="12"/>
  <c r="S68" i="12" s="1"/>
  <c r="J68" i="12"/>
  <c r="A69" i="12"/>
  <c r="B69" i="12"/>
  <c r="D69" i="12"/>
  <c r="E69" i="12"/>
  <c r="F69" i="12"/>
  <c r="G69" i="12"/>
  <c r="H69" i="12"/>
  <c r="R69" i="12" s="1"/>
  <c r="I69" i="12"/>
  <c r="J69" i="12"/>
  <c r="A70" i="12"/>
  <c r="B70" i="12"/>
  <c r="D70" i="12"/>
  <c r="E70" i="12"/>
  <c r="F70" i="12"/>
  <c r="G70" i="12"/>
  <c r="Q70" i="12" s="1"/>
  <c r="H70" i="12"/>
  <c r="I70" i="12"/>
  <c r="J70" i="12"/>
  <c r="A71" i="12"/>
  <c r="B71" i="12"/>
  <c r="D71" i="12"/>
  <c r="E71" i="12"/>
  <c r="F71" i="12"/>
  <c r="P71" i="12" s="1"/>
  <c r="G71" i="12"/>
  <c r="H71" i="12"/>
  <c r="I71" i="12"/>
  <c r="J71" i="12"/>
  <c r="A72" i="12"/>
  <c r="B72" i="12"/>
  <c r="D72" i="12"/>
  <c r="E72" i="12"/>
  <c r="F72" i="12"/>
  <c r="G72" i="12"/>
  <c r="H72" i="12"/>
  <c r="I72" i="12"/>
  <c r="J72" i="12"/>
  <c r="A73" i="12"/>
  <c r="B73" i="12"/>
  <c r="D73" i="12"/>
  <c r="E73" i="12"/>
  <c r="F73" i="12"/>
  <c r="G73" i="12"/>
  <c r="H73" i="12"/>
  <c r="I73" i="12"/>
  <c r="J73" i="12"/>
  <c r="A74" i="12"/>
  <c r="B74" i="12"/>
  <c r="L74" i="12" s="1"/>
  <c r="D74" i="12"/>
  <c r="E74" i="12"/>
  <c r="F74" i="12"/>
  <c r="G74" i="12"/>
  <c r="H74" i="12"/>
  <c r="I74" i="12"/>
  <c r="J74" i="12"/>
  <c r="A75" i="12"/>
  <c r="B75" i="12"/>
  <c r="D75" i="12"/>
  <c r="E75" i="12"/>
  <c r="F75" i="12"/>
  <c r="G75" i="12"/>
  <c r="H75" i="12"/>
  <c r="I75" i="12"/>
  <c r="J75" i="12"/>
  <c r="T75" i="12" s="1"/>
  <c r="A76" i="12"/>
  <c r="B76" i="12"/>
  <c r="D76" i="12"/>
  <c r="E76" i="12"/>
  <c r="F76" i="12"/>
  <c r="G76" i="12"/>
  <c r="H76" i="12"/>
  <c r="I76" i="12"/>
  <c r="S76" i="12" s="1"/>
  <c r="J76" i="12"/>
  <c r="A77" i="12"/>
  <c r="B77" i="12"/>
  <c r="D77" i="12"/>
  <c r="E77" i="12"/>
  <c r="F77" i="12"/>
  <c r="G77" i="12"/>
  <c r="H77" i="12"/>
  <c r="R77" i="12" s="1"/>
  <c r="I77" i="12"/>
  <c r="J77" i="12"/>
  <c r="A78" i="12"/>
  <c r="B78" i="12"/>
  <c r="D78" i="12"/>
  <c r="E78" i="12"/>
  <c r="F78" i="12"/>
  <c r="G78" i="12"/>
  <c r="Q78" i="12" s="1"/>
  <c r="H78" i="12"/>
  <c r="I78" i="12"/>
  <c r="J78" i="12"/>
  <c r="A79" i="12"/>
  <c r="B79" i="12"/>
  <c r="D79" i="12"/>
  <c r="E79" i="12"/>
  <c r="F79" i="12"/>
  <c r="P79" i="12" s="1"/>
  <c r="G79" i="12"/>
  <c r="H79" i="12"/>
  <c r="I79" i="12"/>
  <c r="J79" i="12"/>
  <c r="A80" i="12"/>
  <c r="B80" i="12"/>
  <c r="D80" i="12"/>
  <c r="E80" i="12"/>
  <c r="F80" i="12"/>
  <c r="G80" i="12"/>
  <c r="H80" i="12"/>
  <c r="I80" i="12"/>
  <c r="J80" i="12"/>
  <c r="A81" i="12"/>
  <c r="B81" i="12"/>
  <c r="D81" i="12"/>
  <c r="E81" i="12"/>
  <c r="F81" i="12"/>
  <c r="G81" i="12"/>
  <c r="H81" i="12"/>
  <c r="I81" i="12"/>
  <c r="J81" i="12"/>
  <c r="A82" i="12"/>
  <c r="B82" i="12"/>
  <c r="L82" i="12" s="1"/>
  <c r="D82" i="12"/>
  <c r="E82" i="12"/>
  <c r="F82" i="12"/>
  <c r="G82" i="12"/>
  <c r="H82" i="12"/>
  <c r="I82" i="12"/>
  <c r="J82" i="12"/>
  <c r="A83" i="12"/>
  <c r="B83" i="12"/>
  <c r="D83" i="12"/>
  <c r="E83" i="12"/>
  <c r="F83" i="12"/>
  <c r="G83" i="12"/>
  <c r="H83" i="12"/>
  <c r="I83" i="12"/>
  <c r="J83" i="12"/>
  <c r="T83" i="12" s="1"/>
  <c r="A84" i="12"/>
  <c r="B84" i="12"/>
  <c r="D84" i="12"/>
  <c r="E84" i="12"/>
  <c r="F84" i="12"/>
  <c r="G84" i="12"/>
  <c r="H84" i="12"/>
  <c r="I84" i="12"/>
  <c r="S84" i="12" s="1"/>
  <c r="J84" i="12"/>
  <c r="A85" i="12"/>
  <c r="B85" i="12"/>
  <c r="D85" i="12"/>
  <c r="E85" i="12"/>
  <c r="F85" i="12"/>
  <c r="G85" i="12"/>
  <c r="H85" i="12"/>
  <c r="R85" i="12" s="1"/>
  <c r="I85" i="12"/>
  <c r="J85" i="12"/>
  <c r="A86" i="12"/>
  <c r="B86" i="12"/>
  <c r="D86" i="12"/>
  <c r="E86" i="12"/>
  <c r="F86" i="12"/>
  <c r="G86" i="12"/>
  <c r="Q86" i="12" s="1"/>
  <c r="H86" i="12"/>
  <c r="I86" i="12"/>
  <c r="J86" i="12"/>
  <c r="A87" i="12"/>
  <c r="B87" i="12"/>
  <c r="D87" i="12"/>
  <c r="E87" i="12"/>
  <c r="F87" i="12"/>
  <c r="P87" i="12" s="1"/>
  <c r="G87" i="12"/>
  <c r="H87" i="12"/>
  <c r="I87" i="12"/>
  <c r="J87" i="12"/>
  <c r="A88" i="12"/>
  <c r="B88" i="12"/>
  <c r="D88" i="12"/>
  <c r="E88" i="12"/>
  <c r="F88" i="12"/>
  <c r="G88" i="12"/>
  <c r="H88" i="12"/>
  <c r="I88" i="12"/>
  <c r="J88" i="12"/>
  <c r="A89" i="12"/>
  <c r="B89" i="12"/>
  <c r="D89" i="12"/>
  <c r="E89" i="12"/>
  <c r="F89" i="12"/>
  <c r="G89" i="12"/>
  <c r="H89" i="12"/>
  <c r="I89" i="12"/>
  <c r="J89" i="12"/>
  <c r="A90" i="12"/>
  <c r="B90" i="12"/>
  <c r="L90" i="12" s="1"/>
  <c r="D90" i="12"/>
  <c r="E90" i="12"/>
  <c r="F90" i="12"/>
  <c r="G90" i="12"/>
  <c r="H90" i="12"/>
  <c r="I90" i="12"/>
  <c r="J90" i="12"/>
  <c r="A91" i="12"/>
  <c r="B91" i="12"/>
  <c r="D91" i="12"/>
  <c r="E91" i="12"/>
  <c r="F91" i="12"/>
  <c r="G91" i="12"/>
  <c r="H91" i="12"/>
  <c r="I91" i="12"/>
  <c r="J91" i="12"/>
  <c r="T91" i="12" s="1"/>
  <c r="A92" i="12"/>
  <c r="B92" i="12"/>
  <c r="D92" i="12"/>
  <c r="E92" i="12"/>
  <c r="F92" i="12"/>
  <c r="G92" i="12"/>
  <c r="H92" i="12"/>
  <c r="I92" i="12"/>
  <c r="S92" i="12" s="1"/>
  <c r="J92" i="12"/>
  <c r="A93" i="12"/>
  <c r="B93" i="12"/>
  <c r="D93" i="12"/>
  <c r="E93" i="12"/>
  <c r="F93" i="12"/>
  <c r="G93" i="12"/>
  <c r="H93" i="12"/>
  <c r="R93" i="12" s="1"/>
  <c r="I93" i="12"/>
  <c r="J93" i="12"/>
  <c r="A94" i="12"/>
  <c r="B94" i="12"/>
  <c r="D94" i="12"/>
  <c r="E94" i="12"/>
  <c r="F94" i="12"/>
  <c r="G94" i="12"/>
  <c r="Q94" i="12" s="1"/>
  <c r="H94" i="12"/>
  <c r="I94" i="12"/>
  <c r="J94" i="12"/>
  <c r="A95" i="12"/>
  <c r="B95" i="12"/>
  <c r="D95" i="12"/>
  <c r="E95" i="12"/>
  <c r="F95" i="12"/>
  <c r="P95" i="12" s="1"/>
  <c r="G95" i="12"/>
  <c r="H95" i="12"/>
  <c r="I95" i="12"/>
  <c r="J95" i="12"/>
  <c r="A96" i="12"/>
  <c r="B96" i="12"/>
  <c r="D96" i="12"/>
  <c r="E96" i="12"/>
  <c r="F96" i="12"/>
  <c r="G96" i="12"/>
  <c r="H96" i="12"/>
  <c r="I96" i="12"/>
  <c r="J96" i="12"/>
  <c r="A97" i="12"/>
  <c r="B97" i="12"/>
  <c r="D97" i="12"/>
  <c r="E97" i="12"/>
  <c r="F97" i="12"/>
  <c r="G97" i="12"/>
  <c r="H97" i="12"/>
  <c r="I97" i="12"/>
  <c r="J97" i="12"/>
  <c r="A98" i="12"/>
  <c r="B98" i="12"/>
  <c r="L98" i="12" s="1"/>
  <c r="D98" i="12"/>
  <c r="E98" i="12"/>
  <c r="F98" i="12"/>
  <c r="G98" i="12"/>
  <c r="H98" i="12"/>
  <c r="I98" i="12"/>
  <c r="J98" i="12"/>
  <c r="A99" i="12"/>
  <c r="B99" i="12"/>
  <c r="D99" i="12"/>
  <c r="E99" i="12"/>
  <c r="F99" i="12"/>
  <c r="G99" i="12"/>
  <c r="H99" i="12"/>
  <c r="I99" i="12"/>
  <c r="J99" i="12"/>
  <c r="T99" i="12" s="1"/>
  <c r="A100" i="12"/>
  <c r="B100" i="12"/>
  <c r="D100" i="12"/>
  <c r="E100" i="12"/>
  <c r="F100" i="12"/>
  <c r="G100" i="12"/>
  <c r="H100" i="12"/>
  <c r="I100" i="12"/>
  <c r="S100" i="12" s="1"/>
  <c r="J100" i="12"/>
  <c r="A101" i="12"/>
  <c r="B101" i="12"/>
  <c r="D101" i="12"/>
  <c r="E101" i="12"/>
  <c r="F101" i="12"/>
  <c r="G101" i="12"/>
  <c r="H101" i="12"/>
  <c r="R101" i="12" s="1"/>
  <c r="I101" i="12"/>
  <c r="J101" i="12"/>
  <c r="A102" i="12"/>
  <c r="B102" i="12"/>
  <c r="D102" i="12"/>
  <c r="E102" i="12"/>
  <c r="F102" i="12"/>
  <c r="G102" i="12"/>
  <c r="Q102" i="12" s="1"/>
  <c r="H102" i="12"/>
  <c r="I102" i="12"/>
  <c r="J102" i="12"/>
  <c r="A103" i="12"/>
  <c r="B103" i="12"/>
  <c r="D103" i="12"/>
  <c r="E103" i="12"/>
  <c r="F103" i="12"/>
  <c r="P103" i="12" s="1"/>
  <c r="G103" i="12"/>
  <c r="H103" i="12"/>
  <c r="I103" i="12"/>
  <c r="J103" i="12"/>
  <c r="A104" i="12"/>
  <c r="B104" i="12"/>
  <c r="D104" i="12"/>
  <c r="E104" i="12"/>
  <c r="F104" i="12"/>
  <c r="G104" i="12"/>
  <c r="H104" i="12"/>
  <c r="I104" i="12"/>
  <c r="J104" i="12"/>
  <c r="A105" i="12"/>
  <c r="B105" i="12"/>
  <c r="D105" i="12"/>
  <c r="E105" i="12"/>
  <c r="F105" i="12"/>
  <c r="G105" i="12"/>
  <c r="H105" i="12"/>
  <c r="I105" i="12"/>
  <c r="J105" i="12"/>
  <c r="A106" i="12"/>
  <c r="B106" i="12"/>
  <c r="L106" i="12" s="1"/>
  <c r="D106" i="12"/>
  <c r="E106" i="12"/>
  <c r="F106" i="12"/>
  <c r="G106" i="12"/>
  <c r="H106" i="12"/>
  <c r="I106" i="12"/>
  <c r="J106" i="12"/>
  <c r="A107" i="12"/>
  <c r="B107" i="12"/>
  <c r="D107" i="12"/>
  <c r="E107" i="12"/>
  <c r="F107" i="12"/>
  <c r="G107" i="12"/>
  <c r="H107" i="12"/>
  <c r="I107" i="12"/>
  <c r="J107" i="12"/>
  <c r="T107" i="12" s="1"/>
  <c r="A108" i="12"/>
  <c r="B108" i="12"/>
  <c r="D108" i="12"/>
  <c r="E108" i="12"/>
  <c r="F108" i="12"/>
  <c r="G108" i="12"/>
  <c r="H108" i="12"/>
  <c r="I108" i="12"/>
  <c r="S108" i="12" s="1"/>
  <c r="J108" i="12"/>
  <c r="A109" i="12"/>
  <c r="B109" i="12"/>
  <c r="D109" i="12"/>
  <c r="E109" i="12"/>
  <c r="F109" i="12"/>
  <c r="G109" i="12"/>
  <c r="H109" i="12"/>
  <c r="R109" i="12" s="1"/>
  <c r="I109" i="12"/>
  <c r="J109" i="12"/>
  <c r="A110" i="12"/>
  <c r="B110" i="12"/>
  <c r="D110" i="12"/>
  <c r="E110" i="12"/>
  <c r="F110" i="12"/>
  <c r="G110" i="12"/>
  <c r="Q110" i="12" s="1"/>
  <c r="H110" i="12"/>
  <c r="I110" i="12"/>
  <c r="J110" i="12"/>
  <c r="A111" i="12"/>
  <c r="B111" i="12"/>
  <c r="D111" i="12"/>
  <c r="E111" i="12"/>
  <c r="F111" i="12"/>
  <c r="P111" i="12" s="1"/>
  <c r="G111" i="12"/>
  <c r="H111" i="12"/>
  <c r="I111" i="12"/>
  <c r="J111" i="12"/>
  <c r="A112" i="12"/>
  <c r="B112" i="12"/>
  <c r="D112" i="12"/>
  <c r="E112" i="12"/>
  <c r="F112" i="12"/>
  <c r="G112" i="12"/>
  <c r="H112" i="12"/>
  <c r="I112" i="12"/>
  <c r="J112" i="12"/>
  <c r="A113" i="12"/>
  <c r="B113" i="12"/>
  <c r="D113" i="12"/>
  <c r="E113" i="12"/>
  <c r="F113" i="12"/>
  <c r="G113" i="12"/>
  <c r="H113" i="12"/>
  <c r="I113" i="12"/>
  <c r="J113" i="12"/>
  <c r="A114" i="12"/>
  <c r="B114" i="12"/>
  <c r="L114" i="12" s="1"/>
  <c r="D114" i="12"/>
  <c r="E114" i="12"/>
  <c r="F114" i="12"/>
  <c r="G114" i="12"/>
  <c r="H114" i="12"/>
  <c r="I114" i="12"/>
  <c r="J114" i="12"/>
  <c r="A115" i="12"/>
  <c r="B115" i="12"/>
  <c r="D115" i="12"/>
  <c r="E115" i="12"/>
  <c r="F115" i="12"/>
  <c r="G115" i="12"/>
  <c r="H115" i="12"/>
  <c r="I115" i="12"/>
  <c r="J115" i="12"/>
  <c r="T115" i="12" s="1"/>
  <c r="A116" i="12"/>
  <c r="B116" i="12"/>
  <c r="D116" i="12"/>
  <c r="E116" i="12"/>
  <c r="F116" i="12"/>
  <c r="G116" i="12"/>
  <c r="H116" i="12"/>
  <c r="I116" i="12"/>
  <c r="S116" i="12" s="1"/>
  <c r="J116" i="12"/>
  <c r="A117" i="12"/>
  <c r="B117" i="12"/>
  <c r="D117" i="12"/>
  <c r="E117" i="12"/>
  <c r="F117" i="12"/>
  <c r="G117" i="12"/>
  <c r="H117" i="12"/>
  <c r="R117" i="12" s="1"/>
  <c r="I117" i="12"/>
  <c r="J117" i="12"/>
  <c r="A118" i="12"/>
  <c r="B118" i="12"/>
  <c r="D118" i="12"/>
  <c r="E118" i="12"/>
  <c r="F118" i="12"/>
  <c r="G118" i="12"/>
  <c r="Q118" i="12" s="1"/>
  <c r="H118" i="12"/>
  <c r="I118" i="12"/>
  <c r="J118" i="12"/>
  <c r="A119" i="12"/>
  <c r="B119" i="12"/>
  <c r="D119" i="12"/>
  <c r="E119" i="12"/>
  <c r="F119" i="12"/>
  <c r="P119" i="12" s="1"/>
  <c r="G119" i="12"/>
  <c r="H119" i="12"/>
  <c r="I119" i="12"/>
  <c r="J119" i="12"/>
  <c r="A120" i="12"/>
  <c r="B120" i="12"/>
  <c r="D120" i="12"/>
  <c r="E120" i="12"/>
  <c r="F120" i="12"/>
  <c r="G120" i="12"/>
  <c r="H120" i="12"/>
  <c r="I120" i="12"/>
  <c r="J120" i="12"/>
  <c r="A121" i="12"/>
  <c r="B121" i="12"/>
  <c r="D121" i="12"/>
  <c r="E121" i="12"/>
  <c r="F121" i="12"/>
  <c r="G121" i="12"/>
  <c r="H121" i="12"/>
  <c r="I121" i="12"/>
  <c r="J121" i="12"/>
  <c r="A122" i="12"/>
  <c r="B122" i="12"/>
  <c r="L122" i="12" s="1"/>
  <c r="D122" i="12"/>
  <c r="E122" i="12"/>
  <c r="F122" i="12"/>
  <c r="G122" i="12"/>
  <c r="H122" i="12"/>
  <c r="I122" i="12"/>
  <c r="J122" i="12"/>
  <c r="A123" i="12"/>
  <c r="B123" i="12"/>
  <c r="D123" i="12"/>
  <c r="E123" i="12"/>
  <c r="F123" i="12"/>
  <c r="G123" i="12"/>
  <c r="H123" i="12"/>
  <c r="I123" i="12"/>
  <c r="J123" i="12"/>
  <c r="T123" i="12" s="1"/>
  <c r="A124" i="12"/>
  <c r="B124" i="12"/>
  <c r="D124" i="12"/>
  <c r="E124" i="12"/>
  <c r="F124" i="12"/>
  <c r="G124" i="12"/>
  <c r="H124" i="12"/>
  <c r="I124" i="12"/>
  <c r="S124" i="12" s="1"/>
  <c r="J124" i="12"/>
  <c r="A125" i="12"/>
  <c r="B125" i="12"/>
  <c r="D125" i="12"/>
  <c r="E125" i="12"/>
  <c r="F125" i="12"/>
  <c r="G125" i="12"/>
  <c r="H125" i="12"/>
  <c r="R125" i="12" s="1"/>
  <c r="I125" i="12"/>
  <c r="J125" i="12"/>
  <c r="A126" i="12"/>
  <c r="B126" i="12"/>
  <c r="D126" i="12"/>
  <c r="E126" i="12"/>
  <c r="F126" i="12"/>
  <c r="G126" i="12"/>
  <c r="Q126" i="12" s="1"/>
  <c r="H126" i="12"/>
  <c r="I126" i="12"/>
  <c r="J126" i="12"/>
  <c r="A127" i="12"/>
  <c r="B127" i="12"/>
  <c r="D127" i="12"/>
  <c r="E127" i="12"/>
  <c r="F127" i="12"/>
  <c r="P127" i="12" s="1"/>
  <c r="G127" i="12"/>
  <c r="H127" i="12"/>
  <c r="I127" i="12"/>
  <c r="J127" i="12"/>
  <c r="A128" i="12"/>
  <c r="B128" i="12"/>
  <c r="D128" i="12"/>
  <c r="E128" i="12"/>
  <c r="F128" i="12"/>
  <c r="G128" i="12"/>
  <c r="H128" i="12"/>
  <c r="I128" i="12"/>
  <c r="J128" i="12"/>
  <c r="A129" i="12"/>
  <c r="B129" i="12"/>
  <c r="D129" i="12"/>
  <c r="E129" i="12"/>
  <c r="F129" i="12"/>
  <c r="G129" i="12"/>
  <c r="H129" i="12"/>
  <c r="I129" i="12"/>
  <c r="J129" i="12"/>
  <c r="A130" i="12"/>
  <c r="B130" i="12"/>
  <c r="L130" i="12" s="1"/>
  <c r="D130" i="12"/>
  <c r="E130" i="12"/>
  <c r="F130" i="12"/>
  <c r="G130" i="12"/>
  <c r="H130" i="12"/>
  <c r="I130" i="12"/>
  <c r="J130" i="12"/>
  <c r="A131" i="12"/>
  <c r="B131" i="12"/>
  <c r="D131" i="12"/>
  <c r="E131" i="12"/>
  <c r="F131" i="12"/>
  <c r="G131" i="12"/>
  <c r="H131" i="12"/>
  <c r="I131" i="12"/>
  <c r="J131" i="12"/>
  <c r="T131" i="12" s="1"/>
  <c r="A132" i="12"/>
  <c r="B132" i="12"/>
  <c r="D132" i="12"/>
  <c r="E132" i="12"/>
  <c r="F132" i="12"/>
  <c r="G132" i="12"/>
  <c r="H132" i="12"/>
  <c r="I132" i="12"/>
  <c r="S132" i="12" s="1"/>
  <c r="J132" i="12"/>
  <c r="A133" i="12"/>
  <c r="B133" i="12"/>
  <c r="D133" i="12"/>
  <c r="E133" i="12"/>
  <c r="F133" i="12"/>
  <c r="G133" i="12"/>
  <c r="H133" i="12"/>
  <c r="R133" i="12" s="1"/>
  <c r="I133" i="12"/>
  <c r="J133" i="12"/>
  <c r="A134" i="12"/>
  <c r="B134" i="12"/>
  <c r="D134" i="12"/>
  <c r="E134" i="12"/>
  <c r="F134" i="12"/>
  <c r="G134" i="12"/>
  <c r="Q134" i="12" s="1"/>
  <c r="H134" i="12"/>
  <c r="I134" i="12"/>
  <c r="J134" i="12"/>
  <c r="A135" i="12"/>
  <c r="B135" i="12"/>
  <c r="D135" i="12"/>
  <c r="E135" i="12"/>
  <c r="F135" i="12"/>
  <c r="P135" i="12" s="1"/>
  <c r="G135" i="12"/>
  <c r="H135" i="12"/>
  <c r="I135" i="12"/>
  <c r="J135" i="12"/>
  <c r="A136" i="12"/>
  <c r="B136" i="12"/>
  <c r="D136" i="12"/>
  <c r="E136" i="12"/>
  <c r="F136" i="12"/>
  <c r="G136" i="12"/>
  <c r="H136" i="12"/>
  <c r="I136" i="12"/>
  <c r="J136" i="12"/>
  <c r="A137" i="12"/>
  <c r="B137" i="12"/>
  <c r="D137" i="12"/>
  <c r="E137" i="12"/>
  <c r="F137" i="12"/>
  <c r="G137" i="12"/>
  <c r="H137" i="12"/>
  <c r="I137" i="12"/>
  <c r="J137" i="12"/>
  <c r="A138" i="12"/>
  <c r="B138" i="12"/>
  <c r="L138" i="12" s="1"/>
  <c r="D138" i="12"/>
  <c r="E138" i="12"/>
  <c r="F138" i="12"/>
  <c r="G138" i="12"/>
  <c r="H138" i="12"/>
  <c r="I138" i="12"/>
  <c r="J138" i="12"/>
  <c r="A139" i="12"/>
  <c r="B139" i="12"/>
  <c r="D139" i="12"/>
  <c r="E139" i="12"/>
  <c r="F139" i="12"/>
  <c r="G139" i="12"/>
  <c r="H139" i="12"/>
  <c r="I139" i="12"/>
  <c r="J139" i="12"/>
  <c r="T139" i="12" s="1"/>
  <c r="A140" i="12"/>
  <c r="B140" i="12"/>
  <c r="D140" i="12"/>
  <c r="E140" i="12"/>
  <c r="F140" i="12"/>
  <c r="G140" i="12"/>
  <c r="H140" i="12"/>
  <c r="I140" i="12"/>
  <c r="S140" i="12" s="1"/>
  <c r="J140" i="12"/>
  <c r="A141" i="12"/>
  <c r="B141" i="12"/>
  <c r="D141" i="12"/>
  <c r="E141" i="12"/>
  <c r="F141" i="12"/>
  <c r="G141" i="12"/>
  <c r="H141" i="12"/>
  <c r="R141" i="12" s="1"/>
  <c r="I141" i="12"/>
  <c r="J141" i="12"/>
  <c r="A142" i="12"/>
  <c r="B142" i="12"/>
  <c r="D142" i="12"/>
  <c r="E142" i="12"/>
  <c r="F142" i="12"/>
  <c r="G142" i="12"/>
  <c r="Q142" i="12" s="1"/>
  <c r="H142" i="12"/>
  <c r="I142" i="12"/>
  <c r="J142" i="12"/>
  <c r="A143" i="12"/>
  <c r="B143" i="12"/>
  <c r="D143" i="12"/>
  <c r="E143" i="12"/>
  <c r="F143" i="12"/>
  <c r="P143" i="12" s="1"/>
  <c r="G143" i="12"/>
  <c r="H143" i="12"/>
  <c r="I143" i="12"/>
  <c r="J143" i="12"/>
  <c r="A144" i="12"/>
  <c r="B144" i="12"/>
  <c r="D144" i="12"/>
  <c r="E144" i="12"/>
  <c r="F144" i="12"/>
  <c r="G144" i="12"/>
  <c r="H144" i="12"/>
  <c r="I144" i="12"/>
  <c r="J144" i="12"/>
  <c r="A145" i="12"/>
  <c r="B145" i="12"/>
  <c r="D145" i="12"/>
  <c r="E145" i="12"/>
  <c r="F145" i="12"/>
  <c r="G145" i="12"/>
  <c r="H145" i="12"/>
  <c r="I145" i="12"/>
  <c r="J145" i="12"/>
  <c r="A146" i="12"/>
  <c r="B146" i="12"/>
  <c r="L146" i="12" s="1"/>
  <c r="D146" i="12"/>
  <c r="E146" i="12"/>
  <c r="F146" i="12"/>
  <c r="G146" i="12"/>
  <c r="H146" i="12"/>
  <c r="I146" i="12"/>
  <c r="J146" i="12"/>
  <c r="A147" i="12"/>
  <c r="B147" i="12"/>
  <c r="D147" i="12"/>
  <c r="E147" i="12"/>
  <c r="F147" i="12"/>
  <c r="G147" i="12"/>
  <c r="H147" i="12"/>
  <c r="I147" i="12"/>
  <c r="J147" i="12"/>
  <c r="T147" i="12" s="1"/>
  <c r="A148" i="12"/>
  <c r="B148" i="12"/>
  <c r="D148" i="12"/>
  <c r="E148" i="12"/>
  <c r="F148" i="12"/>
  <c r="G148" i="12"/>
  <c r="H148" i="12"/>
  <c r="I148" i="12"/>
  <c r="S148" i="12" s="1"/>
  <c r="J148" i="12"/>
  <c r="A149" i="12"/>
  <c r="B149" i="12"/>
  <c r="D149" i="12"/>
  <c r="E149" i="12"/>
  <c r="F149" i="12"/>
  <c r="G149" i="12"/>
  <c r="H149" i="12"/>
  <c r="R149" i="12" s="1"/>
  <c r="I149" i="12"/>
  <c r="J149" i="12"/>
  <c r="A150" i="12"/>
  <c r="B150" i="12"/>
  <c r="D150" i="12"/>
  <c r="E150" i="12"/>
  <c r="F150" i="12"/>
  <c r="G150" i="12"/>
  <c r="Q150" i="12" s="1"/>
  <c r="H150" i="12"/>
  <c r="I150" i="12"/>
  <c r="J150" i="12"/>
  <c r="A151" i="12"/>
  <c r="B151" i="12"/>
  <c r="D151" i="12"/>
  <c r="E151" i="12"/>
  <c r="F151" i="12"/>
  <c r="P151" i="12" s="1"/>
  <c r="G151" i="12"/>
  <c r="H151" i="12"/>
  <c r="I151" i="12"/>
  <c r="J151" i="12"/>
  <c r="A152" i="12"/>
  <c r="B152" i="12"/>
  <c r="D152" i="12"/>
  <c r="E152" i="12"/>
  <c r="F152" i="12"/>
  <c r="G152" i="12"/>
  <c r="H152" i="12"/>
  <c r="I152" i="12"/>
  <c r="J152" i="12"/>
  <c r="A153" i="12"/>
  <c r="B153" i="12"/>
  <c r="D153" i="12"/>
  <c r="E153" i="12"/>
  <c r="F153" i="12"/>
  <c r="G153" i="12"/>
  <c r="H153" i="12"/>
  <c r="I153" i="12"/>
  <c r="J153" i="12"/>
  <c r="A154" i="12"/>
  <c r="B154" i="12"/>
  <c r="L154" i="12" s="1"/>
  <c r="D154" i="12"/>
  <c r="E154" i="12"/>
  <c r="F154" i="12"/>
  <c r="G154" i="12"/>
  <c r="H154" i="12"/>
  <c r="I154" i="12"/>
  <c r="J154" i="12"/>
  <c r="A155" i="12"/>
  <c r="B155" i="12"/>
  <c r="D155" i="12"/>
  <c r="E155" i="12"/>
  <c r="F155" i="12"/>
  <c r="G155" i="12"/>
  <c r="H155" i="12"/>
  <c r="I155" i="12"/>
  <c r="J155" i="12"/>
  <c r="T155" i="12" s="1"/>
  <c r="A156" i="12"/>
  <c r="B156" i="12"/>
  <c r="D156" i="12"/>
  <c r="E156" i="12"/>
  <c r="F156" i="12"/>
  <c r="G156" i="12"/>
  <c r="H156" i="12"/>
  <c r="I156" i="12"/>
  <c r="S156" i="12" s="1"/>
  <c r="J156" i="12"/>
  <c r="A157" i="12"/>
  <c r="B157" i="12"/>
  <c r="D157" i="12"/>
  <c r="E157" i="12"/>
  <c r="F157" i="12"/>
  <c r="G157" i="12"/>
  <c r="H157" i="12"/>
  <c r="R157" i="12" s="1"/>
  <c r="I157" i="12"/>
  <c r="J157" i="12"/>
  <c r="A158" i="12"/>
  <c r="B158" i="12"/>
  <c r="D158" i="12"/>
  <c r="E158" i="12"/>
  <c r="F158" i="12"/>
  <c r="G158" i="12"/>
  <c r="Q158" i="12" s="1"/>
  <c r="H158" i="12"/>
  <c r="I158" i="12"/>
  <c r="J158" i="12"/>
  <c r="A159" i="12"/>
  <c r="B159" i="12"/>
  <c r="D159" i="12"/>
  <c r="E159" i="12"/>
  <c r="F159" i="12"/>
  <c r="P159" i="12" s="1"/>
  <c r="G159" i="12"/>
  <c r="H159" i="12"/>
  <c r="I159" i="12"/>
  <c r="J159" i="12"/>
  <c r="A160" i="12"/>
  <c r="B160" i="12"/>
  <c r="D160" i="12"/>
  <c r="E160" i="12"/>
  <c r="F160" i="12"/>
  <c r="G160" i="12"/>
  <c r="H160" i="12"/>
  <c r="I160" i="12"/>
  <c r="J160" i="12"/>
  <c r="A161" i="12"/>
  <c r="B161" i="12"/>
  <c r="D161" i="12"/>
  <c r="E161" i="12"/>
  <c r="F161" i="12"/>
  <c r="G161" i="12"/>
  <c r="H161" i="12"/>
  <c r="I161" i="12"/>
  <c r="J161" i="12"/>
  <c r="A162" i="12"/>
  <c r="B162" i="12"/>
  <c r="L162" i="12" s="1"/>
  <c r="D162" i="12"/>
  <c r="E162" i="12"/>
  <c r="F162" i="12"/>
  <c r="G162" i="12"/>
  <c r="H162" i="12"/>
  <c r="I162" i="12"/>
  <c r="J162" i="12"/>
  <c r="A163" i="12"/>
  <c r="B163" i="12"/>
  <c r="D163" i="12"/>
  <c r="E163" i="12"/>
  <c r="F163" i="12"/>
  <c r="G163" i="12"/>
  <c r="H163" i="12"/>
  <c r="I163" i="12"/>
  <c r="J163" i="12"/>
  <c r="T163" i="12" s="1"/>
  <c r="A164" i="12"/>
  <c r="B164" i="12"/>
  <c r="D164" i="12"/>
  <c r="E164" i="12"/>
  <c r="F164" i="12"/>
  <c r="G164" i="12"/>
  <c r="H164" i="12"/>
  <c r="I164" i="12"/>
  <c r="S164" i="12" s="1"/>
  <c r="J164" i="12"/>
  <c r="A165" i="12"/>
  <c r="B165" i="12"/>
  <c r="D165" i="12"/>
  <c r="E165" i="12"/>
  <c r="F165" i="12"/>
  <c r="G165" i="12"/>
  <c r="H165" i="12"/>
  <c r="R165" i="12" s="1"/>
  <c r="I165" i="12"/>
  <c r="J165" i="12"/>
  <c r="A166" i="12"/>
  <c r="B166" i="12"/>
  <c r="D166" i="12"/>
  <c r="E166" i="12"/>
  <c r="F166" i="12"/>
  <c r="G166" i="12"/>
  <c r="Q166" i="12" s="1"/>
  <c r="H166" i="12"/>
  <c r="I166" i="12"/>
  <c r="J166" i="12"/>
  <c r="A167" i="12"/>
  <c r="B167" i="12"/>
  <c r="D167" i="12"/>
  <c r="E167" i="12"/>
  <c r="F167" i="12"/>
  <c r="P167" i="12" s="1"/>
  <c r="G167" i="12"/>
  <c r="H167" i="12"/>
  <c r="I167" i="12"/>
  <c r="J167" i="12"/>
  <c r="A168" i="12"/>
  <c r="B168" i="12"/>
  <c r="D168" i="12"/>
  <c r="E168" i="12"/>
  <c r="F168" i="12"/>
  <c r="G168" i="12"/>
  <c r="H168" i="12"/>
  <c r="I168" i="12"/>
  <c r="J168" i="12"/>
  <c r="A169" i="12"/>
  <c r="B169" i="12"/>
  <c r="D169" i="12"/>
  <c r="E169" i="12"/>
  <c r="F169" i="12"/>
  <c r="G169" i="12"/>
  <c r="H169" i="12"/>
  <c r="I169" i="12"/>
  <c r="J169" i="12"/>
  <c r="A170" i="12"/>
  <c r="B170" i="12"/>
  <c r="L170" i="12" s="1"/>
  <c r="D170" i="12"/>
  <c r="E170" i="12"/>
  <c r="F170" i="12"/>
  <c r="G170" i="12"/>
  <c r="H170" i="12"/>
  <c r="I170" i="12"/>
  <c r="J170" i="12"/>
  <c r="A171" i="12"/>
  <c r="B171" i="12"/>
  <c r="D171" i="12"/>
  <c r="E171" i="12"/>
  <c r="F171" i="12"/>
  <c r="G171" i="12"/>
  <c r="H171" i="12"/>
  <c r="I171" i="12"/>
  <c r="J171" i="12"/>
  <c r="T171" i="12" s="1"/>
  <c r="A172" i="12"/>
  <c r="B172" i="12"/>
  <c r="D172" i="12"/>
  <c r="E172" i="12"/>
  <c r="F172" i="12"/>
  <c r="G172" i="12"/>
  <c r="H172" i="12"/>
  <c r="I172" i="12"/>
  <c r="S172" i="12" s="1"/>
  <c r="J172" i="12"/>
  <c r="A173" i="12"/>
  <c r="B173" i="12"/>
  <c r="D173" i="12"/>
  <c r="E173" i="12"/>
  <c r="F173" i="12"/>
  <c r="G173" i="12"/>
  <c r="H173" i="12"/>
  <c r="R173" i="12" s="1"/>
  <c r="I173" i="12"/>
  <c r="J173" i="12"/>
  <c r="A174" i="12"/>
  <c r="B174" i="12"/>
  <c r="D174" i="12"/>
  <c r="E174" i="12"/>
  <c r="F174" i="12"/>
  <c r="G174" i="12"/>
  <c r="Q174" i="12" s="1"/>
  <c r="H174" i="12"/>
  <c r="I174" i="12"/>
  <c r="J174" i="12"/>
  <c r="A175" i="12"/>
  <c r="B175" i="12"/>
  <c r="D175" i="12"/>
  <c r="E175" i="12"/>
  <c r="F175" i="12"/>
  <c r="P175" i="12" s="1"/>
  <c r="G175" i="12"/>
  <c r="H175" i="12"/>
  <c r="I175" i="12"/>
  <c r="J175" i="12"/>
  <c r="A176" i="12"/>
  <c r="B176" i="12"/>
  <c r="D176" i="12"/>
  <c r="E176" i="12"/>
  <c r="F176" i="12"/>
  <c r="G176" i="12"/>
  <c r="H176" i="12"/>
  <c r="I176" i="12"/>
  <c r="J176" i="12"/>
  <c r="A177" i="12"/>
  <c r="B177" i="12"/>
  <c r="D177" i="12"/>
  <c r="E177" i="12"/>
  <c r="F177" i="12"/>
  <c r="G177" i="12"/>
  <c r="H177" i="12"/>
  <c r="I177" i="12"/>
  <c r="J177" i="12"/>
  <c r="A178" i="12"/>
  <c r="B178" i="12"/>
  <c r="L178" i="12" s="1"/>
  <c r="D178" i="12"/>
  <c r="E178" i="12"/>
  <c r="F178" i="12"/>
  <c r="G178" i="12"/>
  <c r="H178" i="12"/>
  <c r="I178" i="12"/>
  <c r="J178" i="12"/>
  <c r="A179" i="12"/>
  <c r="B179" i="12"/>
  <c r="D179" i="12"/>
  <c r="E179" i="12"/>
  <c r="F179" i="12"/>
  <c r="G179" i="12"/>
  <c r="H179" i="12"/>
  <c r="I179" i="12"/>
  <c r="J179" i="12"/>
  <c r="T179" i="12" s="1"/>
  <c r="A180" i="12"/>
  <c r="B180" i="12"/>
  <c r="D180" i="12"/>
  <c r="E180" i="12"/>
  <c r="F180" i="12"/>
  <c r="G180" i="12"/>
  <c r="H180" i="12"/>
  <c r="I180" i="12"/>
  <c r="S180" i="12" s="1"/>
  <c r="J180" i="12"/>
  <c r="A181" i="12"/>
  <c r="B181" i="12"/>
  <c r="D181" i="12"/>
  <c r="E181" i="12"/>
  <c r="F181" i="12"/>
  <c r="G181" i="12"/>
  <c r="H181" i="12"/>
  <c r="R181" i="12" s="1"/>
  <c r="I181" i="12"/>
  <c r="J181" i="12"/>
  <c r="A182" i="12"/>
  <c r="B182" i="12"/>
  <c r="D182" i="12"/>
  <c r="E182" i="12"/>
  <c r="F182" i="12"/>
  <c r="G182" i="12"/>
  <c r="Q182" i="12" s="1"/>
  <c r="H182" i="12"/>
  <c r="I182" i="12"/>
  <c r="J182" i="12"/>
  <c r="A183" i="12"/>
  <c r="B183" i="12"/>
  <c r="D183" i="12"/>
  <c r="E183" i="12"/>
  <c r="F183" i="12"/>
  <c r="P183" i="12" s="1"/>
  <c r="G183" i="12"/>
  <c r="H183" i="12"/>
  <c r="I183" i="12"/>
  <c r="J183" i="12"/>
  <c r="A184" i="12"/>
  <c r="B184" i="12"/>
  <c r="D184" i="12"/>
  <c r="E184" i="12"/>
  <c r="F184" i="12"/>
  <c r="G184" i="12"/>
  <c r="H184" i="12"/>
  <c r="I184" i="12"/>
  <c r="J184" i="12"/>
  <c r="A185" i="12"/>
  <c r="B185" i="12"/>
  <c r="D185" i="12"/>
  <c r="E185" i="12"/>
  <c r="F185" i="12"/>
  <c r="G185" i="12"/>
  <c r="H185" i="12"/>
  <c r="I185" i="12"/>
  <c r="J185" i="12"/>
  <c r="A186" i="12"/>
  <c r="B186" i="12"/>
  <c r="L186" i="12" s="1"/>
  <c r="D186" i="12"/>
  <c r="E186" i="12"/>
  <c r="F186" i="12"/>
  <c r="G186" i="12"/>
  <c r="H186" i="12"/>
  <c r="I186" i="12"/>
  <c r="J186" i="12"/>
  <c r="A187" i="12"/>
  <c r="B187" i="12"/>
  <c r="D187" i="12"/>
  <c r="E187" i="12"/>
  <c r="F187" i="12"/>
  <c r="G187" i="12"/>
  <c r="H187" i="12"/>
  <c r="I187" i="12"/>
  <c r="J187" i="12"/>
  <c r="T187" i="12" s="1"/>
  <c r="A188" i="12"/>
  <c r="B188" i="12"/>
  <c r="D188" i="12"/>
  <c r="E188" i="12"/>
  <c r="F188" i="12"/>
  <c r="G188" i="12"/>
  <c r="H188" i="12"/>
  <c r="I188" i="12"/>
  <c r="S188" i="12" s="1"/>
  <c r="J188" i="12"/>
  <c r="A189" i="12"/>
  <c r="B189" i="12"/>
  <c r="D189" i="12"/>
  <c r="E189" i="12"/>
  <c r="F189" i="12"/>
  <c r="G189" i="12"/>
  <c r="H189" i="12"/>
  <c r="R189" i="12" s="1"/>
  <c r="I189" i="12"/>
  <c r="J189" i="12"/>
  <c r="A190" i="12"/>
  <c r="B190" i="12"/>
  <c r="D190" i="12"/>
  <c r="E190" i="12"/>
  <c r="F190" i="12"/>
  <c r="G190" i="12"/>
  <c r="Q190" i="12" s="1"/>
  <c r="H190" i="12"/>
  <c r="I190" i="12"/>
  <c r="J190" i="12"/>
  <c r="A191" i="12"/>
  <c r="B191" i="12"/>
  <c r="D191" i="12"/>
  <c r="E191" i="12"/>
  <c r="F191" i="12"/>
  <c r="P191" i="12" s="1"/>
  <c r="G191" i="12"/>
  <c r="H191" i="12"/>
  <c r="I191" i="12"/>
  <c r="J191" i="12"/>
  <c r="A192" i="12"/>
  <c r="B192" i="12"/>
  <c r="D192" i="12"/>
  <c r="E192" i="12"/>
  <c r="F192" i="12"/>
  <c r="G192" i="12"/>
  <c r="H192" i="12"/>
  <c r="I192" i="12"/>
  <c r="J192" i="12"/>
  <c r="A193" i="12"/>
  <c r="B193" i="12"/>
  <c r="D193" i="12"/>
  <c r="E193" i="12"/>
  <c r="F193" i="12"/>
  <c r="G193" i="12"/>
  <c r="H193" i="12"/>
  <c r="I193" i="12"/>
  <c r="J193" i="12"/>
  <c r="A194" i="12"/>
  <c r="B194" i="12"/>
  <c r="L194" i="12" s="1"/>
  <c r="D194" i="12"/>
  <c r="E194" i="12"/>
  <c r="F194" i="12"/>
  <c r="G194" i="12"/>
  <c r="H194" i="12"/>
  <c r="I194" i="12"/>
  <c r="J194" i="12"/>
  <c r="A195" i="12"/>
  <c r="B195" i="12"/>
  <c r="D195" i="12"/>
  <c r="E195" i="12"/>
  <c r="F195" i="12"/>
  <c r="G195" i="12"/>
  <c r="H195" i="12"/>
  <c r="I195" i="12"/>
  <c r="J195" i="12"/>
  <c r="T195" i="12" s="1"/>
  <c r="A196" i="12"/>
  <c r="B196" i="12"/>
  <c r="D196" i="12"/>
  <c r="E196" i="12"/>
  <c r="F196" i="12"/>
  <c r="G196" i="12"/>
  <c r="H196" i="12"/>
  <c r="I196" i="12"/>
  <c r="S196" i="12" s="1"/>
  <c r="J196" i="12"/>
  <c r="A197" i="12"/>
  <c r="B197" i="12"/>
  <c r="D197" i="12"/>
  <c r="E197" i="12"/>
  <c r="F197" i="12"/>
  <c r="G197" i="12"/>
  <c r="H197" i="12"/>
  <c r="R197" i="12" s="1"/>
  <c r="I197" i="12"/>
  <c r="J197" i="12"/>
  <c r="A198" i="12"/>
  <c r="B198" i="12"/>
  <c r="D198" i="12"/>
  <c r="E198" i="12"/>
  <c r="F198" i="12"/>
  <c r="G198" i="12"/>
  <c r="Q198" i="12" s="1"/>
  <c r="H198" i="12"/>
  <c r="I198" i="12"/>
  <c r="J198" i="12"/>
  <c r="A199" i="12"/>
  <c r="B199" i="12"/>
  <c r="D199" i="12"/>
  <c r="E199" i="12"/>
  <c r="F199" i="12"/>
  <c r="P199" i="12" s="1"/>
  <c r="G199" i="12"/>
  <c r="H199" i="12"/>
  <c r="I199" i="12"/>
  <c r="J199" i="12"/>
  <c r="A200" i="12"/>
  <c r="B200" i="12"/>
  <c r="D200" i="12"/>
  <c r="E200" i="12"/>
  <c r="F200" i="12"/>
  <c r="G200" i="12"/>
  <c r="H200" i="12"/>
  <c r="I200" i="12"/>
  <c r="J200" i="12"/>
  <c r="A201" i="12"/>
  <c r="B201" i="12"/>
  <c r="D201" i="12"/>
  <c r="E201" i="12"/>
  <c r="F201" i="12"/>
  <c r="G201" i="12"/>
  <c r="H201" i="12"/>
  <c r="I201" i="12"/>
  <c r="J201" i="12"/>
  <c r="A202" i="12"/>
  <c r="B202" i="12"/>
  <c r="L202" i="12" s="1"/>
  <c r="D202" i="12"/>
  <c r="E202" i="12"/>
  <c r="F202" i="12"/>
  <c r="G202" i="12"/>
  <c r="H202" i="12"/>
  <c r="I202" i="12"/>
  <c r="J202" i="12"/>
  <c r="A203" i="12"/>
  <c r="B203" i="12"/>
  <c r="D203" i="12"/>
  <c r="E203" i="12"/>
  <c r="F203" i="12"/>
  <c r="G203" i="12"/>
  <c r="H203" i="12"/>
  <c r="I203" i="12"/>
  <c r="J203" i="12"/>
  <c r="T203" i="12" s="1"/>
  <c r="A204" i="12"/>
  <c r="B204" i="12"/>
  <c r="D204" i="12"/>
  <c r="E204" i="12"/>
  <c r="F204" i="12"/>
  <c r="G204" i="12"/>
  <c r="H204" i="12"/>
  <c r="I204" i="12"/>
  <c r="S204" i="12" s="1"/>
  <c r="J204" i="12"/>
  <c r="A205" i="12"/>
  <c r="B205" i="12"/>
  <c r="D205" i="12"/>
  <c r="E205" i="12"/>
  <c r="F205" i="12"/>
  <c r="G205" i="12"/>
  <c r="H205" i="12"/>
  <c r="R205" i="12" s="1"/>
  <c r="I205" i="12"/>
  <c r="J205" i="12"/>
  <c r="A206" i="12"/>
  <c r="B206" i="12"/>
  <c r="D206" i="12"/>
  <c r="E206" i="12"/>
  <c r="F206" i="12"/>
  <c r="G206" i="12"/>
  <c r="Q206" i="12" s="1"/>
  <c r="H206" i="12"/>
  <c r="I206" i="12"/>
  <c r="J206" i="12"/>
  <c r="A207" i="12"/>
  <c r="B207" i="12"/>
  <c r="D207" i="12"/>
  <c r="E207" i="12"/>
  <c r="F207" i="12"/>
  <c r="P207" i="12" s="1"/>
  <c r="G207" i="12"/>
  <c r="H207" i="12"/>
  <c r="I207" i="12"/>
  <c r="J207" i="12"/>
  <c r="A208" i="12"/>
  <c r="B208" i="12"/>
  <c r="D208" i="12"/>
  <c r="E208" i="12"/>
  <c r="F208" i="12"/>
  <c r="G208" i="12"/>
  <c r="H208" i="12"/>
  <c r="I208" i="12"/>
  <c r="J208" i="12"/>
  <c r="A209" i="12"/>
  <c r="B209" i="12"/>
  <c r="D209" i="12"/>
  <c r="E209" i="12"/>
  <c r="F209" i="12"/>
  <c r="G209" i="12"/>
  <c r="H209" i="12"/>
  <c r="I209" i="12"/>
  <c r="J209" i="12"/>
  <c r="A210" i="12"/>
  <c r="B210" i="12"/>
  <c r="L210" i="12" s="1"/>
  <c r="D210" i="12"/>
  <c r="E210" i="12"/>
  <c r="F210" i="12"/>
  <c r="G210" i="12"/>
  <c r="H210" i="12"/>
  <c r="I210" i="12"/>
  <c r="J210" i="12"/>
  <c r="A211" i="12"/>
  <c r="B211" i="12"/>
  <c r="D211" i="12"/>
  <c r="E211" i="12"/>
  <c r="F211" i="12"/>
  <c r="G211" i="12"/>
  <c r="H211" i="12"/>
  <c r="I211" i="12"/>
  <c r="J211" i="12"/>
  <c r="T211" i="12" s="1"/>
  <c r="A212" i="12"/>
  <c r="B212" i="12"/>
  <c r="D212" i="12"/>
  <c r="E212" i="12"/>
  <c r="F212" i="12"/>
  <c r="G212" i="12"/>
  <c r="H212" i="12"/>
  <c r="I212" i="12"/>
  <c r="S212" i="12" s="1"/>
  <c r="J212" i="12"/>
  <c r="A213" i="12"/>
  <c r="B213" i="12"/>
  <c r="D213" i="12"/>
  <c r="E213" i="12"/>
  <c r="F213" i="12"/>
  <c r="G213" i="12"/>
  <c r="H213" i="12"/>
  <c r="R213" i="12" s="1"/>
  <c r="I213" i="12"/>
  <c r="J213" i="12"/>
  <c r="A214" i="12"/>
  <c r="B214" i="12"/>
  <c r="D214" i="12"/>
  <c r="E214" i="12"/>
  <c r="F214" i="12"/>
  <c r="G214" i="12"/>
  <c r="Q214" i="12" s="1"/>
  <c r="H214" i="12"/>
  <c r="I214" i="12"/>
  <c r="J214" i="12"/>
  <c r="A215" i="12"/>
  <c r="B215" i="12"/>
  <c r="D215" i="12"/>
  <c r="E215" i="12"/>
  <c r="F215" i="12"/>
  <c r="P215" i="12" s="1"/>
  <c r="G215" i="12"/>
  <c r="H215" i="12"/>
  <c r="I215" i="12"/>
  <c r="J215" i="12"/>
  <c r="A216" i="12"/>
  <c r="B216" i="12"/>
  <c r="D216" i="12"/>
  <c r="E216" i="12"/>
  <c r="F216" i="12"/>
  <c r="G216" i="12"/>
  <c r="H216" i="12"/>
  <c r="I216" i="12"/>
  <c r="J216" i="12"/>
  <c r="A217" i="12"/>
  <c r="B217" i="12"/>
  <c r="D217" i="12"/>
  <c r="E217" i="12"/>
  <c r="F217" i="12"/>
  <c r="G217" i="12"/>
  <c r="H217" i="12"/>
  <c r="I217" i="12"/>
  <c r="J217" i="12"/>
  <c r="A218" i="12"/>
  <c r="B218" i="12"/>
  <c r="L218" i="12" s="1"/>
  <c r="D218" i="12"/>
  <c r="E218" i="12"/>
  <c r="F218" i="12"/>
  <c r="G218" i="12"/>
  <c r="H218" i="12"/>
  <c r="I218" i="12"/>
  <c r="J218" i="12"/>
  <c r="A219" i="12"/>
  <c r="B219" i="12"/>
  <c r="D219" i="12"/>
  <c r="E219" i="12"/>
  <c r="F219" i="12"/>
  <c r="G219" i="12"/>
  <c r="H219" i="12"/>
  <c r="I219" i="12"/>
  <c r="J219" i="12"/>
  <c r="T219" i="12" s="1"/>
  <c r="A220" i="12"/>
  <c r="B220" i="12"/>
  <c r="D220" i="12"/>
  <c r="E220" i="12"/>
  <c r="F220" i="12"/>
  <c r="G220" i="12"/>
  <c r="H220" i="12"/>
  <c r="I220" i="12"/>
  <c r="S220" i="12" s="1"/>
  <c r="J220" i="12"/>
  <c r="A221" i="12"/>
  <c r="B221" i="12"/>
  <c r="D221" i="12"/>
  <c r="E221" i="12"/>
  <c r="F221" i="12"/>
  <c r="G221" i="12"/>
  <c r="H221" i="12"/>
  <c r="R221" i="12" s="1"/>
  <c r="I221" i="12"/>
  <c r="J221" i="12"/>
  <c r="A222" i="12"/>
  <c r="B222" i="12"/>
  <c r="D222" i="12"/>
  <c r="E222" i="12"/>
  <c r="F222" i="12"/>
  <c r="G222" i="12"/>
  <c r="Q222" i="12" s="1"/>
  <c r="H222" i="12"/>
  <c r="I222" i="12"/>
  <c r="J222" i="12"/>
  <c r="A223" i="12"/>
  <c r="B223" i="12"/>
  <c r="D223" i="12"/>
  <c r="E223" i="12"/>
  <c r="F223" i="12"/>
  <c r="P223" i="12" s="1"/>
  <c r="G223" i="12"/>
  <c r="H223" i="12"/>
  <c r="I223" i="12"/>
  <c r="J223" i="12"/>
  <c r="A224" i="12"/>
  <c r="B224" i="12"/>
  <c r="D224" i="12"/>
  <c r="E224" i="12"/>
  <c r="F224" i="12"/>
  <c r="G224" i="12"/>
  <c r="H224" i="12"/>
  <c r="I224" i="12"/>
  <c r="J224" i="12"/>
  <c r="A225" i="12"/>
  <c r="B225" i="12"/>
  <c r="D225" i="12"/>
  <c r="E225" i="12"/>
  <c r="F225" i="12"/>
  <c r="G225" i="12"/>
  <c r="H225" i="12"/>
  <c r="I225" i="12"/>
  <c r="J225" i="12"/>
  <c r="A226" i="12"/>
  <c r="B226" i="12"/>
  <c r="L226" i="12" s="1"/>
  <c r="D226" i="12"/>
  <c r="E226" i="12"/>
  <c r="F226" i="12"/>
  <c r="G226" i="12"/>
  <c r="H226" i="12"/>
  <c r="I226" i="12"/>
  <c r="J226" i="12"/>
  <c r="A227" i="12"/>
  <c r="B227" i="12"/>
  <c r="D227" i="12"/>
  <c r="E227" i="12"/>
  <c r="F227" i="12"/>
  <c r="G227" i="12"/>
  <c r="H227" i="12"/>
  <c r="I227" i="12"/>
  <c r="J227" i="12"/>
  <c r="T227" i="12" s="1"/>
  <c r="A228" i="12"/>
  <c r="B228" i="12"/>
  <c r="D228" i="12"/>
  <c r="E228" i="12"/>
  <c r="F228" i="12"/>
  <c r="G228" i="12"/>
  <c r="H228" i="12"/>
  <c r="I228" i="12"/>
  <c r="S228" i="12" s="1"/>
  <c r="J228" i="12"/>
  <c r="A229" i="12"/>
  <c r="B229" i="12"/>
  <c r="D229" i="12"/>
  <c r="E229" i="12"/>
  <c r="F229" i="12"/>
  <c r="G229" i="12"/>
  <c r="H229" i="12"/>
  <c r="R229" i="12" s="1"/>
  <c r="I229" i="12"/>
  <c r="J229" i="12"/>
  <c r="A230" i="12"/>
  <c r="B230" i="12"/>
  <c r="D230" i="12"/>
  <c r="E230" i="12"/>
  <c r="F230" i="12"/>
  <c r="G230" i="12"/>
  <c r="Q230" i="12" s="1"/>
  <c r="H230" i="12"/>
  <c r="I230" i="12"/>
  <c r="J230" i="12"/>
  <c r="A231" i="12"/>
  <c r="B231" i="12"/>
  <c r="D231" i="12"/>
  <c r="E231" i="12"/>
  <c r="F231" i="12"/>
  <c r="P231" i="12" s="1"/>
  <c r="G231" i="12"/>
  <c r="H231" i="12"/>
  <c r="I231" i="12"/>
  <c r="J231" i="12"/>
  <c r="A232" i="12"/>
  <c r="B232" i="12"/>
  <c r="D232" i="12"/>
  <c r="E232" i="12"/>
  <c r="F232" i="12"/>
  <c r="G232" i="12"/>
  <c r="H232" i="12"/>
  <c r="I232" i="12"/>
  <c r="J232" i="12"/>
  <c r="A233" i="12"/>
  <c r="B233" i="12"/>
  <c r="D233" i="12"/>
  <c r="E233" i="12"/>
  <c r="F233" i="12"/>
  <c r="G233" i="12"/>
  <c r="H233" i="12"/>
  <c r="I233" i="12"/>
  <c r="J233" i="12"/>
  <c r="A234" i="12"/>
  <c r="B234" i="12"/>
  <c r="L234" i="12" s="1"/>
  <c r="D234" i="12"/>
  <c r="E234" i="12"/>
  <c r="F234" i="12"/>
  <c r="G234" i="12"/>
  <c r="H234" i="12"/>
  <c r="I234" i="12"/>
  <c r="J234" i="12"/>
  <c r="A235" i="12"/>
  <c r="B235" i="12"/>
  <c r="D235" i="12"/>
  <c r="E235" i="12"/>
  <c r="F235" i="12"/>
  <c r="G235" i="12"/>
  <c r="H235" i="12"/>
  <c r="I235" i="12"/>
  <c r="J235" i="12"/>
  <c r="T235" i="12" s="1"/>
  <c r="A236" i="12"/>
  <c r="B236" i="12"/>
  <c r="D236" i="12"/>
  <c r="E236" i="12"/>
  <c r="F236" i="12"/>
  <c r="G236" i="12"/>
  <c r="H236" i="12"/>
  <c r="I236" i="12"/>
  <c r="S236" i="12" s="1"/>
  <c r="J236" i="12"/>
  <c r="A237" i="12"/>
  <c r="B237" i="12"/>
  <c r="D237" i="12"/>
  <c r="E237" i="12"/>
  <c r="F237" i="12"/>
  <c r="G237" i="12"/>
  <c r="H237" i="12"/>
  <c r="R237" i="12" s="1"/>
  <c r="I237" i="12"/>
  <c r="J237" i="12"/>
  <c r="A238" i="12"/>
  <c r="B238" i="12"/>
  <c r="D238" i="12"/>
  <c r="E238" i="12"/>
  <c r="F238" i="12"/>
  <c r="G238" i="12"/>
  <c r="Q238" i="12" s="1"/>
  <c r="H238" i="12"/>
  <c r="I238" i="12"/>
  <c r="J238" i="12"/>
  <c r="A239" i="12"/>
  <c r="B239" i="12"/>
  <c r="D239" i="12"/>
  <c r="E239" i="12"/>
  <c r="F239" i="12"/>
  <c r="P239" i="12" s="1"/>
  <c r="G239" i="12"/>
  <c r="H239" i="12"/>
  <c r="I239" i="12"/>
  <c r="J239" i="12"/>
  <c r="A240" i="12"/>
  <c r="B240" i="12"/>
  <c r="D240" i="12"/>
  <c r="E240" i="12"/>
  <c r="F240" i="12"/>
  <c r="G240" i="12"/>
  <c r="H240" i="12"/>
  <c r="I240" i="12"/>
  <c r="J240" i="12"/>
  <c r="A241" i="12"/>
  <c r="B241" i="12"/>
  <c r="D241" i="12"/>
  <c r="E241" i="12"/>
  <c r="F241" i="12"/>
  <c r="G241" i="12"/>
  <c r="H241" i="12"/>
  <c r="I241" i="12"/>
  <c r="J241" i="12"/>
  <c r="A242" i="12"/>
  <c r="B242" i="12"/>
  <c r="L242" i="12" s="1"/>
  <c r="D242" i="12"/>
  <c r="E242" i="12"/>
  <c r="F242" i="12"/>
  <c r="G242" i="12"/>
  <c r="H242" i="12"/>
  <c r="I242" i="12"/>
  <c r="J242" i="12"/>
  <c r="A243" i="12"/>
  <c r="B243" i="12"/>
  <c r="D243" i="12"/>
  <c r="E243" i="12"/>
  <c r="F243" i="12"/>
  <c r="G243" i="12"/>
  <c r="H243" i="12"/>
  <c r="I243" i="12"/>
  <c r="J243" i="12"/>
  <c r="T243" i="12" s="1"/>
  <c r="A244" i="12"/>
  <c r="B244" i="12"/>
  <c r="D244" i="12"/>
  <c r="E244" i="12"/>
  <c r="F244" i="12"/>
  <c r="G244" i="12"/>
  <c r="H244" i="12"/>
  <c r="I244" i="12"/>
  <c r="S244" i="12" s="1"/>
  <c r="J244" i="12"/>
  <c r="A245" i="12"/>
  <c r="B245" i="12"/>
  <c r="D245" i="12"/>
  <c r="E245" i="12"/>
  <c r="F245" i="12"/>
  <c r="G245" i="12"/>
  <c r="H245" i="12"/>
  <c r="R245" i="12" s="1"/>
  <c r="I245" i="12"/>
  <c r="J245" i="12"/>
  <c r="A246" i="12"/>
  <c r="B246" i="12"/>
  <c r="D246" i="12"/>
  <c r="E246" i="12"/>
  <c r="F246" i="12"/>
  <c r="G246" i="12"/>
  <c r="Q246" i="12" s="1"/>
  <c r="H246" i="12"/>
  <c r="I246" i="12"/>
  <c r="J246" i="12"/>
  <c r="A247" i="12"/>
  <c r="B247" i="12"/>
  <c r="D247" i="12"/>
  <c r="E247" i="12"/>
  <c r="F247" i="12"/>
  <c r="P247" i="12" s="1"/>
  <c r="G247" i="12"/>
  <c r="H247" i="12"/>
  <c r="I247" i="12"/>
  <c r="J247" i="12"/>
  <c r="A248" i="12"/>
  <c r="B248" i="12"/>
  <c r="D248" i="12"/>
  <c r="E248" i="12"/>
  <c r="F248" i="12"/>
  <c r="G248" i="12"/>
  <c r="H248" i="12"/>
  <c r="I248" i="12"/>
  <c r="J248" i="12"/>
  <c r="A249" i="12"/>
  <c r="B249" i="12"/>
  <c r="D249" i="12"/>
  <c r="E249" i="12"/>
  <c r="F249" i="12"/>
  <c r="G249" i="12"/>
  <c r="H249" i="12"/>
  <c r="I249" i="12"/>
  <c r="J249" i="12"/>
  <c r="A250" i="12"/>
  <c r="B250" i="12"/>
  <c r="L250" i="12" s="1"/>
  <c r="D250" i="12"/>
  <c r="E250" i="12"/>
  <c r="F250" i="12"/>
  <c r="G250" i="12"/>
  <c r="H250" i="12"/>
  <c r="I250" i="12"/>
  <c r="J250" i="12"/>
  <c r="A251" i="12"/>
  <c r="B251" i="12"/>
  <c r="D251" i="12"/>
  <c r="E251" i="12"/>
  <c r="F251" i="12"/>
  <c r="G251" i="12"/>
  <c r="H251" i="12"/>
  <c r="I251" i="12"/>
  <c r="J251" i="12"/>
  <c r="T251" i="12" s="1"/>
  <c r="A252" i="12"/>
  <c r="B252" i="12"/>
  <c r="D252" i="12"/>
  <c r="E252" i="12"/>
  <c r="F252" i="12"/>
  <c r="G252" i="12"/>
  <c r="H252" i="12"/>
  <c r="I252" i="12"/>
  <c r="S252" i="12" s="1"/>
  <c r="J252" i="12"/>
  <c r="A253" i="12"/>
  <c r="B253" i="12"/>
  <c r="D253" i="12"/>
  <c r="E253" i="12"/>
  <c r="F253" i="12"/>
  <c r="G253" i="12"/>
  <c r="H253" i="12"/>
  <c r="R253" i="12" s="1"/>
  <c r="I253" i="12"/>
  <c r="J253" i="12"/>
  <c r="A254" i="12"/>
  <c r="B254" i="12"/>
  <c r="D254" i="12"/>
  <c r="E254" i="12"/>
  <c r="F254" i="12"/>
  <c r="G254" i="12"/>
  <c r="Q254" i="12" s="1"/>
  <c r="H254" i="12"/>
  <c r="I254" i="12"/>
  <c r="J254" i="12"/>
  <c r="A255" i="12"/>
  <c r="B255" i="12"/>
  <c r="D255" i="12"/>
  <c r="E255" i="12"/>
  <c r="F255" i="12"/>
  <c r="P255" i="12" s="1"/>
  <c r="G255" i="12"/>
  <c r="H255" i="12"/>
  <c r="I255" i="12"/>
  <c r="J255" i="12"/>
  <c r="A256" i="12"/>
  <c r="B256" i="12"/>
  <c r="D256" i="12"/>
  <c r="E256" i="12"/>
  <c r="O256" i="12" s="1"/>
  <c r="F256" i="12"/>
  <c r="G256" i="12"/>
  <c r="H256" i="12"/>
  <c r="I256" i="12"/>
  <c r="J256" i="12"/>
  <c r="A257" i="12"/>
  <c r="B257" i="12"/>
  <c r="D257" i="12"/>
  <c r="E257" i="12"/>
  <c r="F257" i="12"/>
  <c r="G257" i="12"/>
  <c r="H257" i="12"/>
  <c r="I257" i="12"/>
  <c r="J257" i="12"/>
  <c r="A258" i="12"/>
  <c r="B258" i="12"/>
  <c r="L258" i="12" s="1"/>
  <c r="D258" i="12"/>
  <c r="E258" i="12"/>
  <c r="F258" i="12"/>
  <c r="G258" i="12"/>
  <c r="H258" i="12"/>
  <c r="I258" i="12"/>
  <c r="J258" i="12"/>
  <c r="A259" i="12"/>
  <c r="B259" i="12"/>
  <c r="D259" i="12"/>
  <c r="E259" i="12"/>
  <c r="F259" i="12"/>
  <c r="G259" i="12"/>
  <c r="H259" i="12"/>
  <c r="I259" i="12"/>
  <c r="J259" i="12"/>
  <c r="T259" i="12" s="1"/>
  <c r="A260" i="12"/>
  <c r="B260" i="12"/>
  <c r="D260" i="12"/>
  <c r="E260" i="12"/>
  <c r="F260" i="12"/>
  <c r="G260" i="12"/>
  <c r="H260" i="12"/>
  <c r="I260" i="12"/>
  <c r="S260" i="12" s="1"/>
  <c r="J260" i="12"/>
  <c r="A261" i="12"/>
  <c r="B261" i="12"/>
  <c r="D261" i="12"/>
  <c r="E261" i="12"/>
  <c r="F261" i="12"/>
  <c r="G261" i="12"/>
  <c r="H261" i="12"/>
  <c r="R261" i="12" s="1"/>
  <c r="I261" i="12"/>
  <c r="J261" i="12"/>
  <c r="A262" i="12"/>
  <c r="B262" i="12"/>
  <c r="D262" i="12"/>
  <c r="E262" i="12"/>
  <c r="F262" i="12"/>
  <c r="G262" i="12"/>
  <c r="Q262" i="12" s="1"/>
  <c r="H262" i="12"/>
  <c r="I262" i="12"/>
  <c r="J262" i="12"/>
  <c r="A263" i="12"/>
  <c r="B263" i="12"/>
  <c r="D263" i="12"/>
  <c r="E263" i="12"/>
  <c r="F263" i="12"/>
  <c r="P263" i="12" s="1"/>
  <c r="G263" i="12"/>
  <c r="H263" i="12"/>
  <c r="I263" i="12"/>
  <c r="J263" i="12"/>
  <c r="A264" i="12"/>
  <c r="B264" i="12"/>
  <c r="D264" i="12"/>
  <c r="E264" i="12"/>
  <c r="F264" i="12"/>
  <c r="G264" i="12"/>
  <c r="H264" i="12"/>
  <c r="I264" i="12"/>
  <c r="J264" i="12"/>
  <c r="A265" i="12"/>
  <c r="B265" i="12"/>
  <c r="D265" i="12"/>
  <c r="E265" i="12"/>
  <c r="F265" i="12"/>
  <c r="G265" i="12"/>
  <c r="H265" i="12"/>
  <c r="I265" i="12"/>
  <c r="J265" i="12"/>
  <c r="A266" i="12"/>
  <c r="B266" i="12"/>
  <c r="L266" i="12" s="1"/>
  <c r="D266" i="12"/>
  <c r="E266" i="12"/>
  <c r="F266" i="12"/>
  <c r="G266" i="12"/>
  <c r="H266" i="12"/>
  <c r="I266" i="12"/>
  <c r="J266" i="12"/>
  <c r="A267" i="12"/>
  <c r="B267" i="12"/>
  <c r="D267" i="12"/>
  <c r="E267" i="12"/>
  <c r="F267" i="12"/>
  <c r="G267" i="12"/>
  <c r="H267" i="12"/>
  <c r="I267" i="12"/>
  <c r="J267" i="12"/>
  <c r="T267" i="12" s="1"/>
  <c r="A268" i="12"/>
  <c r="B268" i="12"/>
  <c r="D268" i="12"/>
  <c r="E268" i="12"/>
  <c r="F268" i="12"/>
  <c r="G268" i="12"/>
  <c r="H268" i="12"/>
  <c r="I268" i="12"/>
  <c r="S268" i="12" s="1"/>
  <c r="J268" i="12"/>
  <c r="A269" i="12"/>
  <c r="B269" i="12"/>
  <c r="D269" i="12"/>
  <c r="E269" i="12"/>
  <c r="F269" i="12"/>
  <c r="G269" i="12"/>
  <c r="H269" i="12"/>
  <c r="R269" i="12" s="1"/>
  <c r="I269" i="12"/>
  <c r="J269" i="12"/>
  <c r="A270" i="12"/>
  <c r="B270" i="12"/>
  <c r="D270" i="12"/>
  <c r="E270" i="12"/>
  <c r="F270" i="12"/>
  <c r="G270" i="12"/>
  <c r="Q270" i="12" s="1"/>
  <c r="H270" i="12"/>
  <c r="I270" i="12"/>
  <c r="J270" i="12"/>
  <c r="A271" i="12"/>
  <c r="B271" i="12"/>
  <c r="D271" i="12"/>
  <c r="E271" i="12"/>
  <c r="F271" i="12"/>
  <c r="P271" i="12" s="1"/>
  <c r="G271" i="12"/>
  <c r="H271" i="12"/>
  <c r="I271" i="12"/>
  <c r="J271" i="12"/>
  <c r="A272" i="12"/>
  <c r="B272" i="12"/>
  <c r="D272" i="12"/>
  <c r="E272" i="12"/>
  <c r="F272" i="12"/>
  <c r="G272" i="12"/>
  <c r="H272" i="12"/>
  <c r="I272" i="12"/>
  <c r="J272" i="12"/>
  <c r="A273" i="12"/>
  <c r="B273" i="12"/>
  <c r="D273" i="12"/>
  <c r="E273" i="12"/>
  <c r="F273" i="12"/>
  <c r="G273" i="12"/>
  <c r="H273" i="12"/>
  <c r="I273" i="12"/>
  <c r="J273" i="12"/>
  <c r="A274" i="12"/>
  <c r="B274" i="12"/>
  <c r="L274" i="12" s="1"/>
  <c r="D274" i="12"/>
  <c r="E274" i="12"/>
  <c r="F274" i="12"/>
  <c r="G274" i="12"/>
  <c r="H274" i="12"/>
  <c r="I274" i="12"/>
  <c r="J274" i="12"/>
  <c r="A275" i="12"/>
  <c r="B275" i="12"/>
  <c r="D275" i="12"/>
  <c r="E275" i="12"/>
  <c r="F275" i="12"/>
  <c r="G275" i="12"/>
  <c r="H275" i="12"/>
  <c r="I275" i="12"/>
  <c r="J275" i="12"/>
  <c r="T275" i="12" s="1"/>
  <c r="A276" i="12"/>
  <c r="B276" i="12"/>
  <c r="D276" i="12"/>
  <c r="E276" i="12"/>
  <c r="F276" i="12"/>
  <c r="G276" i="12"/>
  <c r="H276" i="12"/>
  <c r="I276" i="12"/>
  <c r="S276" i="12" s="1"/>
  <c r="J276" i="12"/>
  <c r="A277" i="12"/>
  <c r="B277" i="12"/>
  <c r="D277" i="12"/>
  <c r="E277" i="12"/>
  <c r="F277" i="12"/>
  <c r="G277" i="12"/>
  <c r="H277" i="12"/>
  <c r="R277" i="12" s="1"/>
  <c r="I277" i="12"/>
  <c r="J277" i="12"/>
  <c r="A278" i="12"/>
  <c r="B278" i="12"/>
  <c r="D278" i="12"/>
  <c r="E278" i="12"/>
  <c r="F278" i="12"/>
  <c r="G278" i="12"/>
  <c r="Q278" i="12" s="1"/>
  <c r="H278" i="12"/>
  <c r="I278" i="12"/>
  <c r="J278" i="12"/>
  <c r="A279" i="12"/>
  <c r="B279" i="12"/>
  <c r="D279" i="12"/>
  <c r="E279" i="12"/>
  <c r="F279" i="12"/>
  <c r="P279" i="12" s="1"/>
  <c r="G279" i="12"/>
  <c r="H279" i="12"/>
  <c r="I279" i="12"/>
  <c r="J279" i="12"/>
  <c r="A280" i="12"/>
  <c r="B280" i="12"/>
  <c r="D280" i="12"/>
  <c r="E280" i="12"/>
  <c r="F280" i="12"/>
  <c r="G280" i="12"/>
  <c r="H280" i="12"/>
  <c r="I280" i="12"/>
  <c r="J280" i="12"/>
  <c r="A281" i="12"/>
  <c r="B281" i="12"/>
  <c r="D281" i="12"/>
  <c r="E281" i="12"/>
  <c r="F281" i="12"/>
  <c r="G281" i="12"/>
  <c r="H281" i="12"/>
  <c r="I281" i="12"/>
  <c r="J281" i="12"/>
  <c r="A282" i="12"/>
  <c r="B282" i="12"/>
  <c r="L282" i="12" s="1"/>
  <c r="D282" i="12"/>
  <c r="E282" i="12"/>
  <c r="F282" i="12"/>
  <c r="G282" i="12"/>
  <c r="H282" i="12"/>
  <c r="I282" i="12"/>
  <c r="J282" i="12"/>
  <c r="A283" i="12"/>
  <c r="B283" i="12"/>
  <c r="D283" i="12"/>
  <c r="E283" i="12"/>
  <c r="F283" i="12"/>
  <c r="G283" i="12"/>
  <c r="H283" i="12"/>
  <c r="I283" i="12"/>
  <c r="J283" i="12"/>
  <c r="T283" i="12" s="1"/>
  <c r="A284" i="12"/>
  <c r="B284" i="12"/>
  <c r="D284" i="12"/>
  <c r="E284" i="12"/>
  <c r="F284" i="12"/>
  <c r="G284" i="12"/>
  <c r="H284" i="12"/>
  <c r="I284" i="12"/>
  <c r="S284" i="12" s="1"/>
  <c r="J284" i="12"/>
  <c r="A285" i="12"/>
  <c r="B285" i="12"/>
  <c r="D285" i="12"/>
  <c r="E285" i="12"/>
  <c r="F285" i="12"/>
  <c r="G285" i="12"/>
  <c r="H285" i="12"/>
  <c r="R285" i="12" s="1"/>
  <c r="I285" i="12"/>
  <c r="J285" i="12"/>
  <c r="A286" i="12"/>
  <c r="B286" i="12"/>
  <c r="D286" i="12"/>
  <c r="E286" i="12"/>
  <c r="F286" i="12"/>
  <c r="G286" i="12"/>
  <c r="Q286" i="12" s="1"/>
  <c r="H286" i="12"/>
  <c r="I286" i="12"/>
  <c r="J286" i="12"/>
  <c r="A287" i="12"/>
  <c r="B287" i="12"/>
  <c r="D287" i="12"/>
  <c r="E287" i="12"/>
  <c r="F287" i="12"/>
  <c r="P287" i="12" s="1"/>
  <c r="G287" i="12"/>
  <c r="H287" i="12"/>
  <c r="I287" i="12"/>
  <c r="J287" i="12"/>
  <c r="A288" i="12"/>
  <c r="B288" i="12"/>
  <c r="D288" i="12"/>
  <c r="E288" i="12"/>
  <c r="F288" i="12"/>
  <c r="G288" i="12"/>
  <c r="H288" i="12"/>
  <c r="I288" i="12"/>
  <c r="J288" i="12"/>
  <c r="A289" i="12"/>
  <c r="B289" i="12"/>
  <c r="D289" i="12"/>
  <c r="E289" i="12"/>
  <c r="F289" i="12"/>
  <c r="G289" i="12"/>
  <c r="H289" i="12"/>
  <c r="I289" i="12"/>
  <c r="J289" i="12"/>
  <c r="A290" i="12"/>
  <c r="B290" i="12"/>
  <c r="L290" i="12" s="1"/>
  <c r="D290" i="12"/>
  <c r="E290" i="12"/>
  <c r="F290" i="12"/>
  <c r="G290" i="12"/>
  <c r="H290" i="12"/>
  <c r="I290" i="12"/>
  <c r="J290" i="12"/>
  <c r="A291" i="12"/>
  <c r="B291" i="12"/>
  <c r="D291" i="12"/>
  <c r="E291" i="12"/>
  <c r="F291" i="12"/>
  <c r="G291" i="12"/>
  <c r="H291" i="12"/>
  <c r="I291" i="12"/>
  <c r="J291" i="12"/>
  <c r="T291" i="12" s="1"/>
  <c r="A292" i="12"/>
  <c r="B292" i="12"/>
  <c r="D292" i="12"/>
  <c r="E292" i="12"/>
  <c r="F292" i="12"/>
  <c r="G292" i="12"/>
  <c r="H292" i="12"/>
  <c r="I292" i="12"/>
  <c r="S292" i="12" s="1"/>
  <c r="J292" i="12"/>
  <c r="A293" i="12"/>
  <c r="B293" i="12"/>
  <c r="D293" i="12"/>
  <c r="E293" i="12"/>
  <c r="F293" i="12"/>
  <c r="G293" i="12"/>
  <c r="H293" i="12"/>
  <c r="R293" i="12" s="1"/>
  <c r="I293" i="12"/>
  <c r="J293" i="12"/>
  <c r="A294" i="12"/>
  <c r="B294" i="12"/>
  <c r="D294" i="12"/>
  <c r="E294" i="12"/>
  <c r="F294" i="12"/>
  <c r="G294" i="12"/>
  <c r="Q294" i="12" s="1"/>
  <c r="H294" i="12"/>
  <c r="I294" i="12"/>
  <c r="J294" i="12"/>
  <c r="A295" i="12"/>
  <c r="B295" i="12"/>
  <c r="D295" i="12"/>
  <c r="E295" i="12"/>
  <c r="F295" i="12"/>
  <c r="P295" i="12" s="1"/>
  <c r="G295" i="12"/>
  <c r="H295" i="12"/>
  <c r="I295" i="12"/>
  <c r="J295" i="12"/>
  <c r="A296" i="12"/>
  <c r="B296" i="12"/>
  <c r="D296" i="12"/>
  <c r="E296" i="12"/>
  <c r="F296" i="12"/>
  <c r="G296" i="12"/>
  <c r="H296" i="12"/>
  <c r="I296" i="12"/>
  <c r="J296" i="12"/>
  <c r="A297" i="12"/>
  <c r="B297" i="12"/>
  <c r="D297" i="12"/>
  <c r="E297" i="12"/>
  <c r="F297" i="12"/>
  <c r="G297" i="12"/>
  <c r="H297" i="12"/>
  <c r="I297" i="12"/>
  <c r="J297" i="12"/>
  <c r="A298" i="12"/>
  <c r="B298" i="12"/>
  <c r="L298" i="12" s="1"/>
  <c r="D298" i="12"/>
  <c r="E298" i="12"/>
  <c r="F298" i="12"/>
  <c r="G298" i="12"/>
  <c r="H298" i="12"/>
  <c r="I298" i="12"/>
  <c r="J298" i="12"/>
  <c r="A299" i="12"/>
  <c r="B299" i="12"/>
  <c r="D299" i="12"/>
  <c r="E299" i="12"/>
  <c r="F299" i="12"/>
  <c r="G299" i="12"/>
  <c r="H299" i="12"/>
  <c r="I299" i="12"/>
  <c r="J299" i="12"/>
  <c r="T299" i="12" s="1"/>
  <c r="A300" i="12"/>
  <c r="B300" i="12"/>
  <c r="D300" i="12"/>
  <c r="E300" i="12"/>
  <c r="F300" i="12"/>
  <c r="G300" i="12"/>
  <c r="H300" i="12"/>
  <c r="I300" i="12"/>
  <c r="S300" i="12" s="1"/>
  <c r="J300" i="12"/>
  <c r="A301" i="12"/>
  <c r="B301" i="12"/>
  <c r="D301" i="12"/>
  <c r="E301" i="12"/>
  <c r="F301" i="12"/>
  <c r="G301" i="12"/>
  <c r="H301" i="12"/>
  <c r="R301" i="12" s="1"/>
  <c r="I301" i="12"/>
  <c r="J301" i="12"/>
  <c r="A302" i="12"/>
  <c r="B302" i="12"/>
  <c r="D302" i="12"/>
  <c r="E302" i="12"/>
  <c r="F302" i="12"/>
  <c r="G302" i="12"/>
  <c r="Q302" i="12" s="1"/>
  <c r="H302" i="12"/>
  <c r="I302" i="12"/>
  <c r="J302" i="12"/>
  <c r="A303" i="12"/>
  <c r="B303" i="12"/>
  <c r="D303" i="12"/>
  <c r="E303" i="12"/>
  <c r="F303" i="12"/>
  <c r="P303" i="12" s="1"/>
  <c r="G303" i="12"/>
  <c r="H303" i="12"/>
  <c r="I303" i="12"/>
  <c r="J303" i="12"/>
  <c r="A304" i="12"/>
  <c r="B304" i="12"/>
  <c r="D304" i="12"/>
  <c r="E304" i="12"/>
  <c r="F304" i="12"/>
  <c r="G304" i="12"/>
  <c r="H304" i="12"/>
  <c r="I304" i="12"/>
  <c r="J304" i="12"/>
  <c r="A305" i="12"/>
  <c r="B305" i="12"/>
  <c r="D305" i="12"/>
  <c r="E305" i="12"/>
  <c r="F305" i="12"/>
  <c r="G305" i="12"/>
  <c r="H305" i="12"/>
  <c r="I305" i="12"/>
  <c r="J305" i="12"/>
  <c r="A306" i="12"/>
  <c r="B306" i="12"/>
  <c r="L306" i="12" s="1"/>
  <c r="D306" i="12"/>
  <c r="E306" i="12"/>
  <c r="F306" i="12"/>
  <c r="G306" i="12"/>
  <c r="H306" i="12"/>
  <c r="I306" i="12"/>
  <c r="J306" i="12"/>
  <c r="A307" i="12"/>
  <c r="B307" i="12"/>
  <c r="D307" i="12"/>
  <c r="E307" i="12"/>
  <c r="F307" i="12"/>
  <c r="G307" i="12"/>
  <c r="H307" i="12"/>
  <c r="I307" i="12"/>
  <c r="J307" i="12"/>
  <c r="T307" i="12" s="1"/>
  <c r="A308" i="12"/>
  <c r="B308" i="12"/>
  <c r="D308" i="12"/>
  <c r="E308" i="12"/>
  <c r="F308" i="12"/>
  <c r="G308" i="12"/>
  <c r="H308" i="12"/>
  <c r="I308" i="12"/>
  <c r="S308" i="12" s="1"/>
  <c r="J308" i="12"/>
  <c r="A309" i="12"/>
  <c r="B309" i="12"/>
  <c r="D309" i="12"/>
  <c r="E309" i="12"/>
  <c r="F309" i="12"/>
  <c r="G309" i="12"/>
  <c r="H309" i="12"/>
  <c r="R309" i="12" s="1"/>
  <c r="I309" i="12"/>
  <c r="J309" i="12"/>
  <c r="A310" i="12"/>
  <c r="B310" i="12"/>
  <c r="D310" i="12"/>
  <c r="E310" i="12"/>
  <c r="F310" i="12"/>
  <c r="G310" i="12"/>
  <c r="Q310" i="12" s="1"/>
  <c r="H310" i="12"/>
  <c r="I310" i="12"/>
  <c r="J310" i="12"/>
  <c r="A311" i="12"/>
  <c r="B311" i="12"/>
  <c r="D311" i="12"/>
  <c r="E311" i="12"/>
  <c r="F311" i="12"/>
  <c r="P311" i="12" s="1"/>
  <c r="G311" i="12"/>
  <c r="H311" i="12"/>
  <c r="I311" i="12"/>
  <c r="J311" i="12"/>
  <c r="A312" i="12"/>
  <c r="B312" i="12"/>
  <c r="D312" i="12"/>
  <c r="E312" i="12"/>
  <c r="F312" i="12"/>
  <c r="G312" i="12"/>
  <c r="H312" i="12"/>
  <c r="I312" i="12"/>
  <c r="J312" i="12"/>
  <c r="A313" i="12"/>
  <c r="B313" i="12"/>
  <c r="D313" i="12"/>
  <c r="E313" i="12"/>
  <c r="F313" i="12"/>
  <c r="G313" i="12"/>
  <c r="H313" i="12"/>
  <c r="I313" i="12"/>
  <c r="J313" i="12"/>
  <c r="A314" i="12"/>
  <c r="B314" i="12"/>
  <c r="L314" i="12" s="1"/>
  <c r="D314" i="12"/>
  <c r="E314" i="12"/>
  <c r="F314" i="12"/>
  <c r="G314" i="12"/>
  <c r="H314" i="12"/>
  <c r="I314" i="12"/>
  <c r="J314" i="12"/>
  <c r="A315" i="12"/>
  <c r="B315" i="12"/>
  <c r="D315" i="12"/>
  <c r="E315" i="12"/>
  <c r="F315" i="12"/>
  <c r="G315" i="12"/>
  <c r="H315" i="12"/>
  <c r="I315" i="12"/>
  <c r="J315" i="12"/>
  <c r="T315" i="12" s="1"/>
  <c r="A316" i="12"/>
  <c r="B316" i="12"/>
  <c r="D316" i="12"/>
  <c r="E316" i="12"/>
  <c r="F316" i="12"/>
  <c r="G316" i="12"/>
  <c r="H316" i="12"/>
  <c r="I316" i="12"/>
  <c r="S316" i="12" s="1"/>
  <c r="J316" i="12"/>
  <c r="A317" i="12"/>
  <c r="B317" i="12"/>
  <c r="D317" i="12"/>
  <c r="E317" i="12"/>
  <c r="F317" i="12"/>
  <c r="G317" i="12"/>
  <c r="H317" i="12"/>
  <c r="R317" i="12" s="1"/>
  <c r="I317" i="12"/>
  <c r="J317" i="12"/>
  <c r="A318" i="12"/>
  <c r="B318" i="12"/>
  <c r="D318" i="12"/>
  <c r="E318" i="12"/>
  <c r="F318" i="12"/>
  <c r="G318" i="12"/>
  <c r="Q318" i="12" s="1"/>
  <c r="H318" i="12"/>
  <c r="I318" i="12"/>
  <c r="J318" i="12"/>
  <c r="A319" i="12"/>
  <c r="B319" i="12"/>
  <c r="D319" i="12"/>
  <c r="E319" i="12"/>
  <c r="F319" i="12"/>
  <c r="P319" i="12" s="1"/>
  <c r="G319" i="12"/>
  <c r="H319" i="12"/>
  <c r="I319" i="12"/>
  <c r="J319" i="12"/>
  <c r="A320" i="12"/>
  <c r="B320" i="12"/>
  <c r="D320" i="12"/>
  <c r="E320" i="12"/>
  <c r="F320" i="12"/>
  <c r="G320" i="12"/>
  <c r="H320" i="12"/>
  <c r="I320" i="12"/>
  <c r="J320" i="12"/>
  <c r="A321" i="12"/>
  <c r="B321" i="12"/>
  <c r="D321" i="12"/>
  <c r="E321" i="12"/>
  <c r="F321" i="12"/>
  <c r="G321" i="12"/>
  <c r="H321" i="12"/>
  <c r="I321" i="12"/>
  <c r="J321" i="12"/>
  <c r="A322" i="12"/>
  <c r="B322" i="12"/>
  <c r="L322" i="12" s="1"/>
  <c r="D322" i="12"/>
  <c r="E322" i="12"/>
  <c r="F322" i="12"/>
  <c r="G322" i="12"/>
  <c r="H322" i="12"/>
  <c r="I322" i="12"/>
  <c r="J322" i="12"/>
  <c r="A323" i="12"/>
  <c r="B323" i="12"/>
  <c r="D323" i="12"/>
  <c r="E323" i="12"/>
  <c r="F323" i="12"/>
  <c r="G323" i="12"/>
  <c r="H323" i="12"/>
  <c r="I323" i="12"/>
  <c r="J323" i="12"/>
  <c r="T323" i="12" s="1"/>
  <c r="A324" i="12"/>
  <c r="B324" i="12"/>
  <c r="D324" i="12"/>
  <c r="E324" i="12"/>
  <c r="F324" i="12"/>
  <c r="G324" i="12"/>
  <c r="H324" i="12"/>
  <c r="I324" i="12"/>
  <c r="S324" i="12" s="1"/>
  <c r="J324" i="12"/>
  <c r="A325" i="12"/>
  <c r="B325" i="12"/>
  <c r="D325" i="12"/>
  <c r="E325" i="12"/>
  <c r="F325" i="12"/>
  <c r="G325" i="12"/>
  <c r="H325" i="12"/>
  <c r="R325" i="12" s="1"/>
  <c r="I325" i="12"/>
  <c r="J325" i="12"/>
  <c r="A326" i="12"/>
  <c r="B326" i="12"/>
  <c r="D326" i="12"/>
  <c r="E326" i="12"/>
  <c r="F326" i="12"/>
  <c r="G326" i="12"/>
  <c r="Q326" i="12" s="1"/>
  <c r="H326" i="12"/>
  <c r="I326" i="12"/>
  <c r="J326" i="12"/>
  <c r="A327" i="12"/>
  <c r="B327" i="12"/>
  <c r="D327" i="12"/>
  <c r="E327" i="12"/>
  <c r="F327" i="12"/>
  <c r="P327" i="12" s="1"/>
  <c r="G327" i="12"/>
  <c r="H327" i="12"/>
  <c r="I327" i="12"/>
  <c r="J327" i="12"/>
  <c r="A328" i="12"/>
  <c r="B328" i="12"/>
  <c r="D328" i="12"/>
  <c r="E328" i="12"/>
  <c r="F328" i="12"/>
  <c r="G328" i="12"/>
  <c r="H328" i="12"/>
  <c r="I328" i="12"/>
  <c r="J328" i="12"/>
  <c r="A329" i="12"/>
  <c r="B329" i="12"/>
  <c r="D329" i="12"/>
  <c r="E329" i="12"/>
  <c r="F329" i="12"/>
  <c r="G329" i="12"/>
  <c r="H329" i="12"/>
  <c r="I329" i="12"/>
  <c r="J329" i="12"/>
  <c r="A330" i="12"/>
  <c r="B330" i="12"/>
  <c r="L330" i="12" s="1"/>
  <c r="D330" i="12"/>
  <c r="E330" i="12"/>
  <c r="F330" i="12"/>
  <c r="G330" i="12"/>
  <c r="H330" i="12"/>
  <c r="I330" i="12"/>
  <c r="J330" i="12"/>
  <c r="A331" i="12"/>
  <c r="B331" i="12"/>
  <c r="D331" i="12"/>
  <c r="E331" i="12"/>
  <c r="F331" i="12"/>
  <c r="G331" i="12"/>
  <c r="H331" i="12"/>
  <c r="I331" i="12"/>
  <c r="J331" i="12"/>
  <c r="T331" i="12" s="1"/>
  <c r="A332" i="12"/>
  <c r="B332" i="12"/>
  <c r="D332" i="12"/>
  <c r="E332" i="12"/>
  <c r="F332" i="12"/>
  <c r="G332" i="12"/>
  <c r="H332" i="12"/>
  <c r="I332" i="12"/>
  <c r="S332" i="12" s="1"/>
  <c r="J332" i="12"/>
  <c r="A333" i="12"/>
  <c r="B333" i="12"/>
  <c r="D333" i="12"/>
  <c r="E333" i="12"/>
  <c r="F333" i="12"/>
  <c r="G333" i="12"/>
  <c r="H333" i="12"/>
  <c r="R333" i="12" s="1"/>
  <c r="I333" i="12"/>
  <c r="J333" i="12"/>
  <c r="A334" i="12"/>
  <c r="B334" i="12"/>
  <c r="D334" i="12"/>
  <c r="E334" i="12"/>
  <c r="F334" i="12"/>
  <c r="G334" i="12"/>
  <c r="Q334" i="12" s="1"/>
  <c r="H334" i="12"/>
  <c r="I334" i="12"/>
  <c r="J334" i="12"/>
  <c r="A335" i="12"/>
  <c r="B335" i="12"/>
  <c r="D335" i="12"/>
  <c r="E335" i="12"/>
  <c r="F335" i="12"/>
  <c r="P335" i="12" s="1"/>
  <c r="G335" i="12"/>
  <c r="H335" i="12"/>
  <c r="I335" i="12"/>
  <c r="J335" i="12"/>
  <c r="A336" i="12"/>
  <c r="B336" i="12"/>
  <c r="D336" i="12"/>
  <c r="E336" i="12"/>
  <c r="F336" i="12"/>
  <c r="G336" i="12"/>
  <c r="H336" i="12"/>
  <c r="I336" i="12"/>
  <c r="J336" i="12"/>
  <c r="A337" i="12"/>
  <c r="B337" i="12"/>
  <c r="D337" i="12"/>
  <c r="E337" i="12"/>
  <c r="F337" i="12"/>
  <c r="G337" i="12"/>
  <c r="H337" i="12"/>
  <c r="I337" i="12"/>
  <c r="J337" i="12"/>
  <c r="A338" i="12"/>
  <c r="B338" i="12"/>
  <c r="L338" i="12" s="1"/>
  <c r="D338" i="12"/>
  <c r="E338" i="12"/>
  <c r="F338" i="12"/>
  <c r="G338" i="12"/>
  <c r="H338" i="12"/>
  <c r="I338" i="12"/>
  <c r="J338" i="12"/>
  <c r="A339" i="12"/>
  <c r="B339" i="12"/>
  <c r="D339" i="12"/>
  <c r="E339" i="12"/>
  <c r="F339" i="12"/>
  <c r="G339" i="12"/>
  <c r="H339" i="12"/>
  <c r="I339" i="12"/>
  <c r="J339" i="12"/>
  <c r="T339" i="12" s="1"/>
  <c r="A340" i="12"/>
  <c r="B340" i="12"/>
  <c r="D340" i="12"/>
  <c r="E340" i="12"/>
  <c r="F340" i="12"/>
  <c r="G340" i="12"/>
  <c r="H340" i="12"/>
  <c r="I340" i="12"/>
  <c r="S340" i="12" s="1"/>
  <c r="J340" i="12"/>
  <c r="A341" i="12"/>
  <c r="B341" i="12"/>
  <c r="D341" i="12"/>
  <c r="E341" i="12"/>
  <c r="F341" i="12"/>
  <c r="G341" i="12"/>
  <c r="H341" i="12"/>
  <c r="R341" i="12" s="1"/>
  <c r="I341" i="12"/>
  <c r="J341" i="12"/>
  <c r="A342" i="12"/>
  <c r="B342" i="12"/>
  <c r="D342" i="12"/>
  <c r="E342" i="12"/>
  <c r="F342" i="12"/>
  <c r="G342" i="12"/>
  <c r="Q342" i="12" s="1"/>
  <c r="H342" i="12"/>
  <c r="I342" i="12"/>
  <c r="J342" i="12"/>
  <c r="A343" i="12"/>
  <c r="B343" i="12"/>
  <c r="D343" i="12"/>
  <c r="E343" i="12"/>
  <c r="F343" i="12"/>
  <c r="P343" i="12" s="1"/>
  <c r="G343" i="12"/>
  <c r="H343" i="12"/>
  <c r="I343" i="12"/>
  <c r="J343" i="12"/>
  <c r="A344" i="12"/>
  <c r="B344" i="12"/>
  <c r="D344" i="12"/>
  <c r="E344" i="12"/>
  <c r="F344" i="12"/>
  <c r="G344" i="12"/>
  <c r="H344" i="12"/>
  <c r="I344" i="12"/>
  <c r="J344" i="12"/>
  <c r="A345" i="12"/>
  <c r="B345" i="12"/>
  <c r="D345" i="12"/>
  <c r="E345" i="12"/>
  <c r="F345" i="12"/>
  <c r="G345" i="12"/>
  <c r="H345" i="12"/>
  <c r="I345" i="12"/>
  <c r="J345" i="12"/>
  <c r="A346" i="12"/>
  <c r="B346" i="12"/>
  <c r="L346" i="12" s="1"/>
  <c r="D346" i="12"/>
  <c r="E346" i="12"/>
  <c r="F346" i="12"/>
  <c r="G346" i="12"/>
  <c r="H346" i="12"/>
  <c r="I346" i="12"/>
  <c r="J346" i="12"/>
  <c r="A347" i="12"/>
  <c r="B347" i="12"/>
  <c r="D347" i="12"/>
  <c r="E347" i="12"/>
  <c r="F347" i="12"/>
  <c r="G347" i="12"/>
  <c r="H347" i="12"/>
  <c r="I347" i="12"/>
  <c r="J347" i="12"/>
  <c r="T347" i="12" s="1"/>
  <c r="A348" i="12"/>
  <c r="B348" i="12"/>
  <c r="D348" i="12"/>
  <c r="E348" i="12"/>
  <c r="F348" i="12"/>
  <c r="G348" i="12"/>
  <c r="H348" i="12"/>
  <c r="I348" i="12"/>
  <c r="S348" i="12" s="1"/>
  <c r="J348" i="12"/>
  <c r="A349" i="12"/>
  <c r="B349" i="12"/>
  <c r="D349" i="12"/>
  <c r="E349" i="12"/>
  <c r="F349" i="12"/>
  <c r="G349" i="12"/>
  <c r="H349" i="12"/>
  <c r="R349" i="12" s="1"/>
  <c r="I349" i="12"/>
  <c r="J349" i="12"/>
  <c r="A350" i="12"/>
  <c r="B350" i="12"/>
  <c r="D350" i="12"/>
  <c r="E350" i="12"/>
  <c r="F350" i="12"/>
  <c r="G350" i="12"/>
  <c r="Q350" i="12" s="1"/>
  <c r="H350" i="12"/>
  <c r="I350" i="12"/>
  <c r="J350" i="12"/>
  <c r="A351" i="12"/>
  <c r="B351" i="12"/>
  <c r="D351" i="12"/>
  <c r="E351" i="12"/>
  <c r="F351" i="12"/>
  <c r="P351" i="12" s="1"/>
  <c r="G351" i="12"/>
  <c r="H351" i="12"/>
  <c r="I351" i="12"/>
  <c r="J351" i="12"/>
  <c r="A352" i="12"/>
  <c r="B352" i="12"/>
  <c r="D352" i="12"/>
  <c r="E352" i="12"/>
  <c r="F352" i="12"/>
  <c r="G352" i="12"/>
  <c r="H352" i="12"/>
  <c r="I352" i="12"/>
  <c r="J352" i="12"/>
  <c r="A353" i="12"/>
  <c r="B353" i="12"/>
  <c r="D353" i="12"/>
  <c r="E353" i="12"/>
  <c r="F353" i="12"/>
  <c r="G353" i="12"/>
  <c r="H353" i="12"/>
  <c r="I353" i="12"/>
  <c r="J353" i="12"/>
  <c r="A354" i="12"/>
  <c r="B354" i="12"/>
  <c r="L354" i="12" s="1"/>
  <c r="D354" i="12"/>
  <c r="E354" i="12"/>
  <c r="F354" i="12"/>
  <c r="G354" i="12"/>
  <c r="H354" i="12"/>
  <c r="I354" i="12"/>
  <c r="J354" i="12"/>
  <c r="A355" i="12"/>
  <c r="B355" i="12"/>
  <c r="D355" i="12"/>
  <c r="E355" i="12"/>
  <c r="F355" i="12"/>
  <c r="G355" i="12"/>
  <c r="H355" i="12"/>
  <c r="I355" i="12"/>
  <c r="J355" i="12"/>
  <c r="T355" i="12" s="1"/>
  <c r="A356" i="12"/>
  <c r="B356" i="12"/>
  <c r="D356" i="12"/>
  <c r="E356" i="12"/>
  <c r="F356" i="12"/>
  <c r="G356" i="12"/>
  <c r="H356" i="12"/>
  <c r="I356" i="12"/>
  <c r="S356" i="12" s="1"/>
  <c r="J356" i="12"/>
  <c r="A357" i="12"/>
  <c r="B357" i="12"/>
  <c r="D357" i="12"/>
  <c r="E357" i="12"/>
  <c r="F357" i="12"/>
  <c r="G357" i="12"/>
  <c r="H357" i="12"/>
  <c r="R357" i="12" s="1"/>
  <c r="I357" i="12"/>
  <c r="J357" i="12"/>
  <c r="A358" i="12"/>
  <c r="B358" i="12"/>
  <c r="D358" i="12"/>
  <c r="E358" i="12"/>
  <c r="F358" i="12"/>
  <c r="G358" i="12"/>
  <c r="Q358" i="12" s="1"/>
  <c r="H358" i="12"/>
  <c r="I358" i="12"/>
  <c r="J358" i="12"/>
  <c r="A359" i="12"/>
  <c r="B359" i="12"/>
  <c r="D359" i="12"/>
  <c r="E359" i="12"/>
  <c r="F359" i="12"/>
  <c r="P359" i="12" s="1"/>
  <c r="G359" i="12"/>
  <c r="H359" i="12"/>
  <c r="I359" i="12"/>
  <c r="J359" i="12"/>
  <c r="A360" i="12"/>
  <c r="B360" i="12"/>
  <c r="D360" i="12"/>
  <c r="E360" i="12"/>
  <c r="F360" i="12"/>
  <c r="G360" i="12"/>
  <c r="H360" i="12"/>
  <c r="I360" i="12"/>
  <c r="J360" i="12"/>
  <c r="A361" i="12"/>
  <c r="B361" i="12"/>
  <c r="D361" i="12"/>
  <c r="E361" i="12"/>
  <c r="F361" i="12"/>
  <c r="G361" i="12"/>
  <c r="H361" i="12"/>
  <c r="I361" i="12"/>
  <c r="J361" i="12"/>
  <c r="A362" i="12"/>
  <c r="B362" i="12"/>
  <c r="L362" i="12" s="1"/>
  <c r="D362" i="12"/>
  <c r="E362" i="12"/>
  <c r="F362" i="12"/>
  <c r="G362" i="12"/>
  <c r="H362" i="12"/>
  <c r="I362" i="12"/>
  <c r="J362" i="12"/>
  <c r="A363" i="12"/>
  <c r="B363" i="12"/>
  <c r="D363" i="12"/>
  <c r="E363" i="12"/>
  <c r="F363" i="12"/>
  <c r="G363" i="12"/>
  <c r="H363" i="12"/>
  <c r="I363" i="12"/>
  <c r="J363" i="12"/>
  <c r="T363" i="12" s="1"/>
  <c r="A364" i="12"/>
  <c r="B364" i="12"/>
  <c r="D364" i="12"/>
  <c r="E364" i="12"/>
  <c r="F364" i="12"/>
  <c r="G364" i="12"/>
  <c r="H364" i="12"/>
  <c r="I364" i="12"/>
  <c r="S364" i="12" s="1"/>
  <c r="J364" i="12"/>
  <c r="A365" i="12"/>
  <c r="B365" i="12"/>
  <c r="D365" i="12"/>
  <c r="E365" i="12"/>
  <c r="F365" i="12"/>
  <c r="G365" i="12"/>
  <c r="H365" i="12"/>
  <c r="R365" i="12" s="1"/>
  <c r="I365" i="12"/>
  <c r="J365" i="12"/>
  <c r="A366" i="12"/>
  <c r="B366" i="12"/>
  <c r="D366" i="12"/>
  <c r="E366" i="12"/>
  <c r="F366" i="12"/>
  <c r="G366" i="12"/>
  <c r="Q366" i="12" s="1"/>
  <c r="H366" i="12"/>
  <c r="I366" i="12"/>
  <c r="J366" i="12"/>
  <c r="A367" i="12"/>
  <c r="B367" i="12"/>
  <c r="D367" i="12"/>
  <c r="E367" i="12"/>
  <c r="F367" i="12"/>
  <c r="P367" i="12" s="1"/>
  <c r="G367" i="12"/>
  <c r="H367" i="12"/>
  <c r="I367" i="12"/>
  <c r="J367" i="12"/>
  <c r="A368" i="12"/>
  <c r="B368" i="12"/>
  <c r="D368" i="12"/>
  <c r="E368" i="12"/>
  <c r="F368" i="12"/>
  <c r="G368" i="12"/>
  <c r="H368" i="12"/>
  <c r="I368" i="12"/>
  <c r="J368" i="12"/>
  <c r="A369" i="12"/>
  <c r="B369" i="12"/>
  <c r="D369" i="12"/>
  <c r="E369" i="12"/>
  <c r="F369" i="12"/>
  <c r="G369" i="12"/>
  <c r="H369" i="12"/>
  <c r="I369" i="12"/>
  <c r="J369" i="12"/>
  <c r="A370" i="12"/>
  <c r="B370" i="12"/>
  <c r="L370" i="12" s="1"/>
  <c r="D370" i="12"/>
  <c r="E370" i="12"/>
  <c r="F370" i="12"/>
  <c r="G370" i="12"/>
  <c r="H370" i="12"/>
  <c r="I370" i="12"/>
  <c r="J370" i="12"/>
  <c r="A371" i="12"/>
  <c r="B371" i="12"/>
  <c r="D371" i="12"/>
  <c r="E371" i="12"/>
  <c r="F371" i="12"/>
  <c r="G371" i="12"/>
  <c r="H371" i="12"/>
  <c r="I371" i="12"/>
  <c r="J371" i="12"/>
  <c r="T371" i="12" s="1"/>
  <c r="A372" i="12"/>
  <c r="B372" i="12"/>
  <c r="D372" i="12"/>
  <c r="E372" i="12"/>
  <c r="F372" i="12"/>
  <c r="G372" i="12"/>
  <c r="H372" i="12"/>
  <c r="I372" i="12"/>
  <c r="S372" i="12" s="1"/>
  <c r="J372" i="12"/>
  <c r="A373" i="12"/>
  <c r="B373" i="12"/>
  <c r="D373" i="12"/>
  <c r="E373" i="12"/>
  <c r="F373" i="12"/>
  <c r="G373" i="12"/>
  <c r="H373" i="12"/>
  <c r="R373" i="12" s="1"/>
  <c r="I373" i="12"/>
  <c r="J373" i="12"/>
  <c r="A374" i="12"/>
  <c r="B374" i="12"/>
  <c r="D374" i="12"/>
  <c r="E374" i="12"/>
  <c r="F374" i="12"/>
  <c r="G374" i="12"/>
  <c r="Q374" i="12" s="1"/>
  <c r="H374" i="12"/>
  <c r="I374" i="12"/>
  <c r="J374" i="12"/>
  <c r="A375" i="12"/>
  <c r="B375" i="12"/>
  <c r="D375" i="12"/>
  <c r="E375" i="12"/>
  <c r="F375" i="12"/>
  <c r="P375" i="12" s="1"/>
  <c r="G375" i="12"/>
  <c r="H375" i="12"/>
  <c r="I375" i="12"/>
  <c r="J375" i="12"/>
  <c r="A376" i="12"/>
  <c r="B376" i="12"/>
  <c r="D376" i="12"/>
  <c r="E376" i="12"/>
  <c r="F376" i="12"/>
  <c r="G376" i="12"/>
  <c r="H376" i="12"/>
  <c r="I376" i="12"/>
  <c r="J376" i="12"/>
  <c r="A377" i="12"/>
  <c r="B377" i="12"/>
  <c r="D377" i="12"/>
  <c r="E377" i="12"/>
  <c r="F377" i="12"/>
  <c r="G377" i="12"/>
  <c r="H377" i="12"/>
  <c r="I377" i="12"/>
  <c r="J377" i="12"/>
  <c r="A378" i="12"/>
  <c r="B378" i="12"/>
  <c r="L378" i="12" s="1"/>
  <c r="D378" i="12"/>
  <c r="E378" i="12"/>
  <c r="F378" i="12"/>
  <c r="G378" i="12"/>
  <c r="H378" i="12"/>
  <c r="I378" i="12"/>
  <c r="J378" i="12"/>
  <c r="A379" i="12"/>
  <c r="B379" i="12"/>
  <c r="D379" i="12"/>
  <c r="E379" i="12"/>
  <c r="F379" i="12"/>
  <c r="G379" i="12"/>
  <c r="H379" i="12"/>
  <c r="I379" i="12"/>
  <c r="J379" i="12"/>
  <c r="T379" i="12" s="1"/>
  <c r="A380" i="12"/>
  <c r="B380" i="12"/>
  <c r="D380" i="12"/>
  <c r="E380" i="12"/>
  <c r="F380" i="12"/>
  <c r="G380" i="12"/>
  <c r="H380" i="12"/>
  <c r="I380" i="12"/>
  <c r="S380" i="12" s="1"/>
  <c r="J380" i="12"/>
  <c r="A381" i="12"/>
  <c r="B381" i="12"/>
  <c r="D381" i="12"/>
  <c r="E381" i="12"/>
  <c r="F381" i="12"/>
  <c r="G381" i="12"/>
  <c r="H381" i="12"/>
  <c r="R381" i="12" s="1"/>
  <c r="I381" i="12"/>
  <c r="J381" i="12"/>
  <c r="A382" i="12"/>
  <c r="B382" i="12"/>
  <c r="D382" i="12"/>
  <c r="E382" i="12"/>
  <c r="F382" i="12"/>
  <c r="G382" i="12"/>
  <c r="Q382" i="12" s="1"/>
  <c r="H382" i="12"/>
  <c r="I382" i="12"/>
  <c r="J382" i="12"/>
  <c r="A383" i="12"/>
  <c r="B383" i="12"/>
  <c r="D383" i="12"/>
  <c r="E383" i="12"/>
  <c r="F383" i="12"/>
  <c r="P383" i="12" s="1"/>
  <c r="G383" i="12"/>
  <c r="H383" i="12"/>
  <c r="I383" i="12"/>
  <c r="J383" i="12"/>
  <c r="A384" i="12"/>
  <c r="B384" i="12"/>
  <c r="D384" i="12"/>
  <c r="E384" i="12"/>
  <c r="F384" i="12"/>
  <c r="G384" i="12"/>
  <c r="H384" i="12"/>
  <c r="I384" i="12"/>
  <c r="J384" i="12"/>
  <c r="A385" i="12"/>
  <c r="B385" i="12"/>
  <c r="D385" i="12"/>
  <c r="E385" i="12"/>
  <c r="F385" i="12"/>
  <c r="G385" i="12"/>
  <c r="H385" i="12"/>
  <c r="I385" i="12"/>
  <c r="J385" i="12"/>
  <c r="A386" i="12"/>
  <c r="B386" i="12"/>
  <c r="L386" i="12" s="1"/>
  <c r="D386" i="12"/>
  <c r="E386" i="12"/>
  <c r="F386" i="12"/>
  <c r="G386" i="12"/>
  <c r="H386" i="12"/>
  <c r="I386" i="12"/>
  <c r="J386" i="12"/>
  <c r="A387" i="12"/>
  <c r="B387" i="12"/>
  <c r="D387" i="12"/>
  <c r="E387" i="12"/>
  <c r="F387" i="12"/>
  <c r="G387" i="12"/>
  <c r="H387" i="12"/>
  <c r="I387" i="12"/>
  <c r="J387" i="12"/>
  <c r="T387" i="12" s="1"/>
  <c r="A388" i="12"/>
  <c r="B388" i="12"/>
  <c r="D388" i="12"/>
  <c r="E388" i="12"/>
  <c r="F388" i="12"/>
  <c r="G388" i="12"/>
  <c r="H388" i="12"/>
  <c r="I388" i="12"/>
  <c r="S388" i="12" s="1"/>
  <c r="J388" i="12"/>
  <c r="A389" i="12"/>
  <c r="B389" i="12"/>
  <c r="D389" i="12"/>
  <c r="E389" i="12"/>
  <c r="F389" i="12"/>
  <c r="G389" i="12"/>
  <c r="H389" i="12"/>
  <c r="R389" i="12" s="1"/>
  <c r="I389" i="12"/>
  <c r="J389" i="12"/>
  <c r="A390" i="12"/>
  <c r="B390" i="12"/>
  <c r="D390" i="12"/>
  <c r="E390" i="12"/>
  <c r="F390" i="12"/>
  <c r="G390" i="12"/>
  <c r="Q390" i="12" s="1"/>
  <c r="H390" i="12"/>
  <c r="I390" i="12"/>
  <c r="J390" i="12"/>
  <c r="A391" i="12"/>
  <c r="B391" i="12"/>
  <c r="D391" i="12"/>
  <c r="E391" i="12"/>
  <c r="F391" i="12"/>
  <c r="P391" i="12" s="1"/>
  <c r="G391" i="12"/>
  <c r="H391" i="12"/>
  <c r="I391" i="12"/>
  <c r="J391" i="12"/>
  <c r="A392" i="12"/>
  <c r="B392" i="12"/>
  <c r="D392" i="12"/>
  <c r="E392" i="12"/>
  <c r="F392" i="12"/>
  <c r="G392" i="12"/>
  <c r="H392" i="12"/>
  <c r="I392" i="12"/>
  <c r="J392" i="12"/>
  <c r="A393" i="12"/>
  <c r="B393" i="12"/>
  <c r="D393" i="12"/>
  <c r="E393" i="12"/>
  <c r="F393" i="12"/>
  <c r="G393" i="12"/>
  <c r="H393" i="12"/>
  <c r="I393" i="12"/>
  <c r="J393" i="12"/>
  <c r="A394" i="12"/>
  <c r="B394" i="12"/>
  <c r="L394" i="12" s="1"/>
  <c r="D394" i="12"/>
  <c r="E394" i="12"/>
  <c r="F394" i="12"/>
  <c r="G394" i="12"/>
  <c r="H394" i="12"/>
  <c r="I394" i="12"/>
  <c r="J394" i="12"/>
  <c r="A395" i="12"/>
  <c r="B395" i="12"/>
  <c r="D395" i="12"/>
  <c r="E395" i="12"/>
  <c r="F395" i="12"/>
  <c r="G395" i="12"/>
  <c r="H395" i="12"/>
  <c r="I395" i="12"/>
  <c r="J395" i="12"/>
  <c r="T395" i="12" s="1"/>
  <c r="A396" i="12"/>
  <c r="B396" i="12"/>
  <c r="D396" i="12"/>
  <c r="E396" i="12"/>
  <c r="F396" i="12"/>
  <c r="G396" i="12"/>
  <c r="H396" i="12"/>
  <c r="I396" i="12"/>
  <c r="S396" i="12" s="1"/>
  <c r="J396" i="12"/>
  <c r="A397" i="12"/>
  <c r="B397" i="12"/>
  <c r="D397" i="12"/>
  <c r="E397" i="12"/>
  <c r="F397" i="12"/>
  <c r="G397" i="12"/>
  <c r="H397" i="12"/>
  <c r="R397" i="12" s="1"/>
  <c r="I397" i="12"/>
  <c r="J397" i="12"/>
  <c r="A398" i="12"/>
  <c r="B398" i="12"/>
  <c r="D398" i="12"/>
  <c r="E398" i="12"/>
  <c r="F398" i="12"/>
  <c r="G398" i="12"/>
  <c r="Q398" i="12" s="1"/>
  <c r="H398" i="12"/>
  <c r="I398" i="12"/>
  <c r="J398" i="12"/>
  <c r="A399" i="12"/>
  <c r="B399" i="12"/>
  <c r="D399" i="12"/>
  <c r="E399" i="12"/>
  <c r="F399" i="12"/>
  <c r="P399" i="12" s="1"/>
  <c r="G399" i="12"/>
  <c r="H399" i="12"/>
  <c r="I399" i="12"/>
  <c r="J399" i="12"/>
  <c r="A400" i="12"/>
  <c r="B400" i="12"/>
  <c r="D400" i="12"/>
  <c r="E400" i="12"/>
  <c r="F400" i="12"/>
  <c r="G400" i="12"/>
  <c r="H400" i="12"/>
  <c r="I400" i="12"/>
  <c r="J400" i="12"/>
  <c r="A401" i="12"/>
  <c r="B401" i="12"/>
  <c r="D401" i="12"/>
  <c r="E401" i="12"/>
  <c r="F401" i="12"/>
  <c r="G401" i="12"/>
  <c r="H401" i="12"/>
  <c r="I401" i="12"/>
  <c r="J401" i="12"/>
  <c r="A402" i="12"/>
  <c r="B402" i="12"/>
  <c r="L402" i="12" s="1"/>
  <c r="D402" i="12"/>
  <c r="E402" i="12"/>
  <c r="F402" i="12"/>
  <c r="G402" i="12"/>
  <c r="H402" i="12"/>
  <c r="I402" i="12"/>
  <c r="J402" i="12"/>
  <c r="A403" i="12"/>
  <c r="B403" i="12"/>
  <c r="D403" i="12"/>
  <c r="E403" i="12"/>
  <c r="F403" i="12"/>
  <c r="G403" i="12"/>
  <c r="H403" i="12"/>
  <c r="I403" i="12"/>
  <c r="J403" i="12"/>
  <c r="T403" i="12" s="1"/>
  <c r="A404" i="12"/>
  <c r="B404" i="12"/>
  <c r="D404" i="12"/>
  <c r="E404" i="12"/>
  <c r="F404" i="12"/>
  <c r="G404" i="12"/>
  <c r="H404" i="12"/>
  <c r="I404" i="12"/>
  <c r="S404" i="12" s="1"/>
  <c r="J404" i="12"/>
  <c r="A405" i="12"/>
  <c r="B405" i="12"/>
  <c r="D405" i="12"/>
  <c r="E405" i="12"/>
  <c r="F405" i="12"/>
  <c r="G405" i="12"/>
  <c r="H405" i="12"/>
  <c r="R405" i="12" s="1"/>
  <c r="I405" i="12"/>
  <c r="J405" i="12"/>
  <c r="A406" i="12"/>
  <c r="B406" i="12"/>
  <c r="D406" i="12"/>
  <c r="E406" i="12"/>
  <c r="F406" i="12"/>
  <c r="G406" i="12"/>
  <c r="Q406" i="12" s="1"/>
  <c r="H406" i="12"/>
  <c r="I406" i="12"/>
  <c r="J406" i="12"/>
  <c r="A407" i="12"/>
  <c r="B407" i="12"/>
  <c r="D407" i="12"/>
  <c r="E407" i="12"/>
  <c r="F407" i="12"/>
  <c r="P407" i="12" s="1"/>
  <c r="G407" i="12"/>
  <c r="H407" i="12"/>
  <c r="I407" i="12"/>
  <c r="J407" i="12"/>
  <c r="A408" i="12"/>
  <c r="B408" i="12"/>
  <c r="D408" i="12"/>
  <c r="E408" i="12"/>
  <c r="F408" i="12"/>
  <c r="G408" i="12"/>
  <c r="H408" i="12"/>
  <c r="I408" i="12"/>
  <c r="J408" i="12"/>
  <c r="A409" i="12"/>
  <c r="B409" i="12"/>
  <c r="D409" i="12"/>
  <c r="E409" i="12"/>
  <c r="F409" i="12"/>
  <c r="G409" i="12"/>
  <c r="H409" i="12"/>
  <c r="I409" i="12"/>
  <c r="J409" i="12"/>
  <c r="A410" i="12"/>
  <c r="B410" i="12"/>
  <c r="L410" i="12" s="1"/>
  <c r="D410" i="12"/>
  <c r="E410" i="12"/>
  <c r="F410" i="12"/>
  <c r="G410" i="12"/>
  <c r="H410" i="12"/>
  <c r="I410" i="12"/>
  <c r="J410" i="12"/>
  <c r="A411" i="12"/>
  <c r="B411" i="12"/>
  <c r="D411" i="12"/>
  <c r="E411" i="12"/>
  <c r="F411" i="12"/>
  <c r="G411" i="12"/>
  <c r="H411" i="12"/>
  <c r="I411" i="12"/>
  <c r="J411" i="12"/>
  <c r="T411" i="12" s="1"/>
  <c r="A412" i="12"/>
  <c r="B412" i="12"/>
  <c r="D412" i="12"/>
  <c r="E412" i="12"/>
  <c r="F412" i="12"/>
  <c r="G412" i="12"/>
  <c r="H412" i="12"/>
  <c r="I412" i="12"/>
  <c r="S412" i="12" s="1"/>
  <c r="J412" i="12"/>
  <c r="A413" i="12"/>
  <c r="B413" i="12"/>
  <c r="D413" i="12"/>
  <c r="E413" i="12"/>
  <c r="F413" i="12"/>
  <c r="G413" i="12"/>
  <c r="H413" i="12"/>
  <c r="R413" i="12" s="1"/>
  <c r="I413" i="12"/>
  <c r="J413" i="12"/>
  <c r="A414" i="12"/>
  <c r="B414" i="12"/>
  <c r="D414" i="12"/>
  <c r="E414" i="12"/>
  <c r="F414" i="12"/>
  <c r="G414" i="12"/>
  <c r="Q414" i="12" s="1"/>
  <c r="H414" i="12"/>
  <c r="I414" i="12"/>
  <c r="J414" i="12"/>
  <c r="A415" i="12"/>
  <c r="B415" i="12"/>
  <c r="D415" i="12"/>
  <c r="E415" i="12"/>
  <c r="F415" i="12"/>
  <c r="P415" i="12" s="1"/>
  <c r="G415" i="12"/>
  <c r="H415" i="12"/>
  <c r="I415" i="12"/>
  <c r="J415" i="12"/>
  <c r="A416" i="12"/>
  <c r="B416" i="12"/>
  <c r="D416" i="12"/>
  <c r="E416" i="12"/>
  <c r="F416" i="12"/>
  <c r="G416" i="12"/>
  <c r="H416" i="12"/>
  <c r="I416" i="12"/>
  <c r="J416" i="12"/>
  <c r="A417" i="12"/>
  <c r="B417" i="12"/>
  <c r="D417" i="12"/>
  <c r="E417" i="12"/>
  <c r="F417" i="12"/>
  <c r="G417" i="12"/>
  <c r="H417" i="12"/>
  <c r="I417" i="12"/>
  <c r="J417" i="12"/>
  <c r="A418" i="12"/>
  <c r="B418" i="12"/>
  <c r="L418" i="12" s="1"/>
  <c r="D418" i="12"/>
  <c r="E418" i="12"/>
  <c r="F418" i="12"/>
  <c r="G418" i="12"/>
  <c r="H418" i="12"/>
  <c r="I418" i="12"/>
  <c r="J418" i="12"/>
  <c r="A419" i="12"/>
  <c r="B419" i="12"/>
  <c r="D419" i="12"/>
  <c r="E419" i="12"/>
  <c r="F419" i="12"/>
  <c r="G419" i="12"/>
  <c r="H419" i="12"/>
  <c r="I419" i="12"/>
  <c r="J419" i="12"/>
  <c r="T419" i="12" s="1"/>
  <c r="A420" i="12"/>
  <c r="B420" i="12"/>
  <c r="D420" i="12"/>
  <c r="E420" i="12"/>
  <c r="F420" i="12"/>
  <c r="G420" i="12"/>
  <c r="H420" i="12"/>
  <c r="I420" i="12"/>
  <c r="S420" i="12" s="1"/>
  <c r="J420" i="12"/>
  <c r="A421" i="12"/>
  <c r="B421" i="12"/>
  <c r="D421" i="12"/>
  <c r="E421" i="12"/>
  <c r="F421" i="12"/>
  <c r="G421" i="12"/>
  <c r="H421" i="12"/>
  <c r="R421" i="12" s="1"/>
  <c r="I421" i="12"/>
  <c r="J421" i="12"/>
  <c r="A422" i="12"/>
  <c r="B422" i="12"/>
  <c r="D422" i="12"/>
  <c r="E422" i="12"/>
  <c r="F422" i="12"/>
  <c r="G422" i="12"/>
  <c r="Q422" i="12" s="1"/>
  <c r="H422" i="12"/>
  <c r="I422" i="12"/>
  <c r="J422" i="12"/>
  <c r="A423" i="12"/>
  <c r="B423" i="12"/>
  <c r="D423" i="12"/>
  <c r="E423" i="12"/>
  <c r="F423" i="12"/>
  <c r="G423" i="12"/>
  <c r="Q423" i="12" s="1"/>
  <c r="H423" i="12"/>
  <c r="I423" i="12"/>
  <c r="J423" i="12"/>
  <c r="A424" i="12"/>
  <c r="B424" i="12"/>
  <c r="D424" i="12"/>
  <c r="E424" i="12"/>
  <c r="F424" i="12"/>
  <c r="G424" i="12"/>
  <c r="H424" i="12"/>
  <c r="I424" i="12"/>
  <c r="J424" i="12"/>
  <c r="A425" i="12"/>
  <c r="B425" i="12"/>
  <c r="D425" i="12"/>
  <c r="E425" i="12"/>
  <c r="F425" i="12"/>
  <c r="G425" i="12"/>
  <c r="H425" i="12"/>
  <c r="I425" i="12"/>
  <c r="J425" i="12"/>
  <c r="A426" i="12"/>
  <c r="B426" i="12"/>
  <c r="D426" i="12"/>
  <c r="E426" i="12"/>
  <c r="F426" i="12"/>
  <c r="G426" i="12"/>
  <c r="H426" i="12"/>
  <c r="I426" i="12"/>
  <c r="J426" i="12"/>
  <c r="T426" i="12" s="1"/>
  <c r="A427" i="12"/>
  <c r="B427" i="12"/>
  <c r="D427" i="12"/>
  <c r="E427" i="12"/>
  <c r="F427" i="12"/>
  <c r="G427" i="12"/>
  <c r="H427" i="12"/>
  <c r="I427" i="12"/>
  <c r="S427" i="12" s="1"/>
  <c r="J427" i="12"/>
  <c r="A428" i="12"/>
  <c r="B428" i="12"/>
  <c r="D428" i="12"/>
  <c r="E428" i="12"/>
  <c r="F428" i="12"/>
  <c r="G428" i="12"/>
  <c r="H428" i="12"/>
  <c r="R428" i="12" s="1"/>
  <c r="I428" i="12"/>
  <c r="J428" i="12"/>
  <c r="A429" i="12"/>
  <c r="B429" i="12"/>
  <c r="D429" i="12"/>
  <c r="E429" i="12"/>
  <c r="F429" i="12"/>
  <c r="G429" i="12"/>
  <c r="Q429" i="12" s="1"/>
  <c r="H429" i="12"/>
  <c r="I429" i="12"/>
  <c r="J429" i="12"/>
  <c r="A430" i="12"/>
  <c r="B430" i="12"/>
  <c r="D430" i="12"/>
  <c r="E430" i="12"/>
  <c r="F430" i="12"/>
  <c r="P430" i="12" s="1"/>
  <c r="G430" i="12"/>
  <c r="H430" i="12"/>
  <c r="I430" i="12"/>
  <c r="J430" i="12"/>
  <c r="A431" i="12"/>
  <c r="B431" i="12"/>
  <c r="D431" i="12"/>
  <c r="E431" i="12"/>
  <c r="O431" i="12" s="1"/>
  <c r="F431" i="12"/>
  <c r="G431" i="12"/>
  <c r="H431" i="12"/>
  <c r="I431" i="12"/>
  <c r="J431" i="12"/>
  <c r="A432" i="12"/>
  <c r="B432" i="12"/>
  <c r="D432" i="12"/>
  <c r="E432" i="12"/>
  <c r="F432" i="12"/>
  <c r="G432" i="12"/>
  <c r="H432" i="12"/>
  <c r="I432" i="12"/>
  <c r="J432" i="12"/>
  <c r="A433" i="12"/>
  <c r="B433" i="12"/>
  <c r="D433" i="12"/>
  <c r="E433" i="12"/>
  <c r="F433" i="12"/>
  <c r="G433" i="12"/>
  <c r="H433" i="12"/>
  <c r="I433" i="12"/>
  <c r="J433" i="12"/>
  <c r="A434" i="12"/>
  <c r="B434" i="12"/>
  <c r="D434" i="12"/>
  <c r="E434" i="12"/>
  <c r="F434" i="12"/>
  <c r="G434" i="12"/>
  <c r="H434" i="12"/>
  <c r="I434" i="12"/>
  <c r="J434" i="12"/>
  <c r="T434" i="12" s="1"/>
  <c r="A435" i="12"/>
  <c r="B435" i="12"/>
  <c r="D435" i="12"/>
  <c r="E435" i="12"/>
  <c r="F435" i="12"/>
  <c r="G435" i="12"/>
  <c r="H435" i="12"/>
  <c r="I435" i="12"/>
  <c r="S435" i="12" s="1"/>
  <c r="J435" i="12"/>
  <c r="A436" i="12"/>
  <c r="B436" i="12"/>
  <c r="D436" i="12"/>
  <c r="E436" i="12"/>
  <c r="F436" i="12"/>
  <c r="G436" i="12"/>
  <c r="H436" i="12"/>
  <c r="R436" i="12" s="1"/>
  <c r="I436" i="12"/>
  <c r="J436" i="12"/>
  <c r="A437" i="12"/>
  <c r="B437" i="12"/>
  <c r="D437" i="12"/>
  <c r="E437" i="12"/>
  <c r="F437" i="12"/>
  <c r="G437" i="12"/>
  <c r="Q437" i="12" s="1"/>
  <c r="H437" i="12"/>
  <c r="I437" i="12"/>
  <c r="J437" i="12"/>
  <c r="A438" i="12"/>
  <c r="B438" i="12"/>
  <c r="D438" i="12"/>
  <c r="E438" i="12"/>
  <c r="F438" i="12"/>
  <c r="P438" i="12" s="1"/>
  <c r="G438" i="12"/>
  <c r="H438" i="12"/>
  <c r="I438" i="12"/>
  <c r="J438" i="12"/>
  <c r="A439" i="12"/>
  <c r="B439" i="12"/>
  <c r="D439" i="12"/>
  <c r="E439" i="12"/>
  <c r="O439" i="12" s="1"/>
  <c r="F439" i="12"/>
  <c r="G439" i="12"/>
  <c r="H439" i="12"/>
  <c r="I439" i="12"/>
  <c r="J439" i="12"/>
  <c r="A440" i="12"/>
  <c r="B440" i="12"/>
  <c r="D440" i="12"/>
  <c r="E440" i="12"/>
  <c r="F440" i="12"/>
  <c r="G440" i="12"/>
  <c r="H440" i="12"/>
  <c r="I440" i="12"/>
  <c r="J440" i="12"/>
  <c r="A441" i="12"/>
  <c r="B441" i="12"/>
  <c r="D441" i="12"/>
  <c r="E441" i="12"/>
  <c r="F441" i="12"/>
  <c r="G441" i="12"/>
  <c r="H441" i="12"/>
  <c r="I441" i="12"/>
  <c r="J441" i="12"/>
  <c r="A442" i="12"/>
  <c r="B442" i="12"/>
  <c r="D442" i="12"/>
  <c r="E442" i="12"/>
  <c r="F442" i="12"/>
  <c r="G442" i="12"/>
  <c r="H442" i="12"/>
  <c r="I442" i="12"/>
  <c r="J442" i="12"/>
  <c r="T442" i="12" s="1"/>
  <c r="A443" i="12"/>
  <c r="B443" i="12"/>
  <c r="D443" i="12"/>
  <c r="E443" i="12"/>
  <c r="F443" i="12"/>
  <c r="G443" i="12"/>
  <c r="H443" i="12"/>
  <c r="I443" i="12"/>
  <c r="S443" i="12" s="1"/>
  <c r="J443" i="12"/>
  <c r="A444" i="12"/>
  <c r="B444" i="12"/>
  <c r="D444" i="12"/>
  <c r="E444" i="12"/>
  <c r="F444" i="12"/>
  <c r="G444" i="12"/>
  <c r="H444" i="12"/>
  <c r="R444" i="12" s="1"/>
  <c r="I444" i="12"/>
  <c r="J444" i="12"/>
  <c r="A445" i="12"/>
  <c r="B445" i="12"/>
  <c r="D445" i="12"/>
  <c r="E445" i="12"/>
  <c r="F445" i="12"/>
  <c r="G445" i="12"/>
  <c r="H445" i="12"/>
  <c r="R445" i="12" s="1"/>
  <c r="I445" i="12"/>
  <c r="J445" i="12"/>
  <c r="A446" i="12"/>
  <c r="B446" i="12"/>
  <c r="D446" i="12"/>
  <c r="E446" i="12"/>
  <c r="F446" i="12"/>
  <c r="G446" i="12"/>
  <c r="Q446" i="12" s="1"/>
  <c r="H446" i="12"/>
  <c r="I446" i="12"/>
  <c r="J446" i="12"/>
  <c r="A447" i="12"/>
  <c r="B447" i="12"/>
  <c r="D447" i="12"/>
  <c r="E447" i="12"/>
  <c r="F447" i="12"/>
  <c r="P447" i="12" s="1"/>
  <c r="G447" i="12"/>
  <c r="H447" i="12"/>
  <c r="I447" i="12"/>
  <c r="J447" i="12"/>
  <c r="A448" i="12"/>
  <c r="B448" i="12"/>
  <c r="D448" i="12"/>
  <c r="E448" i="12"/>
  <c r="F448" i="12"/>
  <c r="G448" i="12"/>
  <c r="H448" i="12"/>
  <c r="I448" i="12"/>
  <c r="J448" i="12"/>
  <c r="A449" i="12"/>
  <c r="B449" i="12"/>
  <c r="D449" i="12"/>
  <c r="E449" i="12"/>
  <c r="F449" i="12"/>
  <c r="G449" i="12"/>
  <c r="H449" i="12"/>
  <c r="I449" i="12"/>
  <c r="J449" i="12"/>
  <c r="A450" i="12"/>
  <c r="B450" i="12"/>
  <c r="L450" i="12" s="1"/>
  <c r="D450" i="12"/>
  <c r="E450" i="12"/>
  <c r="F450" i="12"/>
  <c r="G450" i="12"/>
  <c r="H450" i="12"/>
  <c r="I450" i="12"/>
  <c r="J450" i="12"/>
  <c r="A451" i="12"/>
  <c r="B451" i="12"/>
  <c r="D451" i="12"/>
  <c r="E451" i="12"/>
  <c r="F451" i="12"/>
  <c r="G451" i="12"/>
  <c r="H451" i="12"/>
  <c r="I451" i="12"/>
  <c r="J451" i="12"/>
  <c r="T451" i="12" s="1"/>
  <c r="A452" i="12"/>
  <c r="B452" i="12"/>
  <c r="D452" i="12"/>
  <c r="E452" i="12"/>
  <c r="F452" i="12"/>
  <c r="G452" i="12"/>
  <c r="H452" i="12"/>
  <c r="I452" i="12"/>
  <c r="S452" i="12" s="1"/>
  <c r="J452" i="12"/>
  <c r="A453" i="12"/>
  <c r="B453" i="12"/>
  <c r="D453" i="12"/>
  <c r="E453" i="12"/>
  <c r="F453" i="12"/>
  <c r="G453" i="12"/>
  <c r="H453" i="12"/>
  <c r="R453" i="12" s="1"/>
  <c r="I453" i="12"/>
  <c r="J453" i="12"/>
  <c r="A454" i="12"/>
  <c r="B454" i="12"/>
  <c r="D454" i="12"/>
  <c r="E454" i="12"/>
  <c r="F454" i="12"/>
  <c r="G454" i="12"/>
  <c r="Q454" i="12" s="1"/>
  <c r="H454" i="12"/>
  <c r="I454" i="12"/>
  <c r="J454" i="12"/>
  <c r="A455" i="12"/>
  <c r="B455" i="12"/>
  <c r="D455" i="12"/>
  <c r="E455" i="12"/>
  <c r="F455" i="12"/>
  <c r="P455" i="12" s="1"/>
  <c r="G455" i="12"/>
  <c r="H455" i="12"/>
  <c r="I455" i="12"/>
  <c r="J455" i="12"/>
  <c r="A456" i="12"/>
  <c r="B456" i="12"/>
  <c r="D456" i="12"/>
  <c r="E456" i="12"/>
  <c r="F456" i="12"/>
  <c r="G456" i="12"/>
  <c r="H456" i="12"/>
  <c r="I456" i="12"/>
  <c r="J456" i="12"/>
  <c r="A457" i="12"/>
  <c r="B457" i="12"/>
  <c r="D457" i="12"/>
  <c r="E457" i="12"/>
  <c r="F457" i="12"/>
  <c r="G457" i="12"/>
  <c r="H457" i="12"/>
  <c r="I457" i="12"/>
  <c r="J457" i="12"/>
  <c r="A458" i="12"/>
  <c r="B458" i="12"/>
  <c r="L458" i="12" s="1"/>
  <c r="D458" i="12"/>
  <c r="E458" i="12"/>
  <c r="F458" i="12"/>
  <c r="G458" i="12"/>
  <c r="H458" i="12"/>
  <c r="I458" i="12"/>
  <c r="J458" i="12"/>
  <c r="A459" i="12"/>
  <c r="B459" i="12"/>
  <c r="D459" i="12"/>
  <c r="E459" i="12"/>
  <c r="F459" i="12"/>
  <c r="G459" i="12"/>
  <c r="H459" i="12"/>
  <c r="I459" i="12"/>
  <c r="J459" i="12"/>
  <c r="T459" i="12" s="1"/>
  <c r="A460" i="12"/>
  <c r="B460" i="12"/>
  <c r="D460" i="12"/>
  <c r="E460" i="12"/>
  <c r="F460" i="12"/>
  <c r="G460" i="12"/>
  <c r="H460" i="12"/>
  <c r="I460" i="12"/>
  <c r="S460" i="12" s="1"/>
  <c r="J460" i="12"/>
  <c r="A461" i="12"/>
  <c r="B461" i="12"/>
  <c r="D461" i="12"/>
  <c r="E461" i="12"/>
  <c r="F461" i="12"/>
  <c r="G461" i="12"/>
  <c r="H461" i="12"/>
  <c r="R461" i="12" s="1"/>
  <c r="I461" i="12"/>
  <c r="J461" i="12"/>
  <c r="A462" i="12"/>
  <c r="B462" i="12"/>
  <c r="D462" i="12"/>
  <c r="E462" i="12"/>
  <c r="F462" i="12"/>
  <c r="G462" i="12"/>
  <c r="Q462" i="12" s="1"/>
  <c r="H462" i="12"/>
  <c r="I462" i="12"/>
  <c r="J462" i="12"/>
  <c r="A463" i="12"/>
  <c r="B463" i="12"/>
  <c r="D463" i="12"/>
  <c r="E463" i="12"/>
  <c r="F463" i="12"/>
  <c r="P463" i="12" s="1"/>
  <c r="G463" i="12"/>
  <c r="H463" i="12"/>
  <c r="I463" i="12"/>
  <c r="J463" i="12"/>
  <c r="A464" i="12"/>
  <c r="B464" i="12"/>
  <c r="D464" i="12"/>
  <c r="E464" i="12"/>
  <c r="F464" i="12"/>
  <c r="G464" i="12"/>
  <c r="H464" i="12"/>
  <c r="I464" i="12"/>
  <c r="J464" i="12"/>
  <c r="A465" i="12"/>
  <c r="B465" i="12"/>
  <c r="D465" i="12"/>
  <c r="E465" i="12"/>
  <c r="F465" i="12"/>
  <c r="G465" i="12"/>
  <c r="H465" i="12"/>
  <c r="I465" i="12"/>
  <c r="J465" i="12"/>
  <c r="A466" i="12"/>
  <c r="B466" i="12"/>
  <c r="L466" i="12" s="1"/>
  <c r="D466" i="12"/>
  <c r="E466" i="12"/>
  <c r="F466" i="12"/>
  <c r="G466" i="12"/>
  <c r="H466" i="12"/>
  <c r="I466" i="12"/>
  <c r="J466" i="12"/>
  <c r="A467" i="12"/>
  <c r="B467" i="12"/>
  <c r="D467" i="12"/>
  <c r="E467" i="12"/>
  <c r="F467" i="12"/>
  <c r="G467" i="12"/>
  <c r="H467" i="12"/>
  <c r="I467" i="12"/>
  <c r="J467" i="12"/>
  <c r="T467" i="12" s="1"/>
  <c r="A468" i="12"/>
  <c r="B468" i="12"/>
  <c r="D468" i="12"/>
  <c r="E468" i="12"/>
  <c r="F468" i="12"/>
  <c r="G468" i="12"/>
  <c r="H468" i="12"/>
  <c r="I468" i="12"/>
  <c r="S468" i="12" s="1"/>
  <c r="J468" i="12"/>
  <c r="A469" i="12"/>
  <c r="B469" i="12"/>
  <c r="D469" i="12"/>
  <c r="E469" i="12"/>
  <c r="F469" i="12"/>
  <c r="G469" i="12"/>
  <c r="H469" i="12"/>
  <c r="R469" i="12" s="1"/>
  <c r="I469" i="12"/>
  <c r="J469" i="12"/>
  <c r="A470" i="12"/>
  <c r="B470" i="12"/>
  <c r="D470" i="12"/>
  <c r="E470" i="12"/>
  <c r="F470" i="12"/>
  <c r="G470" i="12"/>
  <c r="Q470" i="12" s="1"/>
  <c r="H470" i="12"/>
  <c r="I470" i="12"/>
  <c r="J470" i="12"/>
  <c r="A471" i="12"/>
  <c r="B471" i="12"/>
  <c r="D471" i="12"/>
  <c r="E471" i="12"/>
  <c r="F471" i="12"/>
  <c r="P471" i="12" s="1"/>
  <c r="G471" i="12"/>
  <c r="H471" i="12"/>
  <c r="I471" i="12"/>
  <c r="J471" i="12"/>
  <c r="A472" i="12"/>
  <c r="B472" i="12"/>
  <c r="D472" i="12"/>
  <c r="E472" i="12"/>
  <c r="F472" i="12"/>
  <c r="G472" i="12"/>
  <c r="H472" i="12"/>
  <c r="I472" i="12"/>
  <c r="J472" i="12"/>
  <c r="A473" i="12"/>
  <c r="B473" i="12"/>
  <c r="D473" i="12"/>
  <c r="E473" i="12"/>
  <c r="F473" i="12"/>
  <c r="G473" i="12"/>
  <c r="H473" i="12"/>
  <c r="I473" i="12"/>
  <c r="J473" i="12"/>
  <c r="A474" i="12"/>
  <c r="B474" i="12"/>
  <c r="L474" i="12" s="1"/>
  <c r="D474" i="12"/>
  <c r="E474" i="12"/>
  <c r="F474" i="12"/>
  <c r="G474" i="12"/>
  <c r="H474" i="12"/>
  <c r="I474" i="12"/>
  <c r="J474" i="12"/>
  <c r="A475" i="12"/>
  <c r="B475" i="12"/>
  <c r="D475" i="12"/>
  <c r="E475" i="12"/>
  <c r="F475" i="12"/>
  <c r="G475" i="12"/>
  <c r="H475" i="12"/>
  <c r="I475" i="12"/>
  <c r="J475" i="12"/>
  <c r="T475" i="12" s="1"/>
  <c r="A476" i="12"/>
  <c r="B476" i="12"/>
  <c r="D476" i="12"/>
  <c r="E476" i="12"/>
  <c r="F476" i="12"/>
  <c r="G476" i="12"/>
  <c r="H476" i="12"/>
  <c r="I476" i="12"/>
  <c r="S476" i="12" s="1"/>
  <c r="J476" i="12"/>
  <c r="A477" i="12"/>
  <c r="B477" i="12"/>
  <c r="D477" i="12"/>
  <c r="E477" i="12"/>
  <c r="F477" i="12"/>
  <c r="G477" i="12"/>
  <c r="H477" i="12"/>
  <c r="R477" i="12" s="1"/>
  <c r="I477" i="12"/>
  <c r="J477" i="12"/>
  <c r="A478" i="12"/>
  <c r="B478" i="12"/>
  <c r="D478" i="12"/>
  <c r="E478" i="12"/>
  <c r="F478" i="12"/>
  <c r="G478" i="12"/>
  <c r="Q478" i="12" s="1"/>
  <c r="H478" i="12"/>
  <c r="I478" i="12"/>
  <c r="J478" i="12"/>
  <c r="A479" i="12"/>
  <c r="B479" i="12"/>
  <c r="D479" i="12"/>
  <c r="E479" i="12"/>
  <c r="F479" i="12"/>
  <c r="P479" i="12" s="1"/>
  <c r="G479" i="12"/>
  <c r="H479" i="12"/>
  <c r="I479" i="12"/>
  <c r="J479" i="12"/>
  <c r="A480" i="12"/>
  <c r="B480" i="12"/>
  <c r="D480" i="12"/>
  <c r="E480" i="12"/>
  <c r="F480" i="12"/>
  <c r="G480" i="12"/>
  <c r="H480" i="12"/>
  <c r="I480" i="12"/>
  <c r="J480" i="12"/>
  <c r="A481" i="12"/>
  <c r="B481" i="12"/>
  <c r="D481" i="12"/>
  <c r="E481" i="12"/>
  <c r="F481" i="12"/>
  <c r="G481" i="12"/>
  <c r="H481" i="12"/>
  <c r="I481" i="12"/>
  <c r="J481" i="12"/>
  <c r="A482" i="12"/>
  <c r="B482" i="12"/>
  <c r="L482" i="12" s="1"/>
  <c r="D482" i="12"/>
  <c r="E482" i="12"/>
  <c r="F482" i="12"/>
  <c r="G482" i="12"/>
  <c r="H482" i="12"/>
  <c r="I482" i="12"/>
  <c r="J482" i="12"/>
  <c r="A483" i="12"/>
  <c r="B483" i="12"/>
  <c r="D483" i="12"/>
  <c r="E483" i="12"/>
  <c r="F483" i="12"/>
  <c r="G483" i="12"/>
  <c r="H483" i="12"/>
  <c r="I483" i="12"/>
  <c r="J483" i="12"/>
  <c r="T483" i="12" s="1"/>
  <c r="A484" i="12"/>
  <c r="B484" i="12"/>
  <c r="D484" i="12"/>
  <c r="E484" i="12"/>
  <c r="F484" i="12"/>
  <c r="G484" i="12"/>
  <c r="H484" i="12"/>
  <c r="I484" i="12"/>
  <c r="S484" i="12" s="1"/>
  <c r="J484" i="12"/>
  <c r="A485" i="12"/>
  <c r="B485" i="12"/>
  <c r="D485" i="12"/>
  <c r="E485" i="12"/>
  <c r="F485" i="12"/>
  <c r="G485" i="12"/>
  <c r="H485" i="12"/>
  <c r="R485" i="12" s="1"/>
  <c r="I485" i="12"/>
  <c r="J485" i="12"/>
  <c r="A486" i="12"/>
  <c r="B486" i="12"/>
  <c r="D486" i="12"/>
  <c r="E486" i="12"/>
  <c r="F486" i="12"/>
  <c r="G486" i="12"/>
  <c r="Q486" i="12" s="1"/>
  <c r="H486" i="12"/>
  <c r="I486" i="12"/>
  <c r="J486" i="12"/>
  <c r="A487" i="12"/>
  <c r="B487" i="12"/>
  <c r="D487" i="12"/>
  <c r="E487" i="12"/>
  <c r="F487" i="12"/>
  <c r="P487" i="12" s="1"/>
  <c r="G487" i="12"/>
  <c r="H487" i="12"/>
  <c r="I487" i="12"/>
  <c r="J487" i="12"/>
  <c r="A488" i="12"/>
  <c r="B488" i="12"/>
  <c r="D488" i="12"/>
  <c r="E488" i="12"/>
  <c r="F488" i="12"/>
  <c r="G488" i="12"/>
  <c r="H488" i="12"/>
  <c r="I488" i="12"/>
  <c r="J488" i="12"/>
  <c r="A489" i="12"/>
  <c r="B489" i="12"/>
  <c r="D489" i="12"/>
  <c r="E489" i="12"/>
  <c r="F489" i="12"/>
  <c r="G489" i="12"/>
  <c r="H489" i="12"/>
  <c r="I489" i="12"/>
  <c r="J489" i="12"/>
  <c r="A490" i="12"/>
  <c r="B490" i="12"/>
  <c r="L490" i="12" s="1"/>
  <c r="D490" i="12"/>
  <c r="E490" i="12"/>
  <c r="F490" i="12"/>
  <c r="G490" i="12"/>
  <c r="H490" i="12"/>
  <c r="I490" i="12"/>
  <c r="J490" i="12"/>
  <c r="A491" i="12"/>
  <c r="B491" i="12"/>
  <c r="D491" i="12"/>
  <c r="E491" i="12"/>
  <c r="F491" i="12"/>
  <c r="G491" i="12"/>
  <c r="H491" i="12"/>
  <c r="I491" i="12"/>
  <c r="J491" i="12"/>
  <c r="T491" i="12" s="1"/>
  <c r="A492" i="12"/>
  <c r="B492" i="12"/>
  <c r="D492" i="12"/>
  <c r="E492" i="12"/>
  <c r="F492" i="12"/>
  <c r="G492" i="12"/>
  <c r="H492" i="12"/>
  <c r="I492" i="12"/>
  <c r="S492" i="12" s="1"/>
  <c r="J492" i="12"/>
  <c r="A493" i="12"/>
  <c r="B493" i="12"/>
  <c r="D493" i="12"/>
  <c r="E493" i="12"/>
  <c r="F493" i="12"/>
  <c r="G493" i="12"/>
  <c r="H493" i="12"/>
  <c r="R493" i="12" s="1"/>
  <c r="I493" i="12"/>
  <c r="J493" i="12"/>
  <c r="A494" i="12"/>
  <c r="B494" i="12"/>
  <c r="D494" i="12"/>
  <c r="E494" i="12"/>
  <c r="F494" i="12"/>
  <c r="G494" i="12"/>
  <c r="Q494" i="12" s="1"/>
  <c r="H494" i="12"/>
  <c r="I494" i="12"/>
  <c r="J494" i="12"/>
  <c r="A495" i="12"/>
  <c r="B495" i="12"/>
  <c r="D495" i="12"/>
  <c r="E495" i="12"/>
  <c r="F495" i="12"/>
  <c r="P495" i="12" s="1"/>
  <c r="G495" i="12"/>
  <c r="H495" i="12"/>
  <c r="I495" i="12"/>
  <c r="J495" i="12"/>
  <c r="A496" i="12"/>
  <c r="B496" i="12"/>
  <c r="D496" i="12"/>
  <c r="E496" i="12"/>
  <c r="F496" i="12"/>
  <c r="G496" i="12"/>
  <c r="H496" i="12"/>
  <c r="I496" i="12"/>
  <c r="J496" i="12"/>
  <c r="A497" i="12"/>
  <c r="B497" i="12"/>
  <c r="D497" i="12"/>
  <c r="E497" i="12"/>
  <c r="F497" i="12"/>
  <c r="G497" i="12"/>
  <c r="H497" i="12"/>
  <c r="I497" i="12"/>
  <c r="J497" i="12"/>
  <c r="A498" i="12"/>
  <c r="B498" i="12"/>
  <c r="L498" i="12" s="1"/>
  <c r="D498" i="12"/>
  <c r="E498" i="12"/>
  <c r="F498" i="12"/>
  <c r="G498" i="12"/>
  <c r="H498" i="12"/>
  <c r="I498" i="12"/>
  <c r="J498" i="12"/>
  <c r="A499" i="12"/>
  <c r="B499" i="12"/>
  <c r="D499" i="12"/>
  <c r="E499" i="12"/>
  <c r="F499" i="12"/>
  <c r="G499" i="12"/>
  <c r="H499" i="12"/>
  <c r="I499" i="12"/>
  <c r="J499" i="12"/>
  <c r="T499" i="12" s="1"/>
  <c r="A500" i="12"/>
  <c r="B500" i="12"/>
  <c r="D500" i="12"/>
  <c r="E500" i="12"/>
  <c r="F500" i="12"/>
  <c r="G500" i="12"/>
  <c r="H500" i="12"/>
  <c r="I500" i="12"/>
  <c r="S500" i="12" s="1"/>
  <c r="J500" i="12"/>
  <c r="A501" i="12"/>
  <c r="B501" i="12"/>
  <c r="D501" i="12"/>
  <c r="E501" i="12"/>
  <c r="F501" i="12"/>
  <c r="G501" i="12"/>
  <c r="H501" i="12"/>
  <c r="R501" i="12" s="1"/>
  <c r="I501" i="12"/>
  <c r="J501" i="12"/>
  <c r="A502" i="12"/>
  <c r="B502" i="12"/>
  <c r="D502" i="12"/>
  <c r="E502" i="12"/>
  <c r="F502" i="12"/>
  <c r="G502" i="12"/>
  <c r="Q502" i="12" s="1"/>
  <c r="H502" i="12"/>
  <c r="I502" i="12"/>
  <c r="J502" i="12"/>
  <c r="A503" i="12"/>
  <c r="B503" i="12"/>
  <c r="D503" i="12"/>
  <c r="E503" i="12"/>
  <c r="F503" i="12"/>
  <c r="P503" i="12" s="1"/>
  <c r="G503" i="12"/>
  <c r="H503" i="12"/>
  <c r="I503" i="12"/>
  <c r="J503" i="12"/>
  <c r="A504" i="12"/>
  <c r="B504" i="12"/>
  <c r="D504" i="12"/>
  <c r="E504" i="12"/>
  <c r="F504" i="12"/>
  <c r="G504" i="12"/>
  <c r="H504" i="12"/>
  <c r="I504" i="12"/>
  <c r="J504" i="12"/>
  <c r="A505" i="12"/>
  <c r="B505" i="12"/>
  <c r="D505" i="12"/>
  <c r="E505" i="12"/>
  <c r="F505" i="12"/>
  <c r="G505" i="12"/>
  <c r="H505" i="12"/>
  <c r="I505" i="12"/>
  <c r="J505" i="12"/>
  <c r="A506" i="12"/>
  <c r="B506" i="12"/>
  <c r="L506" i="12" s="1"/>
  <c r="D506" i="12"/>
  <c r="E506" i="12"/>
  <c r="F506" i="12"/>
  <c r="G506" i="12"/>
  <c r="H506" i="12"/>
  <c r="I506" i="12"/>
  <c r="J506" i="12"/>
  <c r="A507" i="12"/>
  <c r="B507" i="12"/>
  <c r="D507" i="12"/>
  <c r="E507" i="12"/>
  <c r="F507" i="12"/>
  <c r="G507" i="12"/>
  <c r="H507" i="12"/>
  <c r="I507" i="12"/>
  <c r="J507" i="12"/>
  <c r="T507" i="12" s="1"/>
  <c r="A508" i="12"/>
  <c r="B508" i="12"/>
  <c r="D508" i="12"/>
  <c r="E508" i="12"/>
  <c r="F508" i="12"/>
  <c r="G508" i="12"/>
  <c r="H508" i="12"/>
  <c r="I508" i="12"/>
  <c r="S508" i="12" s="1"/>
  <c r="J508" i="12"/>
  <c r="A509" i="12"/>
  <c r="B509" i="12"/>
  <c r="D509" i="12"/>
  <c r="E509" i="12"/>
  <c r="F509" i="12"/>
  <c r="G509" i="12"/>
  <c r="H509" i="12"/>
  <c r="R509" i="12" s="1"/>
  <c r="I509" i="12"/>
  <c r="J509" i="12"/>
  <c r="A510" i="12"/>
  <c r="B510" i="12"/>
  <c r="D510" i="12"/>
  <c r="E510" i="12"/>
  <c r="F510" i="12"/>
  <c r="G510" i="12"/>
  <c r="Q510" i="12" s="1"/>
  <c r="H510" i="12"/>
  <c r="I510" i="12"/>
  <c r="J510" i="12"/>
  <c r="A511" i="12"/>
  <c r="B511" i="12"/>
  <c r="D511" i="12"/>
  <c r="E511" i="12"/>
  <c r="F511" i="12"/>
  <c r="P511" i="12" s="1"/>
  <c r="G511" i="12"/>
  <c r="H511" i="12"/>
  <c r="I511" i="12"/>
  <c r="J511" i="12"/>
  <c r="A512" i="12"/>
  <c r="B512" i="12"/>
  <c r="D512" i="12"/>
  <c r="E512" i="12"/>
  <c r="F512" i="12"/>
  <c r="G512" i="12"/>
  <c r="H512" i="12"/>
  <c r="I512" i="12"/>
  <c r="J512" i="12"/>
  <c r="A513" i="12"/>
  <c r="B513" i="12"/>
  <c r="D513" i="12"/>
  <c r="E513" i="12"/>
  <c r="F513" i="12"/>
  <c r="G513" i="12"/>
  <c r="H513" i="12"/>
  <c r="I513" i="12"/>
  <c r="J513" i="12"/>
  <c r="A514" i="12"/>
  <c r="B514" i="12"/>
  <c r="L514" i="12" s="1"/>
  <c r="D514" i="12"/>
  <c r="E514" i="12"/>
  <c r="F514" i="12"/>
  <c r="G514" i="12"/>
  <c r="H514" i="12"/>
  <c r="I514" i="12"/>
  <c r="J514" i="12"/>
  <c r="A515" i="12"/>
  <c r="B515" i="12"/>
  <c r="D515" i="12"/>
  <c r="E515" i="12"/>
  <c r="F515" i="12"/>
  <c r="G515" i="12"/>
  <c r="H515" i="12"/>
  <c r="I515" i="12"/>
  <c r="J515" i="12"/>
  <c r="T515" i="12" s="1"/>
  <c r="A516" i="12"/>
  <c r="B516" i="12"/>
  <c r="D516" i="12"/>
  <c r="E516" i="12"/>
  <c r="F516" i="12"/>
  <c r="G516" i="12"/>
  <c r="H516" i="12"/>
  <c r="I516" i="12"/>
  <c r="S516" i="12" s="1"/>
  <c r="J516" i="12"/>
  <c r="A517" i="12"/>
  <c r="B517" i="12"/>
  <c r="D517" i="12"/>
  <c r="E517" i="12"/>
  <c r="F517" i="12"/>
  <c r="G517" i="12"/>
  <c r="H517" i="12"/>
  <c r="R517" i="12" s="1"/>
  <c r="I517" i="12"/>
  <c r="J517" i="12"/>
  <c r="A518" i="12"/>
  <c r="B518" i="12"/>
  <c r="D518" i="12"/>
  <c r="E518" i="12"/>
  <c r="F518" i="12"/>
  <c r="G518" i="12"/>
  <c r="Q518" i="12" s="1"/>
  <c r="H518" i="12"/>
  <c r="I518" i="12"/>
  <c r="J518" i="12"/>
  <c r="A519" i="12"/>
  <c r="B519" i="12"/>
  <c r="D519" i="12"/>
  <c r="E519" i="12"/>
  <c r="F519" i="12"/>
  <c r="P519" i="12" s="1"/>
  <c r="G519" i="12"/>
  <c r="H519" i="12"/>
  <c r="I519" i="12"/>
  <c r="J519" i="12"/>
  <c r="A520" i="12"/>
  <c r="B520" i="12"/>
  <c r="D520" i="12"/>
  <c r="E520" i="12"/>
  <c r="O520" i="12" s="1"/>
  <c r="F520" i="12"/>
  <c r="G520" i="12"/>
  <c r="H520" i="12"/>
  <c r="I520" i="12"/>
  <c r="J520" i="12"/>
  <c r="A521" i="12"/>
  <c r="B521" i="12"/>
  <c r="D521" i="12"/>
  <c r="E521" i="12"/>
  <c r="F521" i="12"/>
  <c r="G521" i="12"/>
  <c r="H521" i="12"/>
  <c r="I521" i="12"/>
  <c r="J521" i="12"/>
  <c r="A522" i="12"/>
  <c r="B522" i="12"/>
  <c r="L522" i="12" s="1"/>
  <c r="D522" i="12"/>
  <c r="E522" i="12"/>
  <c r="F522" i="12"/>
  <c r="G522" i="12"/>
  <c r="H522" i="12"/>
  <c r="I522" i="12"/>
  <c r="J522" i="12"/>
  <c r="A523" i="12"/>
  <c r="B523" i="12"/>
  <c r="D523" i="12"/>
  <c r="E523" i="12"/>
  <c r="F523" i="12"/>
  <c r="G523" i="12"/>
  <c r="H523" i="12"/>
  <c r="I523" i="12"/>
  <c r="J523" i="12"/>
  <c r="T523" i="12" s="1"/>
  <c r="A524" i="12"/>
  <c r="B524" i="12"/>
  <c r="D524" i="12"/>
  <c r="E524" i="12"/>
  <c r="F524" i="12"/>
  <c r="G524" i="12"/>
  <c r="H524" i="12"/>
  <c r="I524" i="12"/>
  <c r="S524" i="12" s="1"/>
  <c r="J524" i="12"/>
  <c r="A525" i="12"/>
  <c r="B525" i="12"/>
  <c r="D525" i="12"/>
  <c r="E525" i="12"/>
  <c r="F525" i="12"/>
  <c r="G525" i="12"/>
  <c r="H525" i="12"/>
  <c r="R525" i="12" s="1"/>
  <c r="I525" i="12"/>
  <c r="J525" i="12"/>
  <c r="A526" i="12"/>
  <c r="B526" i="12"/>
  <c r="D526" i="12"/>
  <c r="E526" i="12"/>
  <c r="F526" i="12"/>
  <c r="G526" i="12"/>
  <c r="Q526" i="12" s="1"/>
  <c r="H526" i="12"/>
  <c r="I526" i="12"/>
  <c r="J526" i="12"/>
  <c r="A527" i="12"/>
  <c r="B527" i="12"/>
  <c r="D527" i="12"/>
  <c r="E527" i="12"/>
  <c r="F527" i="12"/>
  <c r="P527" i="12" s="1"/>
  <c r="G527" i="12"/>
  <c r="H527" i="12"/>
  <c r="I527" i="12"/>
  <c r="J527" i="12"/>
  <c r="A528" i="12"/>
  <c r="B528" i="12"/>
  <c r="D528" i="12"/>
  <c r="E528" i="12"/>
  <c r="F528" i="12"/>
  <c r="G528" i="12"/>
  <c r="H528" i="12"/>
  <c r="I528" i="12"/>
  <c r="J528" i="12"/>
  <c r="A529" i="12"/>
  <c r="B529" i="12"/>
  <c r="D529" i="12"/>
  <c r="E529" i="12"/>
  <c r="F529" i="12"/>
  <c r="G529" i="12"/>
  <c r="H529" i="12"/>
  <c r="I529" i="12"/>
  <c r="J529" i="12"/>
  <c r="A530" i="12"/>
  <c r="B530" i="12"/>
  <c r="L530" i="12" s="1"/>
  <c r="D530" i="12"/>
  <c r="E530" i="12"/>
  <c r="F530" i="12"/>
  <c r="G530" i="12"/>
  <c r="H530" i="12"/>
  <c r="I530" i="12"/>
  <c r="J530" i="12"/>
  <c r="A531" i="12"/>
  <c r="B531" i="12"/>
  <c r="D531" i="12"/>
  <c r="E531" i="12"/>
  <c r="F531" i="12"/>
  <c r="G531" i="12"/>
  <c r="H531" i="12"/>
  <c r="I531" i="12"/>
  <c r="J531" i="12"/>
  <c r="T531" i="12" s="1"/>
  <c r="A532" i="12"/>
  <c r="B532" i="12"/>
  <c r="D532" i="12"/>
  <c r="E532" i="12"/>
  <c r="F532" i="12"/>
  <c r="G532" i="12"/>
  <c r="H532" i="12"/>
  <c r="I532" i="12"/>
  <c r="S532" i="12" s="1"/>
  <c r="J532" i="12"/>
  <c r="A533" i="12"/>
  <c r="B533" i="12"/>
  <c r="D533" i="12"/>
  <c r="E533" i="12"/>
  <c r="F533" i="12"/>
  <c r="G533" i="12"/>
  <c r="H533" i="12"/>
  <c r="R533" i="12" s="1"/>
  <c r="I533" i="12"/>
  <c r="J533" i="12"/>
  <c r="A534" i="12"/>
  <c r="B534" i="12"/>
  <c r="D534" i="12"/>
  <c r="E534" i="12"/>
  <c r="F534" i="12"/>
  <c r="G534" i="12"/>
  <c r="Q534" i="12" s="1"/>
  <c r="H534" i="12"/>
  <c r="I534" i="12"/>
  <c r="J534" i="12"/>
  <c r="A535" i="12"/>
  <c r="B535" i="12"/>
  <c r="D535" i="12"/>
  <c r="E535" i="12"/>
  <c r="F535" i="12"/>
  <c r="P535" i="12" s="1"/>
  <c r="G535" i="12"/>
  <c r="H535" i="12"/>
  <c r="I535" i="12"/>
  <c r="J535" i="12"/>
  <c r="A536" i="12"/>
  <c r="B536" i="12"/>
  <c r="D536" i="12"/>
  <c r="E536" i="12"/>
  <c r="F536" i="12"/>
  <c r="G536" i="12"/>
  <c r="H536" i="12"/>
  <c r="I536" i="12"/>
  <c r="J536" i="12"/>
  <c r="A537" i="12"/>
  <c r="B537" i="12"/>
  <c r="D537" i="12"/>
  <c r="E537" i="12"/>
  <c r="F537" i="12"/>
  <c r="G537" i="12"/>
  <c r="H537" i="12"/>
  <c r="I537" i="12"/>
  <c r="J537" i="12"/>
  <c r="A538" i="12"/>
  <c r="B538" i="12"/>
  <c r="L538" i="12" s="1"/>
  <c r="D538" i="12"/>
  <c r="E538" i="12"/>
  <c r="F538" i="12"/>
  <c r="G538" i="12"/>
  <c r="H538" i="12"/>
  <c r="I538" i="12"/>
  <c r="J538" i="12"/>
  <c r="A539" i="12"/>
  <c r="B539" i="12"/>
  <c r="D539" i="12"/>
  <c r="E539" i="12"/>
  <c r="F539" i="12"/>
  <c r="G539" i="12"/>
  <c r="H539" i="12"/>
  <c r="I539" i="12"/>
  <c r="J539" i="12"/>
  <c r="T539" i="12" s="1"/>
  <c r="A540" i="12"/>
  <c r="B540" i="12"/>
  <c r="D540" i="12"/>
  <c r="E540" i="12"/>
  <c r="F540" i="12"/>
  <c r="G540" i="12"/>
  <c r="H540" i="12"/>
  <c r="I540" i="12"/>
  <c r="S540" i="12" s="1"/>
  <c r="J540" i="12"/>
  <c r="A541" i="12"/>
  <c r="B541" i="12"/>
  <c r="D541" i="12"/>
  <c r="E541" i="12"/>
  <c r="F541" i="12"/>
  <c r="G541" i="12"/>
  <c r="H541" i="12"/>
  <c r="R541" i="12" s="1"/>
  <c r="I541" i="12"/>
  <c r="J541" i="12"/>
  <c r="A542" i="12"/>
  <c r="B542" i="12"/>
  <c r="D542" i="12"/>
  <c r="E542" i="12"/>
  <c r="F542" i="12"/>
  <c r="G542" i="12"/>
  <c r="Q542" i="12" s="1"/>
  <c r="H542" i="12"/>
  <c r="I542" i="12"/>
  <c r="J542" i="12"/>
  <c r="A543" i="12"/>
  <c r="B543" i="12"/>
  <c r="D543" i="12"/>
  <c r="E543" i="12"/>
  <c r="F543" i="12"/>
  <c r="P543" i="12" s="1"/>
  <c r="G543" i="12"/>
  <c r="H543" i="12"/>
  <c r="I543" i="12"/>
  <c r="J543" i="12"/>
  <c r="A544" i="12"/>
  <c r="B544" i="12"/>
  <c r="D544" i="12"/>
  <c r="E544" i="12"/>
  <c r="F544" i="12"/>
  <c r="G544" i="12"/>
  <c r="H544" i="12"/>
  <c r="I544" i="12"/>
  <c r="J544" i="12"/>
  <c r="A545" i="12"/>
  <c r="B545" i="12"/>
  <c r="D545" i="12"/>
  <c r="E545" i="12"/>
  <c r="F545" i="12"/>
  <c r="G545" i="12"/>
  <c r="H545" i="12"/>
  <c r="I545" i="12"/>
  <c r="J545" i="12"/>
  <c r="A546" i="12"/>
  <c r="B546" i="12"/>
  <c r="L546" i="12" s="1"/>
  <c r="D546" i="12"/>
  <c r="E546" i="12"/>
  <c r="F546" i="12"/>
  <c r="G546" i="12"/>
  <c r="H546" i="12"/>
  <c r="I546" i="12"/>
  <c r="J546" i="12"/>
  <c r="A547" i="12"/>
  <c r="B547" i="12"/>
  <c r="D547" i="12"/>
  <c r="E547" i="12"/>
  <c r="F547" i="12"/>
  <c r="G547" i="12"/>
  <c r="H547" i="12"/>
  <c r="I547" i="12"/>
  <c r="J547" i="12"/>
  <c r="T547" i="12" s="1"/>
  <c r="A548" i="12"/>
  <c r="B548" i="12"/>
  <c r="D548" i="12"/>
  <c r="E548" i="12"/>
  <c r="F548" i="12"/>
  <c r="G548" i="12"/>
  <c r="H548" i="12"/>
  <c r="I548" i="12"/>
  <c r="S548" i="12" s="1"/>
  <c r="J548" i="12"/>
  <c r="A549" i="12"/>
  <c r="B549" i="12"/>
  <c r="D549" i="12"/>
  <c r="E549" i="12"/>
  <c r="F549" i="12"/>
  <c r="G549" i="12"/>
  <c r="H549" i="12"/>
  <c r="R549" i="12" s="1"/>
  <c r="I549" i="12"/>
  <c r="J549" i="12"/>
  <c r="A550" i="12"/>
  <c r="B550" i="12"/>
  <c r="D550" i="12"/>
  <c r="E550" i="12"/>
  <c r="F550" i="12"/>
  <c r="G550" i="12"/>
  <c r="Q550" i="12" s="1"/>
  <c r="H550" i="12"/>
  <c r="I550" i="12"/>
  <c r="J550" i="12"/>
  <c r="A551" i="12"/>
  <c r="B551" i="12"/>
  <c r="D551" i="12"/>
  <c r="E551" i="12"/>
  <c r="F551" i="12"/>
  <c r="P551" i="12" s="1"/>
  <c r="G551" i="12"/>
  <c r="H551" i="12"/>
  <c r="I551" i="12"/>
  <c r="J551" i="12"/>
  <c r="A552" i="12"/>
  <c r="B552" i="12"/>
  <c r="D552" i="12"/>
  <c r="E552" i="12"/>
  <c r="O552" i="12" s="1"/>
  <c r="F552" i="12"/>
  <c r="G552" i="12"/>
  <c r="H552" i="12"/>
  <c r="I552" i="12"/>
  <c r="J552" i="12"/>
  <c r="A553" i="12"/>
  <c r="B553" i="12"/>
  <c r="D553" i="12"/>
  <c r="E553" i="12"/>
  <c r="F553" i="12"/>
  <c r="G553" i="12"/>
  <c r="H553" i="12"/>
  <c r="I553" i="12"/>
  <c r="J553" i="12"/>
  <c r="A554" i="12"/>
  <c r="B554" i="12"/>
  <c r="L554" i="12" s="1"/>
  <c r="D554" i="12"/>
  <c r="E554" i="12"/>
  <c r="F554" i="12"/>
  <c r="G554" i="12"/>
  <c r="H554" i="12"/>
  <c r="I554" i="12"/>
  <c r="J554" i="12"/>
  <c r="A555" i="12"/>
  <c r="B555" i="12"/>
  <c r="D555" i="12"/>
  <c r="E555" i="12"/>
  <c r="F555" i="12"/>
  <c r="G555" i="12"/>
  <c r="H555" i="12"/>
  <c r="I555" i="12"/>
  <c r="J555" i="12"/>
  <c r="T555" i="12" s="1"/>
  <c r="A556" i="12"/>
  <c r="B556" i="12"/>
  <c r="D556" i="12"/>
  <c r="E556" i="12"/>
  <c r="F556" i="12"/>
  <c r="G556" i="12"/>
  <c r="H556" i="12"/>
  <c r="I556" i="12"/>
  <c r="S556" i="12" s="1"/>
  <c r="J556" i="12"/>
  <c r="A557" i="12"/>
  <c r="B557" i="12"/>
  <c r="D557" i="12"/>
  <c r="E557" i="12"/>
  <c r="F557" i="12"/>
  <c r="G557" i="12"/>
  <c r="H557" i="12"/>
  <c r="R557" i="12" s="1"/>
  <c r="I557" i="12"/>
  <c r="J557" i="12"/>
  <c r="A558" i="12"/>
  <c r="B558" i="12"/>
  <c r="D558" i="12"/>
  <c r="E558" i="12"/>
  <c r="F558" i="12"/>
  <c r="G558" i="12"/>
  <c r="Q558" i="12" s="1"/>
  <c r="H558" i="12"/>
  <c r="I558" i="12"/>
  <c r="J558" i="12"/>
  <c r="A559" i="12"/>
  <c r="B559" i="12"/>
  <c r="D559" i="12"/>
  <c r="E559" i="12"/>
  <c r="F559" i="12"/>
  <c r="P559" i="12" s="1"/>
  <c r="G559" i="12"/>
  <c r="H559" i="12"/>
  <c r="I559" i="12"/>
  <c r="J559" i="12"/>
  <c r="A560" i="12"/>
  <c r="B560" i="12"/>
  <c r="D560" i="12"/>
  <c r="E560" i="12"/>
  <c r="F560" i="12"/>
  <c r="G560" i="12"/>
  <c r="H560" i="12"/>
  <c r="I560" i="12"/>
  <c r="J560" i="12"/>
  <c r="A561" i="12"/>
  <c r="B561" i="12"/>
  <c r="D561" i="12"/>
  <c r="E561" i="12"/>
  <c r="F561" i="12"/>
  <c r="G561" i="12"/>
  <c r="H561" i="12"/>
  <c r="I561" i="12"/>
  <c r="J561" i="12"/>
  <c r="A562" i="12"/>
  <c r="B562" i="12"/>
  <c r="L562" i="12" s="1"/>
  <c r="D562" i="12"/>
  <c r="E562" i="12"/>
  <c r="F562" i="12"/>
  <c r="G562" i="12"/>
  <c r="H562" i="12"/>
  <c r="I562" i="12"/>
  <c r="J562" i="12"/>
  <c r="A563" i="12"/>
  <c r="B563" i="12"/>
  <c r="D563" i="12"/>
  <c r="E563" i="12"/>
  <c r="F563" i="12"/>
  <c r="G563" i="12"/>
  <c r="H563" i="12"/>
  <c r="I563" i="12"/>
  <c r="J563" i="12"/>
  <c r="T563" i="12" s="1"/>
  <c r="A564" i="12"/>
  <c r="B564" i="12"/>
  <c r="D564" i="12"/>
  <c r="E564" i="12"/>
  <c r="F564" i="12"/>
  <c r="G564" i="12"/>
  <c r="H564" i="12"/>
  <c r="I564" i="12"/>
  <c r="S564" i="12" s="1"/>
  <c r="J564" i="12"/>
  <c r="A565" i="12"/>
  <c r="B565" i="12"/>
  <c r="D565" i="12"/>
  <c r="E565" i="12"/>
  <c r="F565" i="12"/>
  <c r="G565" i="12"/>
  <c r="H565" i="12"/>
  <c r="R565" i="12" s="1"/>
  <c r="I565" i="12"/>
  <c r="J565" i="12"/>
  <c r="A566" i="12"/>
  <c r="B566" i="12"/>
  <c r="D566" i="12"/>
  <c r="E566" i="12"/>
  <c r="F566" i="12"/>
  <c r="G566" i="12"/>
  <c r="Q566" i="12" s="1"/>
  <c r="H566" i="12"/>
  <c r="I566" i="12"/>
  <c r="J566" i="12"/>
  <c r="A567" i="12"/>
  <c r="B567" i="12"/>
  <c r="D567" i="12"/>
  <c r="E567" i="12"/>
  <c r="F567" i="12"/>
  <c r="P567" i="12" s="1"/>
  <c r="G567" i="12"/>
  <c r="H567" i="12"/>
  <c r="I567" i="12"/>
  <c r="J567" i="12"/>
  <c r="A568" i="12"/>
  <c r="B568" i="12"/>
  <c r="D568" i="12"/>
  <c r="E568" i="12"/>
  <c r="F568" i="12"/>
  <c r="G568" i="12"/>
  <c r="H568" i="12"/>
  <c r="I568" i="12"/>
  <c r="J568" i="12"/>
  <c r="A569" i="12"/>
  <c r="B569" i="12"/>
  <c r="D569" i="12"/>
  <c r="E569" i="12"/>
  <c r="F569" i="12"/>
  <c r="G569" i="12"/>
  <c r="H569" i="12"/>
  <c r="I569" i="12"/>
  <c r="J569" i="12"/>
  <c r="A570" i="12"/>
  <c r="B570" i="12"/>
  <c r="L570" i="12" s="1"/>
  <c r="D570" i="12"/>
  <c r="E570" i="12"/>
  <c r="F570" i="12"/>
  <c r="G570" i="12"/>
  <c r="H570" i="12"/>
  <c r="I570" i="12"/>
  <c r="J570" i="12"/>
  <c r="A571" i="12"/>
  <c r="B571" i="12"/>
  <c r="D571" i="12"/>
  <c r="E571" i="12"/>
  <c r="F571" i="12"/>
  <c r="G571" i="12"/>
  <c r="H571" i="12"/>
  <c r="I571" i="12"/>
  <c r="J571" i="12"/>
  <c r="T571" i="12" s="1"/>
  <c r="A572" i="12"/>
  <c r="B572" i="12"/>
  <c r="D572" i="12"/>
  <c r="E572" i="12"/>
  <c r="F572" i="12"/>
  <c r="G572" i="12"/>
  <c r="H572" i="12"/>
  <c r="I572" i="12"/>
  <c r="S572" i="12" s="1"/>
  <c r="J572" i="12"/>
  <c r="A573" i="12"/>
  <c r="B573" i="12"/>
  <c r="D573" i="12"/>
  <c r="E573" i="12"/>
  <c r="F573" i="12"/>
  <c r="G573" i="12"/>
  <c r="H573" i="12"/>
  <c r="R573" i="12" s="1"/>
  <c r="I573" i="12"/>
  <c r="J573" i="12"/>
  <c r="A574" i="12"/>
  <c r="B574" i="12"/>
  <c r="D574" i="12"/>
  <c r="E574" i="12"/>
  <c r="F574" i="12"/>
  <c r="G574" i="12"/>
  <c r="Q574" i="12" s="1"/>
  <c r="H574" i="12"/>
  <c r="I574" i="12"/>
  <c r="J574" i="12"/>
  <c r="A575" i="12"/>
  <c r="B575" i="12"/>
  <c r="D575" i="12"/>
  <c r="E575" i="12"/>
  <c r="F575" i="12"/>
  <c r="P575" i="12" s="1"/>
  <c r="G575" i="12"/>
  <c r="H575" i="12"/>
  <c r="I575" i="12"/>
  <c r="J575" i="12"/>
  <c r="A576" i="12"/>
  <c r="B576" i="12"/>
  <c r="D576" i="12"/>
  <c r="E576" i="12"/>
  <c r="F576" i="12"/>
  <c r="G576" i="12"/>
  <c r="H576" i="12"/>
  <c r="I576" i="12"/>
  <c r="J576" i="12"/>
  <c r="A577" i="12"/>
  <c r="B577" i="12"/>
  <c r="D577" i="12"/>
  <c r="E577" i="12"/>
  <c r="F577" i="12"/>
  <c r="G577" i="12"/>
  <c r="H577" i="12"/>
  <c r="I577" i="12"/>
  <c r="J577" i="12"/>
  <c r="A578" i="12"/>
  <c r="B578" i="12"/>
  <c r="L578" i="12" s="1"/>
  <c r="D578" i="12"/>
  <c r="E578" i="12"/>
  <c r="F578" i="12"/>
  <c r="G578" i="12"/>
  <c r="H578" i="12"/>
  <c r="I578" i="12"/>
  <c r="J578" i="12"/>
  <c r="A579" i="12"/>
  <c r="B579" i="12"/>
  <c r="D579" i="12"/>
  <c r="E579" i="12"/>
  <c r="F579" i="12"/>
  <c r="G579" i="12"/>
  <c r="H579" i="12"/>
  <c r="I579" i="12"/>
  <c r="J579" i="12"/>
  <c r="T579" i="12" s="1"/>
  <c r="A580" i="12"/>
  <c r="B580" i="12"/>
  <c r="D580" i="12"/>
  <c r="E580" i="12"/>
  <c r="F580" i="12"/>
  <c r="G580" i="12"/>
  <c r="H580" i="12"/>
  <c r="I580" i="12"/>
  <c r="S580" i="12" s="1"/>
  <c r="J580" i="12"/>
  <c r="A581" i="12"/>
  <c r="B581" i="12"/>
  <c r="D581" i="12"/>
  <c r="E581" i="12"/>
  <c r="F581" i="12"/>
  <c r="G581" i="12"/>
  <c r="H581" i="12"/>
  <c r="R581" i="12" s="1"/>
  <c r="I581" i="12"/>
  <c r="J581" i="12"/>
  <c r="A582" i="12"/>
  <c r="B582" i="12"/>
  <c r="D582" i="12"/>
  <c r="E582" i="12"/>
  <c r="F582" i="12"/>
  <c r="G582" i="12"/>
  <c r="Q582" i="12" s="1"/>
  <c r="H582" i="12"/>
  <c r="I582" i="12"/>
  <c r="J582" i="12"/>
  <c r="A583" i="12"/>
  <c r="B583" i="12"/>
  <c r="D583" i="12"/>
  <c r="E583" i="12"/>
  <c r="F583" i="12"/>
  <c r="P583" i="12" s="1"/>
  <c r="G583" i="12"/>
  <c r="H583" i="12"/>
  <c r="I583" i="12"/>
  <c r="J583" i="12"/>
  <c r="A584" i="12"/>
  <c r="B584" i="12"/>
  <c r="D584" i="12"/>
  <c r="E584" i="12"/>
  <c r="F584" i="12"/>
  <c r="G584" i="12"/>
  <c r="H584" i="12"/>
  <c r="I584" i="12"/>
  <c r="J584" i="12"/>
  <c r="A585" i="12"/>
  <c r="B585" i="12"/>
  <c r="D585" i="12"/>
  <c r="E585" i="12"/>
  <c r="F585" i="12"/>
  <c r="G585" i="12"/>
  <c r="H585" i="12"/>
  <c r="I585" i="12"/>
  <c r="J585" i="12"/>
  <c r="A586" i="12"/>
  <c r="B586" i="12"/>
  <c r="L586" i="12" s="1"/>
  <c r="D586" i="12"/>
  <c r="E586" i="12"/>
  <c r="F586" i="12"/>
  <c r="G586" i="12"/>
  <c r="H586" i="12"/>
  <c r="I586" i="12"/>
  <c r="J586" i="12"/>
  <c r="A587" i="12"/>
  <c r="B587" i="12"/>
  <c r="D587" i="12"/>
  <c r="E587" i="12"/>
  <c r="F587" i="12"/>
  <c r="G587" i="12"/>
  <c r="H587" i="12"/>
  <c r="I587" i="12"/>
  <c r="J587" i="12"/>
  <c r="T587" i="12" s="1"/>
  <c r="A588" i="12"/>
  <c r="B588" i="12"/>
  <c r="D588" i="12"/>
  <c r="E588" i="12"/>
  <c r="F588" i="12"/>
  <c r="G588" i="12"/>
  <c r="H588" i="12"/>
  <c r="I588" i="12"/>
  <c r="S588" i="12" s="1"/>
  <c r="J588" i="12"/>
  <c r="A589" i="12"/>
  <c r="B589" i="12"/>
  <c r="D589" i="12"/>
  <c r="E589" i="12"/>
  <c r="F589" i="12"/>
  <c r="G589" i="12"/>
  <c r="H589" i="12"/>
  <c r="R589" i="12" s="1"/>
  <c r="I589" i="12"/>
  <c r="J589" i="12"/>
  <c r="A590" i="12"/>
  <c r="B590" i="12"/>
  <c r="D590" i="12"/>
  <c r="E590" i="12"/>
  <c r="F590" i="12"/>
  <c r="G590" i="12"/>
  <c r="Q590" i="12" s="1"/>
  <c r="H590" i="12"/>
  <c r="I590" i="12"/>
  <c r="J590" i="12"/>
  <c r="A591" i="12"/>
  <c r="B591" i="12"/>
  <c r="D591" i="12"/>
  <c r="E591" i="12"/>
  <c r="F591" i="12"/>
  <c r="P591" i="12" s="1"/>
  <c r="G591" i="12"/>
  <c r="H591" i="12"/>
  <c r="I591" i="12"/>
  <c r="J591" i="12"/>
  <c r="A592" i="12"/>
  <c r="B592" i="12"/>
  <c r="D592" i="12"/>
  <c r="E592" i="12"/>
  <c r="F592" i="12"/>
  <c r="G592" i="12"/>
  <c r="H592" i="12"/>
  <c r="I592" i="12"/>
  <c r="J592" i="12"/>
  <c r="A593" i="12"/>
  <c r="B593" i="12"/>
  <c r="D593" i="12"/>
  <c r="N593" i="12" s="1"/>
  <c r="E593" i="12"/>
  <c r="F593" i="12"/>
  <c r="G593" i="12"/>
  <c r="H593" i="12"/>
  <c r="I593" i="12"/>
  <c r="J593" i="12"/>
  <c r="A594" i="12"/>
  <c r="B594" i="12"/>
  <c r="L594" i="12" s="1"/>
  <c r="D594" i="12"/>
  <c r="E594" i="12"/>
  <c r="F594" i="12"/>
  <c r="G594" i="12"/>
  <c r="H594" i="12"/>
  <c r="I594" i="12"/>
  <c r="J594" i="12"/>
  <c r="A595" i="12"/>
  <c r="B595" i="12"/>
  <c r="D595" i="12"/>
  <c r="E595" i="12"/>
  <c r="F595" i="12"/>
  <c r="G595" i="12"/>
  <c r="H595" i="12"/>
  <c r="I595" i="12"/>
  <c r="J595" i="12"/>
  <c r="T595" i="12" s="1"/>
  <c r="A596" i="12"/>
  <c r="B596" i="12"/>
  <c r="D596" i="12"/>
  <c r="E596" i="12"/>
  <c r="F596" i="12"/>
  <c r="G596" i="12"/>
  <c r="H596" i="12"/>
  <c r="I596" i="12"/>
  <c r="S596" i="12" s="1"/>
  <c r="J596" i="12"/>
  <c r="A597" i="12"/>
  <c r="B597" i="12"/>
  <c r="D597" i="12"/>
  <c r="E597" i="12"/>
  <c r="F597" i="12"/>
  <c r="G597" i="12"/>
  <c r="H597" i="12"/>
  <c r="R597" i="12" s="1"/>
  <c r="I597" i="12"/>
  <c r="J597" i="12"/>
  <c r="A598" i="12"/>
  <c r="B598" i="12"/>
  <c r="D598" i="12"/>
  <c r="E598" i="12"/>
  <c r="F598" i="12"/>
  <c r="G598" i="12"/>
  <c r="Q598" i="12" s="1"/>
  <c r="H598" i="12"/>
  <c r="I598" i="12"/>
  <c r="J598" i="12"/>
  <c r="A599" i="12"/>
  <c r="B599" i="12"/>
  <c r="D599" i="12"/>
  <c r="E599" i="12"/>
  <c r="F599" i="12"/>
  <c r="P599" i="12" s="1"/>
  <c r="G599" i="12"/>
  <c r="H599" i="12"/>
  <c r="I599" i="12"/>
  <c r="J599" i="12"/>
  <c r="A600" i="12"/>
  <c r="B600" i="12"/>
  <c r="D600" i="12"/>
  <c r="E600" i="12"/>
  <c r="F600" i="12"/>
  <c r="G600" i="12"/>
  <c r="H600" i="12"/>
  <c r="I600" i="12"/>
  <c r="J600" i="12"/>
  <c r="A601" i="12"/>
  <c r="B601" i="12"/>
  <c r="D601" i="12"/>
  <c r="E601" i="12"/>
  <c r="F601" i="12"/>
  <c r="G601" i="12"/>
  <c r="H601" i="12"/>
  <c r="I601" i="12"/>
  <c r="J601" i="12"/>
  <c r="A602" i="12"/>
  <c r="B602" i="12"/>
  <c r="L602" i="12" s="1"/>
  <c r="D602" i="12"/>
  <c r="E602" i="12"/>
  <c r="F602" i="12"/>
  <c r="G602" i="12"/>
  <c r="H602" i="12"/>
  <c r="I602" i="12"/>
  <c r="J602" i="12"/>
  <c r="A603" i="12"/>
  <c r="B603" i="12"/>
  <c r="D603" i="12"/>
  <c r="E603" i="12"/>
  <c r="F603" i="12"/>
  <c r="G603" i="12"/>
  <c r="H603" i="12"/>
  <c r="I603" i="12"/>
  <c r="J603" i="12"/>
  <c r="T603" i="12" s="1"/>
  <c r="A604" i="12"/>
  <c r="B604" i="12"/>
  <c r="D604" i="12"/>
  <c r="E604" i="12"/>
  <c r="F604" i="12"/>
  <c r="G604" i="12"/>
  <c r="H604" i="12"/>
  <c r="I604" i="12"/>
  <c r="S604" i="12" s="1"/>
  <c r="J604" i="12"/>
  <c r="A605" i="12"/>
  <c r="B605" i="12"/>
  <c r="D605" i="12"/>
  <c r="E605" i="12"/>
  <c r="F605" i="12"/>
  <c r="G605" i="12"/>
  <c r="H605" i="12"/>
  <c r="R605" i="12" s="1"/>
  <c r="I605" i="12"/>
  <c r="J605" i="12"/>
  <c r="A606" i="12"/>
  <c r="B606" i="12"/>
  <c r="D606" i="12"/>
  <c r="E606" i="12"/>
  <c r="F606" i="12"/>
  <c r="G606" i="12"/>
  <c r="Q606" i="12" s="1"/>
  <c r="H606" i="12"/>
  <c r="I606" i="12"/>
  <c r="J606" i="12"/>
  <c r="A607" i="12"/>
  <c r="B607" i="12"/>
  <c r="D607" i="12"/>
  <c r="E607" i="12"/>
  <c r="F607" i="12"/>
  <c r="P607" i="12" s="1"/>
  <c r="G607" i="12"/>
  <c r="H607" i="12"/>
  <c r="I607" i="12"/>
  <c r="J607" i="12"/>
  <c r="A608" i="12"/>
  <c r="B608" i="12"/>
  <c r="D608" i="12"/>
  <c r="E608" i="12"/>
  <c r="F608" i="12"/>
  <c r="G608" i="12"/>
  <c r="H608" i="12"/>
  <c r="I608" i="12"/>
  <c r="J608" i="12"/>
  <c r="A609" i="12"/>
  <c r="B609" i="12"/>
  <c r="D609" i="12"/>
  <c r="E609" i="12"/>
  <c r="F609" i="12"/>
  <c r="G609" i="12"/>
  <c r="H609" i="12"/>
  <c r="I609" i="12"/>
  <c r="J609" i="12"/>
  <c r="A610" i="12"/>
  <c r="B610" i="12"/>
  <c r="L610" i="12" s="1"/>
  <c r="D610" i="12"/>
  <c r="E610" i="12"/>
  <c r="F610" i="12"/>
  <c r="G610" i="12"/>
  <c r="H610" i="12"/>
  <c r="I610" i="12"/>
  <c r="J610" i="12"/>
  <c r="A611" i="12"/>
  <c r="B611" i="12"/>
  <c r="D611" i="12"/>
  <c r="E611" i="12"/>
  <c r="F611" i="12"/>
  <c r="G611" i="12"/>
  <c r="H611" i="12"/>
  <c r="I611" i="12"/>
  <c r="J611" i="12"/>
  <c r="T611" i="12" s="1"/>
  <c r="A612" i="12"/>
  <c r="B612" i="12"/>
  <c r="D612" i="12"/>
  <c r="E612" i="12"/>
  <c r="F612" i="12"/>
  <c r="G612" i="12"/>
  <c r="H612" i="12"/>
  <c r="I612" i="12"/>
  <c r="S612" i="12" s="1"/>
  <c r="J612" i="12"/>
  <c r="A613" i="12"/>
  <c r="B613" i="12"/>
  <c r="D613" i="12"/>
  <c r="E613" i="12"/>
  <c r="F613" i="12"/>
  <c r="G613" i="12"/>
  <c r="H613" i="12"/>
  <c r="R613" i="12" s="1"/>
  <c r="I613" i="12"/>
  <c r="J613" i="12"/>
  <c r="A614" i="12"/>
  <c r="B614" i="12"/>
  <c r="D614" i="12"/>
  <c r="E614" i="12"/>
  <c r="F614" i="12"/>
  <c r="G614" i="12"/>
  <c r="Q614" i="12" s="1"/>
  <c r="H614" i="12"/>
  <c r="I614" i="12"/>
  <c r="J614" i="12"/>
  <c r="A615" i="12"/>
  <c r="B615" i="12"/>
  <c r="D615" i="12"/>
  <c r="E615" i="12"/>
  <c r="F615" i="12"/>
  <c r="P615" i="12" s="1"/>
  <c r="G615" i="12"/>
  <c r="H615" i="12"/>
  <c r="I615" i="12"/>
  <c r="J615" i="12"/>
  <c r="A616" i="12"/>
  <c r="B616" i="12"/>
  <c r="D616" i="12"/>
  <c r="E616" i="12"/>
  <c r="F616" i="12"/>
  <c r="G616" i="12"/>
  <c r="H616" i="12"/>
  <c r="I616" i="12"/>
  <c r="J616" i="12"/>
  <c r="A617" i="12"/>
  <c r="B617" i="12"/>
  <c r="D617" i="12"/>
  <c r="E617" i="12"/>
  <c r="F617" i="12"/>
  <c r="G617" i="12"/>
  <c r="H617" i="12"/>
  <c r="I617" i="12"/>
  <c r="J617" i="12"/>
  <c r="A618" i="12"/>
  <c r="B618" i="12"/>
  <c r="L618" i="12" s="1"/>
  <c r="D618" i="12"/>
  <c r="E618" i="12"/>
  <c r="F618" i="12"/>
  <c r="G618" i="12"/>
  <c r="H618" i="12"/>
  <c r="I618" i="12"/>
  <c r="J618" i="12"/>
  <c r="A619" i="12"/>
  <c r="B619" i="12"/>
  <c r="D619" i="12"/>
  <c r="E619" i="12"/>
  <c r="F619" i="12"/>
  <c r="G619" i="12"/>
  <c r="H619" i="12"/>
  <c r="I619" i="12"/>
  <c r="J619" i="12"/>
  <c r="T619" i="12" s="1"/>
  <c r="A620" i="12"/>
  <c r="B620" i="12"/>
  <c r="D620" i="12"/>
  <c r="E620" i="12"/>
  <c r="F620" i="12"/>
  <c r="G620" i="12"/>
  <c r="H620" i="12"/>
  <c r="I620" i="12"/>
  <c r="S620" i="12" s="1"/>
  <c r="J620" i="12"/>
  <c r="A621" i="12"/>
  <c r="B621" i="12"/>
  <c r="D621" i="12"/>
  <c r="E621" i="12"/>
  <c r="F621" i="12"/>
  <c r="G621" i="12"/>
  <c r="H621" i="12"/>
  <c r="R621" i="12" s="1"/>
  <c r="I621" i="12"/>
  <c r="J621" i="12"/>
  <c r="A622" i="12"/>
  <c r="B622" i="12"/>
  <c r="D622" i="12"/>
  <c r="E622" i="12"/>
  <c r="F622" i="12"/>
  <c r="G622" i="12"/>
  <c r="Q622" i="12" s="1"/>
  <c r="H622" i="12"/>
  <c r="I622" i="12"/>
  <c r="J622" i="12"/>
  <c r="A623" i="12"/>
  <c r="B623" i="12"/>
  <c r="D623" i="12"/>
  <c r="E623" i="12"/>
  <c r="F623" i="12"/>
  <c r="P623" i="12" s="1"/>
  <c r="G623" i="12"/>
  <c r="H623" i="12"/>
  <c r="I623" i="12"/>
  <c r="J623" i="12"/>
  <c r="A624" i="12"/>
  <c r="B624" i="12"/>
  <c r="D624" i="12"/>
  <c r="E624" i="12"/>
  <c r="F624" i="12"/>
  <c r="G624" i="12"/>
  <c r="H624" i="12"/>
  <c r="I624" i="12"/>
  <c r="J624" i="12"/>
  <c r="A625" i="12"/>
  <c r="B625" i="12"/>
  <c r="D625" i="12"/>
  <c r="E625" i="12"/>
  <c r="F625" i="12"/>
  <c r="G625" i="12"/>
  <c r="H625" i="12"/>
  <c r="I625" i="12"/>
  <c r="J625" i="12"/>
  <c r="A626" i="12"/>
  <c r="B626" i="12"/>
  <c r="L626" i="12" s="1"/>
  <c r="D626" i="12"/>
  <c r="E626" i="12"/>
  <c r="F626" i="12"/>
  <c r="G626" i="12"/>
  <c r="H626" i="12"/>
  <c r="I626" i="12"/>
  <c r="J626" i="12"/>
  <c r="A627" i="12"/>
  <c r="B627" i="12"/>
  <c r="D627" i="12"/>
  <c r="E627" i="12"/>
  <c r="F627" i="12"/>
  <c r="G627" i="12"/>
  <c r="H627" i="12"/>
  <c r="I627" i="12"/>
  <c r="J627" i="12"/>
  <c r="T627" i="12" s="1"/>
  <c r="A628" i="12"/>
  <c r="B628" i="12"/>
  <c r="D628" i="12"/>
  <c r="E628" i="12"/>
  <c r="F628" i="12"/>
  <c r="G628" i="12"/>
  <c r="H628" i="12"/>
  <c r="I628" i="12"/>
  <c r="S628" i="12" s="1"/>
  <c r="J628" i="12"/>
  <c r="A629" i="12"/>
  <c r="B629" i="12"/>
  <c r="D629" i="12"/>
  <c r="E629" i="12"/>
  <c r="F629" i="12"/>
  <c r="G629" i="12"/>
  <c r="H629" i="12"/>
  <c r="R629" i="12" s="1"/>
  <c r="I629" i="12"/>
  <c r="J629" i="12"/>
  <c r="A630" i="12"/>
  <c r="B630" i="12"/>
  <c r="D630" i="12"/>
  <c r="E630" i="12"/>
  <c r="F630" i="12"/>
  <c r="G630" i="12"/>
  <c r="Q630" i="12" s="1"/>
  <c r="H630" i="12"/>
  <c r="I630" i="12"/>
  <c r="J630" i="12"/>
  <c r="A631" i="12"/>
  <c r="B631" i="12"/>
  <c r="D631" i="12"/>
  <c r="E631" i="12"/>
  <c r="F631" i="12"/>
  <c r="P631" i="12" s="1"/>
  <c r="G631" i="12"/>
  <c r="H631" i="12"/>
  <c r="I631" i="12"/>
  <c r="J631" i="12"/>
  <c r="A632" i="12"/>
  <c r="B632" i="12"/>
  <c r="D632" i="12"/>
  <c r="E632" i="12"/>
  <c r="F632" i="12"/>
  <c r="G632" i="12"/>
  <c r="H632" i="12"/>
  <c r="I632" i="12"/>
  <c r="J632" i="12"/>
  <c r="A633" i="12"/>
  <c r="B633" i="12"/>
  <c r="D633" i="12"/>
  <c r="E633" i="12"/>
  <c r="F633" i="12"/>
  <c r="G633" i="12"/>
  <c r="H633" i="12"/>
  <c r="I633" i="12"/>
  <c r="J633" i="12"/>
  <c r="A634" i="12"/>
  <c r="B634" i="12"/>
  <c r="L634" i="12" s="1"/>
  <c r="D634" i="12"/>
  <c r="E634" i="12"/>
  <c r="F634" i="12"/>
  <c r="G634" i="12"/>
  <c r="H634" i="12"/>
  <c r="I634" i="12"/>
  <c r="J634" i="12"/>
  <c r="A635" i="12"/>
  <c r="B635" i="12"/>
  <c r="D635" i="12"/>
  <c r="E635" i="12"/>
  <c r="F635" i="12"/>
  <c r="G635" i="12"/>
  <c r="H635" i="12"/>
  <c r="I635" i="12"/>
  <c r="J635" i="12"/>
  <c r="T635" i="12" s="1"/>
  <c r="A636" i="12"/>
  <c r="B636" i="12"/>
  <c r="D636" i="12"/>
  <c r="E636" i="12"/>
  <c r="F636" i="12"/>
  <c r="G636" i="12"/>
  <c r="H636" i="12"/>
  <c r="I636" i="12"/>
  <c r="S636" i="12" s="1"/>
  <c r="J636" i="12"/>
  <c r="A637" i="12"/>
  <c r="B637" i="12"/>
  <c r="D637" i="12"/>
  <c r="E637" i="12"/>
  <c r="F637" i="12"/>
  <c r="G637" i="12"/>
  <c r="H637" i="12"/>
  <c r="R637" i="12" s="1"/>
  <c r="I637" i="12"/>
  <c r="J637" i="12"/>
  <c r="A638" i="12"/>
  <c r="B638" i="12"/>
  <c r="D638" i="12"/>
  <c r="E638" i="12"/>
  <c r="F638" i="12"/>
  <c r="G638" i="12"/>
  <c r="Q638" i="12" s="1"/>
  <c r="H638" i="12"/>
  <c r="I638" i="12"/>
  <c r="J638" i="12"/>
  <c r="A639" i="12"/>
  <c r="B639" i="12"/>
  <c r="D639" i="12"/>
  <c r="E639" i="12"/>
  <c r="F639" i="12"/>
  <c r="P639" i="12" s="1"/>
  <c r="G639" i="12"/>
  <c r="H639" i="12"/>
  <c r="I639" i="12"/>
  <c r="J639" i="12"/>
  <c r="A640" i="12"/>
  <c r="B640" i="12"/>
  <c r="D640" i="12"/>
  <c r="E640" i="12"/>
  <c r="F640" i="12"/>
  <c r="G640" i="12"/>
  <c r="H640" i="12"/>
  <c r="I640" i="12"/>
  <c r="J640" i="12"/>
  <c r="A641" i="12"/>
  <c r="B641" i="12"/>
  <c r="D641" i="12"/>
  <c r="E641" i="12"/>
  <c r="F641" i="12"/>
  <c r="G641" i="12"/>
  <c r="H641" i="12"/>
  <c r="I641" i="12"/>
  <c r="J641" i="12"/>
  <c r="A642" i="12"/>
  <c r="B642" i="12"/>
  <c r="L642" i="12" s="1"/>
  <c r="D642" i="12"/>
  <c r="E642" i="12"/>
  <c r="F642" i="12"/>
  <c r="G642" i="12"/>
  <c r="H642" i="12"/>
  <c r="I642" i="12"/>
  <c r="J642" i="12"/>
  <c r="A643" i="12"/>
  <c r="B643" i="12"/>
  <c r="D643" i="12"/>
  <c r="E643" i="12"/>
  <c r="F643" i="12"/>
  <c r="G643" i="12"/>
  <c r="H643" i="12"/>
  <c r="I643" i="12"/>
  <c r="J643" i="12"/>
  <c r="T643" i="12" s="1"/>
  <c r="A644" i="12"/>
  <c r="B644" i="12"/>
  <c r="D644" i="12"/>
  <c r="E644" i="12"/>
  <c r="F644" i="12"/>
  <c r="G644" i="12"/>
  <c r="H644" i="12"/>
  <c r="I644" i="12"/>
  <c r="S644" i="12" s="1"/>
  <c r="J644" i="12"/>
  <c r="A645" i="12"/>
  <c r="B645" i="12"/>
  <c r="D645" i="12"/>
  <c r="E645" i="12"/>
  <c r="F645" i="12"/>
  <c r="G645" i="12"/>
  <c r="H645" i="12"/>
  <c r="R645" i="12" s="1"/>
  <c r="I645" i="12"/>
  <c r="J645" i="12"/>
  <c r="A646" i="12"/>
  <c r="B646" i="12"/>
  <c r="D646" i="12"/>
  <c r="E646" i="12"/>
  <c r="F646" i="12"/>
  <c r="G646" i="12"/>
  <c r="Q646" i="12" s="1"/>
  <c r="H646" i="12"/>
  <c r="I646" i="12"/>
  <c r="J646" i="12"/>
  <c r="A647" i="12"/>
  <c r="B647" i="12"/>
  <c r="D647" i="12"/>
  <c r="E647" i="12"/>
  <c r="F647" i="12"/>
  <c r="P647" i="12" s="1"/>
  <c r="G647" i="12"/>
  <c r="H647" i="12"/>
  <c r="I647" i="12"/>
  <c r="J647" i="12"/>
  <c r="A648" i="12"/>
  <c r="B648" i="12"/>
  <c r="D648" i="12"/>
  <c r="E648" i="12"/>
  <c r="F648" i="12"/>
  <c r="G648" i="12"/>
  <c r="H648" i="12"/>
  <c r="I648" i="12"/>
  <c r="J648" i="12"/>
  <c r="A649" i="12"/>
  <c r="B649" i="12"/>
  <c r="D649" i="12"/>
  <c r="E649" i="12"/>
  <c r="F649" i="12"/>
  <c r="G649" i="12"/>
  <c r="H649" i="12"/>
  <c r="I649" i="12"/>
  <c r="J649" i="12"/>
  <c r="A650" i="12"/>
  <c r="B650" i="12"/>
  <c r="L650" i="12" s="1"/>
  <c r="D650" i="12"/>
  <c r="E650" i="12"/>
  <c r="F650" i="12"/>
  <c r="G650" i="12"/>
  <c r="H650" i="12"/>
  <c r="I650" i="12"/>
  <c r="J650" i="12"/>
  <c r="A651" i="12"/>
  <c r="B651" i="12"/>
  <c r="D651" i="12"/>
  <c r="E651" i="12"/>
  <c r="F651" i="12"/>
  <c r="G651" i="12"/>
  <c r="H651" i="12"/>
  <c r="I651" i="12"/>
  <c r="J651" i="12"/>
  <c r="T651" i="12" s="1"/>
  <c r="A652" i="12"/>
  <c r="B652" i="12"/>
  <c r="D652" i="12"/>
  <c r="E652" i="12"/>
  <c r="F652" i="12"/>
  <c r="G652" i="12"/>
  <c r="H652" i="12"/>
  <c r="I652" i="12"/>
  <c r="S652" i="12" s="1"/>
  <c r="J652" i="12"/>
  <c r="A653" i="12"/>
  <c r="B653" i="12"/>
  <c r="D653" i="12"/>
  <c r="E653" i="12"/>
  <c r="F653" i="12"/>
  <c r="G653" i="12"/>
  <c r="H653" i="12"/>
  <c r="R653" i="12" s="1"/>
  <c r="I653" i="12"/>
  <c r="J653" i="12"/>
  <c r="A654" i="12"/>
  <c r="B654" i="12"/>
  <c r="D654" i="12"/>
  <c r="E654" i="12"/>
  <c r="F654" i="12"/>
  <c r="G654" i="12"/>
  <c r="Q654" i="12" s="1"/>
  <c r="H654" i="12"/>
  <c r="I654" i="12"/>
  <c r="J654" i="12"/>
  <c r="A655" i="12"/>
  <c r="B655" i="12"/>
  <c r="D655" i="12"/>
  <c r="E655" i="12"/>
  <c r="F655" i="12"/>
  <c r="P655" i="12" s="1"/>
  <c r="G655" i="12"/>
  <c r="H655" i="12"/>
  <c r="I655" i="12"/>
  <c r="J655" i="12"/>
  <c r="A656" i="12"/>
  <c r="B656" i="12"/>
  <c r="D656" i="12"/>
  <c r="E656" i="12"/>
  <c r="F656" i="12"/>
  <c r="G656" i="12"/>
  <c r="H656" i="12"/>
  <c r="I656" i="12"/>
  <c r="J656" i="12"/>
  <c r="A657" i="12"/>
  <c r="B657" i="12"/>
  <c r="D657" i="12"/>
  <c r="E657" i="12"/>
  <c r="F657" i="12"/>
  <c r="G657" i="12"/>
  <c r="H657" i="12"/>
  <c r="I657" i="12"/>
  <c r="J657" i="12"/>
  <c r="A658" i="12"/>
  <c r="B658" i="12"/>
  <c r="L658" i="12" s="1"/>
  <c r="D658" i="12"/>
  <c r="E658" i="12"/>
  <c r="F658" i="12"/>
  <c r="G658" i="12"/>
  <c r="H658" i="12"/>
  <c r="I658" i="12"/>
  <c r="J658" i="12"/>
  <c r="A659" i="12"/>
  <c r="B659" i="12"/>
  <c r="D659" i="12"/>
  <c r="E659" i="12"/>
  <c r="F659" i="12"/>
  <c r="G659" i="12"/>
  <c r="H659" i="12"/>
  <c r="I659" i="12"/>
  <c r="J659" i="12"/>
  <c r="T659" i="12" s="1"/>
  <c r="A660" i="12"/>
  <c r="B660" i="12"/>
  <c r="D660" i="12"/>
  <c r="E660" i="12"/>
  <c r="F660" i="12"/>
  <c r="G660" i="12"/>
  <c r="H660" i="12"/>
  <c r="I660" i="12"/>
  <c r="S660" i="12" s="1"/>
  <c r="J660" i="12"/>
  <c r="A661" i="12"/>
  <c r="B661" i="12"/>
  <c r="D661" i="12"/>
  <c r="E661" i="12"/>
  <c r="F661" i="12"/>
  <c r="G661" i="12"/>
  <c r="H661" i="12"/>
  <c r="R661" i="12" s="1"/>
  <c r="I661" i="12"/>
  <c r="J661" i="12"/>
  <c r="A662" i="12"/>
  <c r="B662" i="12"/>
  <c r="D662" i="12"/>
  <c r="E662" i="12"/>
  <c r="F662" i="12"/>
  <c r="G662" i="12"/>
  <c r="Q662" i="12" s="1"/>
  <c r="H662" i="12"/>
  <c r="I662" i="12"/>
  <c r="J662" i="12"/>
  <c r="A663" i="12"/>
  <c r="B663" i="12"/>
  <c r="D663" i="12"/>
  <c r="E663" i="12"/>
  <c r="F663" i="12"/>
  <c r="P663" i="12" s="1"/>
  <c r="G663" i="12"/>
  <c r="H663" i="12"/>
  <c r="I663" i="12"/>
  <c r="J663" i="12"/>
  <c r="A664" i="12"/>
  <c r="B664" i="12"/>
  <c r="D664" i="12"/>
  <c r="E664" i="12"/>
  <c r="F664" i="12"/>
  <c r="G664" i="12"/>
  <c r="H664" i="12"/>
  <c r="I664" i="12"/>
  <c r="J664" i="12"/>
  <c r="A665" i="12"/>
  <c r="B665" i="12"/>
  <c r="D665" i="12"/>
  <c r="E665" i="12"/>
  <c r="F665" i="12"/>
  <c r="G665" i="12"/>
  <c r="H665" i="12"/>
  <c r="I665" i="12"/>
  <c r="J665" i="12"/>
  <c r="A666" i="12"/>
  <c r="B666" i="12"/>
  <c r="L666" i="12" s="1"/>
  <c r="D666" i="12"/>
  <c r="E666" i="12"/>
  <c r="F666" i="12"/>
  <c r="G666" i="12"/>
  <c r="H666" i="12"/>
  <c r="I666" i="12"/>
  <c r="J666" i="12"/>
  <c r="A667" i="12"/>
  <c r="B667" i="12"/>
  <c r="D667" i="12"/>
  <c r="E667" i="12"/>
  <c r="F667" i="12"/>
  <c r="G667" i="12"/>
  <c r="H667" i="12"/>
  <c r="I667" i="12"/>
  <c r="J667" i="12"/>
  <c r="T667" i="12" s="1"/>
  <c r="A668" i="12"/>
  <c r="B668" i="12"/>
  <c r="D668" i="12"/>
  <c r="E668" i="12"/>
  <c r="F668" i="12"/>
  <c r="G668" i="12"/>
  <c r="H668" i="12"/>
  <c r="I668" i="12"/>
  <c r="S668" i="12" s="1"/>
  <c r="J668" i="12"/>
  <c r="A669" i="12"/>
  <c r="B669" i="12"/>
  <c r="D669" i="12"/>
  <c r="E669" i="12"/>
  <c r="F669" i="12"/>
  <c r="G669" i="12"/>
  <c r="H669" i="12"/>
  <c r="R669" i="12" s="1"/>
  <c r="I669" i="12"/>
  <c r="J669" i="12"/>
  <c r="A670" i="12"/>
  <c r="B670" i="12"/>
  <c r="D670" i="12"/>
  <c r="E670" i="12"/>
  <c r="F670" i="12"/>
  <c r="G670" i="12"/>
  <c r="Q670" i="12" s="1"/>
  <c r="H670" i="12"/>
  <c r="I670" i="12"/>
  <c r="J670" i="12"/>
  <c r="A671" i="12"/>
  <c r="B671" i="12"/>
  <c r="D671" i="12"/>
  <c r="E671" i="12"/>
  <c r="F671" i="12"/>
  <c r="P671" i="12" s="1"/>
  <c r="G671" i="12"/>
  <c r="H671" i="12"/>
  <c r="I671" i="12"/>
  <c r="J671" i="12"/>
  <c r="A672" i="12"/>
  <c r="B672" i="12"/>
  <c r="D672" i="12"/>
  <c r="E672" i="12"/>
  <c r="F672" i="12"/>
  <c r="G672" i="12"/>
  <c r="H672" i="12"/>
  <c r="I672" i="12"/>
  <c r="J672" i="12"/>
  <c r="A673" i="12"/>
  <c r="B673" i="12"/>
  <c r="D673" i="12"/>
  <c r="E673" i="12"/>
  <c r="F673" i="12"/>
  <c r="G673" i="12"/>
  <c r="H673" i="12"/>
  <c r="I673" i="12"/>
  <c r="J673" i="12"/>
  <c r="A674" i="12"/>
  <c r="B674" i="12"/>
  <c r="L674" i="12" s="1"/>
  <c r="D674" i="12"/>
  <c r="E674" i="12"/>
  <c r="F674" i="12"/>
  <c r="G674" i="12"/>
  <c r="H674" i="12"/>
  <c r="I674" i="12"/>
  <c r="J674" i="12"/>
  <c r="A675" i="12"/>
  <c r="B675" i="12"/>
  <c r="D675" i="12"/>
  <c r="E675" i="12"/>
  <c r="F675" i="12"/>
  <c r="G675" i="12"/>
  <c r="H675" i="12"/>
  <c r="I675" i="12"/>
  <c r="J675" i="12"/>
  <c r="T675" i="12" s="1"/>
  <c r="A676" i="12"/>
  <c r="B676" i="12"/>
  <c r="D676" i="12"/>
  <c r="E676" i="12"/>
  <c r="F676" i="12"/>
  <c r="G676" i="12"/>
  <c r="H676" i="12"/>
  <c r="I676" i="12"/>
  <c r="S676" i="12" s="1"/>
  <c r="J676" i="12"/>
  <c r="A677" i="12"/>
  <c r="B677" i="12"/>
  <c r="D677" i="12"/>
  <c r="E677" i="12"/>
  <c r="F677" i="12"/>
  <c r="G677" i="12"/>
  <c r="H677" i="12"/>
  <c r="R677" i="12" s="1"/>
  <c r="I677" i="12"/>
  <c r="J677" i="12"/>
  <c r="A678" i="12"/>
  <c r="B678" i="12"/>
  <c r="D678" i="12"/>
  <c r="E678" i="12"/>
  <c r="F678" i="12"/>
  <c r="G678" i="12"/>
  <c r="Q678" i="12" s="1"/>
  <c r="H678" i="12"/>
  <c r="I678" i="12"/>
  <c r="J678" i="12"/>
  <c r="A679" i="12"/>
  <c r="B679" i="12"/>
  <c r="D679" i="12"/>
  <c r="E679" i="12"/>
  <c r="F679" i="12"/>
  <c r="P679" i="12" s="1"/>
  <c r="G679" i="12"/>
  <c r="H679" i="12"/>
  <c r="I679" i="12"/>
  <c r="J679" i="12"/>
  <c r="A680" i="12"/>
  <c r="B680" i="12"/>
  <c r="D680" i="12"/>
  <c r="E680" i="12"/>
  <c r="F680" i="12"/>
  <c r="G680" i="12"/>
  <c r="H680" i="12"/>
  <c r="I680" i="12"/>
  <c r="J680" i="12"/>
  <c r="A681" i="12"/>
  <c r="B681" i="12"/>
  <c r="D681" i="12"/>
  <c r="E681" i="12"/>
  <c r="F681" i="12"/>
  <c r="G681" i="12"/>
  <c r="H681" i="12"/>
  <c r="I681" i="12"/>
  <c r="J681" i="12"/>
  <c r="A682" i="12"/>
  <c r="B682" i="12"/>
  <c r="L682" i="12" s="1"/>
  <c r="D682" i="12"/>
  <c r="E682" i="12"/>
  <c r="F682" i="12"/>
  <c r="G682" i="12"/>
  <c r="H682" i="12"/>
  <c r="I682" i="12"/>
  <c r="J682" i="12"/>
  <c r="A683" i="12"/>
  <c r="B683" i="12"/>
  <c r="D683" i="12"/>
  <c r="E683" i="12"/>
  <c r="F683" i="12"/>
  <c r="G683" i="12"/>
  <c r="H683" i="12"/>
  <c r="I683" i="12"/>
  <c r="J683" i="12"/>
  <c r="T683" i="12" s="1"/>
  <c r="A684" i="12"/>
  <c r="B684" i="12"/>
  <c r="D684" i="12"/>
  <c r="E684" i="12"/>
  <c r="F684" i="12"/>
  <c r="G684" i="12"/>
  <c r="H684" i="12"/>
  <c r="I684" i="12"/>
  <c r="S684" i="12" s="1"/>
  <c r="J684" i="12"/>
  <c r="A685" i="12"/>
  <c r="B685" i="12"/>
  <c r="D685" i="12"/>
  <c r="E685" i="12"/>
  <c r="F685" i="12"/>
  <c r="G685" i="12"/>
  <c r="H685" i="12"/>
  <c r="R685" i="12" s="1"/>
  <c r="I685" i="12"/>
  <c r="J685" i="12"/>
  <c r="A686" i="12"/>
  <c r="B686" i="12"/>
  <c r="D686" i="12"/>
  <c r="E686" i="12"/>
  <c r="F686" i="12"/>
  <c r="G686" i="12"/>
  <c r="Q686" i="12" s="1"/>
  <c r="H686" i="12"/>
  <c r="I686" i="12"/>
  <c r="J686" i="12"/>
  <c r="A687" i="12"/>
  <c r="B687" i="12"/>
  <c r="D687" i="12"/>
  <c r="E687" i="12"/>
  <c r="F687" i="12"/>
  <c r="P687" i="12" s="1"/>
  <c r="G687" i="12"/>
  <c r="H687" i="12"/>
  <c r="I687" i="12"/>
  <c r="J687" i="12"/>
  <c r="A688" i="12"/>
  <c r="B688" i="12"/>
  <c r="D688" i="12"/>
  <c r="E688" i="12"/>
  <c r="F688" i="12"/>
  <c r="G688" i="12"/>
  <c r="H688" i="12"/>
  <c r="I688" i="12"/>
  <c r="J688" i="12"/>
  <c r="A689" i="12"/>
  <c r="B689" i="12"/>
  <c r="D689" i="12"/>
  <c r="E689" i="12"/>
  <c r="F689" i="12"/>
  <c r="G689" i="12"/>
  <c r="H689" i="12"/>
  <c r="I689" i="12"/>
  <c r="J689" i="12"/>
  <c r="A690" i="12"/>
  <c r="B690" i="12"/>
  <c r="L690" i="12" s="1"/>
  <c r="D690" i="12"/>
  <c r="E690" i="12"/>
  <c r="F690" i="12"/>
  <c r="G690" i="12"/>
  <c r="H690" i="12"/>
  <c r="I690" i="12"/>
  <c r="J690" i="12"/>
  <c r="A691" i="12"/>
  <c r="B691" i="12"/>
  <c r="D691" i="12"/>
  <c r="E691" i="12"/>
  <c r="F691" i="12"/>
  <c r="G691" i="12"/>
  <c r="H691" i="12"/>
  <c r="I691" i="12"/>
  <c r="J691" i="12"/>
  <c r="T691" i="12" s="1"/>
  <c r="A692" i="12"/>
  <c r="B692" i="12"/>
  <c r="D692" i="12"/>
  <c r="E692" i="12"/>
  <c r="F692" i="12"/>
  <c r="G692" i="12"/>
  <c r="H692" i="12"/>
  <c r="I692" i="12"/>
  <c r="S692" i="12" s="1"/>
  <c r="J692" i="12"/>
  <c r="A693" i="12"/>
  <c r="B693" i="12"/>
  <c r="D693" i="12"/>
  <c r="E693" i="12"/>
  <c r="F693" i="12"/>
  <c r="G693" i="12"/>
  <c r="H693" i="12"/>
  <c r="R693" i="12" s="1"/>
  <c r="I693" i="12"/>
  <c r="J693" i="12"/>
  <c r="A694" i="12"/>
  <c r="B694" i="12"/>
  <c r="D694" i="12"/>
  <c r="E694" i="12"/>
  <c r="F694" i="12"/>
  <c r="G694" i="12"/>
  <c r="Q694" i="12" s="1"/>
  <c r="H694" i="12"/>
  <c r="I694" i="12"/>
  <c r="J694" i="12"/>
  <c r="A695" i="12"/>
  <c r="B695" i="12"/>
  <c r="D695" i="12"/>
  <c r="E695" i="12"/>
  <c r="F695" i="12"/>
  <c r="P695" i="12" s="1"/>
  <c r="G695" i="12"/>
  <c r="H695" i="12"/>
  <c r="I695" i="12"/>
  <c r="J695" i="12"/>
  <c r="A696" i="12"/>
  <c r="B696" i="12"/>
  <c r="D696" i="12"/>
  <c r="E696" i="12"/>
  <c r="F696" i="12"/>
  <c r="G696" i="12"/>
  <c r="H696" i="12"/>
  <c r="I696" i="12"/>
  <c r="J696" i="12"/>
  <c r="A697" i="12"/>
  <c r="B697" i="12"/>
  <c r="D697" i="12"/>
  <c r="E697" i="12"/>
  <c r="F697" i="12"/>
  <c r="G697" i="12"/>
  <c r="H697" i="12"/>
  <c r="I697" i="12"/>
  <c r="J697" i="12"/>
  <c r="A698" i="12"/>
  <c r="B698" i="12"/>
  <c r="L698" i="12" s="1"/>
  <c r="D698" i="12"/>
  <c r="E698" i="12"/>
  <c r="F698" i="12"/>
  <c r="G698" i="12"/>
  <c r="H698" i="12"/>
  <c r="I698" i="12"/>
  <c r="J698" i="12"/>
  <c r="A699" i="12"/>
  <c r="B699" i="12"/>
  <c r="D699" i="12"/>
  <c r="E699" i="12"/>
  <c r="F699" i="12"/>
  <c r="G699" i="12"/>
  <c r="H699" i="12"/>
  <c r="I699" i="12"/>
  <c r="J699" i="12"/>
  <c r="T699" i="12" s="1"/>
  <c r="A700" i="12"/>
  <c r="B700" i="12"/>
  <c r="D700" i="12"/>
  <c r="E700" i="12"/>
  <c r="F700" i="12"/>
  <c r="G700" i="12"/>
  <c r="H700" i="12"/>
  <c r="I700" i="12"/>
  <c r="S700" i="12" s="1"/>
  <c r="J700" i="12"/>
  <c r="A701" i="12"/>
  <c r="B701" i="12"/>
  <c r="D701" i="12"/>
  <c r="E701" i="12"/>
  <c r="F701" i="12"/>
  <c r="G701" i="12"/>
  <c r="H701" i="12"/>
  <c r="R701" i="12" s="1"/>
  <c r="I701" i="12"/>
  <c r="J701" i="12"/>
  <c r="A702" i="12"/>
  <c r="B702" i="12"/>
  <c r="D702" i="12"/>
  <c r="E702" i="12"/>
  <c r="F702" i="12"/>
  <c r="G702" i="12"/>
  <c r="Q702" i="12" s="1"/>
  <c r="H702" i="12"/>
  <c r="I702" i="12"/>
  <c r="J702" i="12"/>
  <c r="A703" i="12"/>
  <c r="B703" i="12"/>
  <c r="D703" i="12"/>
  <c r="E703" i="12"/>
  <c r="F703" i="12"/>
  <c r="P703" i="12" s="1"/>
  <c r="G703" i="12"/>
  <c r="H703" i="12"/>
  <c r="I703" i="12"/>
  <c r="J703" i="12"/>
  <c r="A704" i="12"/>
  <c r="B704" i="12"/>
  <c r="D704" i="12"/>
  <c r="E704" i="12"/>
  <c r="F704" i="12"/>
  <c r="G704" i="12"/>
  <c r="H704" i="12"/>
  <c r="I704" i="12"/>
  <c r="J704" i="12"/>
  <c r="A705" i="12"/>
  <c r="B705" i="12"/>
  <c r="D705" i="12"/>
  <c r="E705" i="12"/>
  <c r="F705" i="12"/>
  <c r="G705" i="12"/>
  <c r="H705" i="12"/>
  <c r="I705" i="12"/>
  <c r="J705" i="12"/>
  <c r="A706" i="12"/>
  <c r="B706" i="12"/>
  <c r="L706" i="12" s="1"/>
  <c r="D706" i="12"/>
  <c r="E706" i="12"/>
  <c r="F706" i="12"/>
  <c r="G706" i="12"/>
  <c r="H706" i="12"/>
  <c r="I706" i="12"/>
  <c r="J706" i="12"/>
  <c r="A707" i="12"/>
  <c r="B707" i="12"/>
  <c r="D707" i="12"/>
  <c r="E707" i="12"/>
  <c r="F707" i="12"/>
  <c r="G707" i="12"/>
  <c r="H707" i="12"/>
  <c r="I707" i="12"/>
  <c r="J707" i="12"/>
  <c r="T707" i="12" s="1"/>
  <c r="A708" i="12"/>
  <c r="B708" i="12"/>
  <c r="D708" i="12"/>
  <c r="E708" i="12"/>
  <c r="F708" i="12"/>
  <c r="G708" i="12"/>
  <c r="H708" i="12"/>
  <c r="I708" i="12"/>
  <c r="S708" i="12" s="1"/>
  <c r="J708" i="12"/>
  <c r="A709" i="12"/>
  <c r="B709" i="12"/>
  <c r="D709" i="12"/>
  <c r="E709" i="12"/>
  <c r="F709" i="12"/>
  <c r="G709" i="12"/>
  <c r="H709" i="12"/>
  <c r="R709" i="12" s="1"/>
  <c r="I709" i="12"/>
  <c r="J709" i="12"/>
  <c r="A710" i="12"/>
  <c r="B710" i="12"/>
  <c r="D710" i="12"/>
  <c r="E710" i="12"/>
  <c r="F710" i="12"/>
  <c r="G710" i="12"/>
  <c r="Q710" i="12" s="1"/>
  <c r="H710" i="12"/>
  <c r="I710" i="12"/>
  <c r="J710" i="12"/>
  <c r="A711" i="12"/>
  <c r="B711" i="12"/>
  <c r="D711" i="12"/>
  <c r="E711" i="12"/>
  <c r="F711" i="12"/>
  <c r="P711" i="12" s="1"/>
  <c r="G711" i="12"/>
  <c r="H711" i="12"/>
  <c r="I711" i="12"/>
  <c r="J711" i="12"/>
  <c r="A712" i="12"/>
  <c r="B712" i="12"/>
  <c r="D712" i="12"/>
  <c r="E712" i="12"/>
  <c r="F712" i="12"/>
  <c r="G712" i="12"/>
  <c r="H712" i="12"/>
  <c r="I712" i="12"/>
  <c r="J712" i="12"/>
  <c r="A713" i="12"/>
  <c r="B713" i="12"/>
  <c r="D713" i="12"/>
  <c r="E713" i="12"/>
  <c r="F713" i="12"/>
  <c r="G713" i="12"/>
  <c r="H713" i="12"/>
  <c r="I713" i="12"/>
  <c r="J713" i="12"/>
  <c r="A714" i="12"/>
  <c r="B714" i="12"/>
  <c r="L714" i="12" s="1"/>
  <c r="D714" i="12"/>
  <c r="E714" i="12"/>
  <c r="F714" i="12"/>
  <c r="G714" i="12"/>
  <c r="H714" i="12"/>
  <c r="I714" i="12"/>
  <c r="J714" i="12"/>
  <c r="A715" i="12"/>
  <c r="B715" i="12"/>
  <c r="D715" i="12"/>
  <c r="E715" i="12"/>
  <c r="F715" i="12"/>
  <c r="G715" i="12"/>
  <c r="H715" i="12"/>
  <c r="I715" i="12"/>
  <c r="J715" i="12"/>
  <c r="T715" i="12" s="1"/>
  <c r="A716" i="12"/>
  <c r="B716" i="12"/>
  <c r="D716" i="12"/>
  <c r="E716" i="12"/>
  <c r="F716" i="12"/>
  <c r="G716" i="12"/>
  <c r="H716" i="12"/>
  <c r="I716" i="12"/>
  <c r="S716" i="12" s="1"/>
  <c r="J716" i="12"/>
  <c r="A717" i="12"/>
  <c r="B717" i="12"/>
  <c r="D717" i="12"/>
  <c r="E717" i="12"/>
  <c r="F717" i="12"/>
  <c r="G717" i="12"/>
  <c r="H717" i="12"/>
  <c r="R717" i="12" s="1"/>
  <c r="I717" i="12"/>
  <c r="J717" i="12"/>
  <c r="A718" i="12"/>
  <c r="B718" i="12"/>
  <c r="D718" i="12"/>
  <c r="E718" i="12"/>
  <c r="F718" i="12"/>
  <c r="G718" i="12"/>
  <c r="Q718" i="12" s="1"/>
  <c r="H718" i="12"/>
  <c r="I718" i="12"/>
  <c r="J718" i="12"/>
  <c r="A719" i="12"/>
  <c r="B719" i="12"/>
  <c r="D719" i="12"/>
  <c r="E719" i="12"/>
  <c r="F719" i="12"/>
  <c r="P719" i="12" s="1"/>
  <c r="G719" i="12"/>
  <c r="H719" i="12"/>
  <c r="I719" i="12"/>
  <c r="J719" i="12"/>
  <c r="A720" i="12"/>
  <c r="B720" i="12"/>
  <c r="D720" i="12"/>
  <c r="E720" i="12"/>
  <c r="F720" i="12"/>
  <c r="G720" i="12"/>
  <c r="H720" i="12"/>
  <c r="I720" i="12"/>
  <c r="J720" i="12"/>
  <c r="A721" i="12"/>
  <c r="B721" i="12"/>
  <c r="D721" i="12"/>
  <c r="E721" i="12"/>
  <c r="F721" i="12"/>
  <c r="G721" i="12"/>
  <c r="H721" i="12"/>
  <c r="I721" i="12"/>
  <c r="J721" i="12"/>
  <c r="A722" i="12"/>
  <c r="B722" i="12"/>
  <c r="L722" i="12" s="1"/>
  <c r="D722" i="12"/>
  <c r="E722" i="12"/>
  <c r="F722" i="12"/>
  <c r="G722" i="12"/>
  <c r="H722" i="12"/>
  <c r="I722" i="12"/>
  <c r="J722" i="12"/>
  <c r="A723" i="12"/>
  <c r="B723" i="12"/>
  <c r="D723" i="12"/>
  <c r="E723" i="12"/>
  <c r="F723" i="12"/>
  <c r="G723" i="12"/>
  <c r="H723" i="12"/>
  <c r="I723" i="12"/>
  <c r="J723" i="12"/>
  <c r="T723" i="12" s="1"/>
  <c r="A724" i="12"/>
  <c r="B724" i="12"/>
  <c r="D724" i="12"/>
  <c r="E724" i="12"/>
  <c r="F724" i="12"/>
  <c r="G724" i="12"/>
  <c r="H724" i="12"/>
  <c r="I724" i="12"/>
  <c r="S724" i="12" s="1"/>
  <c r="J724" i="12"/>
  <c r="A725" i="12"/>
  <c r="B725" i="12"/>
  <c r="D725" i="12"/>
  <c r="E725" i="12"/>
  <c r="F725" i="12"/>
  <c r="G725" i="12"/>
  <c r="H725" i="12"/>
  <c r="R725" i="12" s="1"/>
  <c r="I725" i="12"/>
  <c r="J725" i="12"/>
  <c r="A726" i="12"/>
  <c r="B726" i="12"/>
  <c r="D726" i="12"/>
  <c r="E726" i="12"/>
  <c r="F726" i="12"/>
  <c r="G726" i="12"/>
  <c r="Q726" i="12" s="1"/>
  <c r="H726" i="12"/>
  <c r="I726" i="12"/>
  <c r="J726" i="12"/>
  <c r="A727" i="12"/>
  <c r="B727" i="12"/>
  <c r="D727" i="12"/>
  <c r="E727" i="12"/>
  <c r="F727" i="12"/>
  <c r="P727" i="12" s="1"/>
  <c r="G727" i="12"/>
  <c r="H727" i="12"/>
  <c r="I727" i="12"/>
  <c r="J727" i="12"/>
  <c r="A728" i="12"/>
  <c r="B728" i="12"/>
  <c r="D728" i="12"/>
  <c r="E728" i="12"/>
  <c r="F728" i="12"/>
  <c r="G728" i="12"/>
  <c r="H728" i="12"/>
  <c r="I728" i="12"/>
  <c r="J728" i="12"/>
  <c r="A729" i="12"/>
  <c r="B729" i="12"/>
  <c r="D729" i="12"/>
  <c r="E729" i="12"/>
  <c r="F729" i="12"/>
  <c r="G729" i="12"/>
  <c r="H729" i="12"/>
  <c r="I729" i="12"/>
  <c r="J729" i="12"/>
  <c r="A730" i="12"/>
  <c r="B730" i="12"/>
  <c r="L730" i="12" s="1"/>
  <c r="D730" i="12"/>
  <c r="E730" i="12"/>
  <c r="F730" i="12"/>
  <c r="G730" i="12"/>
  <c r="H730" i="12"/>
  <c r="I730" i="12"/>
  <c r="J730" i="12"/>
  <c r="A731" i="12"/>
  <c r="B731" i="12"/>
  <c r="D731" i="12"/>
  <c r="E731" i="12"/>
  <c r="F731" i="12"/>
  <c r="G731" i="12"/>
  <c r="H731" i="12"/>
  <c r="I731" i="12"/>
  <c r="J731" i="12"/>
  <c r="T731" i="12" s="1"/>
  <c r="A732" i="12"/>
  <c r="B732" i="12"/>
  <c r="D732" i="12"/>
  <c r="E732" i="12"/>
  <c r="F732" i="12"/>
  <c r="G732" i="12"/>
  <c r="H732" i="12"/>
  <c r="I732" i="12"/>
  <c r="S732" i="12" s="1"/>
  <c r="J732" i="12"/>
  <c r="A733" i="12"/>
  <c r="B733" i="12"/>
  <c r="D733" i="12"/>
  <c r="E733" i="12"/>
  <c r="F733" i="12"/>
  <c r="G733" i="12"/>
  <c r="H733" i="12"/>
  <c r="R733" i="12" s="1"/>
  <c r="I733" i="12"/>
  <c r="J733" i="12"/>
  <c r="A734" i="12"/>
  <c r="B734" i="12"/>
  <c r="D734" i="12"/>
  <c r="E734" i="12"/>
  <c r="F734" i="12"/>
  <c r="G734" i="12"/>
  <c r="Q734" i="12" s="1"/>
  <c r="H734" i="12"/>
  <c r="I734" i="12"/>
  <c r="J734" i="12"/>
  <c r="A735" i="12"/>
  <c r="B735" i="12"/>
  <c r="D735" i="12"/>
  <c r="E735" i="12"/>
  <c r="F735" i="12"/>
  <c r="P735" i="12" s="1"/>
  <c r="G735" i="12"/>
  <c r="H735" i="12"/>
  <c r="I735" i="12"/>
  <c r="J735" i="12"/>
  <c r="A736" i="12"/>
  <c r="B736" i="12"/>
  <c r="D736" i="12"/>
  <c r="E736" i="12"/>
  <c r="F736" i="12"/>
  <c r="G736" i="12"/>
  <c r="H736" i="12"/>
  <c r="I736" i="12"/>
  <c r="J736" i="12"/>
  <c r="A737" i="12"/>
  <c r="B737" i="12"/>
  <c r="D737" i="12"/>
  <c r="E737" i="12"/>
  <c r="F737" i="12"/>
  <c r="G737" i="12"/>
  <c r="H737" i="12"/>
  <c r="I737" i="12"/>
  <c r="J737" i="12"/>
  <c r="A738" i="12"/>
  <c r="B738" i="12"/>
  <c r="L738" i="12" s="1"/>
  <c r="D738" i="12"/>
  <c r="E738" i="12"/>
  <c r="F738" i="12"/>
  <c r="G738" i="12"/>
  <c r="H738" i="12"/>
  <c r="I738" i="12"/>
  <c r="J738" i="12"/>
  <c r="A739" i="12"/>
  <c r="B739" i="12"/>
  <c r="D739" i="12"/>
  <c r="E739" i="12"/>
  <c r="F739" i="12"/>
  <c r="G739" i="12"/>
  <c r="H739" i="12"/>
  <c r="I739" i="12"/>
  <c r="J739" i="12"/>
  <c r="T739" i="12" s="1"/>
  <c r="A740" i="12"/>
  <c r="B740" i="12"/>
  <c r="D740" i="12"/>
  <c r="E740" i="12"/>
  <c r="F740" i="12"/>
  <c r="G740" i="12"/>
  <c r="H740" i="12"/>
  <c r="I740" i="12"/>
  <c r="S740" i="12" s="1"/>
  <c r="J740" i="12"/>
  <c r="A741" i="12"/>
  <c r="B741" i="12"/>
  <c r="D741" i="12"/>
  <c r="E741" i="12"/>
  <c r="F741" i="12"/>
  <c r="G741" i="12"/>
  <c r="H741" i="12"/>
  <c r="R741" i="12" s="1"/>
  <c r="I741" i="12"/>
  <c r="J741" i="12"/>
  <c r="A742" i="12"/>
  <c r="B742" i="12"/>
  <c r="D742" i="12"/>
  <c r="E742" i="12"/>
  <c r="F742" i="12"/>
  <c r="G742" i="12"/>
  <c r="Q742" i="12" s="1"/>
  <c r="H742" i="12"/>
  <c r="I742" i="12"/>
  <c r="J742" i="12"/>
  <c r="A743" i="12"/>
  <c r="B743" i="12"/>
  <c r="D743" i="12"/>
  <c r="E743" i="12"/>
  <c r="F743" i="12"/>
  <c r="P743" i="12" s="1"/>
  <c r="G743" i="12"/>
  <c r="H743" i="12"/>
  <c r="I743" i="12"/>
  <c r="J743" i="12"/>
  <c r="A744" i="12"/>
  <c r="B744" i="12"/>
  <c r="D744" i="12"/>
  <c r="E744" i="12"/>
  <c r="F744" i="12"/>
  <c r="G744" i="12"/>
  <c r="H744" i="12"/>
  <c r="I744" i="12"/>
  <c r="J744" i="12"/>
  <c r="A745" i="12"/>
  <c r="B745" i="12"/>
  <c r="D745" i="12"/>
  <c r="E745" i="12"/>
  <c r="F745" i="12"/>
  <c r="G745" i="12"/>
  <c r="H745" i="12"/>
  <c r="I745" i="12"/>
  <c r="J745" i="12"/>
  <c r="A746" i="12"/>
  <c r="B746" i="12"/>
  <c r="L746" i="12" s="1"/>
  <c r="D746" i="12"/>
  <c r="E746" i="12"/>
  <c r="F746" i="12"/>
  <c r="G746" i="12"/>
  <c r="H746" i="12"/>
  <c r="I746" i="12"/>
  <c r="J746" i="12"/>
  <c r="A747" i="12"/>
  <c r="B747" i="12"/>
  <c r="D747" i="12"/>
  <c r="E747" i="12"/>
  <c r="F747" i="12"/>
  <c r="G747" i="12"/>
  <c r="H747" i="12"/>
  <c r="I747" i="12"/>
  <c r="J747" i="12"/>
  <c r="T747" i="12" s="1"/>
  <c r="A748" i="12"/>
  <c r="B748" i="12"/>
  <c r="D748" i="12"/>
  <c r="E748" i="12"/>
  <c r="F748" i="12"/>
  <c r="G748" i="12"/>
  <c r="H748" i="12"/>
  <c r="I748" i="12"/>
  <c r="S748" i="12" s="1"/>
  <c r="J748" i="12"/>
  <c r="A749" i="12"/>
  <c r="B749" i="12"/>
  <c r="D749" i="12"/>
  <c r="E749" i="12"/>
  <c r="F749" i="12"/>
  <c r="G749" i="12"/>
  <c r="H749" i="12"/>
  <c r="R749" i="12" s="1"/>
  <c r="I749" i="12"/>
  <c r="J749" i="12"/>
  <c r="A750" i="12"/>
  <c r="B750" i="12"/>
  <c r="D750" i="12"/>
  <c r="E750" i="12"/>
  <c r="F750" i="12"/>
  <c r="G750" i="12"/>
  <c r="Q750" i="12" s="1"/>
  <c r="H750" i="12"/>
  <c r="I750" i="12"/>
  <c r="J750" i="12"/>
  <c r="A751" i="12"/>
  <c r="B751" i="12"/>
  <c r="D751" i="12"/>
  <c r="E751" i="12"/>
  <c r="F751" i="12"/>
  <c r="P751" i="12" s="1"/>
  <c r="G751" i="12"/>
  <c r="H751" i="12"/>
  <c r="I751" i="12"/>
  <c r="J751" i="12"/>
  <c r="A752" i="12"/>
  <c r="B752" i="12"/>
  <c r="D752" i="12"/>
  <c r="E752" i="12"/>
  <c r="F752" i="12"/>
  <c r="G752" i="12"/>
  <c r="H752" i="12"/>
  <c r="I752" i="12"/>
  <c r="J752" i="12"/>
  <c r="A753" i="12"/>
  <c r="B753" i="12"/>
  <c r="D753" i="12"/>
  <c r="E753" i="12"/>
  <c r="F753" i="12"/>
  <c r="G753" i="12"/>
  <c r="H753" i="12"/>
  <c r="I753" i="12"/>
  <c r="J753" i="12"/>
  <c r="A754" i="12"/>
  <c r="B754" i="12"/>
  <c r="L754" i="12" s="1"/>
  <c r="D754" i="12"/>
  <c r="E754" i="12"/>
  <c r="F754" i="12"/>
  <c r="G754" i="12"/>
  <c r="H754" i="12"/>
  <c r="I754" i="12"/>
  <c r="J754" i="12"/>
  <c r="A755" i="12"/>
  <c r="B755" i="12"/>
  <c r="D755" i="12"/>
  <c r="E755" i="12"/>
  <c r="F755" i="12"/>
  <c r="G755" i="12"/>
  <c r="H755" i="12"/>
  <c r="I755" i="12"/>
  <c r="J755" i="12"/>
  <c r="T755" i="12" s="1"/>
  <c r="A756" i="12"/>
  <c r="B756" i="12"/>
  <c r="D756" i="12"/>
  <c r="E756" i="12"/>
  <c r="F756" i="12"/>
  <c r="G756" i="12"/>
  <c r="H756" i="12"/>
  <c r="I756" i="12"/>
  <c r="S756" i="12" s="1"/>
  <c r="J756" i="12"/>
  <c r="A757" i="12"/>
  <c r="B757" i="12"/>
  <c r="D757" i="12"/>
  <c r="E757" i="12"/>
  <c r="F757" i="12"/>
  <c r="G757" i="12"/>
  <c r="H757" i="12"/>
  <c r="R757" i="12" s="1"/>
  <c r="I757" i="12"/>
  <c r="J757" i="12"/>
  <c r="A758" i="12"/>
  <c r="B758" i="12"/>
  <c r="D758" i="12"/>
  <c r="E758" i="12"/>
  <c r="F758" i="12"/>
  <c r="G758" i="12"/>
  <c r="Q758" i="12" s="1"/>
  <c r="H758" i="12"/>
  <c r="I758" i="12"/>
  <c r="J758" i="12"/>
  <c r="A759" i="12"/>
  <c r="B759" i="12"/>
  <c r="D759" i="12"/>
  <c r="E759" i="12"/>
  <c r="F759" i="12"/>
  <c r="P759" i="12" s="1"/>
  <c r="G759" i="12"/>
  <c r="H759" i="12"/>
  <c r="I759" i="12"/>
  <c r="J759" i="12"/>
  <c r="A760" i="12"/>
  <c r="B760" i="12"/>
  <c r="D760" i="12"/>
  <c r="E760" i="12"/>
  <c r="F760" i="12"/>
  <c r="G760" i="12"/>
  <c r="H760" i="12"/>
  <c r="I760" i="12"/>
  <c r="J760" i="12"/>
  <c r="A761" i="12"/>
  <c r="B761" i="12"/>
  <c r="D761" i="12"/>
  <c r="E761" i="12"/>
  <c r="F761" i="12"/>
  <c r="G761" i="12"/>
  <c r="H761" i="12"/>
  <c r="I761" i="12"/>
  <c r="J761" i="12"/>
  <c r="A762" i="12"/>
  <c r="B762" i="12"/>
  <c r="L762" i="12" s="1"/>
  <c r="D762" i="12"/>
  <c r="E762" i="12"/>
  <c r="F762" i="12"/>
  <c r="G762" i="12"/>
  <c r="H762" i="12"/>
  <c r="I762" i="12"/>
  <c r="J762" i="12"/>
  <c r="A763" i="12"/>
  <c r="B763" i="12"/>
  <c r="D763" i="12"/>
  <c r="E763" i="12"/>
  <c r="F763" i="12"/>
  <c r="G763" i="12"/>
  <c r="H763" i="12"/>
  <c r="I763" i="12"/>
  <c r="J763" i="12"/>
  <c r="T763" i="12" s="1"/>
  <c r="A764" i="12"/>
  <c r="B764" i="12"/>
  <c r="D764" i="12"/>
  <c r="E764" i="12"/>
  <c r="F764" i="12"/>
  <c r="G764" i="12"/>
  <c r="H764" i="12"/>
  <c r="I764" i="12"/>
  <c r="S764" i="12" s="1"/>
  <c r="J764" i="12"/>
  <c r="A765" i="12"/>
  <c r="B765" i="12"/>
  <c r="D765" i="12"/>
  <c r="E765" i="12"/>
  <c r="F765" i="12"/>
  <c r="G765" i="12"/>
  <c r="H765" i="12"/>
  <c r="R765" i="12" s="1"/>
  <c r="I765" i="12"/>
  <c r="J765" i="12"/>
  <c r="A766" i="12"/>
  <c r="B766" i="12"/>
  <c r="D766" i="12"/>
  <c r="E766" i="12"/>
  <c r="F766" i="12"/>
  <c r="G766" i="12"/>
  <c r="Q766" i="12" s="1"/>
  <c r="H766" i="12"/>
  <c r="I766" i="12"/>
  <c r="J766" i="12"/>
  <c r="A767" i="12"/>
  <c r="B767" i="12"/>
  <c r="D767" i="12"/>
  <c r="E767" i="12"/>
  <c r="F767" i="12"/>
  <c r="P767" i="12" s="1"/>
  <c r="G767" i="12"/>
  <c r="H767" i="12"/>
  <c r="I767" i="12"/>
  <c r="J767" i="12"/>
  <c r="A768" i="12"/>
  <c r="B768" i="12"/>
  <c r="D768" i="12"/>
  <c r="E768" i="12"/>
  <c r="F768" i="12"/>
  <c r="G768" i="12"/>
  <c r="H768" i="12"/>
  <c r="I768" i="12"/>
  <c r="J768" i="12"/>
  <c r="A769" i="12"/>
  <c r="B769" i="12"/>
  <c r="D769" i="12"/>
  <c r="E769" i="12"/>
  <c r="F769" i="12"/>
  <c r="G769" i="12"/>
  <c r="H769" i="12"/>
  <c r="I769" i="12"/>
  <c r="J769" i="12"/>
  <c r="A770" i="12"/>
  <c r="B770" i="12"/>
  <c r="L770" i="12" s="1"/>
  <c r="D770" i="12"/>
  <c r="E770" i="12"/>
  <c r="F770" i="12"/>
  <c r="G770" i="12"/>
  <c r="H770" i="12"/>
  <c r="I770" i="12"/>
  <c r="J770" i="12"/>
  <c r="A771" i="12"/>
  <c r="B771" i="12"/>
  <c r="D771" i="12"/>
  <c r="E771" i="12"/>
  <c r="F771" i="12"/>
  <c r="G771" i="12"/>
  <c r="H771" i="12"/>
  <c r="I771" i="12"/>
  <c r="J771" i="12"/>
  <c r="T771" i="12" s="1"/>
  <c r="A772" i="12"/>
  <c r="B772" i="12"/>
  <c r="D772" i="12"/>
  <c r="E772" i="12"/>
  <c r="F772" i="12"/>
  <c r="G772" i="12"/>
  <c r="H772" i="12"/>
  <c r="I772" i="12"/>
  <c r="S772" i="12" s="1"/>
  <c r="J772" i="12"/>
  <c r="A773" i="12"/>
  <c r="B773" i="12"/>
  <c r="D773" i="12"/>
  <c r="E773" i="12"/>
  <c r="F773" i="12"/>
  <c r="G773" i="12"/>
  <c r="H773" i="12"/>
  <c r="R773" i="12" s="1"/>
  <c r="I773" i="12"/>
  <c r="J773" i="12"/>
  <c r="A774" i="12"/>
  <c r="B774" i="12"/>
  <c r="D774" i="12"/>
  <c r="E774" i="12"/>
  <c r="F774" i="12"/>
  <c r="G774" i="12"/>
  <c r="Q774" i="12" s="1"/>
  <c r="H774" i="12"/>
  <c r="I774" i="12"/>
  <c r="J774" i="12"/>
  <c r="A775" i="12"/>
  <c r="B775" i="12"/>
  <c r="D775" i="12"/>
  <c r="E775" i="12"/>
  <c r="F775" i="12"/>
  <c r="P775" i="12" s="1"/>
  <c r="G775" i="12"/>
  <c r="H775" i="12"/>
  <c r="I775" i="12"/>
  <c r="J775" i="12"/>
  <c r="A776" i="12"/>
  <c r="B776" i="12"/>
  <c r="D776" i="12"/>
  <c r="E776" i="12"/>
  <c r="F776" i="12"/>
  <c r="G776" i="12"/>
  <c r="H776" i="12"/>
  <c r="I776" i="12"/>
  <c r="J776" i="12"/>
  <c r="A777" i="12"/>
  <c r="B777" i="12"/>
  <c r="D777" i="12"/>
  <c r="E777" i="12"/>
  <c r="F777" i="12"/>
  <c r="G777" i="12"/>
  <c r="H777" i="12"/>
  <c r="I777" i="12"/>
  <c r="J777" i="12"/>
  <c r="A778" i="12"/>
  <c r="B778" i="12"/>
  <c r="L778" i="12" s="1"/>
  <c r="D778" i="12"/>
  <c r="E778" i="12"/>
  <c r="F778" i="12"/>
  <c r="G778" i="12"/>
  <c r="H778" i="12"/>
  <c r="I778" i="12"/>
  <c r="J778" i="12"/>
  <c r="A779" i="12"/>
  <c r="B779" i="12"/>
  <c r="D779" i="12"/>
  <c r="E779" i="12"/>
  <c r="F779" i="12"/>
  <c r="G779" i="12"/>
  <c r="H779" i="12"/>
  <c r="I779" i="12"/>
  <c r="J779" i="12"/>
  <c r="T779" i="12" s="1"/>
  <c r="A780" i="12"/>
  <c r="B780" i="12"/>
  <c r="D780" i="12"/>
  <c r="E780" i="12"/>
  <c r="F780" i="12"/>
  <c r="G780" i="12"/>
  <c r="H780" i="12"/>
  <c r="I780" i="12"/>
  <c r="S780" i="12" s="1"/>
  <c r="J780" i="12"/>
  <c r="A781" i="12"/>
  <c r="B781" i="12"/>
  <c r="D781" i="12"/>
  <c r="E781" i="12"/>
  <c r="F781" i="12"/>
  <c r="G781" i="12"/>
  <c r="H781" i="12"/>
  <c r="R781" i="12" s="1"/>
  <c r="I781" i="12"/>
  <c r="J781" i="12"/>
  <c r="A782" i="12"/>
  <c r="B782" i="12"/>
  <c r="D782" i="12"/>
  <c r="E782" i="12"/>
  <c r="F782" i="12"/>
  <c r="G782" i="12"/>
  <c r="Q782" i="12" s="1"/>
  <c r="H782" i="12"/>
  <c r="I782" i="12"/>
  <c r="J782" i="12"/>
  <c r="A783" i="12"/>
  <c r="B783" i="12"/>
  <c r="D783" i="12"/>
  <c r="E783" i="12"/>
  <c r="F783" i="12"/>
  <c r="P783" i="12" s="1"/>
  <c r="G783" i="12"/>
  <c r="H783" i="12"/>
  <c r="I783" i="12"/>
  <c r="J783" i="12"/>
  <c r="A784" i="12"/>
  <c r="B784" i="12"/>
  <c r="D784" i="12"/>
  <c r="E784" i="12"/>
  <c r="F784" i="12"/>
  <c r="G784" i="12"/>
  <c r="H784" i="12"/>
  <c r="I784" i="12"/>
  <c r="J784" i="12"/>
  <c r="A785" i="12"/>
  <c r="B785" i="12"/>
  <c r="D785" i="12"/>
  <c r="E785" i="12"/>
  <c r="F785" i="12"/>
  <c r="G785" i="12"/>
  <c r="H785" i="12"/>
  <c r="I785" i="12"/>
  <c r="J785" i="12"/>
  <c r="A786" i="12"/>
  <c r="B786" i="12"/>
  <c r="L786" i="12" s="1"/>
  <c r="D786" i="12"/>
  <c r="E786" i="12"/>
  <c r="F786" i="12"/>
  <c r="G786" i="12"/>
  <c r="H786" i="12"/>
  <c r="I786" i="12"/>
  <c r="J786" i="12"/>
  <c r="A787" i="12"/>
  <c r="B787" i="12"/>
  <c r="D787" i="12"/>
  <c r="E787" i="12"/>
  <c r="F787" i="12"/>
  <c r="G787" i="12"/>
  <c r="H787" i="12"/>
  <c r="I787" i="12"/>
  <c r="J787" i="12"/>
  <c r="T787" i="12" s="1"/>
  <c r="A788" i="12"/>
  <c r="B788" i="12"/>
  <c r="D788" i="12"/>
  <c r="E788" i="12"/>
  <c r="F788" i="12"/>
  <c r="G788" i="12"/>
  <c r="H788" i="12"/>
  <c r="I788" i="12"/>
  <c r="S788" i="12" s="1"/>
  <c r="J788" i="12"/>
  <c r="A789" i="12"/>
  <c r="B789" i="12"/>
  <c r="D789" i="12"/>
  <c r="E789" i="12"/>
  <c r="F789" i="12"/>
  <c r="G789" i="12"/>
  <c r="H789" i="12"/>
  <c r="R789" i="12" s="1"/>
  <c r="I789" i="12"/>
  <c r="J789" i="12"/>
  <c r="A790" i="12"/>
  <c r="B790" i="12"/>
  <c r="D790" i="12"/>
  <c r="E790" i="12"/>
  <c r="F790" i="12"/>
  <c r="G790" i="12"/>
  <c r="Q790" i="12" s="1"/>
  <c r="H790" i="12"/>
  <c r="I790" i="12"/>
  <c r="J790" i="12"/>
  <c r="A791" i="12"/>
  <c r="B791" i="12"/>
  <c r="D791" i="12"/>
  <c r="E791" i="12"/>
  <c r="F791" i="12"/>
  <c r="P791" i="12" s="1"/>
  <c r="G791" i="12"/>
  <c r="H791" i="12"/>
  <c r="I791" i="12"/>
  <c r="J791" i="12"/>
  <c r="A792" i="12"/>
  <c r="B792" i="12"/>
  <c r="D792" i="12"/>
  <c r="E792" i="12"/>
  <c r="F792" i="12"/>
  <c r="G792" i="12"/>
  <c r="H792" i="12"/>
  <c r="I792" i="12"/>
  <c r="J792" i="12"/>
  <c r="A793" i="12"/>
  <c r="B793" i="12"/>
  <c r="D793" i="12"/>
  <c r="E793" i="12"/>
  <c r="F793" i="12"/>
  <c r="G793" i="12"/>
  <c r="H793" i="12"/>
  <c r="I793" i="12"/>
  <c r="J793" i="12"/>
  <c r="A794" i="12"/>
  <c r="B794" i="12"/>
  <c r="L794" i="12" s="1"/>
  <c r="D794" i="12"/>
  <c r="E794" i="12"/>
  <c r="F794" i="12"/>
  <c r="G794" i="12"/>
  <c r="H794" i="12"/>
  <c r="I794" i="12"/>
  <c r="J794" i="12"/>
  <c r="A795" i="12"/>
  <c r="B795" i="12"/>
  <c r="D795" i="12"/>
  <c r="E795" i="12"/>
  <c r="F795" i="12"/>
  <c r="G795" i="12"/>
  <c r="H795" i="12"/>
  <c r="I795" i="12"/>
  <c r="J795" i="12"/>
  <c r="T795" i="12" s="1"/>
  <c r="A796" i="12"/>
  <c r="B796" i="12"/>
  <c r="D796" i="12"/>
  <c r="E796" i="12"/>
  <c r="F796" i="12"/>
  <c r="G796" i="12"/>
  <c r="H796" i="12"/>
  <c r="I796" i="12"/>
  <c r="S796" i="12" s="1"/>
  <c r="J796" i="12"/>
  <c r="A797" i="12"/>
  <c r="B797" i="12"/>
  <c r="D797" i="12"/>
  <c r="E797" i="12"/>
  <c r="F797" i="12"/>
  <c r="G797" i="12"/>
  <c r="H797" i="12"/>
  <c r="R797" i="12" s="1"/>
  <c r="I797" i="12"/>
  <c r="J797" i="12"/>
  <c r="A798" i="12"/>
  <c r="B798" i="12"/>
  <c r="D798" i="12"/>
  <c r="E798" i="12"/>
  <c r="F798" i="12"/>
  <c r="G798" i="12"/>
  <c r="Q798" i="12" s="1"/>
  <c r="H798" i="12"/>
  <c r="I798" i="12"/>
  <c r="J798" i="12"/>
  <c r="A799" i="12"/>
  <c r="B799" i="12"/>
  <c r="D799" i="12"/>
  <c r="E799" i="12"/>
  <c r="F799" i="12"/>
  <c r="P799" i="12" s="1"/>
  <c r="G799" i="12"/>
  <c r="H799" i="12"/>
  <c r="I799" i="12"/>
  <c r="J799" i="12"/>
  <c r="A800" i="12"/>
  <c r="B800" i="12"/>
  <c r="D800" i="12"/>
  <c r="E800" i="12"/>
  <c r="F800" i="12"/>
  <c r="G800" i="12"/>
  <c r="H800" i="12"/>
  <c r="I800" i="12"/>
  <c r="J800" i="12"/>
  <c r="A801" i="12"/>
  <c r="B801" i="12"/>
  <c r="D801" i="12"/>
  <c r="E801" i="12"/>
  <c r="F801" i="12"/>
  <c r="G801" i="12"/>
  <c r="H801" i="12"/>
  <c r="I801" i="12"/>
  <c r="J801" i="12"/>
  <c r="A802" i="12"/>
  <c r="B802" i="12"/>
  <c r="L802" i="12" s="1"/>
  <c r="D802" i="12"/>
  <c r="E802" i="12"/>
  <c r="F802" i="12"/>
  <c r="G802" i="12"/>
  <c r="H802" i="12"/>
  <c r="I802" i="12"/>
  <c r="J802" i="12"/>
  <c r="A803" i="12"/>
  <c r="B803" i="12"/>
  <c r="D803" i="12"/>
  <c r="E803" i="12"/>
  <c r="F803" i="12"/>
  <c r="G803" i="12"/>
  <c r="H803" i="12"/>
  <c r="I803" i="12"/>
  <c r="J803" i="12"/>
  <c r="T803" i="12" s="1"/>
  <c r="A804" i="12"/>
  <c r="B804" i="12"/>
  <c r="D804" i="12"/>
  <c r="E804" i="12"/>
  <c r="F804" i="12"/>
  <c r="G804" i="12"/>
  <c r="H804" i="12"/>
  <c r="I804" i="12"/>
  <c r="S804" i="12" s="1"/>
  <c r="J804" i="12"/>
  <c r="A805" i="12"/>
  <c r="B805" i="12"/>
  <c r="D805" i="12"/>
  <c r="E805" i="12"/>
  <c r="F805" i="12"/>
  <c r="G805" i="12"/>
  <c r="H805" i="12"/>
  <c r="R805" i="12" s="1"/>
  <c r="I805" i="12"/>
  <c r="J805" i="12"/>
  <c r="A806" i="12"/>
  <c r="B806" i="12"/>
  <c r="D806" i="12"/>
  <c r="E806" i="12"/>
  <c r="F806" i="12"/>
  <c r="G806" i="12"/>
  <c r="Q806" i="12" s="1"/>
  <c r="H806" i="12"/>
  <c r="I806" i="12"/>
  <c r="J806" i="12"/>
  <c r="A807" i="12"/>
  <c r="B807" i="12"/>
  <c r="D807" i="12"/>
  <c r="E807" i="12"/>
  <c r="F807" i="12"/>
  <c r="P807" i="12" s="1"/>
  <c r="G807" i="12"/>
  <c r="H807" i="12"/>
  <c r="I807" i="12"/>
  <c r="J807" i="12"/>
  <c r="A808" i="12"/>
  <c r="B808" i="12"/>
  <c r="D808" i="12"/>
  <c r="E808" i="12"/>
  <c r="F808" i="12"/>
  <c r="G808" i="12"/>
  <c r="H808" i="12"/>
  <c r="I808" i="12"/>
  <c r="J808" i="12"/>
  <c r="A809" i="12"/>
  <c r="B809" i="12"/>
  <c r="D809" i="12"/>
  <c r="E809" i="12"/>
  <c r="F809" i="12"/>
  <c r="G809" i="12"/>
  <c r="H809" i="12"/>
  <c r="I809" i="12"/>
  <c r="J809" i="12"/>
  <c r="A810" i="12"/>
  <c r="B810" i="12"/>
  <c r="L810" i="12" s="1"/>
  <c r="D810" i="12"/>
  <c r="E810" i="12"/>
  <c r="F810" i="12"/>
  <c r="G810" i="12"/>
  <c r="H810" i="12"/>
  <c r="I810" i="12"/>
  <c r="J810" i="12"/>
  <c r="A811" i="12"/>
  <c r="B811" i="12"/>
  <c r="D811" i="12"/>
  <c r="E811" i="12"/>
  <c r="F811" i="12"/>
  <c r="G811" i="12"/>
  <c r="H811" i="12"/>
  <c r="I811" i="12"/>
  <c r="J811" i="12"/>
  <c r="T811" i="12" s="1"/>
  <c r="A812" i="12"/>
  <c r="B812" i="12"/>
  <c r="D812" i="12"/>
  <c r="E812" i="12"/>
  <c r="F812" i="12"/>
  <c r="G812" i="12"/>
  <c r="H812" i="12"/>
  <c r="I812" i="12"/>
  <c r="S812" i="12" s="1"/>
  <c r="J812" i="12"/>
  <c r="A813" i="12"/>
  <c r="B813" i="12"/>
  <c r="D813" i="12"/>
  <c r="E813" i="12"/>
  <c r="F813" i="12"/>
  <c r="G813" i="12"/>
  <c r="H813" i="12"/>
  <c r="R813" i="12" s="1"/>
  <c r="I813" i="12"/>
  <c r="J813" i="12"/>
  <c r="A814" i="12"/>
  <c r="B814" i="12"/>
  <c r="D814" i="12"/>
  <c r="E814" i="12"/>
  <c r="F814" i="12"/>
  <c r="G814" i="12"/>
  <c r="Q814" i="12" s="1"/>
  <c r="H814" i="12"/>
  <c r="I814" i="12"/>
  <c r="J814" i="12"/>
  <c r="A815" i="12"/>
  <c r="B815" i="12"/>
  <c r="D815" i="12"/>
  <c r="E815" i="12"/>
  <c r="F815" i="12"/>
  <c r="P815" i="12" s="1"/>
  <c r="G815" i="12"/>
  <c r="H815" i="12"/>
  <c r="I815" i="12"/>
  <c r="J815" i="12"/>
  <c r="A816" i="12"/>
  <c r="B816" i="12"/>
  <c r="D816" i="12"/>
  <c r="E816" i="12"/>
  <c r="F816" i="12"/>
  <c r="G816" i="12"/>
  <c r="H816" i="12"/>
  <c r="I816" i="12"/>
  <c r="J816" i="12"/>
  <c r="A817" i="12"/>
  <c r="B817" i="12"/>
  <c r="D817" i="12"/>
  <c r="E817" i="12"/>
  <c r="F817" i="12"/>
  <c r="G817" i="12"/>
  <c r="H817" i="12"/>
  <c r="I817" i="12"/>
  <c r="J817" i="12"/>
  <c r="A818" i="12"/>
  <c r="B818" i="12"/>
  <c r="L818" i="12" s="1"/>
  <c r="D818" i="12"/>
  <c r="E818" i="12"/>
  <c r="F818" i="12"/>
  <c r="G818" i="12"/>
  <c r="H818" i="12"/>
  <c r="I818" i="12"/>
  <c r="J818" i="12"/>
  <c r="A819" i="12"/>
  <c r="B819" i="12"/>
  <c r="D819" i="12"/>
  <c r="E819" i="12"/>
  <c r="F819" i="12"/>
  <c r="G819" i="12"/>
  <c r="H819" i="12"/>
  <c r="I819" i="12"/>
  <c r="J819" i="12"/>
  <c r="A820" i="12"/>
  <c r="B820" i="12"/>
  <c r="D820" i="12"/>
  <c r="E820" i="12"/>
  <c r="F820" i="12"/>
  <c r="G820" i="12"/>
  <c r="H820" i="12"/>
  <c r="I820" i="12"/>
  <c r="S820" i="12" s="1"/>
  <c r="J820" i="12"/>
  <c r="A821" i="12"/>
  <c r="B821" i="12"/>
  <c r="D821" i="12"/>
  <c r="E821" i="12"/>
  <c r="F821" i="12"/>
  <c r="G821" i="12"/>
  <c r="H821" i="12"/>
  <c r="R821" i="12" s="1"/>
  <c r="I821" i="12"/>
  <c r="J821" i="12"/>
  <c r="A822" i="12"/>
  <c r="B822" i="12"/>
  <c r="D822" i="12"/>
  <c r="E822" i="12"/>
  <c r="F822" i="12"/>
  <c r="G822" i="12"/>
  <c r="Q822" i="12" s="1"/>
  <c r="H822" i="12"/>
  <c r="I822" i="12"/>
  <c r="J822" i="12"/>
  <c r="A823" i="12"/>
  <c r="B823" i="12"/>
  <c r="D823" i="12"/>
  <c r="E823" i="12"/>
  <c r="F823" i="12"/>
  <c r="P823" i="12" s="1"/>
  <c r="G823" i="12"/>
  <c r="H823" i="12"/>
  <c r="I823" i="12"/>
  <c r="J823" i="12"/>
  <c r="A824" i="12"/>
  <c r="B824" i="12"/>
  <c r="D824" i="12"/>
  <c r="E824" i="12"/>
  <c r="F824" i="12"/>
  <c r="G824" i="12"/>
  <c r="H824" i="12"/>
  <c r="I824" i="12"/>
  <c r="J824" i="12"/>
  <c r="A825" i="12"/>
  <c r="B825" i="12"/>
  <c r="D825" i="12"/>
  <c r="E825" i="12"/>
  <c r="F825" i="12"/>
  <c r="G825" i="12"/>
  <c r="H825" i="12"/>
  <c r="I825" i="12"/>
  <c r="J825" i="12"/>
  <c r="A826" i="12"/>
  <c r="B826" i="12"/>
  <c r="L826" i="12" s="1"/>
  <c r="D826" i="12"/>
  <c r="E826" i="12"/>
  <c r="F826" i="12"/>
  <c r="G826" i="12"/>
  <c r="H826" i="12"/>
  <c r="I826" i="12"/>
  <c r="J826" i="12"/>
  <c r="A827" i="12"/>
  <c r="B827" i="12"/>
  <c r="D827" i="12"/>
  <c r="E827" i="12"/>
  <c r="F827" i="12"/>
  <c r="G827" i="12"/>
  <c r="H827" i="12"/>
  <c r="I827" i="12"/>
  <c r="J827" i="12"/>
  <c r="T827" i="12" s="1"/>
  <c r="A828" i="12"/>
  <c r="B828" i="12"/>
  <c r="D828" i="12"/>
  <c r="E828" i="12"/>
  <c r="F828" i="12"/>
  <c r="G828" i="12"/>
  <c r="H828" i="12"/>
  <c r="I828" i="12"/>
  <c r="S828" i="12" s="1"/>
  <c r="J828" i="12"/>
  <c r="A829" i="12"/>
  <c r="B829" i="12"/>
  <c r="D829" i="12"/>
  <c r="E829" i="12"/>
  <c r="F829" i="12"/>
  <c r="G829" i="12"/>
  <c r="H829" i="12"/>
  <c r="R829" i="12" s="1"/>
  <c r="I829" i="12"/>
  <c r="J829" i="12"/>
  <c r="A830" i="12"/>
  <c r="B830" i="12"/>
  <c r="D830" i="12"/>
  <c r="E830" i="12"/>
  <c r="F830" i="12"/>
  <c r="G830" i="12"/>
  <c r="Q830" i="12" s="1"/>
  <c r="H830" i="12"/>
  <c r="I830" i="12"/>
  <c r="J830" i="12"/>
  <c r="A831" i="12"/>
  <c r="B831" i="12"/>
  <c r="D831" i="12"/>
  <c r="E831" i="12"/>
  <c r="F831" i="12"/>
  <c r="P831" i="12" s="1"/>
  <c r="G831" i="12"/>
  <c r="H831" i="12"/>
  <c r="I831" i="12"/>
  <c r="J831" i="12"/>
  <c r="A832" i="12"/>
  <c r="B832" i="12"/>
  <c r="D832" i="12"/>
  <c r="E832" i="12"/>
  <c r="F832" i="12"/>
  <c r="G832" i="12"/>
  <c r="H832" i="12"/>
  <c r="I832" i="12"/>
  <c r="J832" i="12"/>
  <c r="A833" i="12"/>
  <c r="B833" i="12"/>
  <c r="D833" i="12"/>
  <c r="E833" i="12"/>
  <c r="F833" i="12"/>
  <c r="G833" i="12"/>
  <c r="H833" i="12"/>
  <c r="I833" i="12"/>
  <c r="J833" i="12"/>
  <c r="A834" i="12"/>
  <c r="B834" i="12"/>
  <c r="L834" i="12" s="1"/>
  <c r="D834" i="12"/>
  <c r="E834" i="12"/>
  <c r="F834" i="12"/>
  <c r="G834" i="12"/>
  <c r="H834" i="12"/>
  <c r="I834" i="12"/>
  <c r="J834" i="12"/>
  <c r="A835" i="12"/>
  <c r="B835" i="12"/>
  <c r="D835" i="12"/>
  <c r="E835" i="12"/>
  <c r="F835" i="12"/>
  <c r="G835" i="12"/>
  <c r="H835" i="12"/>
  <c r="I835" i="12"/>
  <c r="J835" i="12"/>
  <c r="T835" i="12" s="1"/>
  <c r="A836" i="12"/>
  <c r="B836" i="12"/>
  <c r="D836" i="12"/>
  <c r="E836" i="12"/>
  <c r="F836" i="12"/>
  <c r="G836" i="12"/>
  <c r="H836" i="12"/>
  <c r="I836" i="12"/>
  <c r="S836" i="12" s="1"/>
  <c r="J836" i="12"/>
  <c r="A837" i="12"/>
  <c r="B837" i="12"/>
  <c r="D837" i="12"/>
  <c r="E837" i="12"/>
  <c r="F837" i="12"/>
  <c r="G837" i="12"/>
  <c r="H837" i="12"/>
  <c r="R837" i="12" s="1"/>
  <c r="I837" i="12"/>
  <c r="J837" i="12"/>
  <c r="A838" i="12"/>
  <c r="B838" i="12"/>
  <c r="D838" i="12"/>
  <c r="E838" i="12"/>
  <c r="F838" i="12"/>
  <c r="G838" i="12"/>
  <c r="Q838" i="12" s="1"/>
  <c r="H838" i="12"/>
  <c r="I838" i="12"/>
  <c r="J838" i="12"/>
  <c r="A839" i="12"/>
  <c r="B839" i="12"/>
  <c r="D839" i="12"/>
  <c r="E839" i="12"/>
  <c r="F839" i="12"/>
  <c r="P839" i="12" s="1"/>
  <c r="G839" i="12"/>
  <c r="H839" i="12"/>
  <c r="I839" i="12"/>
  <c r="J839" i="12"/>
  <c r="A840" i="12"/>
  <c r="B840" i="12"/>
  <c r="D840" i="12"/>
  <c r="E840" i="12"/>
  <c r="F840" i="12"/>
  <c r="G840" i="12"/>
  <c r="H840" i="12"/>
  <c r="I840" i="12"/>
  <c r="J840" i="12"/>
  <c r="A841" i="12"/>
  <c r="B841" i="12"/>
  <c r="D841" i="12"/>
  <c r="E841" i="12"/>
  <c r="F841" i="12"/>
  <c r="G841" i="12"/>
  <c r="H841" i="12"/>
  <c r="I841" i="12"/>
  <c r="J841" i="12"/>
  <c r="A842" i="12"/>
  <c r="B842" i="12"/>
  <c r="L842" i="12" s="1"/>
  <c r="D842" i="12"/>
  <c r="E842" i="12"/>
  <c r="F842" i="12"/>
  <c r="G842" i="12"/>
  <c r="H842" i="12"/>
  <c r="I842" i="12"/>
  <c r="J842" i="12"/>
  <c r="A843" i="12"/>
  <c r="B843" i="12"/>
  <c r="D843" i="12"/>
  <c r="N843" i="12" s="1"/>
  <c r="E843" i="12"/>
  <c r="F843" i="12"/>
  <c r="G843" i="12"/>
  <c r="H843" i="12"/>
  <c r="I843" i="12"/>
  <c r="J843" i="12"/>
  <c r="T843" i="12" s="1"/>
  <c r="A844" i="12"/>
  <c r="B844" i="12"/>
  <c r="D844" i="12"/>
  <c r="E844" i="12"/>
  <c r="F844" i="12"/>
  <c r="G844" i="12"/>
  <c r="H844" i="12"/>
  <c r="I844" i="12"/>
  <c r="S844" i="12" s="1"/>
  <c r="J844" i="12"/>
  <c r="A845" i="12"/>
  <c r="B845" i="12"/>
  <c r="D845" i="12"/>
  <c r="E845" i="12"/>
  <c r="F845" i="12"/>
  <c r="G845" i="12"/>
  <c r="H845" i="12"/>
  <c r="R845" i="12" s="1"/>
  <c r="I845" i="12"/>
  <c r="J845" i="12"/>
  <c r="A846" i="12"/>
  <c r="B846" i="12"/>
  <c r="D846" i="12"/>
  <c r="E846" i="12"/>
  <c r="F846" i="12"/>
  <c r="G846" i="12"/>
  <c r="Q846" i="12" s="1"/>
  <c r="H846" i="12"/>
  <c r="I846" i="12"/>
  <c r="J846" i="12"/>
  <c r="A847" i="12"/>
  <c r="B847" i="12"/>
  <c r="D847" i="12"/>
  <c r="E847" i="12"/>
  <c r="F847" i="12"/>
  <c r="P847" i="12" s="1"/>
  <c r="G847" i="12"/>
  <c r="H847" i="12"/>
  <c r="I847" i="12"/>
  <c r="J847" i="12"/>
  <c r="A848" i="12"/>
  <c r="B848" i="12"/>
  <c r="D848" i="12"/>
  <c r="E848" i="12"/>
  <c r="F848" i="12"/>
  <c r="G848" i="12"/>
  <c r="H848" i="12"/>
  <c r="I848" i="12"/>
  <c r="J848" i="12"/>
  <c r="A849" i="12"/>
  <c r="B849" i="12"/>
  <c r="D849" i="12"/>
  <c r="E849" i="12"/>
  <c r="F849" i="12"/>
  <c r="G849" i="12"/>
  <c r="H849" i="12"/>
  <c r="I849" i="12"/>
  <c r="J849" i="12"/>
  <c r="A850" i="12"/>
  <c r="B850" i="12"/>
  <c r="L850" i="12" s="1"/>
  <c r="D850" i="12"/>
  <c r="E850" i="12"/>
  <c r="F850" i="12"/>
  <c r="G850" i="12"/>
  <c r="H850" i="12"/>
  <c r="I850" i="12"/>
  <c r="J850" i="12"/>
  <c r="A851" i="12"/>
  <c r="B851" i="12"/>
  <c r="D851" i="12"/>
  <c r="E851" i="12"/>
  <c r="F851" i="12"/>
  <c r="G851" i="12"/>
  <c r="H851" i="12"/>
  <c r="I851" i="12"/>
  <c r="J851" i="12"/>
  <c r="T851" i="12" s="1"/>
  <c r="A852" i="12"/>
  <c r="B852" i="12"/>
  <c r="D852" i="12"/>
  <c r="E852" i="12"/>
  <c r="F852" i="12"/>
  <c r="G852" i="12"/>
  <c r="H852" i="12"/>
  <c r="I852" i="12"/>
  <c r="S852" i="12" s="1"/>
  <c r="J852" i="12"/>
  <c r="A853" i="12"/>
  <c r="B853" i="12"/>
  <c r="D853" i="12"/>
  <c r="E853" i="12"/>
  <c r="F853" i="12"/>
  <c r="G853" i="12"/>
  <c r="H853" i="12"/>
  <c r="R853" i="12" s="1"/>
  <c r="I853" i="12"/>
  <c r="J853" i="12"/>
  <c r="A854" i="12"/>
  <c r="B854" i="12"/>
  <c r="D854" i="12"/>
  <c r="E854" i="12"/>
  <c r="F854" i="12"/>
  <c r="G854" i="12"/>
  <c r="Q854" i="12" s="1"/>
  <c r="H854" i="12"/>
  <c r="I854" i="12"/>
  <c r="J854" i="12"/>
  <c r="A855" i="12"/>
  <c r="B855" i="12"/>
  <c r="D855" i="12"/>
  <c r="E855" i="12"/>
  <c r="F855" i="12"/>
  <c r="P855" i="12" s="1"/>
  <c r="G855" i="12"/>
  <c r="H855" i="12"/>
  <c r="I855" i="12"/>
  <c r="J855" i="12"/>
  <c r="A856" i="12"/>
  <c r="B856" i="12"/>
  <c r="D856" i="12"/>
  <c r="E856" i="12"/>
  <c r="F856" i="12"/>
  <c r="G856" i="12"/>
  <c r="H856" i="12"/>
  <c r="I856" i="12"/>
  <c r="J856" i="12"/>
  <c r="A857" i="12"/>
  <c r="B857" i="12"/>
  <c r="D857" i="12"/>
  <c r="E857" i="12"/>
  <c r="F857" i="12"/>
  <c r="G857" i="12"/>
  <c r="H857" i="12"/>
  <c r="I857" i="12"/>
  <c r="J857" i="12"/>
  <c r="A858" i="12"/>
  <c r="B858" i="12"/>
  <c r="L858" i="12" s="1"/>
  <c r="D858" i="12"/>
  <c r="E858" i="12"/>
  <c r="F858" i="12"/>
  <c r="G858" i="12"/>
  <c r="H858" i="12"/>
  <c r="I858" i="12"/>
  <c r="J858" i="12"/>
  <c r="A859" i="12"/>
  <c r="B859" i="12"/>
  <c r="D859" i="12"/>
  <c r="E859" i="12"/>
  <c r="F859" i="12"/>
  <c r="G859" i="12"/>
  <c r="H859" i="12"/>
  <c r="I859" i="12"/>
  <c r="J859" i="12"/>
  <c r="T859" i="12" s="1"/>
  <c r="A860" i="12"/>
  <c r="B860" i="12"/>
  <c r="D860" i="12"/>
  <c r="E860" i="12"/>
  <c r="F860" i="12"/>
  <c r="G860" i="12"/>
  <c r="H860" i="12"/>
  <c r="I860" i="12"/>
  <c r="S860" i="12" s="1"/>
  <c r="J860" i="12"/>
  <c r="A861" i="12"/>
  <c r="B861" i="12"/>
  <c r="D861" i="12"/>
  <c r="E861" i="12"/>
  <c r="F861" i="12"/>
  <c r="G861" i="12"/>
  <c r="H861" i="12"/>
  <c r="R861" i="12" s="1"/>
  <c r="I861" i="12"/>
  <c r="J861" i="12"/>
  <c r="A862" i="12"/>
  <c r="B862" i="12"/>
  <c r="D862" i="12"/>
  <c r="E862" i="12"/>
  <c r="F862" i="12"/>
  <c r="G862" i="12"/>
  <c r="Q862" i="12" s="1"/>
  <c r="H862" i="12"/>
  <c r="I862" i="12"/>
  <c r="J862" i="12"/>
  <c r="A863" i="12"/>
  <c r="B863" i="12"/>
  <c r="D863" i="12"/>
  <c r="E863" i="12"/>
  <c r="F863" i="12"/>
  <c r="P863" i="12" s="1"/>
  <c r="G863" i="12"/>
  <c r="H863" i="12"/>
  <c r="I863" i="12"/>
  <c r="J863" i="12"/>
  <c r="A864" i="12"/>
  <c r="B864" i="12"/>
  <c r="D864" i="12"/>
  <c r="E864" i="12"/>
  <c r="F864" i="12"/>
  <c r="G864" i="12"/>
  <c r="H864" i="12"/>
  <c r="I864" i="12"/>
  <c r="J864" i="12"/>
  <c r="A865" i="12"/>
  <c r="B865" i="12"/>
  <c r="D865" i="12"/>
  <c r="E865" i="12"/>
  <c r="F865" i="12"/>
  <c r="G865" i="12"/>
  <c r="H865" i="12"/>
  <c r="I865" i="12"/>
  <c r="J865" i="12"/>
  <c r="A866" i="12"/>
  <c r="B866" i="12"/>
  <c r="L866" i="12" s="1"/>
  <c r="D866" i="12"/>
  <c r="E866" i="12"/>
  <c r="F866" i="12"/>
  <c r="G866" i="12"/>
  <c r="H866" i="12"/>
  <c r="I866" i="12"/>
  <c r="J866" i="12"/>
  <c r="A867" i="12"/>
  <c r="B867" i="12"/>
  <c r="D867" i="12"/>
  <c r="E867" i="12"/>
  <c r="F867" i="12"/>
  <c r="G867" i="12"/>
  <c r="H867" i="12"/>
  <c r="I867" i="12"/>
  <c r="J867" i="12"/>
  <c r="T867" i="12" s="1"/>
  <c r="A868" i="12"/>
  <c r="B868" i="12"/>
  <c r="D868" i="12"/>
  <c r="E868" i="12"/>
  <c r="F868" i="12"/>
  <c r="G868" i="12"/>
  <c r="H868" i="12"/>
  <c r="I868" i="12"/>
  <c r="S868" i="12" s="1"/>
  <c r="J868" i="12"/>
  <c r="A869" i="12"/>
  <c r="B869" i="12"/>
  <c r="D869" i="12"/>
  <c r="E869" i="12"/>
  <c r="F869" i="12"/>
  <c r="G869" i="12"/>
  <c r="H869" i="12"/>
  <c r="R869" i="12" s="1"/>
  <c r="I869" i="12"/>
  <c r="J869" i="12"/>
  <c r="A870" i="12"/>
  <c r="B870" i="12"/>
  <c r="D870" i="12"/>
  <c r="E870" i="12"/>
  <c r="F870" i="12"/>
  <c r="G870" i="12"/>
  <c r="Q870" i="12" s="1"/>
  <c r="H870" i="12"/>
  <c r="I870" i="12"/>
  <c r="J870" i="12"/>
  <c r="A871" i="12"/>
  <c r="B871" i="12"/>
  <c r="D871" i="12"/>
  <c r="E871" i="12"/>
  <c r="F871" i="12"/>
  <c r="P871" i="12" s="1"/>
  <c r="G871" i="12"/>
  <c r="H871" i="12"/>
  <c r="I871" i="12"/>
  <c r="J871" i="12"/>
  <c r="A872" i="12"/>
  <c r="B872" i="12"/>
  <c r="D872" i="12"/>
  <c r="E872" i="12"/>
  <c r="F872" i="12"/>
  <c r="G872" i="12"/>
  <c r="H872" i="12"/>
  <c r="I872" i="12"/>
  <c r="J872" i="12"/>
  <c r="A873" i="12"/>
  <c r="B873" i="12"/>
  <c r="D873" i="12"/>
  <c r="E873" i="12"/>
  <c r="F873" i="12"/>
  <c r="G873" i="12"/>
  <c r="H873" i="12"/>
  <c r="I873" i="12"/>
  <c r="J873" i="12"/>
  <c r="A874" i="12"/>
  <c r="B874" i="12"/>
  <c r="L874" i="12" s="1"/>
  <c r="D874" i="12"/>
  <c r="E874" i="12"/>
  <c r="F874" i="12"/>
  <c r="G874" i="12"/>
  <c r="H874" i="12"/>
  <c r="I874" i="12"/>
  <c r="J874" i="12"/>
  <c r="A875" i="12"/>
  <c r="B875" i="12"/>
  <c r="D875" i="12"/>
  <c r="E875" i="12"/>
  <c r="F875" i="12"/>
  <c r="G875" i="12"/>
  <c r="H875" i="12"/>
  <c r="I875" i="12"/>
  <c r="J875" i="12"/>
  <c r="T875" i="12" s="1"/>
  <c r="A876" i="12"/>
  <c r="B876" i="12"/>
  <c r="D876" i="12"/>
  <c r="E876" i="12"/>
  <c r="F876" i="12"/>
  <c r="G876" i="12"/>
  <c r="H876" i="12"/>
  <c r="I876" i="12"/>
  <c r="S876" i="12" s="1"/>
  <c r="J876" i="12"/>
  <c r="A877" i="12"/>
  <c r="B877" i="12"/>
  <c r="D877" i="12"/>
  <c r="E877" i="12"/>
  <c r="F877" i="12"/>
  <c r="G877" i="12"/>
  <c r="H877" i="12"/>
  <c r="R877" i="12" s="1"/>
  <c r="I877" i="12"/>
  <c r="J877" i="12"/>
  <c r="A878" i="12"/>
  <c r="B878" i="12"/>
  <c r="D878" i="12"/>
  <c r="E878" i="12"/>
  <c r="F878" i="12"/>
  <c r="G878" i="12"/>
  <c r="Q878" i="12" s="1"/>
  <c r="H878" i="12"/>
  <c r="I878" i="12"/>
  <c r="J878" i="12"/>
  <c r="A879" i="12"/>
  <c r="B879" i="12"/>
  <c r="D879" i="12"/>
  <c r="E879" i="12"/>
  <c r="F879" i="12"/>
  <c r="P879" i="12" s="1"/>
  <c r="G879" i="12"/>
  <c r="H879" i="12"/>
  <c r="I879" i="12"/>
  <c r="J879" i="12"/>
  <c r="A880" i="12"/>
  <c r="B880" i="12"/>
  <c r="D880" i="12"/>
  <c r="E880" i="12"/>
  <c r="F880" i="12"/>
  <c r="G880" i="12"/>
  <c r="H880" i="12"/>
  <c r="I880" i="12"/>
  <c r="J880" i="12"/>
  <c r="A881" i="12"/>
  <c r="B881" i="12"/>
  <c r="D881" i="12"/>
  <c r="E881" i="12"/>
  <c r="F881" i="12"/>
  <c r="G881" i="12"/>
  <c r="H881" i="12"/>
  <c r="I881" i="12"/>
  <c r="J881" i="12"/>
  <c r="A882" i="12"/>
  <c r="B882" i="12"/>
  <c r="L882" i="12" s="1"/>
  <c r="D882" i="12"/>
  <c r="E882" i="12"/>
  <c r="F882" i="12"/>
  <c r="G882" i="12"/>
  <c r="H882" i="12"/>
  <c r="I882" i="12"/>
  <c r="J882" i="12"/>
  <c r="A883" i="12"/>
  <c r="B883" i="12"/>
  <c r="D883" i="12"/>
  <c r="E883" i="12"/>
  <c r="F883" i="12"/>
  <c r="G883" i="12"/>
  <c r="H883" i="12"/>
  <c r="I883" i="12"/>
  <c r="J883" i="12"/>
  <c r="T883" i="12" s="1"/>
  <c r="A884" i="12"/>
  <c r="B884" i="12"/>
  <c r="D884" i="12"/>
  <c r="E884" i="12"/>
  <c r="F884" i="12"/>
  <c r="G884" i="12"/>
  <c r="H884" i="12"/>
  <c r="I884" i="12"/>
  <c r="S884" i="12" s="1"/>
  <c r="J884" i="12"/>
  <c r="A885" i="12"/>
  <c r="B885" i="12"/>
  <c r="D885" i="12"/>
  <c r="E885" i="12"/>
  <c r="F885" i="12"/>
  <c r="G885" i="12"/>
  <c r="H885" i="12"/>
  <c r="R885" i="12" s="1"/>
  <c r="I885" i="12"/>
  <c r="J885" i="12"/>
  <c r="A886" i="12"/>
  <c r="B886" i="12"/>
  <c r="D886" i="12"/>
  <c r="E886" i="12"/>
  <c r="F886" i="12"/>
  <c r="G886" i="12"/>
  <c r="Q886" i="12" s="1"/>
  <c r="H886" i="12"/>
  <c r="I886" i="12"/>
  <c r="J886" i="12"/>
  <c r="A887" i="12"/>
  <c r="B887" i="12"/>
  <c r="D887" i="12"/>
  <c r="E887" i="12"/>
  <c r="F887" i="12"/>
  <c r="P887" i="12" s="1"/>
  <c r="G887" i="12"/>
  <c r="H887" i="12"/>
  <c r="I887" i="12"/>
  <c r="J887" i="12"/>
  <c r="A888" i="12"/>
  <c r="B888" i="12"/>
  <c r="D888" i="12"/>
  <c r="E888" i="12"/>
  <c r="F888" i="12"/>
  <c r="G888" i="12"/>
  <c r="H888" i="12"/>
  <c r="I888" i="12"/>
  <c r="J888" i="12"/>
  <c r="A889" i="12"/>
  <c r="B889" i="12"/>
  <c r="D889" i="12"/>
  <c r="E889" i="12"/>
  <c r="F889" i="12"/>
  <c r="G889" i="12"/>
  <c r="H889" i="12"/>
  <c r="I889" i="12"/>
  <c r="J889" i="12"/>
  <c r="A890" i="12"/>
  <c r="B890" i="12"/>
  <c r="L890" i="12" s="1"/>
  <c r="D890" i="12"/>
  <c r="E890" i="12"/>
  <c r="F890" i="12"/>
  <c r="G890" i="12"/>
  <c r="H890" i="12"/>
  <c r="I890" i="12"/>
  <c r="J890" i="12"/>
  <c r="A891" i="12"/>
  <c r="B891" i="12"/>
  <c r="D891" i="12"/>
  <c r="E891" i="12"/>
  <c r="F891" i="12"/>
  <c r="G891" i="12"/>
  <c r="H891" i="12"/>
  <c r="I891" i="12"/>
  <c r="J891" i="12"/>
  <c r="T891" i="12" s="1"/>
  <c r="A892" i="12"/>
  <c r="B892" i="12"/>
  <c r="D892" i="12"/>
  <c r="E892" i="12"/>
  <c r="F892" i="12"/>
  <c r="G892" i="12"/>
  <c r="H892" i="12"/>
  <c r="I892" i="12"/>
  <c r="S892" i="12" s="1"/>
  <c r="J892" i="12"/>
  <c r="A893" i="12"/>
  <c r="B893" i="12"/>
  <c r="D893" i="12"/>
  <c r="E893" i="12"/>
  <c r="F893" i="12"/>
  <c r="G893" i="12"/>
  <c r="H893" i="12"/>
  <c r="R893" i="12" s="1"/>
  <c r="I893" i="12"/>
  <c r="J893" i="12"/>
  <c r="A894" i="12"/>
  <c r="B894" i="12"/>
  <c r="D894" i="12"/>
  <c r="E894" i="12"/>
  <c r="F894" i="12"/>
  <c r="G894" i="12"/>
  <c r="Q894" i="12" s="1"/>
  <c r="H894" i="12"/>
  <c r="I894" i="12"/>
  <c r="J894" i="12"/>
  <c r="A895" i="12"/>
  <c r="B895" i="12"/>
  <c r="D895" i="12"/>
  <c r="E895" i="12"/>
  <c r="F895" i="12"/>
  <c r="P895" i="12" s="1"/>
  <c r="G895" i="12"/>
  <c r="H895" i="12"/>
  <c r="I895" i="12"/>
  <c r="J895" i="12"/>
  <c r="A896" i="12"/>
  <c r="B896" i="12"/>
  <c r="D896" i="12"/>
  <c r="E896" i="12"/>
  <c r="F896" i="12"/>
  <c r="G896" i="12"/>
  <c r="H896" i="12"/>
  <c r="I896" i="12"/>
  <c r="J896" i="12"/>
  <c r="A897" i="12"/>
  <c r="B897" i="12"/>
  <c r="D897" i="12"/>
  <c r="E897" i="12"/>
  <c r="F897" i="12"/>
  <c r="G897" i="12"/>
  <c r="H897" i="12"/>
  <c r="I897" i="12"/>
  <c r="J897" i="12"/>
  <c r="A898" i="12"/>
  <c r="B898" i="12"/>
  <c r="L898" i="12" s="1"/>
  <c r="D898" i="12"/>
  <c r="E898" i="12"/>
  <c r="F898" i="12"/>
  <c r="G898" i="12"/>
  <c r="H898" i="12"/>
  <c r="I898" i="12"/>
  <c r="J898" i="12"/>
  <c r="A899" i="12"/>
  <c r="B899" i="12"/>
  <c r="D899" i="12"/>
  <c r="E899" i="12"/>
  <c r="F899" i="12"/>
  <c r="G899" i="12"/>
  <c r="H899" i="12"/>
  <c r="I899" i="12"/>
  <c r="J899" i="12"/>
  <c r="T899" i="12" s="1"/>
  <c r="A900" i="12"/>
  <c r="B900" i="12"/>
  <c r="D900" i="12"/>
  <c r="E900" i="12"/>
  <c r="F900" i="12"/>
  <c r="G900" i="12"/>
  <c r="H900" i="12"/>
  <c r="I900" i="12"/>
  <c r="S900" i="12" s="1"/>
  <c r="J900" i="12"/>
  <c r="A901" i="12"/>
  <c r="B901" i="12"/>
  <c r="D901" i="12"/>
  <c r="E901" i="12"/>
  <c r="F901" i="12"/>
  <c r="G901" i="12"/>
  <c r="H901" i="12"/>
  <c r="R901" i="12" s="1"/>
  <c r="I901" i="12"/>
  <c r="J901" i="12"/>
  <c r="A902" i="12"/>
  <c r="B902" i="12"/>
  <c r="D902" i="12"/>
  <c r="E902" i="12"/>
  <c r="F902" i="12"/>
  <c r="G902" i="12"/>
  <c r="Q902" i="12" s="1"/>
  <c r="H902" i="12"/>
  <c r="I902" i="12"/>
  <c r="J902" i="12"/>
  <c r="A903" i="12"/>
  <c r="B903" i="12"/>
  <c r="D903" i="12"/>
  <c r="E903" i="12"/>
  <c r="F903" i="12"/>
  <c r="P903" i="12" s="1"/>
  <c r="G903" i="12"/>
  <c r="H903" i="12"/>
  <c r="I903" i="12"/>
  <c r="J903" i="12"/>
  <c r="A904" i="12"/>
  <c r="B904" i="12"/>
  <c r="D904" i="12"/>
  <c r="E904" i="12"/>
  <c r="F904" i="12"/>
  <c r="G904" i="12"/>
  <c r="H904" i="12"/>
  <c r="I904" i="12"/>
  <c r="J904" i="12"/>
  <c r="A905" i="12"/>
  <c r="B905" i="12"/>
  <c r="D905" i="12"/>
  <c r="E905" i="12"/>
  <c r="F905" i="12"/>
  <c r="G905" i="12"/>
  <c r="H905" i="12"/>
  <c r="I905" i="12"/>
  <c r="J905" i="12"/>
  <c r="A906" i="12"/>
  <c r="B906" i="12"/>
  <c r="L906" i="12" s="1"/>
  <c r="D906" i="12"/>
  <c r="E906" i="12"/>
  <c r="F906" i="12"/>
  <c r="G906" i="12"/>
  <c r="H906" i="12"/>
  <c r="I906" i="12"/>
  <c r="J906" i="12"/>
  <c r="A907" i="12"/>
  <c r="B907" i="12"/>
  <c r="D907" i="12"/>
  <c r="E907" i="12"/>
  <c r="F907" i="12"/>
  <c r="G907" i="12"/>
  <c r="H907" i="12"/>
  <c r="I907" i="12"/>
  <c r="J907" i="12"/>
  <c r="T907" i="12" s="1"/>
  <c r="A908" i="12"/>
  <c r="B908" i="12"/>
  <c r="D908" i="12"/>
  <c r="E908" i="12"/>
  <c r="F908" i="12"/>
  <c r="G908" i="12"/>
  <c r="H908" i="12"/>
  <c r="I908" i="12"/>
  <c r="S908" i="12" s="1"/>
  <c r="J908" i="12"/>
  <c r="A909" i="12"/>
  <c r="B909" i="12"/>
  <c r="D909" i="12"/>
  <c r="E909" i="12"/>
  <c r="F909" i="12"/>
  <c r="G909" i="12"/>
  <c r="H909" i="12"/>
  <c r="R909" i="12" s="1"/>
  <c r="I909" i="12"/>
  <c r="J909" i="12"/>
  <c r="A910" i="12"/>
  <c r="B910" i="12"/>
  <c r="D910" i="12"/>
  <c r="E910" i="12"/>
  <c r="F910" i="12"/>
  <c r="G910" i="12"/>
  <c r="Q910" i="12" s="1"/>
  <c r="H910" i="12"/>
  <c r="I910" i="12"/>
  <c r="J910" i="12"/>
  <c r="A911" i="12"/>
  <c r="B911" i="12"/>
  <c r="D911" i="12"/>
  <c r="E911" i="12"/>
  <c r="F911" i="12"/>
  <c r="P911" i="12" s="1"/>
  <c r="G911" i="12"/>
  <c r="H911" i="12"/>
  <c r="I911" i="12"/>
  <c r="J911" i="12"/>
  <c r="A912" i="12"/>
  <c r="B912" i="12"/>
  <c r="D912" i="12"/>
  <c r="E912" i="12"/>
  <c r="F912" i="12"/>
  <c r="G912" i="12"/>
  <c r="H912" i="12"/>
  <c r="I912" i="12"/>
  <c r="J912" i="12"/>
  <c r="A913" i="12"/>
  <c r="B913" i="12"/>
  <c r="D913" i="12"/>
  <c r="E913" i="12"/>
  <c r="F913" i="12"/>
  <c r="G913" i="12"/>
  <c r="H913" i="12"/>
  <c r="I913" i="12"/>
  <c r="J913" i="12"/>
  <c r="A914" i="12"/>
  <c r="B914" i="12"/>
  <c r="L914" i="12" s="1"/>
  <c r="D914" i="12"/>
  <c r="E914" i="12"/>
  <c r="F914" i="12"/>
  <c r="G914" i="12"/>
  <c r="H914" i="12"/>
  <c r="I914" i="12"/>
  <c r="J914" i="12"/>
  <c r="A915" i="12"/>
  <c r="B915" i="12"/>
  <c r="D915" i="12"/>
  <c r="E915" i="12"/>
  <c r="F915" i="12"/>
  <c r="G915" i="12"/>
  <c r="H915" i="12"/>
  <c r="I915" i="12"/>
  <c r="J915" i="12"/>
  <c r="T915" i="12" s="1"/>
  <c r="A916" i="12"/>
  <c r="B916" i="12"/>
  <c r="D916" i="12"/>
  <c r="E916" i="12"/>
  <c r="F916" i="12"/>
  <c r="G916" i="12"/>
  <c r="H916" i="12"/>
  <c r="I916" i="12"/>
  <c r="S916" i="12" s="1"/>
  <c r="J916" i="12"/>
  <c r="A917" i="12"/>
  <c r="B917" i="12"/>
  <c r="D917" i="12"/>
  <c r="E917" i="12"/>
  <c r="O917" i="12" s="1"/>
  <c r="F917" i="12"/>
  <c r="G917" i="12"/>
  <c r="Q917" i="12" s="1"/>
  <c r="H917" i="12"/>
  <c r="R917" i="12" s="1"/>
  <c r="I917" i="12"/>
  <c r="J917" i="12"/>
  <c r="A918" i="12"/>
  <c r="B918" i="12"/>
  <c r="D918" i="12"/>
  <c r="E918" i="12"/>
  <c r="F918" i="12"/>
  <c r="G918" i="12"/>
  <c r="Q918" i="12" s="1"/>
  <c r="H918" i="12"/>
  <c r="I918" i="12"/>
  <c r="J918" i="12"/>
  <c r="A919" i="12"/>
  <c r="B919" i="12"/>
  <c r="D919" i="12"/>
  <c r="E919" i="12"/>
  <c r="F919" i="12"/>
  <c r="P919" i="12" s="1"/>
  <c r="G919" i="12"/>
  <c r="H919" i="12"/>
  <c r="I919" i="12"/>
  <c r="J919" i="12"/>
  <c r="A920" i="12"/>
  <c r="B920" i="12"/>
  <c r="D920" i="12"/>
  <c r="E920" i="12"/>
  <c r="F920" i="12"/>
  <c r="G920" i="12"/>
  <c r="H920" i="12"/>
  <c r="I920" i="12"/>
  <c r="J920" i="12"/>
  <c r="A921" i="12"/>
  <c r="B921" i="12"/>
  <c r="D921" i="12"/>
  <c r="E921" i="12"/>
  <c r="F921" i="12"/>
  <c r="G921" i="12"/>
  <c r="H921" i="12"/>
  <c r="I921" i="12"/>
  <c r="J921" i="12"/>
  <c r="A922" i="12"/>
  <c r="B922" i="12"/>
  <c r="L922" i="12" s="1"/>
  <c r="D922" i="12"/>
  <c r="E922" i="12"/>
  <c r="F922" i="12"/>
  <c r="G922" i="12"/>
  <c r="H922" i="12"/>
  <c r="I922" i="12"/>
  <c r="J922" i="12"/>
  <c r="A923" i="12"/>
  <c r="B923" i="12"/>
  <c r="D923" i="12"/>
  <c r="E923" i="12"/>
  <c r="F923" i="12"/>
  <c r="G923" i="12"/>
  <c r="H923" i="12"/>
  <c r="I923" i="12"/>
  <c r="J923" i="12"/>
  <c r="T923" i="12" s="1"/>
  <c r="A924" i="12"/>
  <c r="B924" i="12"/>
  <c r="D924" i="12"/>
  <c r="E924" i="12"/>
  <c r="F924" i="12"/>
  <c r="G924" i="12"/>
  <c r="H924" i="12"/>
  <c r="I924" i="12"/>
  <c r="S924" i="12" s="1"/>
  <c r="J924" i="12"/>
  <c r="A925" i="12"/>
  <c r="B925" i="12"/>
  <c r="D925" i="12"/>
  <c r="E925" i="12"/>
  <c r="F925" i="12"/>
  <c r="G925" i="12"/>
  <c r="H925" i="12"/>
  <c r="R925" i="12" s="1"/>
  <c r="I925" i="12"/>
  <c r="J925" i="12"/>
  <c r="A926" i="12"/>
  <c r="B926" i="12"/>
  <c r="D926" i="12"/>
  <c r="E926" i="12"/>
  <c r="F926" i="12"/>
  <c r="G926" i="12"/>
  <c r="Q926" i="12" s="1"/>
  <c r="H926" i="12"/>
  <c r="I926" i="12"/>
  <c r="J926" i="12"/>
  <c r="A927" i="12"/>
  <c r="B927" i="12"/>
  <c r="D927" i="12"/>
  <c r="E927" i="12"/>
  <c r="F927" i="12"/>
  <c r="P927" i="12" s="1"/>
  <c r="G927" i="12"/>
  <c r="H927" i="12"/>
  <c r="I927" i="12"/>
  <c r="J927" i="12"/>
  <c r="A928" i="12"/>
  <c r="B928" i="12"/>
  <c r="D928" i="12"/>
  <c r="E928" i="12"/>
  <c r="F928" i="12"/>
  <c r="G928" i="12"/>
  <c r="H928" i="12"/>
  <c r="I928" i="12"/>
  <c r="J928" i="12"/>
  <c r="A929" i="12"/>
  <c r="B929" i="12"/>
  <c r="D929" i="12"/>
  <c r="E929" i="12"/>
  <c r="F929" i="12"/>
  <c r="G929" i="12"/>
  <c r="H929" i="12"/>
  <c r="I929" i="12"/>
  <c r="J929" i="12"/>
  <c r="A930" i="12"/>
  <c r="B930" i="12"/>
  <c r="L930" i="12" s="1"/>
  <c r="D930" i="12"/>
  <c r="E930" i="12"/>
  <c r="F930" i="12"/>
  <c r="G930" i="12"/>
  <c r="H930" i="12"/>
  <c r="I930" i="12"/>
  <c r="J930" i="12"/>
  <c r="A931" i="12"/>
  <c r="B931" i="12"/>
  <c r="D931" i="12"/>
  <c r="E931" i="12"/>
  <c r="F931" i="12"/>
  <c r="G931" i="12"/>
  <c r="H931" i="12"/>
  <c r="I931" i="12"/>
  <c r="J931" i="12"/>
  <c r="T931" i="12" s="1"/>
  <c r="A932" i="12"/>
  <c r="B932" i="12"/>
  <c r="D932" i="12"/>
  <c r="E932" i="12"/>
  <c r="F932" i="12"/>
  <c r="G932" i="12"/>
  <c r="H932" i="12"/>
  <c r="I932" i="12"/>
  <c r="S932" i="12" s="1"/>
  <c r="J932" i="12"/>
  <c r="A933" i="12"/>
  <c r="B933" i="12"/>
  <c r="D933" i="12"/>
  <c r="E933" i="12"/>
  <c r="F933" i="12"/>
  <c r="G933" i="12"/>
  <c r="H933" i="12"/>
  <c r="R933" i="12" s="1"/>
  <c r="I933" i="12"/>
  <c r="J933" i="12"/>
  <c r="A934" i="12"/>
  <c r="B934" i="12"/>
  <c r="D934" i="12"/>
  <c r="E934" i="12"/>
  <c r="F934" i="12"/>
  <c r="G934" i="12"/>
  <c r="Q934" i="12" s="1"/>
  <c r="H934" i="12"/>
  <c r="I934" i="12"/>
  <c r="J934" i="12"/>
  <c r="A935" i="12"/>
  <c r="B935" i="12"/>
  <c r="D935" i="12"/>
  <c r="E935" i="12"/>
  <c r="F935" i="12"/>
  <c r="P935" i="12" s="1"/>
  <c r="G935" i="12"/>
  <c r="H935" i="12"/>
  <c r="I935" i="12"/>
  <c r="J935" i="12"/>
  <c r="A936" i="12"/>
  <c r="B936" i="12"/>
  <c r="D936" i="12"/>
  <c r="E936" i="12"/>
  <c r="F936" i="12"/>
  <c r="G936" i="12"/>
  <c r="H936" i="12"/>
  <c r="I936" i="12"/>
  <c r="J936" i="12"/>
  <c r="A937" i="12"/>
  <c r="B937" i="12"/>
  <c r="D937" i="12"/>
  <c r="E937" i="12"/>
  <c r="F937" i="12"/>
  <c r="G937" i="12"/>
  <c r="H937" i="12"/>
  <c r="I937" i="12"/>
  <c r="J937" i="12"/>
  <c r="A938" i="12"/>
  <c r="B938" i="12"/>
  <c r="L938" i="12" s="1"/>
  <c r="D938" i="12"/>
  <c r="E938" i="12"/>
  <c r="F938" i="12"/>
  <c r="G938" i="12"/>
  <c r="H938" i="12"/>
  <c r="I938" i="12"/>
  <c r="J938" i="12"/>
  <c r="A939" i="12"/>
  <c r="B939" i="12"/>
  <c r="D939" i="12"/>
  <c r="E939" i="12"/>
  <c r="F939" i="12"/>
  <c r="G939" i="12"/>
  <c r="H939" i="12"/>
  <c r="I939" i="12"/>
  <c r="J939" i="12"/>
  <c r="T939" i="12" s="1"/>
  <c r="A940" i="12"/>
  <c r="B940" i="12"/>
  <c r="D940" i="12"/>
  <c r="E940" i="12"/>
  <c r="F940" i="12"/>
  <c r="G940" i="12"/>
  <c r="H940" i="12"/>
  <c r="I940" i="12"/>
  <c r="S940" i="12" s="1"/>
  <c r="J940" i="12"/>
  <c r="A941" i="12"/>
  <c r="B941" i="12"/>
  <c r="D941" i="12"/>
  <c r="E941" i="12"/>
  <c r="F941" i="12"/>
  <c r="G941" i="12"/>
  <c r="H941" i="12"/>
  <c r="R941" i="12" s="1"/>
  <c r="I941" i="12"/>
  <c r="J941" i="12"/>
  <c r="A942" i="12"/>
  <c r="B942" i="12"/>
  <c r="D942" i="12"/>
  <c r="E942" i="12"/>
  <c r="F942" i="12"/>
  <c r="G942" i="12"/>
  <c r="Q942" i="12" s="1"/>
  <c r="H942" i="12"/>
  <c r="I942" i="12"/>
  <c r="J942" i="12"/>
  <c r="A943" i="12"/>
  <c r="B943" i="12"/>
  <c r="D943" i="12"/>
  <c r="E943" i="12"/>
  <c r="F943" i="12"/>
  <c r="P943" i="12" s="1"/>
  <c r="G943" i="12"/>
  <c r="H943" i="12"/>
  <c r="I943" i="12"/>
  <c r="J943" i="12"/>
  <c r="A944" i="12"/>
  <c r="B944" i="12"/>
  <c r="D944" i="12"/>
  <c r="E944" i="12"/>
  <c r="F944" i="12"/>
  <c r="G944" i="12"/>
  <c r="H944" i="12"/>
  <c r="I944" i="12"/>
  <c r="J944" i="12"/>
  <c r="A945" i="12"/>
  <c r="B945" i="12"/>
  <c r="D945" i="12"/>
  <c r="E945" i="12"/>
  <c r="F945" i="12"/>
  <c r="G945" i="12"/>
  <c r="H945" i="12"/>
  <c r="I945" i="12"/>
  <c r="J945" i="12"/>
  <c r="A946" i="12"/>
  <c r="B946" i="12"/>
  <c r="L946" i="12" s="1"/>
  <c r="D946" i="12"/>
  <c r="E946" i="12"/>
  <c r="F946" i="12"/>
  <c r="G946" i="12"/>
  <c r="H946" i="12"/>
  <c r="I946" i="12"/>
  <c r="J946" i="12"/>
  <c r="A947" i="12"/>
  <c r="B947" i="12"/>
  <c r="D947" i="12"/>
  <c r="E947" i="12"/>
  <c r="F947" i="12"/>
  <c r="G947" i="12"/>
  <c r="H947" i="12"/>
  <c r="I947" i="12"/>
  <c r="J947" i="12"/>
  <c r="T947" i="12" s="1"/>
  <c r="A948" i="12"/>
  <c r="B948" i="12"/>
  <c r="D948" i="12"/>
  <c r="E948" i="12"/>
  <c r="F948" i="12"/>
  <c r="G948" i="12"/>
  <c r="H948" i="12"/>
  <c r="I948" i="12"/>
  <c r="S948" i="12" s="1"/>
  <c r="J948" i="12"/>
  <c r="A949" i="12"/>
  <c r="B949" i="12"/>
  <c r="D949" i="12"/>
  <c r="E949" i="12"/>
  <c r="F949" i="12"/>
  <c r="G949" i="12"/>
  <c r="H949" i="12"/>
  <c r="R949" i="12" s="1"/>
  <c r="I949" i="12"/>
  <c r="J949" i="12"/>
  <c r="A950" i="12"/>
  <c r="B950" i="12"/>
  <c r="D950" i="12"/>
  <c r="E950" i="12"/>
  <c r="F950" i="12"/>
  <c r="G950" i="12"/>
  <c r="Q950" i="12" s="1"/>
  <c r="H950" i="12"/>
  <c r="I950" i="12"/>
  <c r="J950" i="12"/>
  <c r="A951" i="12"/>
  <c r="B951" i="12"/>
  <c r="D951" i="12"/>
  <c r="E951" i="12"/>
  <c r="F951" i="12"/>
  <c r="P951" i="12" s="1"/>
  <c r="G951" i="12"/>
  <c r="H951" i="12"/>
  <c r="I951" i="12"/>
  <c r="J951" i="12"/>
  <c r="A952" i="12"/>
  <c r="B952" i="12"/>
  <c r="D952" i="12"/>
  <c r="E952" i="12"/>
  <c r="F952" i="12"/>
  <c r="G952" i="12"/>
  <c r="H952" i="12"/>
  <c r="I952" i="12"/>
  <c r="J952" i="12"/>
  <c r="A953" i="12"/>
  <c r="B953" i="12"/>
  <c r="D953" i="12"/>
  <c r="E953" i="12"/>
  <c r="F953" i="12"/>
  <c r="G953" i="12"/>
  <c r="H953" i="12"/>
  <c r="I953" i="12"/>
  <c r="J953" i="12"/>
  <c r="A954" i="12"/>
  <c r="B954" i="12"/>
  <c r="L954" i="12" s="1"/>
  <c r="D954" i="12"/>
  <c r="E954" i="12"/>
  <c r="F954" i="12"/>
  <c r="G954" i="12"/>
  <c r="H954" i="12"/>
  <c r="I954" i="12"/>
  <c r="J954" i="12"/>
  <c r="A955" i="12"/>
  <c r="B955" i="12"/>
  <c r="D955" i="12"/>
  <c r="E955" i="12"/>
  <c r="F955" i="12"/>
  <c r="G955" i="12"/>
  <c r="H955" i="12"/>
  <c r="I955" i="12"/>
  <c r="J955" i="12"/>
  <c r="T955" i="12" s="1"/>
  <c r="A956" i="12"/>
  <c r="B956" i="12"/>
  <c r="D956" i="12"/>
  <c r="E956" i="12"/>
  <c r="F956" i="12"/>
  <c r="G956" i="12"/>
  <c r="H956" i="12"/>
  <c r="I956" i="12"/>
  <c r="S956" i="12" s="1"/>
  <c r="J956" i="12"/>
  <c r="A957" i="12"/>
  <c r="B957" i="12"/>
  <c r="D957" i="12"/>
  <c r="E957" i="12"/>
  <c r="F957" i="12"/>
  <c r="G957" i="12"/>
  <c r="H957" i="12"/>
  <c r="R957" i="12" s="1"/>
  <c r="I957" i="12"/>
  <c r="J957" i="12"/>
  <c r="A958" i="12"/>
  <c r="B958" i="12"/>
  <c r="D958" i="12"/>
  <c r="N958" i="12" s="1"/>
  <c r="E958" i="12"/>
  <c r="F958" i="12"/>
  <c r="G958" i="12"/>
  <c r="Q958" i="12" s="1"/>
  <c r="H958" i="12"/>
  <c r="I958" i="12"/>
  <c r="J958" i="12"/>
  <c r="A959" i="12"/>
  <c r="B959" i="12"/>
  <c r="D959" i="12"/>
  <c r="E959" i="12"/>
  <c r="F959" i="12"/>
  <c r="P959" i="12" s="1"/>
  <c r="G959" i="12"/>
  <c r="H959" i="12"/>
  <c r="I959" i="12"/>
  <c r="J959" i="12"/>
  <c r="A960" i="12"/>
  <c r="B960" i="12"/>
  <c r="D960" i="12"/>
  <c r="E960" i="12"/>
  <c r="F960" i="12"/>
  <c r="G960" i="12"/>
  <c r="H960" i="12"/>
  <c r="I960" i="12"/>
  <c r="J960" i="12"/>
  <c r="A961" i="12"/>
  <c r="B961" i="12"/>
  <c r="D961" i="12"/>
  <c r="E961" i="12"/>
  <c r="F961" i="12"/>
  <c r="G961" i="12"/>
  <c r="H961" i="12"/>
  <c r="I961" i="12"/>
  <c r="J961" i="12"/>
  <c r="A962" i="12"/>
  <c r="B962" i="12"/>
  <c r="L962" i="12" s="1"/>
  <c r="D962" i="12"/>
  <c r="E962" i="12"/>
  <c r="F962" i="12"/>
  <c r="G962" i="12"/>
  <c r="H962" i="12"/>
  <c r="I962" i="12"/>
  <c r="J962" i="12"/>
  <c r="A963" i="12"/>
  <c r="B963" i="12"/>
  <c r="D963" i="12"/>
  <c r="E963" i="12"/>
  <c r="F963" i="12"/>
  <c r="G963" i="12"/>
  <c r="H963" i="12"/>
  <c r="I963" i="12"/>
  <c r="J963" i="12"/>
  <c r="T963" i="12" s="1"/>
  <c r="A964" i="12"/>
  <c r="B964" i="12"/>
  <c r="D964" i="12"/>
  <c r="E964" i="12"/>
  <c r="F964" i="12"/>
  <c r="G964" i="12"/>
  <c r="H964" i="12"/>
  <c r="I964" i="12"/>
  <c r="S964" i="12" s="1"/>
  <c r="J964" i="12"/>
  <c r="A965" i="12"/>
  <c r="B965" i="12"/>
  <c r="D965" i="12"/>
  <c r="E965" i="12"/>
  <c r="F965" i="12"/>
  <c r="G965" i="12"/>
  <c r="H965" i="12"/>
  <c r="R965" i="12" s="1"/>
  <c r="I965" i="12"/>
  <c r="J965" i="12"/>
  <c r="A966" i="12"/>
  <c r="B966" i="12"/>
  <c r="D966" i="12"/>
  <c r="E966" i="12"/>
  <c r="F966" i="12"/>
  <c r="G966" i="12"/>
  <c r="Q966" i="12" s="1"/>
  <c r="H966" i="12"/>
  <c r="I966" i="12"/>
  <c r="J966" i="12"/>
  <c r="A967" i="12"/>
  <c r="B967" i="12"/>
  <c r="D967" i="12"/>
  <c r="E967" i="12"/>
  <c r="F967" i="12"/>
  <c r="P967" i="12" s="1"/>
  <c r="G967" i="12"/>
  <c r="H967" i="12"/>
  <c r="I967" i="12"/>
  <c r="J967" i="12"/>
  <c r="A968" i="12"/>
  <c r="B968" i="12"/>
  <c r="D968" i="12"/>
  <c r="E968" i="12"/>
  <c r="F968" i="12"/>
  <c r="G968" i="12"/>
  <c r="H968" i="12"/>
  <c r="I968" i="12"/>
  <c r="J968" i="12"/>
  <c r="A969" i="12"/>
  <c r="B969" i="12"/>
  <c r="D969" i="12"/>
  <c r="E969" i="12"/>
  <c r="F969" i="12"/>
  <c r="G969" i="12"/>
  <c r="H969" i="12"/>
  <c r="I969" i="12"/>
  <c r="J969" i="12"/>
  <c r="A970" i="12"/>
  <c r="B970" i="12"/>
  <c r="L970" i="12" s="1"/>
  <c r="D970" i="12"/>
  <c r="E970" i="12"/>
  <c r="F970" i="12"/>
  <c r="G970" i="12"/>
  <c r="H970" i="12"/>
  <c r="I970" i="12"/>
  <c r="J970" i="12"/>
  <c r="A971" i="12"/>
  <c r="B971" i="12"/>
  <c r="D971" i="12"/>
  <c r="E971" i="12"/>
  <c r="F971" i="12"/>
  <c r="G971" i="12"/>
  <c r="H971" i="12"/>
  <c r="I971" i="12"/>
  <c r="J971" i="12"/>
  <c r="T971" i="12" s="1"/>
  <c r="A972" i="12"/>
  <c r="B972" i="12"/>
  <c r="D972" i="12"/>
  <c r="E972" i="12"/>
  <c r="F972" i="12"/>
  <c r="G972" i="12"/>
  <c r="H972" i="12"/>
  <c r="I972" i="12"/>
  <c r="S972" i="12" s="1"/>
  <c r="J972" i="12"/>
  <c r="A973" i="12"/>
  <c r="B973" i="12"/>
  <c r="D973" i="12"/>
  <c r="E973" i="12"/>
  <c r="F973" i="12"/>
  <c r="G973" i="12"/>
  <c r="H973" i="12"/>
  <c r="R973" i="12" s="1"/>
  <c r="I973" i="12"/>
  <c r="J973" i="12"/>
  <c r="A974" i="12"/>
  <c r="B974" i="12"/>
  <c r="D974" i="12"/>
  <c r="E974" i="12"/>
  <c r="F974" i="12"/>
  <c r="G974" i="12"/>
  <c r="Q974" i="12" s="1"/>
  <c r="H974" i="12"/>
  <c r="I974" i="12"/>
  <c r="J974" i="12"/>
  <c r="A975" i="12"/>
  <c r="B975" i="12"/>
  <c r="D975" i="12"/>
  <c r="E975" i="12"/>
  <c r="F975" i="12"/>
  <c r="P975" i="12" s="1"/>
  <c r="G975" i="12"/>
  <c r="H975" i="12"/>
  <c r="I975" i="12"/>
  <c r="J975" i="12"/>
  <c r="A976" i="12"/>
  <c r="B976" i="12"/>
  <c r="D976" i="12"/>
  <c r="E976" i="12"/>
  <c r="O976" i="12" s="1"/>
  <c r="F976" i="12"/>
  <c r="G976" i="12"/>
  <c r="H976" i="12"/>
  <c r="I976" i="12"/>
  <c r="J976" i="12"/>
  <c r="A977" i="12"/>
  <c r="B977" i="12"/>
  <c r="D977" i="12"/>
  <c r="E977" i="12"/>
  <c r="F977" i="12"/>
  <c r="G977" i="12"/>
  <c r="H977" i="12"/>
  <c r="I977" i="12"/>
  <c r="J977" i="12"/>
  <c r="A978" i="12"/>
  <c r="B978" i="12"/>
  <c r="L978" i="12" s="1"/>
  <c r="D978" i="12"/>
  <c r="E978" i="12"/>
  <c r="F978" i="12"/>
  <c r="G978" i="12"/>
  <c r="H978" i="12"/>
  <c r="I978" i="12"/>
  <c r="J978" i="12"/>
  <c r="A979" i="12"/>
  <c r="B979" i="12"/>
  <c r="D979" i="12"/>
  <c r="E979" i="12"/>
  <c r="F979" i="12"/>
  <c r="G979" i="12"/>
  <c r="H979" i="12"/>
  <c r="I979" i="12"/>
  <c r="J979" i="12"/>
  <c r="T979" i="12" s="1"/>
  <c r="A980" i="12"/>
  <c r="B980" i="12"/>
  <c r="D980" i="12"/>
  <c r="E980" i="12"/>
  <c r="F980" i="12"/>
  <c r="G980" i="12"/>
  <c r="H980" i="12"/>
  <c r="I980" i="12"/>
  <c r="S980" i="12" s="1"/>
  <c r="J980" i="12"/>
  <c r="A981" i="12"/>
  <c r="B981" i="12"/>
  <c r="D981" i="12"/>
  <c r="E981" i="12"/>
  <c r="F981" i="12"/>
  <c r="G981" i="12"/>
  <c r="H981" i="12"/>
  <c r="R981" i="12" s="1"/>
  <c r="I981" i="12"/>
  <c r="J981" i="12"/>
  <c r="A982" i="12"/>
  <c r="B982" i="12"/>
  <c r="D982" i="12"/>
  <c r="E982" i="12"/>
  <c r="F982" i="12"/>
  <c r="G982" i="12"/>
  <c r="Q982" i="12" s="1"/>
  <c r="H982" i="12"/>
  <c r="I982" i="12"/>
  <c r="J982" i="12"/>
  <c r="A983" i="12"/>
  <c r="B983" i="12"/>
  <c r="D983" i="12"/>
  <c r="E983" i="12"/>
  <c r="F983" i="12"/>
  <c r="P983" i="12" s="1"/>
  <c r="G983" i="12"/>
  <c r="H983" i="12"/>
  <c r="I983" i="12"/>
  <c r="J983" i="12"/>
  <c r="A984" i="12"/>
  <c r="B984" i="12"/>
  <c r="D984" i="12"/>
  <c r="E984" i="12"/>
  <c r="F984" i="12"/>
  <c r="G984" i="12"/>
  <c r="H984" i="12"/>
  <c r="I984" i="12"/>
  <c r="J984" i="12"/>
  <c r="A985" i="12"/>
  <c r="B985" i="12"/>
  <c r="D985" i="12"/>
  <c r="E985" i="12"/>
  <c r="F985" i="12"/>
  <c r="G985" i="12"/>
  <c r="H985" i="12"/>
  <c r="I985" i="12"/>
  <c r="J985" i="12"/>
  <c r="A986" i="12"/>
  <c r="B986" i="12"/>
  <c r="L986" i="12" s="1"/>
  <c r="D986" i="12"/>
  <c r="E986" i="12"/>
  <c r="F986" i="12"/>
  <c r="G986" i="12"/>
  <c r="H986" i="12"/>
  <c r="I986" i="12"/>
  <c r="J986" i="12"/>
  <c r="A987" i="12"/>
  <c r="B987" i="12"/>
  <c r="D987" i="12"/>
  <c r="E987" i="12"/>
  <c r="F987" i="12"/>
  <c r="G987" i="12"/>
  <c r="H987" i="12"/>
  <c r="I987" i="12"/>
  <c r="J987" i="12"/>
  <c r="T987" i="12" s="1"/>
  <c r="A988" i="12"/>
  <c r="B988" i="12"/>
  <c r="D988" i="12"/>
  <c r="E988" i="12"/>
  <c r="F988" i="12"/>
  <c r="G988" i="12"/>
  <c r="H988" i="12"/>
  <c r="I988" i="12"/>
  <c r="S988" i="12" s="1"/>
  <c r="J988" i="12"/>
  <c r="A989" i="12"/>
  <c r="B989" i="12"/>
  <c r="D989" i="12"/>
  <c r="E989" i="12"/>
  <c r="F989" i="12"/>
  <c r="G989" i="12"/>
  <c r="H989" i="12"/>
  <c r="R989" i="12" s="1"/>
  <c r="I989" i="12"/>
  <c r="J989" i="12"/>
  <c r="A990" i="12"/>
  <c r="B990" i="12"/>
  <c r="D990" i="12"/>
  <c r="E990" i="12"/>
  <c r="F990" i="12"/>
  <c r="G990" i="12"/>
  <c r="Q990" i="12" s="1"/>
  <c r="H990" i="12"/>
  <c r="R990" i="12" s="1"/>
  <c r="I990" i="12"/>
  <c r="J990" i="12"/>
  <c r="A991" i="12"/>
  <c r="B991" i="12"/>
  <c r="D991" i="12"/>
  <c r="E991" i="12"/>
  <c r="F991" i="12"/>
  <c r="P991" i="12" s="1"/>
  <c r="G991" i="12"/>
  <c r="H991" i="12"/>
  <c r="I991" i="12"/>
  <c r="J991" i="12"/>
  <c r="A992" i="12"/>
  <c r="B992" i="12"/>
  <c r="D992" i="12"/>
  <c r="E992" i="12"/>
  <c r="F992" i="12"/>
  <c r="G992" i="12"/>
  <c r="H992" i="12"/>
  <c r="I992" i="12"/>
  <c r="J992" i="12"/>
  <c r="A993" i="12"/>
  <c r="B993" i="12"/>
  <c r="D993" i="12"/>
  <c r="E993" i="12"/>
  <c r="F993" i="12"/>
  <c r="G993" i="12"/>
  <c r="H993" i="12"/>
  <c r="I993" i="12"/>
  <c r="J993" i="12"/>
  <c r="A994" i="12"/>
  <c r="B994" i="12"/>
  <c r="L994" i="12" s="1"/>
  <c r="D994" i="12"/>
  <c r="E994" i="12"/>
  <c r="F994" i="12"/>
  <c r="G994" i="12"/>
  <c r="H994" i="12"/>
  <c r="I994" i="12"/>
  <c r="J994" i="12"/>
  <c r="A995" i="12"/>
  <c r="B995" i="12"/>
  <c r="D995" i="12"/>
  <c r="E995" i="12"/>
  <c r="F995" i="12"/>
  <c r="G995" i="12"/>
  <c r="H995" i="12"/>
  <c r="I995" i="12"/>
  <c r="J995" i="12"/>
  <c r="T995" i="12" s="1"/>
  <c r="A996" i="12"/>
  <c r="B996" i="12"/>
  <c r="D996" i="12"/>
  <c r="E996" i="12"/>
  <c r="F996" i="12"/>
  <c r="G996" i="12"/>
  <c r="H996" i="12"/>
  <c r="I996" i="12"/>
  <c r="S996" i="12" s="1"/>
  <c r="J996" i="12"/>
  <c r="A997" i="12"/>
  <c r="B997" i="12"/>
  <c r="D997" i="12"/>
  <c r="E997" i="12"/>
  <c r="F997" i="12"/>
  <c r="G997" i="12"/>
  <c r="H997" i="12"/>
  <c r="R997" i="12" s="1"/>
  <c r="I997" i="12"/>
  <c r="J997" i="12"/>
  <c r="A998" i="12"/>
  <c r="B998" i="12"/>
  <c r="D998" i="12"/>
  <c r="E998" i="12"/>
  <c r="F998" i="12"/>
  <c r="G998" i="12"/>
  <c r="Q998" i="12" s="1"/>
  <c r="H998" i="12"/>
  <c r="I998" i="12"/>
  <c r="J998" i="12"/>
  <c r="A999" i="12"/>
  <c r="B999" i="12"/>
  <c r="D999" i="12"/>
  <c r="E999" i="12"/>
  <c r="F999" i="12"/>
  <c r="P999" i="12" s="1"/>
  <c r="G999" i="12"/>
  <c r="H999" i="12"/>
  <c r="I999" i="12"/>
  <c r="J999" i="12"/>
  <c r="A1000" i="12"/>
  <c r="B1000" i="12"/>
  <c r="D1000" i="12"/>
  <c r="E1000" i="12"/>
  <c r="F1000" i="12"/>
  <c r="G1000" i="12"/>
  <c r="H1000" i="12"/>
  <c r="I1000" i="12"/>
  <c r="J1000" i="12"/>
  <c r="A1001" i="12"/>
  <c r="B1001" i="12"/>
  <c r="D1001" i="12"/>
  <c r="E1001" i="12"/>
  <c r="F1001" i="12"/>
  <c r="G1001" i="12"/>
  <c r="H1001" i="12"/>
  <c r="I1001" i="12"/>
  <c r="J1001" i="12"/>
  <c r="A1002" i="12"/>
  <c r="B1002" i="12"/>
  <c r="L1002" i="12" s="1"/>
  <c r="D1002" i="12"/>
  <c r="E1002" i="12"/>
  <c r="F1002" i="12"/>
  <c r="G1002" i="12"/>
  <c r="H1002" i="12"/>
  <c r="I1002" i="12"/>
  <c r="J1002" i="12"/>
  <c r="A1003" i="12"/>
  <c r="B1003" i="12"/>
  <c r="D1003" i="12"/>
  <c r="E1003" i="12"/>
  <c r="F1003" i="12"/>
  <c r="G1003" i="12"/>
  <c r="H1003" i="12"/>
  <c r="I1003" i="12"/>
  <c r="J1003" i="12"/>
  <c r="T1003" i="12" s="1"/>
  <c r="A1004" i="12"/>
  <c r="B1004" i="12"/>
  <c r="D1004" i="12"/>
  <c r="E1004" i="12"/>
  <c r="F1004" i="12"/>
  <c r="G1004" i="12"/>
  <c r="H1004" i="12"/>
  <c r="I1004" i="12"/>
  <c r="S1004" i="12" s="1"/>
  <c r="J1004" i="12"/>
  <c r="A1005" i="12"/>
  <c r="B1005" i="12"/>
  <c r="D1005" i="12"/>
  <c r="E1005" i="12"/>
  <c r="F1005" i="12"/>
  <c r="G1005" i="12"/>
  <c r="H1005" i="12"/>
  <c r="R1005" i="12" s="1"/>
  <c r="I1005" i="12"/>
  <c r="J1005" i="12"/>
  <c r="A1006" i="12"/>
  <c r="B1006" i="12"/>
  <c r="D1006" i="12"/>
  <c r="E1006" i="12"/>
  <c r="F1006" i="12"/>
  <c r="G1006" i="12"/>
  <c r="Q1006" i="12" s="1"/>
  <c r="H1006" i="12"/>
  <c r="I1006" i="12"/>
  <c r="J1006" i="12"/>
  <c r="A1007" i="12"/>
  <c r="B1007" i="12"/>
  <c r="D1007" i="12"/>
  <c r="E1007" i="12"/>
  <c r="F1007" i="12"/>
  <c r="P1007" i="12" s="1"/>
  <c r="G1007" i="12"/>
  <c r="H1007" i="12"/>
  <c r="I1007" i="12"/>
  <c r="J1007" i="12"/>
  <c r="A1008" i="12"/>
  <c r="B1008" i="12"/>
  <c r="D1008" i="12"/>
  <c r="E1008" i="12"/>
  <c r="F1008" i="12"/>
  <c r="G1008" i="12"/>
  <c r="H1008" i="12"/>
  <c r="I1008" i="12"/>
  <c r="J1008" i="12"/>
  <c r="A1009" i="12"/>
  <c r="B1009" i="12"/>
  <c r="D1009" i="12"/>
  <c r="E1009" i="12"/>
  <c r="F1009" i="12"/>
  <c r="G1009" i="12"/>
  <c r="H1009" i="12"/>
  <c r="I1009" i="12"/>
  <c r="J1009" i="12"/>
  <c r="A1010" i="12"/>
  <c r="B1010" i="12"/>
  <c r="L1010" i="12" s="1"/>
  <c r="D1010" i="12"/>
  <c r="E1010" i="12"/>
  <c r="F1010" i="12"/>
  <c r="G1010" i="12"/>
  <c r="H1010" i="12"/>
  <c r="I1010" i="12"/>
  <c r="J1010" i="12"/>
  <c r="A1011" i="12"/>
  <c r="B1011" i="12"/>
  <c r="D1011" i="12"/>
  <c r="E1011" i="12"/>
  <c r="F1011" i="12"/>
  <c r="G1011" i="12"/>
  <c r="H1011" i="12"/>
  <c r="I1011" i="12"/>
  <c r="J1011" i="12"/>
  <c r="T1011" i="12" s="1"/>
  <c r="A1012" i="12"/>
  <c r="B1012" i="12"/>
  <c r="D1012" i="12"/>
  <c r="E1012" i="12"/>
  <c r="F1012" i="12"/>
  <c r="G1012" i="12"/>
  <c r="H1012" i="12"/>
  <c r="I1012" i="12"/>
  <c r="S1012" i="12" s="1"/>
  <c r="J1012" i="12"/>
  <c r="A1013" i="12"/>
  <c r="B1013" i="12"/>
  <c r="D1013" i="12"/>
  <c r="E1013" i="12"/>
  <c r="F1013" i="12"/>
  <c r="G1013" i="12"/>
  <c r="H1013" i="12"/>
  <c r="R1013" i="12" s="1"/>
  <c r="I1013" i="12"/>
  <c r="J1013" i="12"/>
  <c r="A1014" i="12"/>
  <c r="B1014" i="12"/>
  <c r="D1014" i="12"/>
  <c r="E1014" i="12"/>
  <c r="F1014" i="12"/>
  <c r="G1014" i="12"/>
  <c r="Q1014" i="12" s="1"/>
  <c r="H1014" i="12"/>
  <c r="I1014" i="12"/>
  <c r="J1014" i="12"/>
  <c r="A1015" i="12"/>
  <c r="B1015" i="12"/>
  <c r="D1015" i="12"/>
  <c r="E1015" i="12"/>
  <c r="F1015" i="12"/>
  <c r="P1015" i="12" s="1"/>
  <c r="G1015" i="12"/>
  <c r="H1015" i="12"/>
  <c r="I1015" i="12"/>
  <c r="J1015" i="12"/>
  <c r="A1016" i="12"/>
  <c r="B1016" i="12"/>
  <c r="D1016" i="12"/>
  <c r="E1016" i="12"/>
  <c r="F1016" i="12"/>
  <c r="G1016" i="12"/>
  <c r="H1016" i="12"/>
  <c r="I1016" i="12"/>
  <c r="J1016" i="12"/>
  <c r="A1017" i="12"/>
  <c r="B1017" i="12"/>
  <c r="D1017" i="12"/>
  <c r="E1017" i="12"/>
  <c r="F1017" i="12"/>
  <c r="G1017" i="12"/>
  <c r="H1017" i="12"/>
  <c r="I1017" i="12"/>
  <c r="J1017" i="12"/>
  <c r="A1018" i="12"/>
  <c r="B1018" i="12"/>
  <c r="L1018" i="12" s="1"/>
  <c r="D1018" i="12"/>
  <c r="E1018" i="12"/>
  <c r="F1018" i="12"/>
  <c r="G1018" i="12"/>
  <c r="H1018" i="12"/>
  <c r="I1018" i="12"/>
  <c r="J1018" i="12"/>
  <c r="A1019" i="12"/>
  <c r="B1019" i="12"/>
  <c r="D1019" i="12"/>
  <c r="E1019" i="12"/>
  <c r="F1019" i="12"/>
  <c r="G1019" i="12"/>
  <c r="H1019" i="12"/>
  <c r="I1019" i="12"/>
  <c r="J1019" i="12"/>
  <c r="T1019" i="12" s="1"/>
  <c r="A1020" i="12"/>
  <c r="B1020" i="12"/>
  <c r="D1020" i="12"/>
  <c r="E1020" i="12"/>
  <c r="F1020" i="12"/>
  <c r="G1020" i="12"/>
  <c r="H1020" i="12"/>
  <c r="I1020" i="12"/>
  <c r="S1020" i="12" s="1"/>
  <c r="J1020" i="12"/>
  <c r="A1021" i="12"/>
  <c r="B1021" i="12"/>
  <c r="D1021" i="12"/>
  <c r="E1021" i="12"/>
  <c r="F1021" i="12"/>
  <c r="G1021" i="12"/>
  <c r="H1021" i="12"/>
  <c r="R1021" i="12" s="1"/>
  <c r="I1021" i="12"/>
  <c r="J1021" i="12"/>
  <c r="A1022" i="12"/>
  <c r="B1022" i="12"/>
  <c r="D1022" i="12"/>
  <c r="E1022" i="12"/>
  <c r="F1022" i="12"/>
  <c r="G1022" i="12"/>
  <c r="Q1022" i="12" s="1"/>
  <c r="H1022" i="12"/>
  <c r="I1022" i="12"/>
  <c r="J1022" i="12"/>
  <c r="A1023" i="12"/>
  <c r="B1023" i="12"/>
  <c r="L1023" i="12" s="1"/>
  <c r="D1023" i="12"/>
  <c r="E1023" i="12"/>
  <c r="F1023" i="12"/>
  <c r="P1023" i="12" s="1"/>
  <c r="G1023" i="12"/>
  <c r="H1023" i="12"/>
  <c r="I1023" i="12"/>
  <c r="J1023" i="12"/>
  <c r="A2" i="12"/>
  <c r="B2" i="12"/>
  <c r="D2" i="12"/>
  <c r="E2" i="12"/>
  <c r="O2" i="12" s="1"/>
  <c r="F2" i="12"/>
  <c r="G2" i="12"/>
  <c r="H2" i="12"/>
  <c r="I2" i="12"/>
  <c r="J2" i="12"/>
  <c r="A3" i="12"/>
  <c r="B3" i="12"/>
  <c r="D3" i="12"/>
  <c r="N3" i="12" s="1"/>
  <c r="E3" i="12"/>
  <c r="F3" i="12"/>
  <c r="G3" i="12"/>
  <c r="H3" i="12"/>
  <c r="I3" i="12"/>
  <c r="J3" i="12"/>
  <c r="A4" i="12"/>
  <c r="B4" i="12"/>
  <c r="L4" i="12" s="1"/>
  <c r="D4" i="12"/>
  <c r="E4" i="12"/>
  <c r="F4" i="12"/>
  <c r="G4" i="12"/>
  <c r="H4" i="12"/>
  <c r="I4" i="12"/>
  <c r="J4" i="12"/>
  <c r="A5" i="12"/>
  <c r="B5" i="12"/>
  <c r="D5" i="12"/>
  <c r="E5" i="12"/>
  <c r="F5" i="12"/>
  <c r="G5" i="12"/>
  <c r="H5" i="12"/>
  <c r="I5" i="12"/>
  <c r="J5" i="12"/>
  <c r="T5" i="12" s="1"/>
  <c r="J1" i="12"/>
  <c r="I1" i="12"/>
  <c r="H1" i="12"/>
  <c r="G1" i="12"/>
  <c r="F1" i="12"/>
  <c r="E1" i="12"/>
  <c r="D1" i="12"/>
  <c r="B1" i="12"/>
  <c r="L1" i="12" s="1"/>
  <c r="A1" i="12"/>
  <c r="C6" i="11"/>
  <c r="C5" i="11"/>
  <c r="C4" i="11"/>
  <c r="W967" i="11" a="1"/>
  <c r="W967" i="11" s="1"/>
  <c r="W664" i="11" a="1"/>
  <c r="W664" i="11" s="1"/>
  <c r="W582" i="11" a="1"/>
  <c r="W582" i="11" s="1"/>
  <c r="W638" i="11" a="1"/>
  <c r="W638" i="11" s="1"/>
  <c r="W634" i="11" a="1"/>
  <c r="W634" i="11" s="1"/>
  <c r="W433" i="11" a="1"/>
  <c r="W433" i="11" s="1"/>
  <c r="W704" i="11" a="1"/>
  <c r="W704" i="11" s="1"/>
  <c r="W560" i="11" a="1"/>
  <c r="W560" i="11" s="1"/>
  <c r="W92" i="11" a="1"/>
  <c r="W92" i="11" s="1"/>
  <c r="W567" i="11" a="1"/>
  <c r="W567" i="11" s="1"/>
  <c r="W428" i="11" a="1"/>
  <c r="W428" i="11" s="1"/>
  <c r="W997" i="11" a="1"/>
  <c r="W997" i="11" s="1"/>
  <c r="W309" i="11" a="1"/>
  <c r="W309" i="11" s="1"/>
  <c r="W692" i="11" a="1"/>
  <c r="W692" i="11" s="1"/>
  <c r="W377" i="11" a="1"/>
  <c r="W377" i="11" s="1"/>
  <c r="W70" i="11" a="1"/>
  <c r="W70" i="11" s="1"/>
  <c r="W616" i="11" a="1"/>
  <c r="W616" i="11" s="1"/>
  <c r="W829" i="11" a="1"/>
  <c r="W829" i="11" s="1"/>
  <c r="W891" i="11" a="1"/>
  <c r="W891" i="11" s="1"/>
  <c r="W881" i="11" a="1"/>
  <c r="W881" i="11" s="1"/>
  <c r="W305" i="11" a="1"/>
  <c r="W305" i="11" s="1"/>
  <c r="W6" i="11" a="1"/>
  <c r="W6" i="11" s="1"/>
  <c r="W971" i="11" a="1"/>
  <c r="W971" i="11" s="1"/>
  <c r="W27" i="11" a="1"/>
  <c r="W27" i="11" s="1"/>
  <c r="W835" i="11" a="1"/>
  <c r="W835" i="11" s="1"/>
  <c r="W242" i="11" a="1"/>
  <c r="W242" i="11" s="1"/>
  <c r="W135" i="11" a="1"/>
  <c r="W135" i="11" s="1"/>
  <c r="W964" i="11" a="1"/>
  <c r="W964" i="11" s="1"/>
  <c r="W925" i="11" a="1"/>
  <c r="W925" i="11" s="1"/>
  <c r="W637" i="11" a="1"/>
  <c r="W637" i="11" s="1"/>
  <c r="W296" i="11" a="1"/>
  <c r="W296" i="11" s="1"/>
  <c r="W273" i="11" a="1"/>
  <c r="W273" i="11" s="1"/>
  <c r="W776" i="11" a="1"/>
  <c r="W776" i="11" s="1"/>
  <c r="W160" i="11" a="1"/>
  <c r="W160" i="11" s="1"/>
  <c r="W490" i="11" a="1"/>
  <c r="W490" i="11" s="1"/>
  <c r="W743" i="11" a="1"/>
  <c r="W743" i="11" s="1"/>
  <c r="W155" i="11" a="1"/>
  <c r="W155" i="11" s="1"/>
  <c r="W609" i="11" a="1"/>
  <c r="W609" i="11" s="1"/>
  <c r="W454" i="11" a="1"/>
  <c r="W454" i="11" s="1"/>
  <c r="W802" i="11" a="1"/>
  <c r="W802" i="11" s="1"/>
  <c r="W336" i="11" a="1"/>
  <c r="W336" i="11" s="1"/>
  <c r="W429" i="11" a="1"/>
  <c r="W429" i="11" s="1"/>
  <c r="W810" i="11" a="1"/>
  <c r="W810" i="11" s="1"/>
  <c r="W556" i="11" a="1"/>
  <c r="W556" i="11" s="1"/>
  <c r="W942" i="11" a="1"/>
  <c r="W942" i="11" s="1"/>
  <c r="W563" i="11" a="1"/>
  <c r="W563" i="11" s="1"/>
  <c r="W580" i="11" a="1"/>
  <c r="W580" i="11" s="1"/>
  <c r="W689" i="11" a="1"/>
  <c r="W689" i="11" s="1"/>
  <c r="W241" i="11" a="1"/>
  <c r="W241" i="11" s="1"/>
  <c r="W983" i="11" a="1"/>
  <c r="W983" i="11" s="1"/>
  <c r="W992" i="11" a="1"/>
  <c r="W992" i="11" s="1"/>
  <c r="W732" i="11" a="1"/>
  <c r="W732" i="11" s="1"/>
  <c r="W724" i="11" a="1"/>
  <c r="W724" i="11" s="1"/>
  <c r="W223" i="11" a="1"/>
  <c r="W223" i="11" s="1"/>
  <c r="W11" i="11" a="1"/>
  <c r="W11" i="11" s="1"/>
  <c r="W551" i="11" a="1"/>
  <c r="W551" i="11" s="1"/>
  <c r="W466" i="11" a="1"/>
  <c r="W466" i="11" s="1"/>
  <c r="W310" i="11" a="1"/>
  <c r="W310" i="11" s="1"/>
  <c r="W399" i="11" a="1"/>
  <c r="W399" i="11" s="1"/>
  <c r="W993" i="11" a="1"/>
  <c r="W993" i="11" s="1"/>
  <c r="W859" i="11" a="1"/>
  <c r="W859" i="11" s="1"/>
  <c r="W93" i="11" a="1"/>
  <c r="W93" i="11" s="1"/>
  <c r="W287" i="11" a="1"/>
  <c r="W287" i="11" s="1"/>
  <c r="W1000" i="11" a="1"/>
  <c r="W1000" i="11" s="1"/>
  <c r="W841" i="11" a="1"/>
  <c r="W841" i="11" s="1"/>
  <c r="W623" i="11" a="1"/>
  <c r="W623" i="11" s="1"/>
  <c r="W712" i="11" a="1"/>
  <c r="W712" i="11" s="1"/>
  <c r="W29" i="11" a="1"/>
  <c r="W29" i="11" s="1"/>
  <c r="W17" i="11" a="1"/>
  <c r="W17" i="11" s="1"/>
  <c r="W614" i="11" a="1"/>
  <c r="W614" i="11" s="1"/>
  <c r="W354" i="11" a="1"/>
  <c r="W354" i="11" s="1"/>
  <c r="W206" i="11" a="1"/>
  <c r="W206" i="11" s="1"/>
  <c r="W929" i="11" a="1"/>
  <c r="W929" i="11" s="1"/>
  <c r="W446" i="11" a="1"/>
  <c r="W446" i="11" s="1"/>
  <c r="W418" i="11" a="1"/>
  <c r="W418" i="11" s="1"/>
  <c r="W21" i="11" a="1"/>
  <c r="W21" i="11" s="1"/>
  <c r="W491" i="11" a="1"/>
  <c r="W491" i="11" s="1"/>
  <c r="W129" i="11" a="1"/>
  <c r="W129" i="11" s="1"/>
  <c r="W427" i="11" a="1"/>
  <c r="W427" i="11" s="1"/>
  <c r="W15" i="11" a="1"/>
  <c r="W15" i="11" s="1"/>
  <c r="W506" i="11" a="1"/>
  <c r="W506" i="11" s="1"/>
  <c r="W518" i="11" a="1"/>
  <c r="W518" i="11" s="1"/>
  <c r="W651" i="11" a="1"/>
  <c r="W651" i="11" s="1"/>
  <c r="W668" i="11" a="1"/>
  <c r="W668" i="11" s="1"/>
  <c r="W335" i="11" a="1"/>
  <c r="W335" i="11" s="1"/>
  <c r="W393" i="11" a="1"/>
  <c r="W393" i="11" s="1"/>
  <c r="W562" i="11" a="1"/>
  <c r="W562" i="11" s="1"/>
  <c r="W328" i="11" a="1"/>
  <c r="W328" i="11" s="1"/>
  <c r="W856" i="11" a="1"/>
  <c r="W856" i="11" s="1"/>
  <c r="W566" i="11" a="1"/>
  <c r="W566" i="11" s="1"/>
  <c r="W26" i="11" a="1"/>
  <c r="W26" i="11" s="1"/>
  <c r="W726" i="11" a="1"/>
  <c r="W726" i="11" s="1"/>
  <c r="W367" i="11" a="1"/>
  <c r="W367" i="11" s="1"/>
  <c r="W37" i="11" a="1"/>
  <c r="W37" i="11" s="1"/>
  <c r="W389" i="11" a="1"/>
  <c r="W389" i="11" s="1"/>
  <c r="W620" i="11" a="1"/>
  <c r="W620" i="11" s="1"/>
  <c r="W450" i="11" a="1"/>
  <c r="W450" i="11" s="1"/>
  <c r="W833" i="11" a="1"/>
  <c r="W833" i="11" s="1"/>
  <c r="W779" i="11" a="1"/>
  <c r="W779" i="11" s="1"/>
  <c r="W592" i="11" a="1"/>
  <c r="W592" i="11" s="1"/>
  <c r="W60" i="11" a="1"/>
  <c r="W60" i="11" s="1"/>
  <c r="W268" i="11" a="1"/>
  <c r="W268" i="11" s="1"/>
  <c r="W930" i="11" a="1"/>
  <c r="W930" i="11" s="1"/>
  <c r="W981" i="11" a="1"/>
  <c r="W981" i="11" s="1"/>
  <c r="W110" i="11" a="1"/>
  <c r="W110" i="11" s="1"/>
  <c r="W271" i="11" a="1"/>
  <c r="W271" i="11" s="1"/>
  <c r="W5" i="11" a="1"/>
  <c r="W5" i="11" s="1"/>
  <c r="W51" i="11" a="1"/>
  <c r="W51" i="11" s="1"/>
  <c r="W974" i="11" a="1"/>
  <c r="W974" i="11" s="1"/>
  <c r="W546" i="11" a="1"/>
  <c r="W546" i="11" s="1"/>
  <c r="W593" i="11" a="1"/>
  <c r="W593" i="11" s="1"/>
  <c r="W230" i="11" a="1"/>
  <c r="W230" i="11" s="1"/>
  <c r="W603" i="11" a="1"/>
  <c r="W603" i="11" s="1"/>
  <c r="W980" i="11" a="1"/>
  <c r="W980" i="11" s="1"/>
  <c r="W452" i="11" a="1"/>
  <c r="W452" i="11" s="1"/>
  <c r="W654" i="11" a="1"/>
  <c r="W654" i="11" s="1"/>
  <c r="W460" i="11" a="1"/>
  <c r="W460" i="11" s="1"/>
  <c r="W613" i="11" a="1"/>
  <c r="W613" i="11" s="1"/>
  <c r="W451" i="11" a="1"/>
  <c r="W451" i="11" s="1"/>
  <c r="W456" i="11" a="1"/>
  <c r="W456" i="11" s="1"/>
  <c r="W78" i="11" a="1"/>
  <c r="W78" i="11" s="1"/>
  <c r="W979" i="11" a="1"/>
  <c r="W979" i="11" s="1"/>
  <c r="W839" i="11" a="1"/>
  <c r="W839" i="11" s="1"/>
  <c r="W803" i="11" a="1"/>
  <c r="W803" i="11" s="1"/>
  <c r="W681" i="11" a="1"/>
  <c r="W681" i="11" s="1"/>
  <c r="W395" i="11" a="1"/>
  <c r="W395" i="11" s="1"/>
  <c r="W54" i="11" a="1"/>
  <c r="W54" i="11" s="1"/>
  <c r="W663" i="11" a="1"/>
  <c r="W663" i="11" s="1"/>
  <c r="W313" i="11" a="1"/>
  <c r="W313" i="11" s="1"/>
  <c r="W697" i="11" a="1"/>
  <c r="W697" i="11" s="1"/>
  <c r="W905" i="11" a="1"/>
  <c r="W905" i="11" s="1"/>
  <c r="W386" i="11" a="1"/>
  <c r="W386" i="11" s="1"/>
  <c r="W723" i="11" a="1"/>
  <c r="W723" i="11" s="1"/>
  <c r="W717" i="11" a="1"/>
  <c r="W717" i="11" s="1"/>
  <c r="W932" i="11" a="1"/>
  <c r="W932" i="11" s="1"/>
  <c r="W397" i="11" a="1"/>
  <c r="W397" i="11" s="1"/>
  <c r="W84" i="11" a="1"/>
  <c r="W84" i="11" s="1"/>
  <c r="W431" i="11" a="1"/>
  <c r="W431" i="11" s="1"/>
  <c r="W211" i="11" a="1"/>
  <c r="W211" i="11" s="1"/>
  <c r="W515" i="11" a="1"/>
  <c r="W515" i="11" s="1"/>
  <c r="W373" i="11" a="1"/>
  <c r="W373" i="11" s="1"/>
  <c r="W190" i="11" a="1"/>
  <c r="W190" i="11" s="1"/>
  <c r="W417" i="11" a="1"/>
  <c r="W417" i="11" s="1"/>
  <c r="W884" i="11" a="1"/>
  <c r="W884" i="11" s="1"/>
  <c r="W630" i="11" a="1"/>
  <c r="W630" i="11" s="1"/>
  <c r="W196" i="11" a="1"/>
  <c r="W196" i="11" s="1"/>
  <c r="W295" i="11" a="1"/>
  <c r="W295" i="11" s="1"/>
  <c r="W576" i="11" a="1"/>
  <c r="W576" i="11" s="1"/>
  <c r="W247" i="11" a="1"/>
  <c r="W247" i="11" s="1"/>
  <c r="W35" i="11" a="1"/>
  <c r="W35" i="11" s="1"/>
  <c r="W814" i="11" a="1"/>
  <c r="W814" i="11" s="1"/>
  <c r="W462" i="11" a="1"/>
  <c r="W462" i="11" s="1"/>
  <c r="W553" i="11" a="1"/>
  <c r="W553" i="11" s="1"/>
  <c r="W594" i="11" a="1"/>
  <c r="W594" i="11" s="1"/>
  <c r="W649" i="11" a="1"/>
  <c r="W649" i="11" s="1"/>
  <c r="W419" i="11" a="1"/>
  <c r="W419" i="11" s="1"/>
  <c r="W28" i="11" a="1"/>
  <c r="W28" i="11" s="1"/>
  <c r="W334" i="11" a="1"/>
  <c r="W334" i="11" s="1"/>
  <c r="W157" i="11" a="1"/>
  <c r="W157" i="11" s="1"/>
  <c r="W320" i="11" a="1"/>
  <c r="W320" i="11" s="1"/>
  <c r="W571" i="11" a="1"/>
  <c r="W571" i="11" s="1"/>
  <c r="W854" i="11" a="1"/>
  <c r="W854" i="11" s="1"/>
  <c r="W679" i="11" a="1"/>
  <c r="W679" i="11" s="1"/>
  <c r="W99" i="11" a="1"/>
  <c r="W99" i="11" s="1"/>
  <c r="W675" i="11" a="1"/>
  <c r="W675" i="11" s="1"/>
  <c r="W794" i="11" a="1"/>
  <c r="W794" i="11" s="1"/>
  <c r="W34" i="11" a="1"/>
  <c r="W34" i="11" s="1"/>
  <c r="W269" i="11" a="1"/>
  <c r="W269" i="11" s="1"/>
  <c r="W696" i="11" a="1"/>
  <c r="W696" i="11" s="1"/>
  <c r="W124" i="11" a="1"/>
  <c r="W124" i="11" s="1"/>
  <c r="W311" i="11" a="1"/>
  <c r="W311" i="11" s="1"/>
  <c r="W475" i="11" a="1"/>
  <c r="W475" i="11" s="1"/>
  <c r="W572" i="11" a="1"/>
  <c r="W572" i="11" s="1"/>
  <c r="W577" i="11" a="1"/>
  <c r="W577" i="11" s="1"/>
  <c r="W541" i="11" a="1"/>
  <c r="W541" i="11" s="1"/>
  <c r="W392" i="11" a="1"/>
  <c r="W392" i="11" s="1"/>
  <c r="W289" i="11" a="1"/>
  <c r="W289" i="11" s="1"/>
  <c r="W492" i="11" a="1"/>
  <c r="W492" i="11" s="1"/>
  <c r="W738" i="11" a="1"/>
  <c r="W738" i="11" s="1"/>
  <c r="W826" i="11" a="1"/>
  <c r="W826" i="11" s="1"/>
  <c r="W1002" i="11" a="1"/>
  <c r="W1002" i="11" s="1"/>
  <c r="W467" i="11" a="1"/>
  <c r="W467" i="11" s="1"/>
  <c r="W737" i="11" a="1"/>
  <c r="W737" i="11" s="1"/>
  <c r="W823" i="11" a="1"/>
  <c r="W823" i="11" s="1"/>
  <c r="W818" i="11" a="1"/>
  <c r="W818" i="11" s="1"/>
  <c r="W192" i="11" a="1"/>
  <c r="W192" i="11" s="1"/>
  <c r="W947" i="11" a="1"/>
  <c r="W947" i="11" s="1"/>
  <c r="W846" i="11" a="1"/>
  <c r="W846" i="11" s="1"/>
  <c r="W911" i="11" a="1"/>
  <c r="W911" i="11" s="1"/>
  <c r="W408" i="11" a="1"/>
  <c r="W408" i="11" s="1"/>
  <c r="W339" i="11" a="1"/>
  <c r="W339" i="11" s="1"/>
  <c r="W524" i="11" a="1"/>
  <c r="W524" i="11" s="1"/>
  <c r="W302" i="11" a="1"/>
  <c r="W302" i="11" s="1"/>
  <c r="W376" i="11" a="1"/>
  <c r="W376" i="11" s="1"/>
  <c r="W772" i="11" a="1"/>
  <c r="W772" i="11" s="1"/>
  <c r="W209" i="11" a="1"/>
  <c r="W209" i="11" s="1"/>
  <c r="W30" i="11" a="1"/>
  <c r="W30" i="11" s="1"/>
  <c r="W488" i="11" a="1"/>
  <c r="W488" i="11" s="1"/>
  <c r="W14" i="11" a="1"/>
  <c r="W14" i="11" s="1"/>
  <c r="W552" i="11" a="1"/>
  <c r="W552" i="11" s="1"/>
  <c r="W387" i="11" a="1"/>
  <c r="W387" i="11" s="1"/>
  <c r="W669" i="11" a="1"/>
  <c r="W669" i="11" s="1"/>
  <c r="W341" i="11" a="1"/>
  <c r="W341" i="11" s="1"/>
  <c r="W291" i="11" a="1"/>
  <c r="W291" i="11" s="1"/>
  <c r="W38" i="11" a="1"/>
  <c r="W38" i="11" s="1"/>
  <c r="W722" i="11" a="1"/>
  <c r="W722" i="11" s="1"/>
  <c r="W67" i="11" a="1"/>
  <c r="W67" i="11" s="1"/>
  <c r="W750" i="11" a="1"/>
  <c r="W750" i="11" s="1"/>
  <c r="W203" i="11" a="1"/>
  <c r="W203" i="11" s="1"/>
  <c r="W945" i="11" a="1"/>
  <c r="W945" i="11" s="1"/>
  <c r="W746" i="11" a="1"/>
  <c r="W746" i="11" s="1"/>
  <c r="W257" i="11" a="1"/>
  <c r="W257" i="11" s="1"/>
  <c r="W847" i="11" a="1"/>
  <c r="W847" i="11" s="1"/>
  <c r="W116" i="11" a="1"/>
  <c r="W116" i="11" s="1"/>
  <c r="W915" i="11" a="1"/>
  <c r="W915" i="11" s="1"/>
  <c r="W962" i="11" a="1"/>
  <c r="W962" i="11" s="1"/>
  <c r="W936" i="11" a="1"/>
  <c r="W936" i="11" s="1"/>
  <c r="W299" i="11" a="1"/>
  <c r="W299" i="11" s="1"/>
  <c r="W763" i="11" a="1"/>
  <c r="W763" i="11" s="1"/>
  <c r="W476" i="11" a="1"/>
  <c r="W476" i="11" s="1"/>
  <c r="W374" i="11" a="1"/>
  <c r="W374" i="11" s="1"/>
  <c r="W286" i="11" a="1"/>
  <c r="W286" i="11" s="1"/>
  <c r="W331" i="11" a="1"/>
  <c r="W331" i="11" s="1"/>
  <c r="W796" i="11" a="1"/>
  <c r="W796" i="11" s="1"/>
  <c r="W991" i="11" a="1"/>
  <c r="W991" i="11" s="1"/>
  <c r="W288" i="11" a="1"/>
  <c r="W288" i="11" s="1"/>
  <c r="W783" i="11" a="1"/>
  <c r="W783" i="11" s="1"/>
  <c r="W101" i="11" a="1"/>
  <c r="W101" i="11" s="1"/>
  <c r="W807" i="11" a="1"/>
  <c r="W807" i="11" s="1"/>
  <c r="W4" i="11" a="1"/>
  <c r="W4" i="11" s="1"/>
  <c r="W622" i="11" a="1"/>
  <c r="W622" i="11" s="1"/>
  <c r="W246" i="11" a="1"/>
  <c r="W246" i="11" s="1"/>
  <c r="W150" i="11" a="1"/>
  <c r="W150" i="11" s="1"/>
  <c r="W976" i="11" a="1"/>
  <c r="W976" i="11" s="1"/>
  <c r="W531" i="11" a="1"/>
  <c r="W531" i="11" s="1"/>
  <c r="W970" i="11" a="1"/>
  <c r="W970" i="11" s="1"/>
  <c r="W535" i="11" a="1"/>
  <c r="W535" i="11" s="1"/>
  <c r="W71" i="11" a="1"/>
  <c r="W71" i="11" s="1"/>
  <c r="W606" i="11" a="1"/>
  <c r="W606" i="11" s="1"/>
  <c r="W728" i="11" a="1"/>
  <c r="W728" i="11" s="1"/>
  <c r="W855" i="11" a="1"/>
  <c r="W855" i="11" s="1"/>
  <c r="W321" i="11" a="1"/>
  <c r="W321" i="11" s="1"/>
  <c r="W221" i="11" a="1"/>
  <c r="W221" i="11" s="1"/>
  <c r="W798" i="11" a="1"/>
  <c r="W798" i="11" s="1"/>
  <c r="W516" i="11" a="1"/>
  <c r="W516" i="11" s="1"/>
  <c r="W647" i="11" a="1"/>
  <c r="W647" i="11" s="1"/>
  <c r="W405" i="11" a="1"/>
  <c r="W405" i="11" s="1"/>
  <c r="W865" i="11" a="1"/>
  <c r="W865" i="11" s="1"/>
  <c r="W258" i="11" a="1"/>
  <c r="W258" i="11" s="1"/>
  <c r="W903" i="11" a="1"/>
  <c r="W903" i="11" s="1"/>
  <c r="W893" i="11" a="1"/>
  <c r="W893" i="11" s="1"/>
  <c r="W65" i="11" a="1"/>
  <c r="W65" i="11" s="1"/>
  <c r="W240" i="11" a="1"/>
  <c r="W240" i="11" s="1"/>
  <c r="W632" i="11" a="1"/>
  <c r="W632" i="11" s="1"/>
  <c r="W58" i="11" a="1"/>
  <c r="W58" i="11" s="1"/>
  <c r="W208" i="11" a="1"/>
  <c r="W208" i="11" s="1"/>
  <c r="W478" i="11" a="1"/>
  <c r="W478" i="11" s="1"/>
  <c r="W667" i="11" a="1"/>
  <c r="W667" i="11" s="1"/>
  <c r="W570" i="11" a="1"/>
  <c r="W570" i="11" s="1"/>
  <c r="W357" i="11" a="1"/>
  <c r="W357" i="11" s="1"/>
  <c r="W470" i="11" a="1"/>
  <c r="W470" i="11" s="1"/>
  <c r="W184" i="11" a="1"/>
  <c r="W184" i="11" s="1"/>
  <c r="W916" i="11" a="1"/>
  <c r="W916" i="11" s="1"/>
  <c r="W994" i="11" a="1"/>
  <c r="W994" i="11" s="1"/>
  <c r="W375" i="11" a="1"/>
  <c r="W375" i="11" s="1"/>
  <c r="W125" i="11" a="1"/>
  <c r="W125" i="11" s="1"/>
  <c r="W528" i="11" a="1"/>
  <c r="W528" i="11" s="1"/>
  <c r="W239" i="11" a="1"/>
  <c r="W239" i="11" s="1"/>
  <c r="W923" i="11" a="1"/>
  <c r="W923" i="11" s="1"/>
  <c r="W508" i="11" a="1"/>
  <c r="W508" i="11" s="1"/>
  <c r="W770" i="11" a="1"/>
  <c r="W770" i="11" s="1"/>
  <c r="W140" i="11" a="1"/>
  <c r="W140" i="11" s="1"/>
  <c r="W458" i="11" a="1"/>
  <c r="W458" i="11" s="1"/>
  <c r="W653" i="11" a="1"/>
  <c r="W653" i="11" s="1"/>
  <c r="W59" i="11" a="1"/>
  <c r="W59" i="11" s="1"/>
  <c r="W584" i="11" a="1"/>
  <c r="W584" i="11" s="1"/>
  <c r="W477" i="11" a="1"/>
  <c r="W477" i="11" s="1"/>
  <c r="W122" i="11" a="1"/>
  <c r="W122" i="11" s="1"/>
  <c r="W283" i="11" a="1"/>
  <c r="W283" i="11" s="1"/>
  <c r="W633" i="11" a="1"/>
  <c r="W633" i="11" s="1"/>
  <c r="W768" i="11" a="1"/>
  <c r="W768" i="11" s="1"/>
  <c r="W496" i="11" a="1"/>
  <c r="W496" i="11" s="1"/>
  <c r="W197" i="11" a="1"/>
  <c r="W197" i="11" s="1"/>
  <c r="W906" i="11" a="1"/>
  <c r="W906" i="11" s="1"/>
  <c r="W870" i="11" a="1"/>
  <c r="W870" i="11" s="1"/>
  <c r="W600" i="11" a="1"/>
  <c r="W600" i="11" s="1"/>
  <c r="W619" i="11" a="1"/>
  <c r="W619" i="11" s="1"/>
  <c r="W306" i="11" a="1"/>
  <c r="W306" i="11" s="1"/>
  <c r="W411" i="11" a="1"/>
  <c r="W411" i="11" s="1"/>
  <c r="W808" i="11" a="1"/>
  <c r="W808" i="11" s="1"/>
  <c r="W489" i="11" a="1"/>
  <c r="W489" i="11" s="1"/>
  <c r="W639" i="11" a="1"/>
  <c r="W639" i="11" s="1"/>
  <c r="W152" i="11" a="1"/>
  <c r="W152" i="11" s="1"/>
  <c r="W74" i="11" a="1"/>
  <c r="W74" i="11" s="1"/>
  <c r="W953" i="11" a="1"/>
  <c r="W953" i="11" s="1"/>
  <c r="W251" i="11" a="1"/>
  <c r="W251" i="11" s="1"/>
  <c r="W497" i="11" a="1"/>
  <c r="W497" i="11" s="1"/>
  <c r="W731" i="11" a="1"/>
  <c r="W731" i="11" s="1"/>
  <c r="W276" i="11" a="1"/>
  <c r="W276" i="11" s="1"/>
  <c r="W441" i="11" a="1"/>
  <c r="W441" i="11" s="1"/>
  <c r="W989" i="11" a="1"/>
  <c r="W989" i="11" s="1"/>
  <c r="W711" i="11" a="1"/>
  <c r="W711" i="11" s="1"/>
  <c r="W404" i="11" a="1"/>
  <c r="W404" i="11" s="1"/>
  <c r="W540" i="11" a="1"/>
  <c r="W540" i="11" s="1"/>
  <c r="W877" i="11" a="1"/>
  <c r="W877" i="11" s="1"/>
  <c r="W872" i="11" a="1"/>
  <c r="W872" i="11" s="1"/>
  <c r="W485" i="11" a="1"/>
  <c r="W485" i="11" s="1"/>
  <c r="W91" i="11" a="1"/>
  <c r="W91" i="11" s="1"/>
  <c r="W725" i="11" a="1"/>
  <c r="W725" i="11" s="1"/>
  <c r="W165" i="11" a="1"/>
  <c r="W165" i="11" s="1"/>
  <c r="W275" i="11" a="1"/>
  <c r="W275" i="11" s="1"/>
  <c r="W784" i="11" a="1"/>
  <c r="W784" i="11" s="1"/>
  <c r="W842" i="11" a="1"/>
  <c r="W842" i="11" s="1"/>
  <c r="W975" i="11" a="1"/>
  <c r="W975" i="11" s="1"/>
  <c r="W479" i="11" a="1"/>
  <c r="W479" i="11" s="1"/>
  <c r="W193" i="11" a="1"/>
  <c r="W193" i="11" s="1"/>
  <c r="W538" i="11" a="1"/>
  <c r="W538" i="11" s="1"/>
  <c r="W64" i="11" a="1"/>
  <c r="W64" i="11" s="1"/>
  <c r="W323" i="11" a="1"/>
  <c r="W323" i="11" s="1"/>
  <c r="W413" i="11" a="1"/>
  <c r="W413" i="11" s="1"/>
  <c r="W838" i="11" a="1"/>
  <c r="W838" i="11" s="1"/>
  <c r="W274" i="11" a="1"/>
  <c r="W274" i="11" s="1"/>
  <c r="W469" i="11" a="1"/>
  <c r="W469" i="11" s="1"/>
  <c r="W322" i="11" a="1"/>
  <c r="W322" i="11" s="1"/>
  <c r="W526" i="11" a="1"/>
  <c r="W526" i="11" s="1"/>
  <c r="W434" i="11" a="1"/>
  <c r="W434" i="11" s="1"/>
  <c r="W329" i="11" a="1"/>
  <c r="W329" i="11" s="1"/>
  <c r="W608" i="11" a="1"/>
  <c r="W608" i="11" s="1"/>
  <c r="W912" i="11" a="1"/>
  <c r="W912" i="11" s="1"/>
  <c r="W42" i="11" a="1"/>
  <c r="W42" i="11" s="1"/>
  <c r="W142" i="11" a="1"/>
  <c r="W142" i="11" s="1"/>
  <c r="W764" i="11" a="1"/>
  <c r="W764" i="11" s="1"/>
  <c r="W561" i="11" a="1"/>
  <c r="W561" i="11" s="1"/>
  <c r="W480" i="11" a="1"/>
  <c r="W480" i="11" s="1"/>
  <c r="W176" i="11" a="1"/>
  <c r="W176" i="11" s="1"/>
  <c r="W483" i="11" a="1"/>
  <c r="W483" i="11" s="1"/>
  <c r="W694" i="11" a="1"/>
  <c r="W694" i="11" s="1"/>
  <c r="W112" i="11" a="1"/>
  <c r="W112" i="11" s="1"/>
  <c r="W25" i="11" a="1"/>
  <c r="W25" i="11" s="1"/>
  <c r="W985" i="11" a="1"/>
  <c r="W985" i="11" s="1"/>
  <c r="W863" i="11" a="1"/>
  <c r="W863" i="11" s="1"/>
  <c r="W837" i="11" a="1"/>
  <c r="W837" i="11" s="1"/>
  <c r="W500" i="11" a="1"/>
  <c r="W500" i="11" s="1"/>
  <c r="W153" i="11" a="1"/>
  <c r="W153" i="11" s="1"/>
  <c r="W797" i="11" a="1"/>
  <c r="W797" i="11" s="1"/>
  <c r="W901" i="11" a="1"/>
  <c r="W901" i="11" s="1"/>
  <c r="W522" i="11" a="1"/>
  <c r="W522" i="11" s="1"/>
  <c r="W304" i="11" a="1"/>
  <c r="W304" i="11" s="1"/>
  <c r="W410" i="11" a="1"/>
  <c r="W410" i="11" s="1"/>
  <c r="W790" i="11" a="1"/>
  <c r="W790" i="11" s="1"/>
  <c r="W618" i="11" a="1"/>
  <c r="W618" i="11" s="1"/>
  <c r="W709" i="11" a="1"/>
  <c r="W709" i="11" s="1"/>
  <c r="W61" i="11" a="1"/>
  <c r="W61" i="11" s="1"/>
  <c r="W849" i="11" a="1"/>
  <c r="W849" i="11" s="1"/>
  <c r="W414" i="11" a="1"/>
  <c r="W414" i="11" s="1"/>
  <c r="W786" i="11" a="1"/>
  <c r="W786" i="11" s="1"/>
  <c r="W628" i="11" a="1"/>
  <c r="W628" i="11" s="1"/>
  <c r="W133" i="11" a="1"/>
  <c r="W133" i="11" s="1"/>
  <c r="W424" i="11" a="1"/>
  <c r="W424" i="11" s="1"/>
  <c r="W602" i="11" a="1"/>
  <c r="W602" i="11" s="1"/>
  <c r="W10" i="11" a="1"/>
  <c r="W10" i="11" s="1"/>
  <c r="W425" i="11" a="1"/>
  <c r="W425" i="11" s="1"/>
  <c r="W154" i="11" a="1"/>
  <c r="W154" i="11" s="1"/>
  <c r="W95" i="11" a="1"/>
  <c r="W95" i="11" s="1"/>
  <c r="W996" i="11" a="1"/>
  <c r="W996" i="11" s="1"/>
  <c r="W514" i="11" a="1"/>
  <c r="W514" i="11" s="1"/>
  <c r="W537" i="11" a="1"/>
  <c r="W537" i="11" s="1"/>
  <c r="W220" i="11" a="1"/>
  <c r="W220" i="11" s="1"/>
  <c r="W565" i="11" a="1"/>
  <c r="W565" i="11" s="1"/>
  <c r="W172" i="11" a="1"/>
  <c r="W172" i="11" s="1"/>
  <c r="W85" i="11" a="1"/>
  <c r="W85" i="11" s="1"/>
  <c r="W233" i="11" a="1"/>
  <c r="W233" i="11" s="1"/>
  <c r="W665" i="11" a="1"/>
  <c r="W665" i="11" s="1"/>
  <c r="W966" i="11" a="1"/>
  <c r="W966" i="11" s="1"/>
  <c r="W120" i="11" a="1"/>
  <c r="W120" i="11" s="1"/>
  <c r="W554" i="11" a="1"/>
  <c r="W554" i="11" s="1"/>
  <c r="W805" i="11" a="1"/>
  <c r="W805" i="11" s="1"/>
  <c r="W360" i="11" a="1"/>
  <c r="W360" i="11" s="1"/>
  <c r="W635" i="11" a="1"/>
  <c r="W635" i="11" s="1"/>
  <c r="W400" i="11" a="1"/>
  <c r="W400" i="11" s="1"/>
  <c r="W31" i="11" a="1"/>
  <c r="W31" i="11" s="1"/>
  <c r="W631" i="11" a="1"/>
  <c r="W631" i="11" s="1"/>
  <c r="W831" i="11" a="1"/>
  <c r="W831" i="11" s="1"/>
  <c r="W656" i="11" a="1"/>
  <c r="W656" i="11" s="1"/>
  <c r="W229" i="11" a="1"/>
  <c r="W229" i="11" s="1"/>
  <c r="W583" i="11" a="1"/>
  <c r="W583" i="11" s="1"/>
  <c r="W545" i="11" a="1"/>
  <c r="W545" i="11" s="1"/>
  <c r="W882" i="11" a="1"/>
  <c r="W882" i="11" s="1"/>
  <c r="W473" i="11" a="1"/>
  <c r="W473" i="11" s="1"/>
  <c r="W550" i="11" a="1"/>
  <c r="W550" i="11" s="1"/>
  <c r="W973" i="11" a="1"/>
  <c r="W973" i="11" s="1"/>
  <c r="W330" i="11" a="1"/>
  <c r="W330" i="11" s="1"/>
  <c r="W348" i="11" a="1"/>
  <c r="W348" i="11" s="1"/>
  <c r="W228" i="11" a="1"/>
  <c r="W228" i="11" s="1"/>
  <c r="W159" i="11" a="1"/>
  <c r="W159" i="11" s="1"/>
  <c r="W683" i="11" a="1"/>
  <c r="W683" i="11" s="1"/>
  <c r="W771" i="11" a="1"/>
  <c r="W771" i="11" s="1"/>
  <c r="W718" i="11" a="1"/>
  <c r="W718" i="11" s="1"/>
  <c r="W978" i="11" a="1"/>
  <c r="W978" i="11" s="1"/>
  <c r="W378" i="11" a="1"/>
  <c r="W378" i="11" s="1"/>
  <c r="W394" i="11" a="1"/>
  <c r="W394" i="11" s="1"/>
  <c r="W349" i="11" a="1"/>
  <c r="W349" i="11" s="1"/>
  <c r="W999" i="11" a="1"/>
  <c r="W999" i="11" s="1"/>
  <c r="W498" i="11" a="1"/>
  <c r="W498" i="11" s="1"/>
  <c r="W53" i="11" a="1"/>
  <c r="W53" i="11" s="1"/>
  <c r="W256" i="11" a="1"/>
  <c r="W256" i="11" s="1"/>
  <c r="W821" i="11" a="1"/>
  <c r="W821" i="11" s="1"/>
  <c r="W707" i="11" a="1"/>
  <c r="W707" i="11" s="1"/>
  <c r="W960" i="11" a="1"/>
  <c r="W960" i="11" s="1"/>
  <c r="W24" i="11" a="1"/>
  <c r="W24" i="11" s="1"/>
  <c r="W250" i="11" a="1"/>
  <c r="W250" i="11" s="1"/>
  <c r="W573" i="11" a="1"/>
  <c r="W573" i="11" s="1"/>
  <c r="W136" i="11" a="1"/>
  <c r="W136" i="11" s="1"/>
  <c r="W227" i="11" a="1"/>
  <c r="W227" i="11" s="1"/>
  <c r="W453" i="11" a="1"/>
  <c r="W453" i="11" s="1"/>
  <c r="W285" i="11" a="1"/>
  <c r="W285" i="11" s="1"/>
  <c r="W420" i="11" a="1"/>
  <c r="W420" i="11" s="1"/>
  <c r="W845" i="11" a="1"/>
  <c r="W845" i="11" s="1"/>
  <c r="W533" i="11" a="1"/>
  <c r="W533" i="11" s="1"/>
  <c r="W927" i="11" a="1"/>
  <c r="W927" i="11" s="1"/>
  <c r="W353" i="11" a="1"/>
  <c r="W353" i="11" s="1"/>
  <c r="W765" i="11" a="1"/>
  <c r="W765" i="11" s="1"/>
  <c r="W959" i="11" a="1"/>
  <c r="W959" i="11" s="1"/>
  <c r="W785" i="11" a="1"/>
  <c r="W785" i="11" s="1"/>
  <c r="W46" i="11" a="1"/>
  <c r="W46" i="11" s="1"/>
  <c r="W303" i="11" a="1"/>
  <c r="W303" i="11" s="1"/>
  <c r="W569" i="11" a="1"/>
  <c r="W569" i="11" s="1"/>
  <c r="W517" i="11" a="1"/>
  <c r="W517" i="11" s="1"/>
  <c r="W151" i="11" a="1"/>
  <c r="W151" i="11" s="1"/>
  <c r="W933" i="11" a="1"/>
  <c r="W933" i="11" s="1"/>
  <c r="W290" i="11" a="1"/>
  <c r="W290" i="11" s="1"/>
  <c r="W210" i="11" a="1"/>
  <c r="W210" i="11" s="1"/>
  <c r="W390" i="11" a="1"/>
  <c r="W390" i="11" s="1"/>
  <c r="W253" i="11" a="1"/>
  <c r="W253" i="11" s="1"/>
  <c r="W512" i="11" a="1"/>
  <c r="W512" i="11" s="1"/>
  <c r="W544" i="11" a="1"/>
  <c r="W544" i="11" s="1"/>
  <c r="W824" i="11" a="1"/>
  <c r="W824" i="11" s="1"/>
  <c r="W50" i="11" a="1"/>
  <c r="W50" i="11" s="1"/>
  <c r="W727" i="11" a="1"/>
  <c r="W727" i="11" s="1"/>
  <c r="W720" i="11" a="1"/>
  <c r="W720" i="11" s="1"/>
  <c r="W812" i="11" a="1"/>
  <c r="W812" i="11" s="1"/>
  <c r="W260" i="11" a="1"/>
  <c r="W260" i="11" s="1"/>
  <c r="W864" i="11" a="1"/>
  <c r="W864" i="11" s="1"/>
  <c r="W744" i="11" a="1"/>
  <c r="W744" i="11" s="1"/>
  <c r="W998" i="11" a="1"/>
  <c r="W998" i="11" s="1"/>
  <c r="W82" i="11" a="1"/>
  <c r="W82" i="11" s="1"/>
  <c r="W914" i="11" a="1"/>
  <c r="W914" i="11" s="1"/>
  <c r="W342" i="11" a="1"/>
  <c r="W342" i="11" s="1"/>
  <c r="W438" i="11" a="1"/>
  <c r="W438" i="11" s="1"/>
  <c r="W364" i="11" a="1"/>
  <c r="W364" i="11" s="1"/>
  <c r="W617" i="11" a="1"/>
  <c r="W617" i="11" s="1"/>
  <c r="W963" i="11" a="1"/>
  <c r="W963" i="11" s="1"/>
  <c r="W830" i="11" a="1"/>
  <c r="W830" i="11" s="1"/>
  <c r="W586" i="11" a="1"/>
  <c r="W586" i="11" s="1"/>
  <c r="W672" i="11" a="1"/>
  <c r="W672" i="11" s="1"/>
  <c r="W379" i="11" a="1"/>
  <c r="W379" i="11" s="1"/>
  <c r="W461" i="11" a="1"/>
  <c r="W461" i="11" s="1"/>
  <c r="W645" i="11" a="1"/>
  <c r="W645" i="11" s="1"/>
  <c r="W363" i="11" a="1"/>
  <c r="W363" i="11" s="1"/>
  <c r="W77" i="11" a="1"/>
  <c r="W77" i="11" s="1"/>
  <c r="W366" i="11" a="1"/>
  <c r="W366" i="11" s="1"/>
  <c r="W224" i="11" a="1"/>
  <c r="W224" i="11" s="1"/>
  <c r="W878" i="11" a="1"/>
  <c r="W878" i="11" s="1"/>
  <c r="W652" i="11" a="1"/>
  <c r="W652" i="11" s="1"/>
  <c r="W216" i="11" a="1"/>
  <c r="W216" i="11" s="1"/>
  <c r="W356" i="11" a="1"/>
  <c r="W356" i="11" s="1"/>
  <c r="W698" i="11" a="1"/>
  <c r="W698" i="11" s="1"/>
  <c r="W215" i="11" a="1"/>
  <c r="W215" i="11" s="1"/>
  <c r="W139" i="11" a="1"/>
  <c r="W139" i="11" s="1"/>
  <c r="W437" i="11" a="1"/>
  <c r="W437" i="11" s="1"/>
  <c r="W793" i="11" a="1"/>
  <c r="W793" i="11" s="1"/>
  <c r="W118" i="11" a="1"/>
  <c r="W118" i="11" s="1"/>
  <c r="W713" i="11" a="1"/>
  <c r="W713" i="11" s="1"/>
  <c r="W75" i="11" a="1"/>
  <c r="W75" i="11" s="1"/>
  <c r="W986" i="11" a="1"/>
  <c r="W986" i="11" s="1"/>
  <c r="W432" i="11" a="1"/>
  <c r="W432" i="11" s="1"/>
  <c r="W188" i="11" a="1"/>
  <c r="W188" i="11" s="1"/>
  <c r="W902" i="11" a="1"/>
  <c r="W902" i="11" s="1"/>
  <c r="W706" i="11" a="1"/>
  <c r="W706" i="11" s="1"/>
  <c r="W22" i="11" a="1"/>
  <c r="W22" i="11" s="1"/>
  <c r="W338" i="11" a="1"/>
  <c r="W338" i="11" s="1"/>
  <c r="W421" i="11" a="1"/>
  <c r="W421" i="11" s="1"/>
  <c r="W988" i="11" a="1"/>
  <c r="W988" i="11"/>
  <c r="W894" i="11" a="1"/>
  <c r="W894" i="11" s="1"/>
  <c r="W384" i="11" a="1"/>
  <c r="W384" i="11" s="1"/>
  <c r="W48" i="11" a="1"/>
  <c r="W48" i="11" s="1"/>
  <c r="W760" i="11" a="1"/>
  <c r="W760" i="11" s="1"/>
  <c r="W372" i="11" a="1"/>
  <c r="W372" i="11" s="1"/>
  <c r="W284" i="11" a="1"/>
  <c r="W284" i="11" s="1"/>
  <c r="W442" i="11" a="1"/>
  <c r="W442" i="11" s="1"/>
  <c r="W201" i="11" a="1"/>
  <c r="W201" i="11" s="1"/>
  <c r="W869" i="11" a="1"/>
  <c r="W869" i="11" s="1"/>
  <c r="W941" i="11" a="1"/>
  <c r="W941" i="11" s="1"/>
  <c r="W857" i="11" a="1"/>
  <c r="W857" i="11" s="1"/>
  <c r="W918" i="11" a="1"/>
  <c r="W918" i="11" s="1"/>
  <c r="W225" i="11" a="1"/>
  <c r="W225" i="11" s="1"/>
  <c r="W426" i="11" a="1"/>
  <c r="W426" i="11" s="1"/>
  <c r="W791" i="11" a="1"/>
  <c r="W791" i="11" s="1"/>
  <c r="W499" i="11" a="1"/>
  <c r="W499" i="11" s="1"/>
  <c r="W523" i="11" a="1"/>
  <c r="W523" i="11" s="1"/>
  <c r="W702" i="11" a="1"/>
  <c r="W702" i="11" s="1"/>
  <c r="W519" i="11" a="1"/>
  <c r="W519" i="11" s="1"/>
  <c r="W532" i="11" a="1"/>
  <c r="W532" i="11" s="1"/>
  <c r="W940" i="11" a="1"/>
  <c r="W940" i="11" s="1"/>
  <c r="W904" i="11" a="1"/>
  <c r="W904" i="11" s="1"/>
  <c r="W948" i="11" a="1"/>
  <c r="W948" i="11"/>
  <c r="W880" i="11" a="1"/>
  <c r="W880" i="11" s="1"/>
  <c r="W885" i="11" a="1"/>
  <c r="W885" i="11" s="1"/>
  <c r="W990" i="11" a="1"/>
  <c r="W990" i="11" s="1"/>
  <c r="W146" i="11" a="1"/>
  <c r="W146" i="11" s="1"/>
  <c r="W487" i="11" a="1"/>
  <c r="W487" i="11" s="1"/>
  <c r="W23" i="11" a="1"/>
  <c r="W23" i="11" s="1"/>
  <c r="W76" i="11" a="1"/>
  <c r="W76" i="11" s="1"/>
  <c r="W199" i="11" a="1"/>
  <c r="W199" i="11" s="1"/>
  <c r="W536" i="11" a="1"/>
  <c r="W536" i="11" s="1"/>
  <c r="W181" i="11" a="1"/>
  <c r="W181" i="11" s="1"/>
  <c r="W601" i="11" a="1"/>
  <c r="W601" i="11" s="1"/>
  <c r="W465" i="11" a="1"/>
  <c r="W465" i="11" s="1"/>
  <c r="W345" i="11" a="1"/>
  <c r="W345" i="11" s="1"/>
  <c r="W761" i="11" a="1"/>
  <c r="W761" i="11" s="1"/>
  <c r="W358" i="11" a="1"/>
  <c r="W358" i="11" s="1"/>
  <c r="W278" i="11" a="1"/>
  <c r="W278" i="11" s="1"/>
  <c r="W735" i="11" a="1"/>
  <c r="W735" i="11" s="1"/>
  <c r="W301" i="11" a="1"/>
  <c r="W301" i="11" s="1"/>
  <c r="W539" i="11" a="1"/>
  <c r="W539" i="11" s="1"/>
  <c r="W895" i="11" a="1"/>
  <c r="W895" i="11" s="1"/>
  <c r="W928" i="11" a="1"/>
  <c r="W928" i="11" s="1"/>
  <c r="W674" i="11" a="1"/>
  <c r="W674" i="11" s="1"/>
  <c r="W862" i="11" a="1"/>
  <c r="W862" i="11" s="1"/>
  <c r="W716" i="11" a="1"/>
  <c r="W716" i="11" s="1"/>
  <c r="W819" i="11" a="1"/>
  <c r="W819" i="11" s="1"/>
  <c r="W547" i="11" a="1"/>
  <c r="W547" i="11" s="1"/>
  <c r="W883" i="11" a="1"/>
  <c r="W883" i="11" s="1"/>
  <c r="W195" i="11" a="1"/>
  <c r="W195" i="11" s="1"/>
  <c r="W800" i="11" a="1"/>
  <c r="W800" i="11" s="1"/>
  <c r="W742" i="11" a="1"/>
  <c r="W742" i="11" s="1"/>
  <c r="W20" i="11" a="1"/>
  <c r="W20" i="11" s="1"/>
  <c r="W701" i="11" a="1"/>
  <c r="W701" i="11" s="1"/>
  <c r="W134" i="11" a="1"/>
  <c r="W134" i="11" s="1"/>
  <c r="W169" i="11" a="1"/>
  <c r="W169" i="11" s="1"/>
  <c r="W621" i="11" a="1"/>
  <c r="W621" i="11" s="1"/>
  <c r="W636" i="11" a="1"/>
  <c r="W636" i="11" s="1"/>
  <c r="W700" i="11" a="1"/>
  <c r="W700" i="11" s="1"/>
  <c r="W282" i="11" a="1"/>
  <c r="W282" i="11" s="1"/>
  <c r="W308" i="11" a="1"/>
  <c r="W308" i="11" s="1"/>
  <c r="W362" i="11" a="1"/>
  <c r="W362" i="11" s="1"/>
  <c r="W178" i="11" a="1"/>
  <c r="W178" i="11" s="1"/>
  <c r="W879" i="11" a="1"/>
  <c r="W879" i="11" s="1"/>
  <c r="W494" i="11" a="1"/>
  <c r="W494" i="11" s="1"/>
  <c r="W822" i="11" a="1"/>
  <c r="W822" i="11" s="1"/>
  <c r="W587" i="11" a="1"/>
  <c r="W587" i="11" s="1"/>
  <c r="W231" i="11" a="1"/>
  <c r="W231" i="11" s="1"/>
  <c r="W388" i="11" a="1"/>
  <c r="W388" i="11" s="1"/>
  <c r="W149" i="11" a="1"/>
  <c r="W149" i="11" s="1"/>
  <c r="W815" i="11" a="1"/>
  <c r="W815" i="11" s="1"/>
  <c r="W436" i="11" a="1"/>
  <c r="W436" i="11" s="1"/>
  <c r="W627" i="11" a="1"/>
  <c r="W627" i="11" s="1"/>
  <c r="W598" i="11" a="1"/>
  <c r="W598" i="11" s="1"/>
  <c r="W710" i="11" a="1"/>
  <c r="W710" i="11" s="1"/>
  <c r="W525" i="11" a="1"/>
  <c r="W525" i="11" s="1"/>
  <c r="W951" i="11" a="1"/>
  <c r="W951" i="11" s="1"/>
  <c r="W946" i="11" a="1"/>
  <c r="W946" i="11" s="1"/>
  <c r="W236" i="11" a="1"/>
  <c r="W236" i="11" s="1"/>
  <c r="W57" i="11" a="1"/>
  <c r="W57" i="11" s="1"/>
  <c r="W513" i="11" a="1"/>
  <c r="W513" i="11" s="1"/>
  <c r="W100" i="11" a="1"/>
  <c r="W100" i="11" s="1"/>
  <c r="W243" i="11" a="1"/>
  <c r="W243" i="11" s="1"/>
  <c r="W850" i="11" a="1"/>
  <c r="W850" i="11" s="1"/>
  <c r="W789" i="11" a="1"/>
  <c r="W789" i="11" s="1"/>
  <c r="W851" i="11" a="1"/>
  <c r="W851" i="11" s="1"/>
  <c r="W597" i="11" a="1"/>
  <c r="W597" i="11" s="1"/>
  <c r="W263" i="11" a="1"/>
  <c r="W263" i="11" s="1"/>
  <c r="W605" i="11" a="1"/>
  <c r="W605" i="11" s="1"/>
  <c r="W924" i="11" a="1"/>
  <c r="W924" i="11" s="1"/>
  <c r="W956" i="11" a="1"/>
  <c r="W956" i="11" s="1"/>
  <c r="W162" i="11" a="1"/>
  <c r="W162" i="11" s="1"/>
  <c r="W751" i="11" a="1"/>
  <c r="W751" i="11" s="1"/>
  <c r="W7" i="11" a="1"/>
  <c r="W7" i="11" s="1"/>
  <c r="W503" i="11" a="1"/>
  <c r="W503" i="11" s="1"/>
  <c r="W867" i="11" a="1"/>
  <c r="W867" i="11" s="1"/>
  <c r="W811" i="11" a="1"/>
  <c r="W811" i="11" s="1"/>
  <c r="W422" i="11" a="1"/>
  <c r="W422" i="11" s="1"/>
  <c r="W123" i="11" a="1"/>
  <c r="W123" i="11" s="1"/>
  <c r="W559" i="11" a="1"/>
  <c r="W559" i="11" s="1"/>
  <c r="W474" i="11" a="1"/>
  <c r="W474" i="11" s="1"/>
  <c r="W1001" i="11" a="1"/>
  <c r="W1001" i="11" s="1"/>
  <c r="W685" i="11" a="1"/>
  <c r="W685" i="11" s="1"/>
  <c r="W591" i="11" a="1"/>
  <c r="W591" i="11" s="1"/>
  <c r="W183" i="11" a="1"/>
  <c r="W183" i="11" s="1"/>
  <c r="W119" i="11" a="1"/>
  <c r="W119" i="11" s="1"/>
  <c r="W860" i="11" a="1"/>
  <c r="W860" i="11" s="1"/>
  <c r="W640" i="11" a="1"/>
  <c r="W640" i="11" s="1"/>
  <c r="W813" i="11" a="1"/>
  <c r="W813" i="11" s="1"/>
  <c r="W688" i="11" a="1"/>
  <c r="W688" i="11" s="1"/>
  <c r="W96" i="11" a="1"/>
  <c r="W96" i="11" s="1"/>
  <c r="W33" i="11" a="1"/>
  <c r="W33" i="11" s="1"/>
  <c r="W115" i="11" a="1"/>
  <c r="W115" i="11" s="1"/>
  <c r="W493" i="11" a="1"/>
  <c r="W493" i="11" s="1"/>
  <c r="W644" i="11" a="1"/>
  <c r="W644" i="11" s="1"/>
  <c r="W944" i="11" a="1"/>
  <c r="W944" i="11" s="1"/>
  <c r="W62" i="11" a="1"/>
  <c r="W62" i="11" s="1"/>
  <c r="W435" i="11" a="1"/>
  <c r="W435" i="11" s="1"/>
  <c r="W590" i="11" a="1"/>
  <c r="W590" i="11" s="1"/>
  <c r="W280" i="11" a="1"/>
  <c r="W280" i="11" s="1"/>
  <c r="W156" i="11" a="1"/>
  <c r="W156" i="11" s="1"/>
  <c r="W265" i="11" a="1"/>
  <c r="W265" i="11" s="1"/>
  <c r="W780" i="11" a="1"/>
  <c r="W780" i="11" s="1"/>
  <c r="W318" i="11" a="1"/>
  <c r="W318" i="11" s="1"/>
  <c r="W693" i="11" a="1"/>
  <c r="W693" i="11" s="1"/>
  <c r="W691" i="11" a="1"/>
  <c r="W691" i="11" s="1"/>
  <c r="W769" i="11" a="1"/>
  <c r="W769" i="11" s="1"/>
  <c r="W684" i="11" a="1"/>
  <c r="W684" i="11" s="1"/>
  <c r="W578" i="11" a="1"/>
  <c r="W578" i="11" s="1"/>
  <c r="W340" i="11" a="1"/>
  <c r="W340" i="11" s="1"/>
  <c r="W222" i="11" a="1"/>
  <c r="W222" i="11" s="1"/>
  <c r="W439" i="11" a="1"/>
  <c r="W439" i="11" s="1"/>
  <c r="W961" i="11" a="1"/>
  <c r="W961" i="11" s="1"/>
  <c r="W402" i="11" a="1"/>
  <c r="W402" i="11" s="1"/>
  <c r="W804" i="11" a="1"/>
  <c r="W804" i="11" s="1"/>
  <c r="W137" i="11" a="1"/>
  <c r="W137" i="11" s="1"/>
  <c r="W69" i="11" a="1"/>
  <c r="W69" i="11" s="1"/>
  <c r="W736" i="11" a="1"/>
  <c r="W736" i="11" s="1"/>
  <c r="W527" i="11" a="1"/>
  <c r="W527" i="11" s="1"/>
  <c r="W68" i="11" a="1"/>
  <c r="W68" i="11" s="1"/>
  <c r="W775" i="11" a="1"/>
  <c r="W775" i="11" s="1"/>
  <c r="W167" i="11" a="1"/>
  <c r="W167" i="11" s="1"/>
  <c r="W141" i="11" a="1"/>
  <c r="W141" i="11" s="1"/>
  <c r="W836" i="11" a="1"/>
  <c r="W836" i="11" s="1"/>
  <c r="W852" i="11" a="1"/>
  <c r="W852" i="11" s="1"/>
  <c r="W174" i="11" a="1"/>
  <c r="W174" i="11" s="1"/>
  <c r="W144" i="11" a="1"/>
  <c r="W144" i="11" s="1"/>
  <c r="W708" i="11" a="1"/>
  <c r="W708" i="11" s="1"/>
  <c r="W987" i="11" a="1"/>
  <c r="W987" i="11" s="1"/>
  <c r="W678" i="11" a="1"/>
  <c r="W678" i="11" s="1"/>
  <c r="W740" i="11" a="1"/>
  <c r="W740" i="11" s="1"/>
  <c r="W809" i="11" a="1"/>
  <c r="W809" i="11" s="1"/>
  <c r="W542" i="11" a="1"/>
  <c r="W542" i="11" s="1"/>
  <c r="W111" i="11" a="1"/>
  <c r="W111" i="11" s="1"/>
  <c r="W9" i="11" a="1"/>
  <c r="W9" i="11" s="1"/>
  <c r="W187" i="11" a="1"/>
  <c r="W187" i="11" s="1"/>
  <c r="W816" i="11" a="1"/>
  <c r="W816" i="11" s="1"/>
  <c r="W105" i="11" a="1"/>
  <c r="W105" i="11" s="1"/>
  <c r="W254" i="11" a="1"/>
  <c r="W254" i="11" s="1"/>
  <c r="W969" i="11" a="1"/>
  <c r="W969" i="11" s="1"/>
  <c r="W739" i="11" a="1"/>
  <c r="W739" i="11" s="1"/>
  <c r="W715" i="11" a="1"/>
  <c r="W715" i="11" s="1"/>
  <c r="W191" i="11" a="1"/>
  <c r="W191" i="11" s="1"/>
  <c r="W385" i="11" a="1"/>
  <c r="W385" i="11" s="1"/>
  <c r="W132" i="11" a="1"/>
  <c r="W132" i="11" s="1"/>
  <c r="W719" i="11" a="1"/>
  <c r="W719" i="11" s="1"/>
  <c r="W782" i="11" a="1"/>
  <c r="W782" i="11" s="1"/>
  <c r="W758" i="11" a="1"/>
  <c r="W758" i="11" s="1"/>
  <c r="W521" i="11" a="1"/>
  <c r="W521" i="11" s="1"/>
  <c r="W143" i="11" a="1"/>
  <c r="W143" i="11" s="1"/>
  <c r="W795" i="11" a="1"/>
  <c r="W795" i="11" s="1"/>
  <c r="W919" i="11" a="1"/>
  <c r="W919" i="11" s="1"/>
  <c r="W204" i="11" a="1"/>
  <c r="W204" i="11" s="1"/>
  <c r="W368" i="11" a="1"/>
  <c r="W368" i="11" s="1"/>
  <c r="W755" i="11" a="1"/>
  <c r="W755" i="11" s="1"/>
  <c r="W177" i="11" a="1"/>
  <c r="W177" i="11" s="1"/>
  <c r="W671" i="11" a="1"/>
  <c r="W671" i="11" s="1"/>
  <c r="W73" i="11" a="1"/>
  <c r="W73" i="11" s="1"/>
  <c r="W148" i="11" a="1"/>
  <c r="W148" i="11" s="1"/>
  <c r="W641" i="11" a="1"/>
  <c r="W641" i="11" s="1"/>
  <c r="W898" i="11" a="1"/>
  <c r="W898" i="11" s="1"/>
  <c r="W968" i="11" a="1"/>
  <c r="W968" i="11" s="1"/>
  <c r="W398" i="11" a="1"/>
  <c r="W398" i="11" s="1"/>
  <c r="W381" i="11" a="1"/>
  <c r="W381" i="11" s="1"/>
  <c r="W832" i="11" a="1"/>
  <c r="W832" i="11" s="1"/>
  <c r="W917" i="11" a="1"/>
  <c r="W917" i="11" s="1"/>
  <c r="W510" i="11" a="1"/>
  <c r="W510" i="11" s="1"/>
  <c r="W267" i="11" a="1"/>
  <c r="W267" i="11" s="1"/>
  <c r="W279" i="11" a="1"/>
  <c r="W279" i="11" s="1"/>
  <c r="W937" i="11" a="1"/>
  <c r="W937" i="11" s="1"/>
  <c r="W977" i="11" a="1"/>
  <c r="W977" i="11" s="1"/>
  <c r="W463" i="11" a="1"/>
  <c r="W463" i="11" s="1"/>
  <c r="W949" i="11" a="1"/>
  <c r="W949" i="11" s="1"/>
  <c r="W585" i="11" a="1"/>
  <c r="W585" i="11" s="1"/>
  <c r="W43" i="11" a="1"/>
  <c r="W43" i="11" s="1"/>
  <c r="W907" i="11" a="1"/>
  <c r="W907" i="11" s="1"/>
  <c r="W588" i="11" a="1"/>
  <c r="W588" i="11" s="1"/>
  <c r="W32" i="11" a="1"/>
  <c r="W32" i="11" s="1"/>
  <c r="W113" i="11" a="1"/>
  <c r="W113" i="11" s="1"/>
  <c r="W581" i="11" a="1"/>
  <c r="W581" i="11" s="1"/>
  <c r="W351" i="11" a="1"/>
  <c r="W351" i="11" s="1"/>
  <c r="W455" i="11" a="1"/>
  <c r="W455" i="11" s="1"/>
  <c r="W767" i="11" a="1"/>
  <c r="W767" i="11" s="1"/>
  <c r="W913" i="11" a="1"/>
  <c r="W913" i="11" s="1"/>
  <c r="W266" i="11" a="1"/>
  <c r="W266" i="11" s="1"/>
  <c r="W792" i="11" a="1"/>
  <c r="W792" i="11" s="1"/>
  <c r="W83" i="11" a="1"/>
  <c r="W83" i="11" s="1"/>
  <c r="W481" i="11" a="1"/>
  <c r="W481" i="11" s="1"/>
  <c r="W298" i="11" a="1"/>
  <c r="W298" i="11" s="1"/>
  <c r="W158" i="11" a="1"/>
  <c r="W158" i="11" s="1"/>
  <c r="W226" i="11" a="1"/>
  <c r="W226" i="11" s="1"/>
  <c r="W87" i="11" a="1"/>
  <c r="W87" i="11" s="1"/>
  <c r="W40" i="11" a="1"/>
  <c r="W40" i="11" s="1"/>
  <c r="W396" i="11" a="1"/>
  <c r="W396" i="11" s="1"/>
  <c r="W896" i="11" a="1"/>
  <c r="W896" i="11" s="1"/>
  <c r="W79" i="11" a="1"/>
  <c r="W79" i="11" s="1"/>
  <c r="W875" i="11" a="1"/>
  <c r="W875" i="11" s="1"/>
  <c r="W747" i="11" a="1"/>
  <c r="W747" i="11" s="1"/>
  <c r="W49" i="11" a="1"/>
  <c r="W49" i="11" s="1"/>
  <c r="W607" i="11" a="1"/>
  <c r="W607" i="11" s="1"/>
  <c r="W117" i="11" a="1"/>
  <c r="W117" i="11" s="1"/>
  <c r="W495" i="11" a="1"/>
  <c r="W495" i="11" s="1"/>
  <c r="W261" i="11" a="1"/>
  <c r="W261" i="11" s="1"/>
  <c r="W448" i="11" a="1"/>
  <c r="W448" i="11" s="1"/>
  <c r="W383" i="11" a="1"/>
  <c r="W383" i="11" s="1"/>
  <c r="W380" i="11" a="1"/>
  <c r="W380" i="11" s="1"/>
  <c r="W430" i="11" a="1"/>
  <c r="W430" i="11" s="1"/>
  <c r="W787" i="11" a="1"/>
  <c r="W787" i="11" s="1"/>
  <c r="W890" i="11" a="1"/>
  <c r="W890" i="11" s="1"/>
  <c r="W888" i="11" a="1"/>
  <c r="W888" i="11" s="1"/>
  <c r="W212" i="11" a="1"/>
  <c r="W212" i="11" s="1"/>
  <c r="W109" i="11" a="1"/>
  <c r="W109" i="11" s="1"/>
  <c r="W866" i="11" a="1"/>
  <c r="W866" i="11" s="1"/>
  <c r="W297" i="11" a="1"/>
  <c r="W297" i="11" s="1"/>
  <c r="W202" i="11" a="1"/>
  <c r="W202" i="11" s="1"/>
  <c r="W370" i="11" a="1"/>
  <c r="W370" i="11" s="1"/>
  <c r="W355" i="11" a="1"/>
  <c r="W355" i="11" s="1"/>
  <c r="W843" i="11" a="1"/>
  <c r="W843" i="11" s="1"/>
  <c r="W646" i="11" a="1"/>
  <c r="W646" i="11" s="1"/>
  <c r="W922" i="11" a="1"/>
  <c r="W922" i="11" s="1"/>
  <c r="W756" i="11" a="1"/>
  <c r="W756" i="11" s="1"/>
  <c r="W643" i="11" a="1"/>
  <c r="W643" i="11" s="1"/>
  <c r="W504" i="11" a="1"/>
  <c r="W504" i="11" s="1"/>
  <c r="W182" i="11" a="1"/>
  <c r="W182" i="11" s="1"/>
  <c r="W729" i="11" a="1"/>
  <c r="W729" i="11" s="1"/>
  <c r="W703" i="11" a="1"/>
  <c r="W703" i="11" s="1"/>
  <c r="W921" i="11" a="1"/>
  <c r="W921" i="11" s="1"/>
  <c r="W957" i="11" a="1"/>
  <c r="W957" i="11" s="1"/>
  <c r="W337" i="11" a="1"/>
  <c r="W337" i="11" s="1"/>
  <c r="W249" i="11" a="1"/>
  <c r="W249" i="11" s="1"/>
  <c r="W752" i="11" a="1"/>
  <c r="W752" i="11" s="1"/>
  <c r="W66" i="11" a="1"/>
  <c r="W66" i="11" s="1"/>
  <c r="W754" i="11" a="1"/>
  <c r="W754" i="11" s="1"/>
  <c r="W186" i="11" a="1"/>
  <c r="W186" i="11" s="1"/>
  <c r="W468" i="11" a="1"/>
  <c r="W468" i="11" s="1"/>
  <c r="W873" i="11" a="1"/>
  <c r="W873" i="11" s="1"/>
  <c r="W98" i="11" a="1"/>
  <c r="W98" i="11" s="1"/>
  <c r="W939" i="11" a="1"/>
  <c r="W939" i="11" s="1"/>
  <c r="W530" i="11" a="1"/>
  <c r="W530" i="11" s="1"/>
  <c r="W234" i="11" a="1"/>
  <c r="W234" i="11" s="1"/>
  <c r="W486" i="11" a="1"/>
  <c r="W486" i="11" s="1"/>
  <c r="W416" i="11" a="1"/>
  <c r="W416" i="11" s="1"/>
  <c r="W650" i="11" a="1"/>
  <c r="W650" i="11" s="1"/>
  <c r="W825" i="11" a="1"/>
  <c r="W825" i="11" s="1"/>
  <c r="W179" i="11" a="1"/>
  <c r="W179" i="11" s="1"/>
  <c r="W871" i="11" a="1"/>
  <c r="W871" i="11" s="1"/>
  <c r="W612" i="11" a="1"/>
  <c r="W612" i="11" s="1"/>
  <c r="W294" i="11" a="1"/>
  <c r="W294" i="11" s="1"/>
  <c r="W464" i="11" a="1"/>
  <c r="W464" i="11" s="1"/>
  <c r="W63" i="11" a="1"/>
  <c r="W63" i="11" s="1"/>
  <c r="W950" i="11" a="1"/>
  <c r="W950" i="11" s="1"/>
  <c r="W548" i="11" a="1"/>
  <c r="W548" i="11" s="1"/>
  <c r="W589" i="11" a="1"/>
  <c r="W589" i="11" s="1"/>
  <c r="W163" i="11" a="1"/>
  <c r="W163" i="11" s="1"/>
  <c r="W889" i="11" a="1"/>
  <c r="W889" i="11" s="1"/>
  <c r="W200" i="11" a="1"/>
  <c r="W200" i="11" s="1"/>
  <c r="W604" i="11" a="1"/>
  <c r="W604" i="11" s="1"/>
  <c r="W773" i="11" a="1"/>
  <c r="W773" i="11" s="1"/>
  <c r="W615" i="11" a="1"/>
  <c r="W615" i="11" s="1"/>
  <c r="W350" i="11" a="1"/>
  <c r="W350" i="11" s="1"/>
  <c r="W670" i="11" a="1"/>
  <c r="W670" i="11" s="1"/>
  <c r="W900" i="11" a="1"/>
  <c r="W900" i="11" s="1"/>
  <c r="W326" i="11" a="1"/>
  <c r="W326" i="11" s="1"/>
  <c r="W505" i="11" a="1"/>
  <c r="W505" i="11" s="1"/>
  <c r="W39" i="11" a="1"/>
  <c r="W39" i="11" s="1"/>
  <c r="W595" i="11" a="1"/>
  <c r="W595" i="11" s="1"/>
  <c r="W232" i="11" a="1"/>
  <c r="W232" i="11" s="1"/>
  <c r="W371" i="11" a="1"/>
  <c r="W371" i="11" s="1"/>
  <c r="W314" i="11" a="1"/>
  <c r="W314" i="11" s="1"/>
  <c r="W955" i="11" a="1"/>
  <c r="W955" i="11" s="1"/>
  <c r="W238" i="11" a="1"/>
  <c r="W238" i="11" s="1"/>
  <c r="W138" i="11" a="1"/>
  <c r="W138" i="11" s="1"/>
  <c r="W662" i="11" a="1"/>
  <c r="W662" i="11" s="1"/>
  <c r="W507" i="11" a="1"/>
  <c r="W507" i="11" s="1"/>
  <c r="W695" i="11" a="1"/>
  <c r="W695" i="11" s="1"/>
  <c r="W344" i="11" a="1"/>
  <c r="W344" i="11" s="1"/>
  <c r="W680" i="11" a="1"/>
  <c r="W680" i="11" s="1"/>
  <c r="W315" i="11" a="1"/>
  <c r="W315" i="11" s="1"/>
  <c r="W259" i="11" a="1"/>
  <c r="W259" i="11" s="1"/>
  <c r="W407" i="11" a="1"/>
  <c r="W407" i="11" s="1"/>
  <c r="W130" i="11" a="1"/>
  <c r="W130" i="11" s="1"/>
  <c r="W705" i="11" a="1"/>
  <c r="W705" i="11" s="1"/>
  <c r="W626" i="11" a="1"/>
  <c r="W626" i="11" s="1"/>
  <c r="W774" i="11" a="1"/>
  <c r="W774" i="11" s="1"/>
  <c r="W677" i="11" a="1"/>
  <c r="W677" i="11" s="1"/>
  <c r="W868" i="11" a="1"/>
  <c r="W868" i="11" s="1"/>
  <c r="W44" i="11" a="1"/>
  <c r="W44" i="11" s="1"/>
  <c r="W307" i="11" a="1"/>
  <c r="W307" i="11" s="1"/>
  <c r="W8" i="11" a="1"/>
  <c r="W8" i="11" s="1"/>
  <c r="W876" i="11" a="1"/>
  <c r="W876" i="11" s="1"/>
  <c r="W214" i="11" a="1"/>
  <c r="W214" i="11" s="1"/>
  <c r="W935" i="11" a="1"/>
  <c r="W935" i="11" s="1"/>
  <c r="W995" i="11" a="1"/>
  <c r="W995" i="11" s="1"/>
  <c r="W403" i="11" a="1"/>
  <c r="W403" i="11" s="1"/>
  <c r="W81" i="11" a="1"/>
  <c r="W81" i="11" s="1"/>
  <c r="W72" i="11" a="1"/>
  <c r="W72" i="11" s="1"/>
  <c r="W799" i="11" a="1"/>
  <c r="W799" i="11" s="1"/>
  <c r="W861" i="11" a="1"/>
  <c r="W861" i="11" s="1"/>
  <c r="W520" i="11" a="1"/>
  <c r="W520" i="11" s="1"/>
  <c r="W778" i="11" a="1"/>
  <c r="W778" i="11" s="1"/>
  <c r="W145" i="11" a="1"/>
  <c r="W145" i="11" s="1"/>
  <c r="W801" i="11" a="1"/>
  <c r="W801" i="11" s="1"/>
  <c r="W401" i="11" a="1"/>
  <c r="W401" i="11" s="1"/>
  <c r="W749" i="11" a="1"/>
  <c r="W749" i="11" s="1"/>
  <c r="W36" i="11" a="1"/>
  <c r="W36" i="11" s="1"/>
  <c r="W806" i="11" a="1"/>
  <c r="W806" i="11" s="1"/>
  <c r="W88" i="11" a="1"/>
  <c r="W88" i="11" s="1"/>
  <c r="W887" i="11" a="1"/>
  <c r="W887" i="11" s="1"/>
  <c r="W347" i="11" a="1"/>
  <c r="W347" i="11" s="1"/>
  <c r="W472" i="11" a="1"/>
  <c r="W472" i="11" s="1"/>
  <c r="W982" i="11" a="1"/>
  <c r="W982" i="11" s="1"/>
  <c r="W984" i="11" a="1"/>
  <c r="W984" i="11" s="1"/>
  <c r="W248" i="11" a="1"/>
  <c r="W248" i="11" s="1"/>
  <c r="W648" i="11" a="1"/>
  <c r="W648" i="11" s="1"/>
  <c r="W543" i="11" a="1"/>
  <c r="W543" i="11" s="1"/>
  <c r="W834" i="11" a="1"/>
  <c r="W834" i="11" s="1"/>
  <c r="W657" i="11" a="1"/>
  <c r="W657" i="11" s="1"/>
  <c r="W699" i="11" a="1"/>
  <c r="W699" i="11" s="1"/>
  <c r="W908" i="11" a="1"/>
  <c r="W908" i="11" s="1"/>
  <c r="W252" i="11" a="1"/>
  <c r="W252" i="11" s="1"/>
  <c r="W931" i="11" a="1"/>
  <c r="W931" i="11" s="1"/>
  <c r="W502" i="11" a="1"/>
  <c r="W502" i="11" s="1"/>
  <c r="W660" i="11" a="1"/>
  <c r="W660" i="11" s="1"/>
  <c r="W207" i="11" a="1"/>
  <c r="W207" i="11" s="1"/>
  <c r="W741" i="11" a="1"/>
  <c r="W741" i="11" s="1"/>
  <c r="W734" i="11" a="1"/>
  <c r="W734" i="11" s="1"/>
  <c r="W324" i="11" a="1"/>
  <c r="W324" i="11" s="1"/>
  <c r="W687" i="11" a="1"/>
  <c r="W687" i="11" s="1"/>
  <c r="W104" i="11" a="1"/>
  <c r="W104" i="11" s="1"/>
  <c r="W107" i="11" a="1"/>
  <c r="W107" i="11" s="1"/>
  <c r="W293" i="11" a="1"/>
  <c r="W293" i="11" s="1"/>
  <c r="W655" i="11" a="1"/>
  <c r="W655" i="11" s="1"/>
  <c r="W47" i="11" a="1"/>
  <c r="W47" i="11" s="1"/>
  <c r="W365" i="11" a="1"/>
  <c r="W365" i="11" s="1"/>
  <c r="W170" i="11" a="1"/>
  <c r="W170" i="11" s="1"/>
  <c r="W173" i="11" a="1"/>
  <c r="W173" i="11" s="1"/>
  <c r="W270" i="11" a="1"/>
  <c r="W270" i="11" s="1"/>
  <c r="W219" i="11" a="1"/>
  <c r="W219" i="11" s="1"/>
  <c r="W108" i="11" a="1"/>
  <c r="W108" i="11" s="1"/>
  <c r="W343" i="11" a="1"/>
  <c r="W343" i="11" s="1"/>
  <c r="W406" i="11" a="1"/>
  <c r="W406" i="11" s="1"/>
  <c r="W126" i="11" a="1"/>
  <c r="W126" i="11" s="1"/>
  <c r="W568" i="11" a="1"/>
  <c r="W568" i="11" s="1"/>
  <c r="W934" i="11" a="1"/>
  <c r="W934" i="11" s="1"/>
  <c r="W599" i="11" a="1"/>
  <c r="W599" i="11" s="1"/>
  <c r="W237" i="11" a="1"/>
  <c r="W237" i="11" s="1"/>
  <c r="W440" i="11" a="1"/>
  <c r="W440" i="11" s="1"/>
  <c r="W352" i="11" a="1"/>
  <c r="W352" i="11" s="1"/>
  <c r="W194" i="11" a="1"/>
  <c r="W194" i="11" s="1"/>
  <c r="W41" i="11" a="1"/>
  <c r="W41" i="11" s="1"/>
  <c r="W965" i="11" a="1"/>
  <c r="W965" i="11" s="1"/>
  <c r="W97" i="11" a="1"/>
  <c r="W97" i="11" s="1"/>
  <c r="W185" i="11" a="1"/>
  <c r="W185" i="11" s="1"/>
  <c r="W788" i="11" a="1"/>
  <c r="W788" i="11" s="1"/>
  <c r="W954" i="11" a="1"/>
  <c r="W954" i="11" s="1"/>
  <c r="W840" i="11" a="1"/>
  <c r="W840" i="11" s="1"/>
  <c r="W262" i="11" a="1"/>
  <c r="W262" i="11" s="1"/>
  <c r="W52" i="11" a="1"/>
  <c r="W52" i="11" s="1"/>
  <c r="W346" i="11" a="1"/>
  <c r="W346" i="11" s="1"/>
  <c r="W205" i="11" a="1"/>
  <c r="W205" i="11" s="1"/>
  <c r="W549" i="11" a="1"/>
  <c r="W549" i="11" s="1"/>
  <c r="W312" i="11" a="1"/>
  <c r="W312" i="11" s="1"/>
  <c r="W676" i="11" a="1"/>
  <c r="W676" i="11" s="1"/>
  <c r="W690" i="11" a="1"/>
  <c r="W690" i="11" s="1"/>
  <c r="W409" i="11" a="1"/>
  <c r="W409" i="11" s="1"/>
  <c r="W277" i="11" a="1"/>
  <c r="W277" i="11" s="1"/>
  <c r="W733" i="11" a="1"/>
  <c r="W733" i="11" s="1"/>
  <c r="W168" i="11" a="1"/>
  <c r="W168" i="11" s="1"/>
  <c r="W12" i="11" a="1"/>
  <c r="W12" i="11" s="1"/>
  <c r="W509" i="11" a="1"/>
  <c r="W509" i="11" s="1"/>
  <c r="W161" i="11" a="1"/>
  <c r="W161" i="11" s="1"/>
  <c r="W610" i="11" a="1"/>
  <c r="W610" i="11" s="1"/>
  <c r="W333" i="11" a="1"/>
  <c r="W333" i="11" s="1"/>
  <c r="W658" i="11" a="1"/>
  <c r="W658" i="11" s="1"/>
  <c r="W827" i="11" a="1"/>
  <c r="W827" i="11" s="1"/>
  <c r="W13" i="11" a="1"/>
  <c r="W13" i="11" s="1"/>
  <c r="W245" i="11" a="1"/>
  <c r="W245" i="11" s="1"/>
  <c r="W244" i="11" a="1"/>
  <c r="W244" i="11" s="1"/>
  <c r="W164" i="11" a="1"/>
  <c r="W164" i="11" s="1"/>
  <c r="W579" i="11" a="1"/>
  <c r="W579" i="11" s="1"/>
  <c r="W235" i="11" a="1"/>
  <c r="W235" i="11" s="1"/>
  <c r="W471" i="11" a="1"/>
  <c r="W471" i="11" s="1"/>
  <c r="W445" i="11" a="1"/>
  <c r="W445" i="11" s="1"/>
  <c r="W218" i="11" a="1"/>
  <c r="W218" i="11" s="1"/>
  <c r="W391" i="11" a="1"/>
  <c r="W391" i="11" s="1"/>
  <c r="W94" i="11" a="1"/>
  <c r="W94" i="11" s="1"/>
  <c r="W180" i="11" a="1"/>
  <c r="W180" i="11" s="1"/>
  <c r="W89" i="11" a="1"/>
  <c r="W89" i="11" s="1"/>
  <c r="W369" i="11" a="1"/>
  <c r="W369" i="11" s="1"/>
  <c r="W682" i="11" a="1"/>
  <c r="W682" i="11" s="1"/>
  <c r="W147" i="11" a="1"/>
  <c r="W147" i="11" s="1"/>
  <c r="W175" i="11" a="1"/>
  <c r="W175" i="11" s="1"/>
  <c r="W444" i="11" a="1"/>
  <c r="W444" i="11" s="1"/>
  <c r="W86" i="11" a="1"/>
  <c r="W86" i="11" s="1"/>
  <c r="W611" i="11" a="1"/>
  <c r="W611" i="11" s="1"/>
  <c r="W659" i="11" a="1"/>
  <c r="W659" i="11" s="1"/>
  <c r="W642" i="11" a="1"/>
  <c r="W642" i="11" s="1"/>
  <c r="W19" i="11" a="1"/>
  <c r="W19" i="11" s="1"/>
  <c r="W766" i="11" a="1"/>
  <c r="W766" i="11" s="1"/>
  <c r="W555" i="11" a="1"/>
  <c r="W555" i="11" s="1"/>
  <c r="W443" i="11" a="1"/>
  <c r="W443" i="11" s="1"/>
  <c r="W359" i="11" a="1"/>
  <c r="W359" i="11" s="1"/>
  <c r="W624" i="11" a="1"/>
  <c r="W624" i="11" s="1"/>
  <c r="W745" i="11" a="1"/>
  <c r="W745" i="11" s="1"/>
  <c r="W292" i="11" a="1"/>
  <c r="W292" i="11" s="1"/>
  <c r="W317" i="11" a="1"/>
  <c r="W317" i="11" s="1"/>
  <c r="W564" i="11" a="1"/>
  <c r="W564" i="11" s="1"/>
  <c r="W574" i="11" a="1"/>
  <c r="W574" i="11" s="1"/>
  <c r="W501" i="11" a="1"/>
  <c r="W501" i="11" s="1"/>
  <c r="W128" i="11" a="1"/>
  <c r="W128" i="11" s="1"/>
  <c r="W16" i="11" a="1"/>
  <c r="W16" i="11" s="1"/>
  <c r="W575" i="11" a="1"/>
  <c r="W575" i="11" s="1"/>
  <c r="W943" i="11" a="1"/>
  <c r="W943" i="11" s="1"/>
  <c r="W625" i="11" a="1"/>
  <c r="W625" i="11" s="1"/>
  <c r="W848" i="11" a="1"/>
  <c r="W848" i="11" s="1"/>
  <c r="W596" i="11" a="1"/>
  <c r="W596" i="11" s="1"/>
  <c r="W45" i="11" a="1"/>
  <c r="W45" i="11" s="1"/>
  <c r="W56" i="11" a="1"/>
  <c r="W56" i="11" s="1"/>
  <c r="W103" i="11" a="1"/>
  <c r="W103" i="11" s="1"/>
  <c r="W332" i="11" a="1"/>
  <c r="W332" i="11" s="1"/>
  <c r="W686" i="11" a="1"/>
  <c r="W686" i="11" s="1"/>
  <c r="W281" i="11" a="1"/>
  <c r="W281" i="11" s="1"/>
  <c r="W714" i="11" a="1"/>
  <c r="W714" i="11" s="1"/>
  <c r="W952" i="11" a="1"/>
  <c r="W952" i="11" s="1"/>
  <c r="W415" i="11" a="1"/>
  <c r="W415" i="11" s="1"/>
  <c r="W748" i="11" a="1"/>
  <c r="W748" i="11" s="1"/>
  <c r="W762" i="11" a="1"/>
  <c r="W762" i="11" s="1"/>
  <c r="W557" i="11" a="1"/>
  <c r="W557" i="11" s="1"/>
  <c r="W828" i="11" a="1"/>
  <c r="W828" i="11" s="1"/>
  <c r="W529" i="11" a="1"/>
  <c r="W529" i="11" s="1"/>
  <c r="W319" i="11" a="1"/>
  <c r="W319" i="11" s="1"/>
  <c r="W106" i="11" a="1"/>
  <c r="W106" i="11" s="1"/>
  <c r="W910" i="11" a="1"/>
  <c r="W910" i="11" s="1"/>
  <c r="W759" i="11" a="1"/>
  <c r="W759" i="11" s="1"/>
  <c r="W316" i="11" a="1"/>
  <c r="W316" i="11" s="1"/>
  <c r="W131" i="11" a="1"/>
  <c r="W131" i="11" s="1"/>
  <c r="W484" i="11" a="1"/>
  <c r="W484" i="11" s="1"/>
  <c r="W459" i="11" a="1"/>
  <c r="W459" i="11" s="1"/>
  <c r="W300" i="11" a="1"/>
  <c r="W300" i="11" s="1"/>
  <c r="W213" i="11" a="1"/>
  <c r="W213" i="11" s="1"/>
  <c r="W511" i="11" a="1"/>
  <c r="W511" i="11" s="1"/>
  <c r="W361" i="11" a="1"/>
  <c r="W361" i="11" s="1"/>
  <c r="W886" i="11" a="1"/>
  <c r="W886" i="11" s="1"/>
  <c r="W629" i="11" a="1"/>
  <c r="W629" i="11" s="1"/>
  <c r="W909" i="11" a="1"/>
  <c r="W909" i="11" s="1"/>
  <c r="W80" i="11" a="1"/>
  <c r="W80" i="11" s="1"/>
  <c r="W753" i="11" a="1"/>
  <c r="W753" i="11" s="1"/>
  <c r="W858" i="11" a="1"/>
  <c r="W858" i="11" s="1"/>
  <c r="W757" i="11" a="1"/>
  <c r="W757" i="11" s="1"/>
  <c r="W897" i="11" a="1"/>
  <c r="W897" i="11" s="1"/>
  <c r="W958" i="11" a="1"/>
  <c r="W958" i="11" s="1"/>
  <c r="W102" i="11" a="1"/>
  <c r="W102" i="11" s="1"/>
  <c r="W272" i="11" a="1"/>
  <c r="W272" i="11" s="1"/>
  <c r="W121" i="11" a="1"/>
  <c r="W121" i="11" s="1"/>
  <c r="W412" i="11" a="1"/>
  <c r="W412" i="11" s="1"/>
  <c r="W938" i="11" a="1"/>
  <c r="W938" i="11" s="1"/>
  <c r="W899" i="11" a="1"/>
  <c r="W899" i="11" s="1"/>
  <c r="W327" i="11" a="1"/>
  <c r="W327" i="11" s="1"/>
  <c r="W853" i="11" a="1"/>
  <c r="W853" i="11" s="1"/>
  <c r="W382" i="11" a="1"/>
  <c r="W382" i="11" s="1"/>
  <c r="W55" i="11" a="1"/>
  <c r="W55" i="11" s="1"/>
  <c r="W217" i="11" a="1"/>
  <c r="W217" i="11" s="1"/>
  <c r="W171" i="11" a="1"/>
  <c r="W171" i="11" s="1"/>
  <c r="W844" i="11" a="1"/>
  <c r="W844" i="11" s="1"/>
  <c r="W264" i="11" a="1"/>
  <c r="W264" i="11" s="1"/>
  <c r="W661" i="11" a="1"/>
  <c r="W661" i="11" s="1"/>
  <c r="W781" i="11" a="1"/>
  <c r="W781" i="11" s="1"/>
  <c r="W926" i="11" a="1"/>
  <c r="W926" i="11" s="1"/>
  <c r="W18" i="11" a="1"/>
  <c r="W18" i="11" s="1"/>
  <c r="W166" i="11" a="1"/>
  <c r="W166" i="11" s="1"/>
  <c r="W255" i="11" a="1"/>
  <c r="W255" i="11" s="1"/>
  <c r="W447" i="11" a="1"/>
  <c r="W447" i="11" s="1"/>
  <c r="W325" i="11" a="1"/>
  <c r="W325" i="11" s="1"/>
  <c r="W482" i="11" a="1"/>
  <c r="W482" i="11" s="1"/>
  <c r="W90" i="11" a="1"/>
  <c r="W90" i="11" s="1"/>
  <c r="W673" i="11" a="1"/>
  <c r="W673" i="11" s="1"/>
  <c r="W972" i="11" a="1"/>
  <c r="W972" i="11" s="1"/>
  <c r="W874" i="11" a="1"/>
  <c r="W874" i="11" s="1"/>
  <c r="W198" i="11" a="1"/>
  <c r="W198" i="11" s="1"/>
  <c r="W423" i="11" a="1"/>
  <c r="W423" i="11" s="1"/>
  <c r="W817" i="11" a="1"/>
  <c r="W817" i="11" s="1"/>
  <c r="W114" i="11" a="1"/>
  <c r="W114" i="11" s="1"/>
  <c r="W127" i="11" a="1"/>
  <c r="W127" i="11" s="1"/>
  <c r="W189" i="11" a="1"/>
  <c r="W189" i="11" s="1"/>
  <c r="W892" i="11" a="1"/>
  <c r="W892" i="11" s="1"/>
  <c r="W558" i="11" a="1"/>
  <c r="W558" i="11" s="1"/>
  <c r="W457" i="11" a="1"/>
  <c r="W457" i="11" s="1"/>
  <c r="W730" i="11" a="1"/>
  <c r="W730" i="11" s="1"/>
  <c r="W721" i="11" a="1"/>
  <c r="W721" i="11" s="1"/>
  <c r="W449" i="11" a="1"/>
  <c r="W449" i="11" s="1"/>
  <c r="W920" i="11" a="1"/>
  <c r="W920" i="11" s="1"/>
  <c r="W666" i="11" a="1"/>
  <c r="W666" i="11" s="1"/>
  <c r="W777" i="11" a="1"/>
  <c r="W777" i="11" s="1"/>
  <c r="W820" i="11" a="1"/>
  <c r="W820" i="11" s="1"/>
  <c r="W534" i="11" a="1"/>
  <c r="W534" i="11" s="1"/>
  <c r="W4" i="10" a="1"/>
  <c r="W4" i="10" s="1"/>
  <c r="W5" i="10" a="1"/>
  <c r="W5" i="10"/>
  <c r="W6" i="10" a="1"/>
  <c r="W6" i="10"/>
  <c r="W7" i="10" a="1"/>
  <c r="W7" i="10"/>
  <c r="W8" i="10" a="1"/>
  <c r="W8" i="10" s="1"/>
  <c r="W9" i="10" a="1"/>
  <c r="W9" i="10"/>
  <c r="W10" i="10" a="1"/>
  <c r="W10" i="10" s="1"/>
  <c r="W11" i="10" a="1"/>
  <c r="W11" i="10"/>
  <c r="W12" i="10" a="1"/>
  <c r="W12" i="10" s="1"/>
  <c r="W13" i="10" a="1"/>
  <c r="W13" i="10"/>
  <c r="W14" i="10" a="1"/>
  <c r="W14" i="10"/>
  <c r="W15" i="10" a="1"/>
  <c r="W15" i="10"/>
  <c r="W16" i="10" a="1"/>
  <c r="W16" i="10" s="1"/>
  <c r="W17" i="10" a="1"/>
  <c r="W17" i="10"/>
  <c r="W18" i="10" a="1"/>
  <c r="W18" i="10"/>
  <c r="W19" i="10" a="1"/>
  <c r="W19" i="10"/>
  <c r="W20" i="10" a="1"/>
  <c r="W20" i="10" s="1"/>
  <c r="W21" i="10" a="1"/>
  <c r="W21" i="10"/>
  <c r="W22" i="10" a="1"/>
  <c r="W22" i="10"/>
  <c r="W23" i="10" a="1"/>
  <c r="W23" i="10"/>
  <c r="W24" i="10" a="1"/>
  <c r="W24" i="10" s="1"/>
  <c r="W25" i="10" a="1"/>
  <c r="W25" i="10"/>
  <c r="W26" i="10" a="1"/>
  <c r="W26" i="10" s="1"/>
  <c r="W27" i="10" a="1"/>
  <c r="W27" i="10"/>
  <c r="W28" i="10" a="1"/>
  <c r="W28" i="10" s="1"/>
  <c r="W29" i="10" a="1"/>
  <c r="W29" i="10"/>
  <c r="W30" i="10" a="1"/>
  <c r="W30" i="10"/>
  <c r="W31" i="10" a="1"/>
  <c r="W31" i="10"/>
  <c r="W32" i="10" a="1"/>
  <c r="W32" i="10" s="1"/>
  <c r="W33" i="10" a="1"/>
  <c r="W33" i="10"/>
  <c r="W34" i="10" a="1"/>
  <c r="W34" i="10"/>
  <c r="W35" i="10" a="1"/>
  <c r="W35" i="10"/>
  <c r="W36" i="10" a="1"/>
  <c r="W36" i="10" s="1"/>
  <c r="W37" i="10" a="1"/>
  <c r="W37" i="10"/>
  <c r="W38" i="10" a="1"/>
  <c r="W38" i="10"/>
  <c r="W39" i="10" a="1"/>
  <c r="W39" i="10"/>
  <c r="W40" i="10" a="1"/>
  <c r="W40" i="10" s="1"/>
  <c r="W41" i="10" a="1"/>
  <c r="W41" i="10"/>
  <c r="W42" i="10" a="1"/>
  <c r="W42" i="10" s="1"/>
  <c r="W43" i="10" a="1"/>
  <c r="W43" i="10"/>
  <c r="W44" i="10" a="1"/>
  <c r="W44" i="10" s="1"/>
  <c r="W45" i="10" a="1"/>
  <c r="W45" i="10"/>
  <c r="W46" i="10" a="1"/>
  <c r="W46" i="10"/>
  <c r="W47" i="10" a="1"/>
  <c r="W47" i="10"/>
  <c r="W48" i="10" a="1"/>
  <c r="W48" i="10" s="1"/>
  <c r="W49" i="10" a="1"/>
  <c r="W49" i="10"/>
  <c r="W50" i="10" a="1"/>
  <c r="W50" i="10"/>
  <c r="W51" i="10" a="1"/>
  <c r="W51" i="10"/>
  <c r="W52" i="10" a="1"/>
  <c r="W52" i="10" s="1"/>
  <c r="W53" i="10" a="1"/>
  <c r="W53" i="10"/>
  <c r="W54" i="10" a="1"/>
  <c r="W54" i="10"/>
  <c r="W55" i="10" a="1"/>
  <c r="W55" i="10"/>
  <c r="W56" i="10" a="1"/>
  <c r="W56" i="10" s="1"/>
  <c r="W57" i="10" a="1"/>
  <c r="W57" i="10"/>
  <c r="W58" i="10" a="1"/>
  <c r="W58" i="10" s="1"/>
  <c r="W59" i="10" a="1"/>
  <c r="W59" i="10"/>
  <c r="W60" i="10" a="1"/>
  <c r="W60" i="10" s="1"/>
  <c r="W61" i="10" a="1"/>
  <c r="W61" i="10"/>
  <c r="W62" i="10" a="1"/>
  <c r="W62" i="10"/>
  <c r="W63" i="10" a="1"/>
  <c r="W63" i="10"/>
  <c r="W64" i="10" a="1"/>
  <c r="W64" i="10" s="1"/>
  <c r="W65" i="10" a="1"/>
  <c r="W65" i="10"/>
  <c r="W66" i="10" a="1"/>
  <c r="W66" i="10"/>
  <c r="W67" i="10" a="1"/>
  <c r="W67" i="10"/>
  <c r="W68" i="10" a="1"/>
  <c r="W68" i="10" s="1"/>
  <c r="W69" i="10" a="1"/>
  <c r="W69" i="10"/>
  <c r="W70" i="10" a="1"/>
  <c r="W70" i="10"/>
  <c r="W71" i="10" a="1"/>
  <c r="W71" i="10"/>
  <c r="W72" i="10" a="1"/>
  <c r="W72" i="10" s="1"/>
  <c r="W73" i="10" a="1"/>
  <c r="W73" i="10"/>
  <c r="W74" i="10" a="1"/>
  <c r="W74" i="10" s="1"/>
  <c r="W75" i="10" a="1"/>
  <c r="W75" i="10" s="1"/>
  <c r="W76" i="10" a="1"/>
  <c r="W76" i="10" s="1"/>
  <c r="W77" i="10" a="1"/>
  <c r="W77" i="10" s="1"/>
  <c r="W78" i="10" a="1"/>
  <c r="W78" i="10"/>
  <c r="W79" i="10" a="1"/>
  <c r="W79" i="10"/>
  <c r="W80" i="10" a="1"/>
  <c r="W80" i="10" s="1"/>
  <c r="W81" i="10" a="1"/>
  <c r="W81" i="10" s="1"/>
  <c r="W82" i="10" a="1"/>
  <c r="W82" i="10" s="1"/>
  <c r="W83" i="10" a="1"/>
  <c r="W83" i="10"/>
  <c r="W84" i="10" a="1"/>
  <c r="W84" i="10" s="1"/>
  <c r="W85" i="10" a="1"/>
  <c r="W85" i="10" s="1"/>
  <c r="W86" i="10" a="1"/>
  <c r="W86" i="10" s="1"/>
  <c r="W87" i="10" a="1"/>
  <c r="W87" i="10" s="1"/>
  <c r="W88" i="10" a="1"/>
  <c r="W88" i="10" s="1"/>
  <c r="W89" i="10" a="1"/>
  <c r="W89" i="10"/>
  <c r="W90" i="10" a="1"/>
  <c r="W90" i="10" s="1"/>
  <c r="W91" i="10" a="1"/>
  <c r="W91" i="10"/>
  <c r="W92" i="10" a="1"/>
  <c r="W92" i="10" s="1"/>
  <c r="W93" i="10" a="1"/>
  <c r="W93" i="10" s="1"/>
  <c r="W94" i="10" a="1"/>
  <c r="W94" i="10"/>
  <c r="W95" i="10" a="1"/>
  <c r="W95" i="10" s="1"/>
  <c r="W96" i="10" a="1"/>
  <c r="W96" i="10" s="1"/>
  <c r="W97" i="10" a="1"/>
  <c r="W97" i="10"/>
  <c r="W98" i="10" a="1"/>
  <c r="W98" i="10"/>
  <c r="W99" i="10" a="1"/>
  <c r="W99" i="10" s="1"/>
  <c r="W100" i="10" a="1"/>
  <c r="W100" i="10" s="1"/>
  <c r="W101" i="10" a="1"/>
  <c r="W101" i="10" s="1"/>
  <c r="W102" i="10" a="1"/>
  <c r="W102" i="10" s="1"/>
  <c r="W103" i="10" a="1"/>
  <c r="W103" i="10" s="1"/>
  <c r="W104" i="10" a="1"/>
  <c r="W104" i="10" s="1"/>
  <c r="W105" i="10" a="1"/>
  <c r="W105" i="10"/>
  <c r="W106" i="10" a="1"/>
  <c r="W106" i="10" s="1"/>
  <c r="W107" i="10" a="1"/>
  <c r="W107" i="10" s="1"/>
  <c r="W108" i="10" a="1"/>
  <c r="W108" i="10" s="1"/>
  <c r="W109" i="10" a="1"/>
  <c r="W109" i="10" s="1"/>
  <c r="W110" i="10" a="1"/>
  <c r="W110" i="10"/>
  <c r="W111" i="10" a="1"/>
  <c r="W111" i="10" s="1"/>
  <c r="W112" i="10" a="1"/>
  <c r="W112" i="10" s="1"/>
  <c r="W113" i="10" a="1"/>
  <c r="W113" i="10" s="1"/>
  <c r="W114" i="10" a="1"/>
  <c r="W114" i="10"/>
  <c r="W115" i="10" a="1"/>
  <c r="W115" i="10" s="1"/>
  <c r="W116" i="10" a="1"/>
  <c r="W116" i="10" s="1"/>
  <c r="W117" i="10" a="1"/>
  <c r="W117" i="10" s="1"/>
  <c r="W118" i="10" a="1"/>
  <c r="W118" i="10" s="1"/>
  <c r="W119" i="10" a="1"/>
  <c r="W119" i="10" s="1"/>
  <c r="W120" i="10" a="1"/>
  <c r="W120" i="10" s="1"/>
  <c r="W121" i="10" a="1"/>
  <c r="W121" i="10" s="1"/>
  <c r="W122" i="10" a="1"/>
  <c r="W122" i="10" s="1"/>
  <c r="W123" i="10" a="1"/>
  <c r="W123" i="10"/>
  <c r="W124" i="10" a="1"/>
  <c r="W124" i="10" s="1"/>
  <c r="W125" i="10" a="1"/>
  <c r="W125" i="10" s="1"/>
  <c r="W126" i="10" a="1"/>
  <c r="W126" i="10" s="1"/>
  <c r="W127" i="10" a="1"/>
  <c r="W127" i="10" s="1"/>
  <c r="W128" i="10" a="1"/>
  <c r="W128" i="10" s="1"/>
  <c r="W129" i="10" a="1"/>
  <c r="W129" i="10"/>
  <c r="W130" i="10" a="1"/>
  <c r="W130" i="10"/>
  <c r="W131" i="10" a="1"/>
  <c r="W131" i="10" s="1"/>
  <c r="W132" i="10" a="1"/>
  <c r="W132" i="10" s="1"/>
  <c r="W133" i="10" a="1"/>
  <c r="W133" i="10" s="1"/>
  <c r="W134" i="10" a="1"/>
  <c r="W134" i="10"/>
  <c r="W135" i="10" a="1"/>
  <c r="W135" i="10"/>
  <c r="W136" i="10" a="1"/>
  <c r="W136" i="10" s="1"/>
  <c r="W137" i="10" a="1"/>
  <c r="W137" i="10"/>
  <c r="W138" i="10" a="1"/>
  <c r="W138" i="10"/>
  <c r="W139" i="10" a="1"/>
  <c r="W139" i="10"/>
  <c r="W140" i="10" a="1"/>
  <c r="W140" i="10" s="1"/>
  <c r="W141" i="10" a="1"/>
  <c r="W141" i="10" s="1"/>
  <c r="W142" i="10" a="1"/>
  <c r="W142" i="10"/>
  <c r="W143" i="10" a="1"/>
  <c r="W143" i="10"/>
  <c r="W144" i="10" a="1"/>
  <c r="W144" i="10" s="1"/>
  <c r="W145" i="10" a="1"/>
  <c r="W145" i="10" s="1"/>
  <c r="W146" i="10" a="1"/>
  <c r="W146" i="10" s="1"/>
  <c r="W147" i="10" a="1"/>
  <c r="W147" i="10" s="1"/>
  <c r="W148" i="10" a="1"/>
  <c r="W148" i="10" s="1"/>
  <c r="W149" i="10" a="1"/>
  <c r="W149" i="10"/>
  <c r="W150" i="10" a="1"/>
  <c r="W150" i="10" s="1"/>
  <c r="W151" i="10" a="1"/>
  <c r="W151" i="10" s="1"/>
  <c r="W152" i="10" a="1"/>
  <c r="W152" i="10" s="1"/>
  <c r="W153" i="10" a="1"/>
  <c r="W153" i="10" s="1"/>
  <c r="W154" i="10" a="1"/>
  <c r="W154" i="10" s="1"/>
  <c r="W155" i="10" a="1"/>
  <c r="W155" i="10"/>
  <c r="W156" i="10" a="1"/>
  <c r="W156" i="10" s="1"/>
  <c r="W157" i="10" a="1"/>
  <c r="W157" i="10" s="1"/>
  <c r="W158" i="10" a="1"/>
  <c r="W158" i="10"/>
  <c r="W159" i="10" a="1"/>
  <c r="W159" i="10" s="1"/>
  <c r="W160" i="10" a="1"/>
  <c r="W160" i="10" s="1"/>
  <c r="W161" i="10" a="1"/>
  <c r="W161" i="10"/>
  <c r="W162" i="10" a="1"/>
  <c r="W162" i="10" s="1"/>
  <c r="W163" i="10" a="1"/>
  <c r="W163" i="10" s="1"/>
  <c r="W164" i="10" a="1"/>
  <c r="W164" i="10" s="1"/>
  <c r="W165" i="10" a="1"/>
  <c r="W165" i="10" s="1"/>
  <c r="W166" i="10" a="1"/>
  <c r="W166" i="10"/>
  <c r="W167" i="10" a="1"/>
  <c r="W167" i="10" s="1"/>
  <c r="W168" i="10" a="1"/>
  <c r="W168" i="10" s="1"/>
  <c r="W169" i="10" a="1"/>
  <c r="W169" i="10"/>
  <c r="W170" i="10" a="1"/>
  <c r="W170" i="10" s="1"/>
  <c r="W171" i="10" a="1"/>
  <c r="W171" i="10" s="1"/>
  <c r="W172" i="10" a="1"/>
  <c r="W172" i="10" s="1"/>
  <c r="W173" i="10" a="1"/>
  <c r="W173" i="10" s="1"/>
  <c r="W174" i="10" a="1"/>
  <c r="W174" i="10"/>
  <c r="W175" i="10" a="1"/>
  <c r="W175" i="10"/>
  <c r="W176" i="10" a="1"/>
  <c r="W176" i="10" s="1"/>
  <c r="W177" i="10" a="1"/>
  <c r="W177" i="10" s="1"/>
  <c r="W178" i="10" a="1"/>
  <c r="W178" i="10"/>
  <c r="W179" i="10" a="1"/>
  <c r="W179" i="10"/>
  <c r="W180" i="10" a="1"/>
  <c r="W180" i="10" s="1"/>
  <c r="W181" i="10" a="1"/>
  <c r="W181" i="10" s="1"/>
  <c r="W182" i="10" a="1"/>
  <c r="W182" i="10" s="1"/>
  <c r="W183" i="10" a="1"/>
  <c r="W183" i="10"/>
  <c r="W184" i="10" a="1"/>
  <c r="W184" i="10" s="1"/>
  <c r="W185" i="10" a="1"/>
  <c r="W185" i="10" s="1"/>
  <c r="W186" i="10" a="1"/>
  <c r="W186" i="10" s="1"/>
  <c r="W187" i="10" a="1"/>
  <c r="W187" i="10"/>
  <c r="W188" i="10" a="1"/>
  <c r="W188" i="10" s="1"/>
  <c r="W189" i="10" a="1"/>
  <c r="W189" i="10"/>
  <c r="W190" i="10" a="1"/>
  <c r="W190" i="10" s="1"/>
  <c r="W191" i="10" a="1"/>
  <c r="W191" i="10" s="1"/>
  <c r="W192" i="10" a="1"/>
  <c r="W192" i="10" s="1"/>
  <c r="W193" i="10" a="1"/>
  <c r="W193" i="10" s="1"/>
  <c r="W194" i="10" a="1"/>
  <c r="W194" i="10"/>
  <c r="W195" i="10" a="1"/>
  <c r="W195" i="10" s="1"/>
  <c r="W196" i="10" a="1"/>
  <c r="W196" i="10" s="1"/>
  <c r="W197" i="10" a="1"/>
  <c r="W197" i="10"/>
  <c r="W198" i="10" a="1"/>
  <c r="W198" i="10" s="1"/>
  <c r="W199" i="10" a="1"/>
  <c r="W199" i="10"/>
  <c r="W200" i="10" a="1"/>
  <c r="W200" i="10" s="1"/>
  <c r="W201" i="10" a="1"/>
  <c r="W201" i="10"/>
  <c r="W202" i="10" a="1"/>
  <c r="W202" i="10" s="1"/>
  <c r="W203" i="10" a="1"/>
  <c r="W203" i="10" s="1"/>
  <c r="W204" i="10" a="1"/>
  <c r="W204" i="10" s="1"/>
  <c r="W205" i="10" a="1"/>
  <c r="W205" i="10" s="1"/>
  <c r="W206" i="10" a="1"/>
  <c r="W206" i="10"/>
  <c r="W207" i="10" a="1"/>
  <c r="W207" i="10" s="1"/>
  <c r="W208" i="10" a="1"/>
  <c r="W208" i="10" s="1"/>
  <c r="W209" i="10" a="1"/>
  <c r="W209" i="10" s="1"/>
  <c r="W210" i="10" a="1"/>
  <c r="W210" i="10"/>
  <c r="W211" i="10" a="1"/>
  <c r="W211" i="10"/>
  <c r="W212" i="10" a="1"/>
  <c r="W212" i="10" s="1"/>
  <c r="W213" i="10" a="1"/>
  <c r="W213" i="10" s="1"/>
  <c r="W214" i="10" a="1"/>
  <c r="W214" i="10" s="1"/>
  <c r="W215" i="10" a="1"/>
  <c r="W215" i="10"/>
  <c r="W216" i="10" a="1"/>
  <c r="W216" i="10" s="1"/>
  <c r="W217" i="10" a="1"/>
  <c r="W217" i="10"/>
  <c r="W218" i="10" a="1"/>
  <c r="W218" i="10" s="1"/>
  <c r="W219" i="10" a="1"/>
  <c r="W219" i="10"/>
  <c r="W220" i="10" a="1"/>
  <c r="W220" i="10" s="1"/>
  <c r="W221" i="10" a="1"/>
  <c r="W221" i="10" s="1"/>
  <c r="W222" i="10" a="1"/>
  <c r="W222" i="10" s="1"/>
  <c r="W223" i="10" a="1"/>
  <c r="W223" i="10" s="1"/>
  <c r="W224" i="10" a="1"/>
  <c r="W224" i="10" s="1"/>
  <c r="W225" i="10" a="1"/>
  <c r="W225" i="10"/>
  <c r="W226" i="10" a="1"/>
  <c r="W226" i="10" s="1"/>
  <c r="W227" i="10" a="1"/>
  <c r="W227" i="10" s="1"/>
  <c r="W228" i="10" a="1"/>
  <c r="W228" i="10" s="1"/>
  <c r="W229" i="10" a="1"/>
  <c r="W229" i="10"/>
  <c r="W230" i="10" a="1"/>
  <c r="W230" i="10" s="1"/>
  <c r="W231" i="10" a="1"/>
  <c r="W231" i="10" s="1"/>
  <c r="W232" i="10" a="1"/>
  <c r="W232" i="10" s="1"/>
  <c r="W233" i="10" a="1"/>
  <c r="W233" i="10" s="1"/>
  <c r="W234" i="10" a="1"/>
  <c r="W234" i="10" s="1"/>
  <c r="W235" i="10" a="1"/>
  <c r="W235" i="10" s="1"/>
  <c r="W236" i="10" a="1"/>
  <c r="W236" i="10" s="1"/>
  <c r="W237" i="10" a="1"/>
  <c r="W237" i="10" s="1"/>
  <c r="W238" i="10" a="1"/>
  <c r="W238" i="10"/>
  <c r="W239" i="10" a="1"/>
  <c r="W239" i="10" s="1"/>
  <c r="W240" i="10" a="1"/>
  <c r="W240" i="10" s="1"/>
  <c r="W241" i="10" a="1"/>
  <c r="W241" i="10" s="1"/>
  <c r="W242" i="10" a="1"/>
  <c r="W242" i="10"/>
  <c r="W243" i="10" a="1"/>
  <c r="W243" i="10" s="1"/>
  <c r="W244" i="10" a="1"/>
  <c r="W244" i="10" s="1"/>
  <c r="W245" i="10" a="1"/>
  <c r="W245" i="10"/>
  <c r="W246" i="10" a="1"/>
  <c r="W246" i="10" s="1"/>
  <c r="W247" i="10" a="1"/>
  <c r="W247" i="10"/>
  <c r="W248" i="10" a="1"/>
  <c r="W248" i="10" s="1"/>
  <c r="W249" i="10" a="1"/>
  <c r="W249" i="10" s="1"/>
  <c r="W250" i="10" a="1"/>
  <c r="W250" i="10" s="1"/>
  <c r="W251" i="10" a="1"/>
  <c r="W251" i="10"/>
  <c r="W252" i="10" a="1"/>
  <c r="W252" i="10" s="1"/>
  <c r="W253" i="10" a="1"/>
  <c r="W253" i="10" s="1"/>
  <c r="W254" i="10" a="1"/>
  <c r="W254" i="10" s="1"/>
  <c r="W255" i="10" a="1"/>
  <c r="W255" i="10" s="1"/>
  <c r="W256" i="10" a="1"/>
  <c r="W256" i="10" s="1"/>
  <c r="W257" i="10" a="1"/>
  <c r="W257" i="10"/>
  <c r="W258" i="10" a="1"/>
  <c r="W258" i="10" s="1"/>
  <c r="W259" i="10" a="1"/>
  <c r="W259" i="10" s="1"/>
  <c r="W260" i="10" a="1"/>
  <c r="W260" i="10" s="1"/>
  <c r="W261" i="10" a="1"/>
  <c r="W261" i="10" s="1"/>
  <c r="W262" i="10" a="1"/>
  <c r="W262" i="10"/>
  <c r="W263" i="10" a="1"/>
  <c r="W263" i="10"/>
  <c r="W264" i="10" a="1"/>
  <c r="W264" i="10" s="1"/>
  <c r="W265" i="10" a="1"/>
  <c r="W265" i="10"/>
  <c r="W266" i="10" a="1"/>
  <c r="W266" i="10"/>
  <c r="W267" i="10" a="1"/>
  <c r="W267" i="10"/>
  <c r="W268" i="10" a="1"/>
  <c r="W268" i="10" s="1"/>
  <c r="W269" i="10" a="1"/>
  <c r="W269" i="10" s="1"/>
  <c r="W270" i="10" a="1"/>
  <c r="W270" i="10"/>
  <c r="W271" i="10" a="1"/>
  <c r="W271" i="10"/>
  <c r="W272" i="10" a="1"/>
  <c r="W272" i="10" s="1"/>
  <c r="W273" i="10" a="1"/>
  <c r="W273" i="10" s="1"/>
  <c r="W274" i="10" a="1"/>
  <c r="W274" i="10" s="1"/>
  <c r="W275" i="10" a="1"/>
  <c r="W275" i="10" s="1"/>
  <c r="W276" i="10" a="1"/>
  <c r="W276" i="10" s="1"/>
  <c r="W277" i="10" a="1"/>
  <c r="W277" i="10"/>
  <c r="W278" i="10" a="1"/>
  <c r="W278" i="10" s="1"/>
  <c r="W279" i="10" a="1"/>
  <c r="W279" i="10"/>
  <c r="W280" i="10" a="1"/>
  <c r="W280" i="10" s="1"/>
  <c r="W281" i="10" a="1"/>
  <c r="W281" i="10"/>
  <c r="W282" i="10" a="1"/>
  <c r="W282" i="10" s="1"/>
  <c r="W283" i="10" a="1"/>
  <c r="W283" i="10"/>
  <c r="W284" i="10" a="1"/>
  <c r="W284" i="10" s="1"/>
  <c r="W285" i="10" a="1"/>
  <c r="W285" i="10" s="1"/>
  <c r="W286" i="10" a="1"/>
  <c r="W286" i="10"/>
  <c r="W287" i="10" a="1"/>
  <c r="W287" i="10" s="1"/>
  <c r="W288" i="10" a="1"/>
  <c r="W288" i="10" s="1"/>
  <c r="W289" i="10" a="1"/>
  <c r="W289" i="10"/>
  <c r="W290" i="10" a="1"/>
  <c r="W290" i="10" s="1"/>
  <c r="W291" i="10" a="1"/>
  <c r="W291" i="10" s="1"/>
  <c r="W292" i="10" a="1"/>
  <c r="W292" i="10" s="1"/>
  <c r="W293" i="10" a="1"/>
  <c r="W293" i="10"/>
  <c r="W294" i="10" a="1"/>
  <c r="W294" i="10"/>
  <c r="W295" i="10" a="1"/>
  <c r="W295" i="10" s="1"/>
  <c r="W296" i="10" a="1"/>
  <c r="W296" i="10" s="1"/>
  <c r="W297" i="10" a="1"/>
  <c r="W297" i="10" s="1"/>
  <c r="W298" i="10" a="1"/>
  <c r="W298" i="10" s="1"/>
  <c r="W299" i="10" a="1"/>
  <c r="W299" i="10" s="1"/>
  <c r="W300" i="10" a="1"/>
  <c r="W300" i="10" s="1"/>
  <c r="W301" i="10" a="1"/>
  <c r="W301" i="10" s="1"/>
  <c r="W302" i="10" a="1"/>
  <c r="W302" i="10" s="1"/>
  <c r="W303" i="10" a="1"/>
  <c r="W303" i="10" s="1"/>
  <c r="W304" i="10" a="1"/>
  <c r="W304" i="10" s="1"/>
  <c r="W305" i="10" a="1"/>
  <c r="W305" i="10" s="1"/>
  <c r="W306" i="10" a="1"/>
  <c r="W306" i="10"/>
  <c r="W307" i="10" a="1"/>
  <c r="W307" i="10"/>
  <c r="W308" i="10" a="1"/>
  <c r="W308" i="10" s="1"/>
  <c r="W309" i="10" a="1"/>
  <c r="W309" i="10" s="1"/>
  <c r="W310" i="10" a="1"/>
  <c r="W310" i="10" s="1"/>
  <c r="W311" i="10" a="1"/>
  <c r="W311" i="10" s="1"/>
  <c r="W312" i="10" a="1"/>
  <c r="W312" i="10" s="1"/>
  <c r="W313" i="10" a="1"/>
  <c r="W313" i="10" s="1"/>
  <c r="W314" i="10" a="1"/>
  <c r="W314" i="10" s="1"/>
  <c r="W315" i="10" a="1"/>
  <c r="W315" i="10" s="1"/>
  <c r="W316" i="10" a="1"/>
  <c r="W316" i="10" s="1"/>
  <c r="W317" i="10" a="1"/>
  <c r="W317" i="10" s="1"/>
  <c r="W318" i="10" a="1"/>
  <c r="W318" i="10" s="1"/>
  <c r="W319" i="10" a="1"/>
  <c r="W319" i="10" s="1"/>
  <c r="W320" i="10" a="1"/>
  <c r="W320" i="10" s="1"/>
  <c r="W321" i="10" a="1"/>
  <c r="W321" i="10" s="1"/>
  <c r="W322" i="10" a="1"/>
  <c r="W322" i="10"/>
  <c r="W323" i="10" a="1"/>
  <c r="W323" i="10" s="1"/>
  <c r="W324" i="10" a="1"/>
  <c r="W324" i="10" s="1"/>
  <c r="W325" i="10" a="1"/>
  <c r="W325" i="10"/>
  <c r="W326" i="10" a="1"/>
  <c r="W326" i="10" s="1"/>
  <c r="W327" i="10" a="1"/>
  <c r="W327" i="10" s="1"/>
  <c r="W328" i="10" a="1"/>
  <c r="W328" i="10" s="1"/>
  <c r="W329" i="10" a="1"/>
  <c r="W329" i="10" s="1"/>
  <c r="W330" i="10" a="1"/>
  <c r="W330" i="10" s="1"/>
  <c r="W331" i="10" a="1"/>
  <c r="W331" i="10" s="1"/>
  <c r="W332" i="10" a="1"/>
  <c r="W332" i="10" s="1"/>
  <c r="W333" i="10" a="1"/>
  <c r="W333" i="10" s="1"/>
  <c r="W334" i="10" a="1"/>
  <c r="W334" i="10"/>
  <c r="W335" i="10" a="1"/>
  <c r="W335" i="10" s="1"/>
  <c r="W336" i="10" a="1"/>
  <c r="W336" i="10" s="1"/>
  <c r="W337" i="10" a="1"/>
  <c r="W337" i="10" s="1"/>
  <c r="W338" i="10" a="1"/>
  <c r="W338" i="10"/>
  <c r="W339" i="10" a="1"/>
  <c r="W339" i="10" s="1"/>
  <c r="W340" i="10" a="1"/>
  <c r="W340" i="10" s="1"/>
  <c r="W341" i="10" a="1"/>
  <c r="W341" i="10" s="1"/>
  <c r="W342" i="10" a="1"/>
  <c r="W342" i="10" s="1"/>
  <c r="W343" i="10" a="1"/>
  <c r="W343" i="10"/>
  <c r="W344" i="10" a="1"/>
  <c r="W344" i="10" s="1"/>
  <c r="W345" i="10" a="1"/>
  <c r="W345" i="10" s="1"/>
  <c r="W346" i="10" a="1"/>
  <c r="W346" i="10" s="1"/>
  <c r="W347" i="10" a="1"/>
  <c r="W347" i="10" s="1"/>
  <c r="W348" i="10" a="1"/>
  <c r="W348" i="10" s="1"/>
  <c r="W349" i="10" a="1"/>
  <c r="W349" i="10" s="1"/>
  <c r="W350" i="10" a="1"/>
  <c r="W350" i="10" s="1"/>
  <c r="W351" i="10" a="1"/>
  <c r="W351" i="10" s="1"/>
  <c r="W352" i="10" a="1"/>
  <c r="W352" i="10" s="1"/>
  <c r="W353" i="10" a="1"/>
  <c r="W353" i="10" s="1"/>
  <c r="W354" i="10" a="1"/>
  <c r="W354" i="10" s="1"/>
  <c r="W355" i="10" a="1"/>
  <c r="W355" i="10" s="1"/>
  <c r="W356" i="10" a="1"/>
  <c r="W356" i="10" s="1"/>
  <c r="W357" i="10" a="1"/>
  <c r="W357" i="10" s="1"/>
  <c r="W358" i="10" a="1"/>
  <c r="W358" i="10"/>
  <c r="W359" i="10" a="1"/>
  <c r="W359" i="10" s="1"/>
  <c r="W360" i="10" a="1"/>
  <c r="W360" i="10" s="1"/>
  <c r="W361" i="10" a="1"/>
  <c r="W361" i="10"/>
  <c r="W362" i="10" a="1"/>
  <c r="W362" i="10" s="1"/>
  <c r="W363" i="10" a="1"/>
  <c r="W363" i="10" s="1"/>
  <c r="W364" i="10" a="1"/>
  <c r="W364" i="10" s="1"/>
  <c r="W365" i="10" a="1"/>
  <c r="W365" i="10" s="1"/>
  <c r="W366" i="10" a="1"/>
  <c r="W366" i="10"/>
  <c r="W367" i="10" a="1"/>
  <c r="W367" i="10" s="1"/>
  <c r="W368" i="10" a="1"/>
  <c r="W368" i="10" s="1"/>
  <c r="W369" i="10" a="1"/>
  <c r="W369" i="10" s="1"/>
  <c r="W370" i="10" a="1"/>
  <c r="W370" i="10"/>
  <c r="W371" i="10" a="1"/>
  <c r="W371" i="10" s="1"/>
  <c r="W372" i="10" a="1"/>
  <c r="W372" i="10" s="1"/>
  <c r="W373" i="10" a="1"/>
  <c r="W373" i="10"/>
  <c r="W374" i="10" a="1"/>
  <c r="W374" i="10"/>
  <c r="W375" i="10" a="1"/>
  <c r="W375" i="10"/>
  <c r="W376" i="10" a="1"/>
  <c r="W376" i="10" s="1"/>
  <c r="W377" i="10" a="1"/>
  <c r="W377" i="10" s="1"/>
  <c r="W378" i="10" a="1"/>
  <c r="W378" i="10" s="1"/>
  <c r="W379" i="10" a="1"/>
  <c r="W379" i="10"/>
  <c r="W380" i="10" a="1"/>
  <c r="W380" i="10" s="1"/>
  <c r="W381" i="10" a="1"/>
  <c r="W381" i="10" s="1"/>
  <c r="W382" i="10" a="1"/>
  <c r="W382" i="10" s="1"/>
  <c r="W383" i="10" a="1"/>
  <c r="W383" i="10" s="1"/>
  <c r="W384" i="10" a="1"/>
  <c r="W384" i="10" s="1"/>
  <c r="W385" i="10" a="1"/>
  <c r="W385" i="10"/>
  <c r="W386" i="10" a="1"/>
  <c r="W386" i="10" s="1"/>
  <c r="W387" i="10" a="1"/>
  <c r="W387" i="10" s="1"/>
  <c r="W388" i="10" a="1"/>
  <c r="W388" i="10" s="1"/>
  <c r="W389" i="10" a="1"/>
  <c r="W389" i="10" s="1"/>
  <c r="W390" i="10" a="1"/>
  <c r="W390" i="10" s="1"/>
  <c r="W391" i="10" a="1"/>
  <c r="W391" i="10" s="1"/>
  <c r="W392" i="10" a="1"/>
  <c r="W392" i="10" s="1"/>
  <c r="W393" i="10" a="1"/>
  <c r="W393" i="10"/>
  <c r="W394" i="10" a="1"/>
  <c r="W394" i="10" s="1"/>
  <c r="W395" i="10" a="1"/>
  <c r="W395" i="10"/>
  <c r="W396" i="10" a="1"/>
  <c r="W396" i="10" s="1"/>
  <c r="W397" i="10" a="1"/>
  <c r="W397" i="10" s="1"/>
  <c r="W398" i="10" a="1"/>
  <c r="W398" i="10" s="1"/>
  <c r="W399" i="10" a="1"/>
  <c r="W399" i="10" s="1"/>
  <c r="W400" i="10" a="1"/>
  <c r="W400" i="10" s="1"/>
  <c r="W401" i="10" a="1"/>
  <c r="W401" i="10" s="1"/>
  <c r="W402" i="10" a="1"/>
  <c r="W402" i="10" s="1"/>
  <c r="W403" i="10" a="1"/>
  <c r="W403" i="10"/>
  <c r="W404" i="10" a="1"/>
  <c r="W404" i="10" s="1"/>
  <c r="W405" i="10" a="1"/>
  <c r="W405" i="10" s="1"/>
  <c r="W406" i="10" a="1"/>
  <c r="W406" i="10" s="1"/>
  <c r="W407" i="10" a="1"/>
  <c r="W407" i="10" s="1"/>
  <c r="W408" i="10" a="1"/>
  <c r="W408" i="10" s="1"/>
  <c r="W409" i="10" a="1"/>
  <c r="W409" i="10" s="1"/>
  <c r="W410" i="10" a="1"/>
  <c r="W410" i="10" s="1"/>
  <c r="W411" i="10" a="1"/>
  <c r="W411" i="10"/>
  <c r="W412" i="10" a="1"/>
  <c r="W412" i="10" s="1"/>
  <c r="W413" i="10" a="1"/>
  <c r="W413" i="10"/>
  <c r="W414" i="10" a="1"/>
  <c r="W414" i="10" s="1"/>
  <c r="W415" i="10" a="1"/>
  <c r="W415" i="10"/>
  <c r="W416" i="10" a="1"/>
  <c r="W416" i="10" s="1"/>
  <c r="W417" i="10" a="1"/>
  <c r="W417" i="10" s="1"/>
  <c r="W418" i="10" a="1"/>
  <c r="W418" i="10" s="1"/>
  <c r="W419" i="10" a="1"/>
  <c r="W419" i="10"/>
  <c r="W420" i="10" a="1"/>
  <c r="W420" i="10" s="1"/>
  <c r="W421" i="10" a="1"/>
  <c r="W421" i="10" s="1"/>
  <c r="W422" i="10" a="1"/>
  <c r="W422" i="10" s="1"/>
  <c r="W423" i="10" a="1"/>
  <c r="W423" i="10"/>
  <c r="W424" i="10" a="1"/>
  <c r="W424" i="10"/>
  <c r="W425" i="10" a="1"/>
  <c r="W425" i="10" s="1"/>
  <c r="W426" i="10" a="1"/>
  <c r="W426" i="10" s="1"/>
  <c r="W427" i="10" a="1"/>
  <c r="W427" i="10"/>
  <c r="W428" i="10" a="1"/>
  <c r="W428" i="10"/>
  <c r="W429" i="10" a="1"/>
  <c r="W429" i="10"/>
  <c r="W430" i="10" a="1"/>
  <c r="W430" i="10" s="1"/>
  <c r="W431" i="10" a="1"/>
  <c r="W431" i="10"/>
  <c r="W432" i="10" a="1"/>
  <c r="W432" i="10"/>
  <c r="W433" i="10" a="1"/>
  <c r="W433" i="10" s="1"/>
  <c r="W434" i="10" a="1"/>
  <c r="W434" i="10" s="1"/>
  <c r="W435" i="10" a="1"/>
  <c r="W435" i="10" s="1"/>
  <c r="W436" i="10" a="1"/>
  <c r="W436" i="10"/>
  <c r="W437" i="10" a="1"/>
  <c r="W437" i="10"/>
  <c r="W438" i="10" a="1"/>
  <c r="W438" i="10" s="1"/>
  <c r="W439" i="10" a="1"/>
  <c r="W439" i="10" s="1"/>
  <c r="W440" i="10" a="1"/>
  <c r="W440" i="10" s="1"/>
  <c r="W441" i="10" a="1"/>
  <c r="W441" i="10"/>
  <c r="W442" i="10" a="1"/>
  <c r="W442" i="10" s="1"/>
  <c r="W443" i="10" a="1"/>
  <c r="W443" i="10"/>
  <c r="W444" i="10" a="1"/>
  <c r="W444" i="10" s="1"/>
  <c r="W445" i="10" a="1"/>
  <c r="W445" i="10"/>
  <c r="W446" i="10" a="1"/>
  <c r="W446" i="10" s="1"/>
  <c r="W447" i="10" a="1"/>
  <c r="W447" i="10" s="1"/>
  <c r="W448" i="10" a="1"/>
  <c r="W448" i="10" s="1"/>
  <c r="W449" i="10" a="1"/>
  <c r="W449" i="10" s="1"/>
  <c r="W450" i="10" a="1"/>
  <c r="W450" i="10" s="1"/>
  <c r="W451" i="10" a="1"/>
  <c r="W451" i="10"/>
  <c r="W452" i="10" a="1"/>
  <c r="W452" i="10" s="1"/>
  <c r="W453" i="10" a="1"/>
  <c r="W453" i="10" s="1"/>
  <c r="W454" i="10" a="1"/>
  <c r="W454" i="10" s="1"/>
  <c r="W455" i="10" a="1"/>
  <c r="W455" i="10" s="1"/>
  <c r="W456" i="10" a="1"/>
  <c r="W456" i="10"/>
  <c r="W457" i="10" a="1"/>
  <c r="W457" i="10" s="1"/>
  <c r="W458" i="10" a="1"/>
  <c r="W458" i="10" s="1"/>
  <c r="W459" i="10" a="1"/>
  <c r="W459" i="10"/>
  <c r="W460" i="10" a="1"/>
  <c r="W460" i="10" s="1"/>
  <c r="W461" i="10" a="1"/>
  <c r="W461" i="10"/>
  <c r="W462" i="10" a="1"/>
  <c r="W462" i="10" s="1"/>
  <c r="W463" i="10" a="1"/>
  <c r="W463" i="10" s="1"/>
  <c r="W464" i="10" a="1"/>
  <c r="W464" i="10"/>
  <c r="W465" i="10" a="1"/>
  <c r="W465" i="10" s="1"/>
  <c r="W466" i="10" a="1"/>
  <c r="W466" i="10" s="1"/>
  <c r="W467" i="10" a="1"/>
  <c r="W467" i="10" s="1"/>
  <c r="W468" i="10" a="1"/>
  <c r="W468" i="10" s="1"/>
  <c r="W469" i="10" a="1"/>
  <c r="W469" i="10"/>
  <c r="W470" i="10" a="1"/>
  <c r="W470" i="10" s="1"/>
  <c r="W471" i="10" a="1"/>
  <c r="W471" i="10" s="1"/>
  <c r="W472" i="10" a="1"/>
  <c r="W472" i="10" s="1"/>
  <c r="W473" i="10" a="1"/>
  <c r="W473" i="10" s="1"/>
  <c r="W474" i="10" a="1"/>
  <c r="W474" i="10" s="1"/>
  <c r="W475" i="10" a="1"/>
  <c r="W475" i="10"/>
  <c r="W476" i="10" a="1"/>
  <c r="W476" i="10" s="1"/>
  <c r="W477" i="10" a="1"/>
  <c r="W477" i="10"/>
  <c r="W478" i="10" a="1"/>
  <c r="W478" i="10" s="1"/>
  <c r="W479" i="10" a="1"/>
  <c r="W479" i="10"/>
  <c r="W480" i="10" a="1"/>
  <c r="W480" i="10" s="1"/>
  <c r="W481" i="10" a="1"/>
  <c r="W481" i="10" s="1"/>
  <c r="W482" i="10" a="1"/>
  <c r="W482" i="10" s="1"/>
  <c r="W483" i="10" a="1"/>
  <c r="W483" i="10"/>
  <c r="W484" i="10" a="1"/>
  <c r="W484" i="10" s="1"/>
  <c r="W485" i="10" a="1"/>
  <c r="W485" i="10" s="1"/>
  <c r="W486" i="10" a="1"/>
  <c r="W486" i="10" s="1"/>
  <c r="W487" i="10" a="1"/>
  <c r="W487" i="10"/>
  <c r="W488" i="10" a="1"/>
  <c r="W488" i="10"/>
  <c r="W489" i="10" a="1"/>
  <c r="W489" i="10" s="1"/>
  <c r="W490" i="10" a="1"/>
  <c r="W490" i="10" s="1"/>
  <c r="W491" i="10" a="1"/>
  <c r="W491" i="10"/>
  <c r="W492" i="10" a="1"/>
  <c r="W492" i="10"/>
  <c r="W493" i="10" a="1"/>
  <c r="W493" i="10"/>
  <c r="W494" i="10" a="1"/>
  <c r="W494" i="10" s="1"/>
  <c r="W495" i="10" a="1"/>
  <c r="W495" i="10" s="1"/>
  <c r="W496" i="10" a="1"/>
  <c r="W496" i="10" s="1"/>
  <c r="W497" i="10" a="1"/>
  <c r="W497" i="10" s="1"/>
  <c r="W498" i="10" a="1"/>
  <c r="W498" i="10" s="1"/>
  <c r="W499" i="10" a="1"/>
  <c r="W499" i="10" s="1"/>
  <c r="W500" i="10" a="1"/>
  <c r="W500" i="10"/>
  <c r="W501" i="10" a="1"/>
  <c r="W501" i="10" s="1"/>
  <c r="W502" i="10" a="1"/>
  <c r="W502" i="10" s="1"/>
  <c r="W503" i="10" a="1"/>
  <c r="W503" i="10" s="1"/>
  <c r="W504" i="10" a="1"/>
  <c r="W504" i="10" s="1"/>
  <c r="W505" i="10" a="1"/>
  <c r="W505" i="10"/>
  <c r="W506" i="10" a="1"/>
  <c r="W506" i="10" s="1"/>
  <c r="W507" i="10" a="1"/>
  <c r="W507" i="10" s="1"/>
  <c r="W508" i="10" a="1"/>
  <c r="W508" i="10" s="1"/>
  <c r="W509" i="10" a="1"/>
  <c r="W509" i="10"/>
  <c r="W510" i="10" a="1"/>
  <c r="W510" i="10" s="1"/>
  <c r="W511" i="10" a="1"/>
  <c r="W511" i="10" s="1"/>
  <c r="W512" i="10" a="1"/>
  <c r="W512" i="10" s="1"/>
  <c r="W513" i="10" a="1"/>
  <c r="W513" i="10" s="1"/>
  <c r="W514" i="10" a="1"/>
  <c r="W514" i="10" s="1"/>
  <c r="W515" i="10" a="1"/>
  <c r="W515" i="10"/>
  <c r="W516" i="10" a="1"/>
  <c r="W516" i="10" s="1"/>
  <c r="W517" i="10" a="1"/>
  <c r="W517" i="10" s="1"/>
  <c r="W518" i="10" a="1"/>
  <c r="W518" i="10" s="1"/>
  <c r="W519" i="10" a="1"/>
  <c r="W519" i="10"/>
  <c r="W520" i="10" a="1"/>
  <c r="W520" i="10"/>
  <c r="W521" i="10" a="1"/>
  <c r="W521" i="10" s="1"/>
  <c r="W522" i="10" a="1"/>
  <c r="W522" i="10" s="1"/>
  <c r="W523" i="10" a="1"/>
  <c r="W523" i="10"/>
  <c r="W524" i="10" a="1"/>
  <c r="W524" i="10"/>
  <c r="W525" i="10" a="1"/>
  <c r="W525" i="10"/>
  <c r="W526" i="10" a="1"/>
  <c r="W526" i="10" s="1"/>
  <c r="W527" i="10" a="1"/>
  <c r="W527" i="10" s="1"/>
  <c r="W528" i="10" a="1"/>
  <c r="W528" i="10"/>
  <c r="W529" i="10" a="1"/>
  <c r="W529" i="10"/>
  <c r="W530" i="10" a="1"/>
  <c r="W530" i="10" s="1"/>
  <c r="W531" i="10" a="1"/>
  <c r="W531" i="10" s="1"/>
  <c r="W532" i="10" a="1"/>
  <c r="W532" i="10" s="1"/>
  <c r="W533" i="10" a="1"/>
  <c r="W533" i="10"/>
  <c r="W534" i="10" a="1"/>
  <c r="W534" i="10" s="1"/>
  <c r="W535" i="10" a="1"/>
  <c r="W535" i="10" s="1"/>
  <c r="W536" i="10" a="1"/>
  <c r="W536" i="10" s="1"/>
  <c r="W537" i="10" a="1"/>
  <c r="W537" i="10"/>
  <c r="W538" i="10" a="1"/>
  <c r="W538" i="10" s="1"/>
  <c r="W539" i="10" a="1"/>
  <c r="W539" i="10"/>
  <c r="W540" i="10" a="1"/>
  <c r="W540" i="10" s="1"/>
  <c r="W541" i="10" a="1"/>
  <c r="W541" i="10" s="1"/>
  <c r="W542" i="10" a="1"/>
  <c r="W542" i="10" s="1"/>
  <c r="W543" i="10" a="1"/>
  <c r="W543" i="10" s="1"/>
  <c r="W544" i="10" a="1"/>
  <c r="W544" i="10" s="1"/>
  <c r="W545" i="10" a="1"/>
  <c r="W545" i="10" s="1"/>
  <c r="W546" i="10" a="1"/>
  <c r="W546" i="10" s="1"/>
  <c r="W547" i="10" a="1"/>
  <c r="W547" i="10" s="1"/>
  <c r="W548" i="10" a="1"/>
  <c r="W548" i="10"/>
  <c r="W549" i="10" a="1"/>
  <c r="W549" i="10" s="1"/>
  <c r="W550" i="10" a="1"/>
  <c r="W550" i="10" s="1"/>
  <c r="W551" i="10" a="1"/>
  <c r="W551" i="10" s="1"/>
  <c r="W552" i="10" a="1"/>
  <c r="W552" i="10"/>
  <c r="W553" i="10" a="1"/>
  <c r="W553" i="10" s="1"/>
  <c r="W554" i="10" a="1"/>
  <c r="W554" i="10" s="1"/>
  <c r="W555" i="10" a="1"/>
  <c r="W555" i="10" s="1"/>
  <c r="W556" i="10" a="1"/>
  <c r="W556" i="10" s="1"/>
  <c r="W557" i="10" a="1"/>
  <c r="W557" i="10"/>
  <c r="W558" i="10" a="1"/>
  <c r="W558" i="10" s="1"/>
  <c r="W559" i="10" a="1"/>
  <c r="W559" i="10" s="1"/>
  <c r="W560" i="10" a="1"/>
  <c r="W560" i="10" s="1"/>
  <c r="W561" i="10" a="1"/>
  <c r="W561" i="10" s="1"/>
  <c r="W562" i="10" a="1"/>
  <c r="W562" i="10" s="1"/>
  <c r="W563" i="10" a="1"/>
  <c r="W563" i="10" s="1"/>
  <c r="W564" i="10" a="1"/>
  <c r="W564" i="10"/>
  <c r="W565" i="10" a="1"/>
  <c r="W565" i="10" s="1"/>
  <c r="W566" i="10" a="1"/>
  <c r="W566" i="10" s="1"/>
  <c r="W567" i="10" a="1"/>
  <c r="W567" i="10" s="1"/>
  <c r="W568" i="10" a="1"/>
  <c r="W568" i="10" s="1"/>
  <c r="W569" i="10" a="1"/>
  <c r="W569" i="10"/>
  <c r="W570" i="10" a="1"/>
  <c r="W570" i="10" s="1"/>
  <c r="W571" i="10" a="1"/>
  <c r="W571" i="10" s="1"/>
  <c r="W572" i="10" a="1"/>
  <c r="W572" i="10" s="1"/>
  <c r="W573" i="10" a="1"/>
  <c r="W573" i="10"/>
  <c r="W574" i="10" a="1"/>
  <c r="W574" i="10" s="1"/>
  <c r="W575" i="10" a="1"/>
  <c r="W575" i="10"/>
  <c r="W576" i="10" a="1"/>
  <c r="W576" i="10" s="1"/>
  <c r="W577" i="10" a="1"/>
  <c r="W577" i="10" s="1"/>
  <c r="W578" i="10" a="1"/>
  <c r="W578" i="10" s="1"/>
  <c r="W579" i="10" a="1"/>
  <c r="W579" i="10"/>
  <c r="W580" i="10" a="1"/>
  <c r="W580" i="10" s="1"/>
  <c r="W581" i="10" a="1"/>
  <c r="W581" i="10" s="1"/>
  <c r="W582" i="10" a="1"/>
  <c r="W582" i="10" s="1"/>
  <c r="W583" i="10" a="1"/>
  <c r="W583" i="10"/>
  <c r="W584" i="10" a="1"/>
  <c r="W584" i="10"/>
  <c r="W585" i="10" a="1"/>
  <c r="W585" i="10" s="1"/>
  <c r="W586" i="10" a="1"/>
  <c r="W586" i="10" s="1"/>
  <c r="W587" i="10" a="1"/>
  <c r="W587" i="10"/>
  <c r="W588" i="10" a="1"/>
  <c r="W588" i="10"/>
  <c r="W589" i="10" a="1"/>
  <c r="W589" i="10"/>
  <c r="W590" i="10" a="1"/>
  <c r="W590" i="10" s="1"/>
  <c r="W591" i="10" a="1"/>
  <c r="W591" i="10" s="1"/>
  <c r="W592" i="10" a="1"/>
  <c r="W592" i="10"/>
  <c r="W593" i="10" a="1"/>
  <c r="W593" i="10"/>
  <c r="W594" i="10" a="1"/>
  <c r="W594" i="10" s="1"/>
  <c r="W595" i="10" a="1"/>
  <c r="W595" i="10" s="1"/>
  <c r="W596" i="10" a="1"/>
  <c r="W596" i="10" s="1"/>
  <c r="W597" i="10" a="1"/>
  <c r="W597" i="10"/>
  <c r="W598" i="10" a="1"/>
  <c r="W598" i="10" s="1"/>
  <c r="W599" i="10" a="1"/>
  <c r="W599" i="10" s="1"/>
  <c r="W600" i="10" a="1"/>
  <c r="W600" i="10" s="1"/>
  <c r="W601" i="10" a="1"/>
  <c r="W601" i="10"/>
  <c r="W602" i="10" a="1"/>
  <c r="W602" i="10" s="1"/>
  <c r="W603" i="10" a="1"/>
  <c r="W603" i="10"/>
  <c r="W604" i="10" a="1"/>
  <c r="W604" i="10" s="1"/>
  <c r="W605" i="10" a="1"/>
  <c r="W605" i="10" s="1"/>
  <c r="W606" i="10" a="1"/>
  <c r="W606" i="10" s="1"/>
  <c r="W607" i="10" a="1"/>
  <c r="W607" i="10" s="1"/>
  <c r="W608" i="10" a="1"/>
  <c r="W608" i="10" s="1"/>
  <c r="W609" i="10" a="1"/>
  <c r="W609" i="10" s="1"/>
  <c r="W610" i="10" a="1"/>
  <c r="W610" i="10" s="1"/>
  <c r="W611" i="10" a="1"/>
  <c r="W611" i="10" s="1"/>
  <c r="W612" i="10" a="1"/>
  <c r="W612" i="10"/>
  <c r="W613" i="10" a="1"/>
  <c r="W613" i="10" s="1"/>
  <c r="W614" i="10" a="1"/>
  <c r="W614" i="10" s="1"/>
  <c r="W615" i="10" a="1"/>
  <c r="W615" i="10" s="1"/>
  <c r="W616" i="10" a="1"/>
  <c r="W616" i="10" s="1"/>
  <c r="W617" i="10" a="1"/>
  <c r="W617" i="10" s="1"/>
  <c r="W618" i="10" a="1"/>
  <c r="W618" i="10" s="1"/>
  <c r="W619" i="10" a="1"/>
  <c r="W619" i="10"/>
  <c r="W620" i="10" a="1"/>
  <c r="W620" i="10"/>
  <c r="W621" i="10" a="1"/>
  <c r="W621" i="10"/>
  <c r="W622" i="10" a="1"/>
  <c r="W622" i="10" s="1"/>
  <c r="W623" i="10" a="1"/>
  <c r="W623" i="10" s="1"/>
  <c r="W624" i="10" a="1"/>
  <c r="W624" i="10"/>
  <c r="W625" i="10" a="1"/>
  <c r="W625" i="10"/>
  <c r="W626" i="10" a="1"/>
  <c r="W626" i="10"/>
  <c r="W627" i="10" a="1"/>
  <c r="W627" i="10" s="1"/>
  <c r="W628" i="10" a="1"/>
  <c r="W628" i="10"/>
  <c r="W629" i="10" a="1"/>
  <c r="W629" i="10" s="1"/>
  <c r="W630" i="10" a="1"/>
  <c r="W630" i="10" s="1"/>
  <c r="W631" i="10" a="1"/>
  <c r="W631" i="10" s="1"/>
  <c r="W632" i="10" a="1"/>
  <c r="W632" i="10"/>
  <c r="W633" i="10" a="1"/>
  <c r="W633" i="10" s="1"/>
  <c r="W634" i="10" a="1"/>
  <c r="W634" i="10"/>
  <c r="W635" i="10" a="1"/>
  <c r="W635" i="10" s="1"/>
  <c r="W636" i="10" a="1"/>
  <c r="W636" i="10"/>
  <c r="W637" i="10" a="1"/>
  <c r="W637" i="10"/>
  <c r="W638" i="10" a="1"/>
  <c r="W638" i="10" s="1"/>
  <c r="W639" i="10" a="1"/>
  <c r="W639" i="10" s="1"/>
  <c r="W640" i="10" a="1"/>
  <c r="W640" i="10" s="1"/>
  <c r="W641" i="10" a="1"/>
  <c r="W641" i="10"/>
  <c r="W642" i="10" a="1"/>
  <c r="W642" i="10"/>
  <c r="W643" i="10" a="1"/>
  <c r="W643" i="10" s="1"/>
  <c r="W644" i="10" a="1"/>
  <c r="W644" i="10" s="1"/>
  <c r="W645" i="10" a="1"/>
  <c r="W645" i="10" s="1"/>
  <c r="W646" i="10" a="1"/>
  <c r="W646" i="10"/>
  <c r="W647" i="10" a="1"/>
  <c r="W647" i="10" s="1"/>
  <c r="W648" i="10" a="1"/>
  <c r="W648" i="10" s="1"/>
  <c r="W649" i="10" a="1"/>
  <c r="W649" i="10"/>
  <c r="W650" i="10" a="1"/>
  <c r="W650" i="10"/>
  <c r="W651" i="10" a="1"/>
  <c r="W651" i="10" s="1"/>
  <c r="W652" i="10" a="1"/>
  <c r="W652" i="10" s="1"/>
  <c r="W653" i="10" a="1"/>
  <c r="W653" i="10" s="1"/>
  <c r="W654" i="10" a="1"/>
  <c r="W654" i="10"/>
  <c r="W655" i="10" a="1"/>
  <c r="W655" i="10" s="1"/>
  <c r="W656" i="10" a="1"/>
  <c r="W656" i="10"/>
  <c r="W657" i="10" a="1"/>
  <c r="W657" i="10"/>
  <c r="W658" i="10" a="1"/>
  <c r="W658" i="10" s="1"/>
  <c r="W659" i="10" a="1"/>
  <c r="W659" i="10" s="1"/>
  <c r="W660" i="10" a="1"/>
  <c r="W660" i="10" s="1"/>
  <c r="W661" i="10" a="1"/>
  <c r="W661" i="10" s="1"/>
  <c r="W662" i="10" a="1"/>
  <c r="W662" i="10" s="1"/>
  <c r="W663" i="10" a="1"/>
  <c r="W663" i="10" s="1"/>
  <c r="W664" i="10" a="1"/>
  <c r="W664" i="10" s="1"/>
  <c r="W665" i="10" a="1"/>
  <c r="W665" i="10"/>
  <c r="W666" i="10" a="1"/>
  <c r="W666" i="10"/>
  <c r="W667" i="10" a="1"/>
  <c r="W667" i="10" s="1"/>
  <c r="W668" i="10" a="1"/>
  <c r="W668" i="10"/>
  <c r="W669" i="10" a="1"/>
  <c r="W669" i="10"/>
  <c r="W670" i="10" a="1"/>
  <c r="W670" i="10" s="1"/>
  <c r="W671" i="10" a="1"/>
  <c r="W671" i="10" s="1"/>
  <c r="W672" i="10" a="1"/>
  <c r="W672" i="10"/>
  <c r="W673" i="10" a="1"/>
  <c r="W673" i="10"/>
  <c r="W674" i="10" a="1"/>
  <c r="W674" i="10"/>
  <c r="W675" i="10" a="1"/>
  <c r="W675" i="10" s="1"/>
  <c r="W676" i="10" a="1"/>
  <c r="W676" i="10" s="1"/>
  <c r="W677" i="10" a="1"/>
  <c r="W677" i="10"/>
  <c r="W678" i="10" a="1"/>
  <c r="W678" i="10"/>
  <c r="W679" i="10" a="1"/>
  <c r="W679" i="10" s="1"/>
  <c r="W680" i="10" a="1"/>
  <c r="W680" i="10"/>
  <c r="W681" i="10" a="1"/>
  <c r="W681" i="10"/>
  <c r="W682" i="10" a="1"/>
  <c r="W682" i="10" s="1"/>
  <c r="W683" i="10" a="1"/>
  <c r="W683" i="10" s="1"/>
  <c r="W684" i="10" a="1"/>
  <c r="W684" i="10" s="1"/>
  <c r="W685" i="10" a="1"/>
  <c r="W685" i="10" s="1"/>
  <c r="W686" i="10" a="1"/>
  <c r="W686" i="10" s="1"/>
  <c r="W687" i="10" a="1"/>
  <c r="W687" i="10" s="1"/>
  <c r="W688" i="10" a="1"/>
  <c r="W688" i="10"/>
  <c r="W689" i="10" a="1"/>
  <c r="W689" i="10" s="1"/>
  <c r="W690" i="10" a="1"/>
  <c r="W690" i="10"/>
  <c r="W691" i="10" a="1"/>
  <c r="W691" i="10" s="1"/>
  <c r="W692" i="10" a="1"/>
  <c r="W692" i="10"/>
  <c r="W693" i="10" a="1"/>
  <c r="W693" i="10" s="1"/>
  <c r="W694" i="10" a="1"/>
  <c r="W694" i="10" s="1"/>
  <c r="W695" i="10" a="1"/>
  <c r="W695" i="10" s="1"/>
  <c r="W696" i="10" a="1"/>
  <c r="W696" i="10"/>
  <c r="W697" i="10" a="1"/>
  <c r="W697" i="10"/>
  <c r="W698" i="10" a="1"/>
  <c r="W698" i="10"/>
  <c r="W699" i="10" a="1"/>
  <c r="W699" i="10" s="1"/>
  <c r="W700" i="10" a="1"/>
  <c r="W700" i="10"/>
  <c r="W701" i="10" a="1"/>
  <c r="W701" i="10" s="1"/>
  <c r="W702" i="10" a="1"/>
  <c r="W702" i="10" s="1"/>
  <c r="W703" i="10" a="1"/>
  <c r="W703" i="10" s="1"/>
  <c r="W704" i="10" a="1"/>
  <c r="W704" i="10"/>
  <c r="W705" i="10" a="1"/>
  <c r="W705" i="10"/>
  <c r="W706" i="10" a="1"/>
  <c r="W706" i="10" s="1"/>
  <c r="W707" i="10" a="1"/>
  <c r="W707" i="10" s="1"/>
  <c r="W708" i="10" a="1"/>
  <c r="W708" i="10" s="1"/>
  <c r="W709" i="10" a="1"/>
  <c r="W709" i="10"/>
  <c r="W710" i="10" a="1"/>
  <c r="W710" i="10"/>
  <c r="W711" i="10" a="1"/>
  <c r="W711" i="10" s="1"/>
  <c r="W712" i="10" a="1"/>
  <c r="W712" i="10"/>
  <c r="W713" i="10" a="1"/>
  <c r="W713" i="10" s="1"/>
  <c r="W714" i="10" a="1"/>
  <c r="W714" i="10" s="1"/>
  <c r="W715" i="10" a="1"/>
  <c r="W715" i="10" s="1"/>
  <c r="W716" i="10" a="1"/>
  <c r="W716" i="10" s="1"/>
  <c r="W717" i="10" a="1"/>
  <c r="W717" i="10" s="1"/>
  <c r="W718" i="10" a="1"/>
  <c r="W718" i="10"/>
  <c r="W719" i="10" a="1"/>
  <c r="W719" i="10" s="1"/>
  <c r="W720" i="10" a="1"/>
  <c r="W720" i="10" s="1"/>
  <c r="W721" i="10" a="1"/>
  <c r="W721" i="10"/>
  <c r="W722" i="10" a="1"/>
  <c r="W722" i="10"/>
  <c r="W723" i="10" a="1"/>
  <c r="W723" i="10" s="1"/>
  <c r="W724" i="10" a="1"/>
  <c r="W724" i="10"/>
  <c r="W725" i="10" a="1"/>
  <c r="W725" i="10" s="1"/>
  <c r="W726" i="10" a="1"/>
  <c r="W726" i="10" s="1"/>
  <c r="W727" i="10" a="1"/>
  <c r="W727" i="10" s="1"/>
  <c r="W728" i="10" a="1"/>
  <c r="W728" i="10"/>
  <c r="W729" i="10" a="1"/>
  <c r="W729" i="10"/>
  <c r="W730" i="10" a="1"/>
  <c r="W730" i="10" s="1"/>
  <c r="W731" i="10" a="1"/>
  <c r="W731" i="10" s="1"/>
  <c r="W732" i="10" a="1"/>
  <c r="W732" i="10" s="1"/>
  <c r="W733" i="10" a="1"/>
  <c r="W733" i="10"/>
  <c r="W734" i="10" a="1"/>
  <c r="W734" i="10" s="1"/>
  <c r="W735" i="10" a="1"/>
  <c r="W735" i="10" s="1"/>
  <c r="W736" i="10" a="1"/>
  <c r="W736" i="10"/>
  <c r="W737" i="10" a="1"/>
  <c r="W737" i="10" s="1"/>
  <c r="W738" i="10" a="1"/>
  <c r="W738" i="10"/>
  <c r="W739" i="10" a="1"/>
  <c r="W739" i="10" s="1"/>
  <c r="W740" i="10" a="1"/>
  <c r="W740" i="10" s="1"/>
  <c r="W741" i="10" a="1"/>
  <c r="W741" i="10"/>
  <c r="W742" i="10" a="1"/>
  <c r="W742" i="10" s="1"/>
  <c r="W743" i="10" a="1"/>
  <c r="W743" i="10" s="1"/>
  <c r="W744" i="10" a="1"/>
  <c r="W744" i="10"/>
  <c r="W745" i="10" a="1"/>
  <c r="W745" i="10" s="1"/>
  <c r="W746" i="10" a="1"/>
  <c r="W746" i="10"/>
  <c r="W747" i="10" a="1"/>
  <c r="W747" i="10" s="1"/>
  <c r="W748" i="10" a="1"/>
  <c r="W748" i="10" s="1"/>
  <c r="W749" i="10" a="1"/>
  <c r="W749" i="10" s="1"/>
  <c r="W750" i="10" a="1"/>
  <c r="W750" i="10"/>
  <c r="W751" i="10" a="1"/>
  <c r="W751" i="10" s="1"/>
  <c r="W752" i="10" a="1"/>
  <c r="W752" i="10"/>
  <c r="W753" i="10" a="1"/>
  <c r="W753" i="10"/>
  <c r="W754" i="10" a="1"/>
  <c r="W754" i="10"/>
  <c r="W755" i="10" a="1"/>
  <c r="W755" i="10" s="1"/>
  <c r="W756" i="10" a="1"/>
  <c r="W756" i="10"/>
  <c r="W757" i="10" a="1"/>
  <c r="W757" i="10" s="1"/>
  <c r="W758" i="10" a="1"/>
  <c r="W758" i="10" s="1"/>
  <c r="W759" i="10" a="1"/>
  <c r="W759" i="10" s="1"/>
  <c r="W760" i="10" a="1"/>
  <c r="W760" i="10"/>
  <c r="W761" i="10" a="1"/>
  <c r="W761" i="10" s="1"/>
  <c r="W762" i="10" a="1"/>
  <c r="W762" i="10"/>
  <c r="W763" i="10" a="1"/>
  <c r="W763" i="10" s="1"/>
  <c r="W764" i="10" a="1"/>
  <c r="W764" i="10"/>
  <c r="W765" i="10" a="1"/>
  <c r="W765" i="10"/>
  <c r="W766" i="10" a="1"/>
  <c r="W766" i="10" s="1"/>
  <c r="W767" i="10" a="1"/>
  <c r="W767" i="10" s="1"/>
  <c r="W768" i="10" a="1"/>
  <c r="W768" i="10" s="1"/>
  <c r="W769" i="10" a="1"/>
  <c r="W769" i="10"/>
  <c r="W770" i="10" a="1"/>
  <c r="W770" i="10" s="1"/>
  <c r="W771" i="10" a="1"/>
  <c r="W771" i="10" s="1"/>
  <c r="W772" i="10" a="1"/>
  <c r="W772" i="10" s="1"/>
  <c r="W773" i="10" a="1"/>
  <c r="W773" i="10" s="1"/>
  <c r="W774" i="10" a="1"/>
  <c r="W774" i="10"/>
  <c r="W775" i="10" a="1"/>
  <c r="W775" i="10" s="1"/>
  <c r="W776" i="10" a="1"/>
  <c r="W776" i="10" s="1"/>
  <c r="W777" i="10" a="1"/>
  <c r="W777" i="10"/>
  <c r="W778" i="10" a="1"/>
  <c r="W778" i="10"/>
  <c r="W779" i="10" a="1"/>
  <c r="W779" i="10" s="1"/>
  <c r="W780" i="10" a="1"/>
  <c r="W780" i="10" s="1"/>
  <c r="W781" i="10" a="1"/>
  <c r="W781" i="10" s="1"/>
  <c r="W782" i="10" a="1"/>
  <c r="W782" i="10"/>
  <c r="W783" i="10" a="1"/>
  <c r="W783" i="10" s="1"/>
  <c r="W784" i="10" a="1"/>
  <c r="W784" i="10"/>
  <c r="W785" i="10" a="1"/>
  <c r="W785" i="10"/>
  <c r="W786" i="10" a="1"/>
  <c r="W786" i="10" s="1"/>
  <c r="W787" i="10" a="1"/>
  <c r="W787" i="10" s="1"/>
  <c r="W788" i="10" a="1"/>
  <c r="W788" i="10" s="1"/>
  <c r="W789" i="10" a="1"/>
  <c r="W789" i="10" s="1"/>
  <c r="W790" i="10" a="1"/>
  <c r="W790" i="10" s="1"/>
  <c r="W791" i="10" a="1"/>
  <c r="W791" i="10" s="1"/>
  <c r="W792" i="10" a="1"/>
  <c r="W792" i="10" s="1"/>
  <c r="W793" i="10" a="1"/>
  <c r="W793" i="10"/>
  <c r="W794" i="10" a="1"/>
  <c r="W794" i="10"/>
  <c r="W795" i="10" a="1"/>
  <c r="W795" i="10" s="1"/>
  <c r="W796" i="10" a="1"/>
  <c r="W796" i="10"/>
  <c r="W797" i="10" a="1"/>
  <c r="W797" i="10"/>
  <c r="W798" i="10" a="1"/>
  <c r="W798" i="10" s="1"/>
  <c r="W799" i="10" a="1"/>
  <c r="W799" i="10" s="1"/>
  <c r="W800" i="10" a="1"/>
  <c r="W800" i="10"/>
  <c r="W801" i="10" a="1"/>
  <c r="W801" i="10"/>
  <c r="W802" i="10" a="1"/>
  <c r="W802" i="10"/>
  <c r="W803" i="10" a="1"/>
  <c r="W803" i="10" s="1"/>
  <c r="W804" i="10" a="1"/>
  <c r="W804" i="10" s="1"/>
  <c r="W805" i="10" a="1"/>
  <c r="W805" i="10"/>
  <c r="W806" i="10" a="1"/>
  <c r="W806" i="10"/>
  <c r="W807" i="10" a="1"/>
  <c r="W807" i="10" s="1"/>
  <c r="W808" i="10" a="1"/>
  <c r="W808" i="10"/>
  <c r="W809" i="10" a="1"/>
  <c r="W809" i="10"/>
  <c r="W810" i="10" a="1"/>
  <c r="W810" i="10"/>
  <c r="W811" i="10" a="1"/>
  <c r="W811" i="10" s="1"/>
  <c r="W812" i="10" a="1"/>
  <c r="W812" i="10" s="1"/>
  <c r="W813" i="10" a="1"/>
  <c r="W813" i="10" s="1"/>
  <c r="W814" i="10" a="1"/>
  <c r="W814" i="10" s="1"/>
  <c r="W815" i="10" a="1"/>
  <c r="W815" i="10" s="1"/>
  <c r="W816" i="10" a="1"/>
  <c r="W816" i="10"/>
  <c r="W817" i="10" a="1"/>
  <c r="W817" i="10" s="1"/>
  <c r="W818" i="10" a="1"/>
  <c r="W818" i="10"/>
  <c r="W819" i="10" a="1"/>
  <c r="W819" i="10" s="1"/>
  <c r="W820" i="10" a="1"/>
  <c r="W820" i="10"/>
  <c r="W821" i="10" a="1"/>
  <c r="W821" i="10" s="1"/>
  <c r="W822" i="10" a="1"/>
  <c r="W822" i="10" s="1"/>
  <c r="W823" i="10" a="1"/>
  <c r="W823" i="10" s="1"/>
  <c r="W824" i="10" a="1"/>
  <c r="W824" i="10"/>
  <c r="W825" i="10" a="1"/>
  <c r="W825" i="10"/>
  <c r="W826" i="10" a="1"/>
  <c r="W826" i="10" s="1"/>
  <c r="W827" i="10" a="1"/>
  <c r="W827" i="10" s="1"/>
  <c r="W828" i="10" a="1"/>
  <c r="W828" i="10"/>
  <c r="W829" i="10" a="1"/>
  <c r="W829" i="10" s="1"/>
  <c r="W830" i="10" a="1"/>
  <c r="W830" i="10" s="1"/>
  <c r="W831" i="10" a="1"/>
  <c r="W831" i="10" s="1"/>
  <c r="W832" i="10" a="1"/>
  <c r="W832" i="10" s="1"/>
  <c r="W833" i="10" a="1"/>
  <c r="W833" i="10"/>
  <c r="W834" i="10" a="1"/>
  <c r="W834" i="10" s="1"/>
  <c r="W835" i="10" a="1"/>
  <c r="W835" i="10" s="1"/>
  <c r="W836" i="10" a="1"/>
  <c r="W836" i="10" s="1"/>
  <c r="W837" i="10" a="1"/>
  <c r="W837" i="10"/>
  <c r="W838" i="10" a="1"/>
  <c r="W838" i="10"/>
  <c r="W839" i="10" a="1"/>
  <c r="W839" i="10" s="1"/>
  <c r="W840" i="10" a="1"/>
  <c r="W840" i="10"/>
  <c r="W841" i="10" a="1"/>
  <c r="W841" i="10"/>
  <c r="W842" i="10" a="1"/>
  <c r="W842" i="10" s="1"/>
  <c r="W843" i="10" a="1"/>
  <c r="W843" i="10"/>
  <c r="W844" i="10" a="1"/>
  <c r="W844" i="10"/>
  <c r="W845" i="10" a="1"/>
  <c r="W845" i="10"/>
  <c r="W846" i="10" a="1"/>
  <c r="W846" i="10" s="1"/>
  <c r="W847" i="10" a="1"/>
  <c r="W847" i="10"/>
  <c r="W848" i="10" a="1"/>
  <c r="W848" i="10" s="1"/>
  <c r="W849" i="10" a="1"/>
  <c r="W849" i="10"/>
  <c r="W850" i="10" a="1"/>
  <c r="W850" i="10"/>
  <c r="W851" i="10" a="1"/>
  <c r="W851" i="10"/>
  <c r="W852" i="10" a="1"/>
  <c r="W852" i="10" s="1"/>
  <c r="W853" i="10" a="1"/>
  <c r="W853" i="10"/>
  <c r="W854" i="10" a="1"/>
  <c r="W854" i="10" s="1"/>
  <c r="W855" i="10" a="1"/>
  <c r="W855" i="10" s="1"/>
  <c r="W856" i="10" a="1"/>
  <c r="W856" i="10" s="1"/>
  <c r="W857" i="10" a="1"/>
  <c r="W857" i="10" s="1"/>
  <c r="W858" i="10" a="1"/>
  <c r="W858" i="10"/>
  <c r="W859" i="10" a="1"/>
  <c r="W859" i="10"/>
  <c r="W860" i="10" a="1"/>
  <c r="W860" i="10" s="1"/>
  <c r="W861" i="10" a="1"/>
  <c r="W861" i="10"/>
  <c r="W862" i="10" a="1"/>
  <c r="W862" i="10"/>
  <c r="W863" i="10" a="1"/>
  <c r="W863" i="10"/>
  <c r="W864" i="10" a="1"/>
  <c r="W864" i="10" s="1"/>
  <c r="W865" i="10" a="1"/>
  <c r="W865" i="10"/>
  <c r="W866" i="10" a="1"/>
  <c r="W866" i="10" s="1"/>
  <c r="W867" i="10" a="1"/>
  <c r="W867" i="10"/>
  <c r="W868" i="10" a="1"/>
  <c r="W868" i="10" s="1"/>
  <c r="W869" i="10" a="1"/>
  <c r="W869" i="10" s="1"/>
  <c r="W870" i="10" a="1"/>
  <c r="W870" i="10"/>
  <c r="W871" i="10" a="1"/>
  <c r="W871" i="10"/>
  <c r="W872" i="10" a="1"/>
  <c r="W872" i="10" s="1"/>
  <c r="W873" i="10" a="1"/>
  <c r="W873" i="10"/>
  <c r="W874" i="10" a="1"/>
  <c r="W874" i="10"/>
  <c r="W875" i="10" a="1"/>
  <c r="W875" i="10" s="1"/>
  <c r="W876" i="10" a="1"/>
  <c r="W876" i="10" s="1"/>
  <c r="W877" i="10" a="1"/>
  <c r="W877" i="10"/>
  <c r="W878" i="10" a="1"/>
  <c r="W878" i="10" s="1"/>
  <c r="W879" i="10" a="1"/>
  <c r="W879" i="10"/>
  <c r="W880" i="10" a="1"/>
  <c r="W880" i="10" s="1"/>
  <c r="W881" i="10" a="1"/>
  <c r="W881" i="10"/>
  <c r="W882" i="10" a="1"/>
  <c r="W882" i="10"/>
  <c r="W883" i="10" a="1"/>
  <c r="W883" i="10"/>
  <c r="W884" i="10" a="1"/>
  <c r="W884" i="10" s="1"/>
  <c r="W885" i="10" a="1"/>
  <c r="W885" i="10"/>
  <c r="W886" i="10" a="1"/>
  <c r="W886" i="10"/>
  <c r="W887" i="10" a="1"/>
  <c r="W887" i="10" s="1"/>
  <c r="W888" i="10" a="1"/>
  <c r="W888" i="10" s="1"/>
  <c r="W889" i="10" a="1"/>
  <c r="W889" i="10" s="1"/>
  <c r="W890" i="10" a="1"/>
  <c r="W890" i="10"/>
  <c r="W891" i="10" a="1"/>
  <c r="W891" i="10"/>
  <c r="W892" i="10" a="1"/>
  <c r="W892" i="10" s="1"/>
  <c r="W893" i="10" a="1"/>
  <c r="W893" i="10"/>
  <c r="W894" i="10" a="1"/>
  <c r="W894" i="10"/>
  <c r="W895" i="10" a="1"/>
  <c r="W895" i="10" s="1"/>
  <c r="W896" i="10" a="1"/>
  <c r="W896" i="10" s="1"/>
  <c r="W897" i="10" a="1"/>
  <c r="W897" i="10"/>
  <c r="W898" i="10" a="1"/>
  <c r="W898" i="10" s="1"/>
  <c r="W899" i="10" a="1"/>
  <c r="W899" i="10"/>
  <c r="W900" i="10" a="1"/>
  <c r="W900" i="10" s="1"/>
  <c r="W901" i="10" a="1"/>
  <c r="W901" i="10" s="1"/>
  <c r="W902" i="10" a="1"/>
  <c r="W902" i="10"/>
  <c r="W903" i="10" a="1"/>
  <c r="W903" i="10"/>
  <c r="W904" i="10" a="1"/>
  <c r="W904" i="10" s="1"/>
  <c r="W905" i="10" a="1"/>
  <c r="W905" i="10"/>
  <c r="W906" i="10" a="1"/>
  <c r="W906" i="10"/>
  <c r="W907" i="10" a="1"/>
  <c r="W907" i="10" s="1"/>
  <c r="W908" i="10" a="1"/>
  <c r="W908" i="10" s="1"/>
  <c r="W909" i="10" a="1"/>
  <c r="W909" i="10"/>
  <c r="W910" i="10" a="1"/>
  <c r="W910" i="10" s="1"/>
  <c r="W911" i="10" a="1"/>
  <c r="W911" i="10"/>
  <c r="W912" i="10" a="1"/>
  <c r="W912" i="10" s="1"/>
  <c r="W913" i="10" a="1"/>
  <c r="W913" i="10"/>
  <c r="W914" i="10" a="1"/>
  <c r="W914" i="10"/>
  <c r="W915" i="10" a="1"/>
  <c r="W915" i="10"/>
  <c r="W916" i="10" a="1"/>
  <c r="W916" i="10" s="1"/>
  <c r="W917" i="10" a="1"/>
  <c r="W917" i="10"/>
  <c r="W918" i="10" a="1"/>
  <c r="W918" i="10" s="1"/>
  <c r="W919" i="10" a="1"/>
  <c r="W919" i="10" s="1"/>
  <c r="W920" i="10" a="1"/>
  <c r="W920" i="10" s="1"/>
  <c r="W921" i="10" a="1"/>
  <c r="W921" i="10" s="1"/>
  <c r="W922" i="10" a="1"/>
  <c r="W922" i="10"/>
  <c r="W923" i="10" a="1"/>
  <c r="W923" i="10"/>
  <c r="W924" i="10" a="1"/>
  <c r="W924" i="10" s="1"/>
  <c r="W925" i="10" a="1"/>
  <c r="W925" i="10"/>
  <c r="W926" i="10" a="1"/>
  <c r="W926" i="10"/>
  <c r="W927" i="10" a="1"/>
  <c r="W927" i="10"/>
  <c r="W928" i="10" a="1"/>
  <c r="W928" i="10" s="1"/>
  <c r="W929" i="10" a="1"/>
  <c r="W929" i="10"/>
  <c r="W930" i="10" a="1"/>
  <c r="W930" i="10" s="1"/>
  <c r="W931" i="10" a="1"/>
  <c r="W931" i="10"/>
  <c r="W932" i="10" a="1"/>
  <c r="W932" i="10" s="1"/>
  <c r="W933" i="10" a="1"/>
  <c r="W933" i="10" s="1"/>
  <c r="W934" i="10" a="1"/>
  <c r="W934" i="10"/>
  <c r="W935" i="10" a="1"/>
  <c r="W935" i="10"/>
  <c r="W936" i="10" a="1"/>
  <c r="W936" i="10" s="1"/>
  <c r="W937" i="10" a="1"/>
  <c r="W937" i="10"/>
  <c r="W938" i="10" a="1"/>
  <c r="W938" i="10"/>
  <c r="W939" i="10" a="1"/>
  <c r="W939" i="10" s="1"/>
  <c r="W940" i="10" a="1"/>
  <c r="W940" i="10" s="1"/>
  <c r="W941" i="10" a="1"/>
  <c r="W941" i="10"/>
  <c r="W942" i="10" a="1"/>
  <c r="W942" i="10" s="1"/>
  <c r="W943" i="10" a="1"/>
  <c r="W943" i="10"/>
  <c r="W944" i="10" a="1"/>
  <c r="W944" i="10" s="1"/>
  <c r="W945" i="10" a="1"/>
  <c r="W945" i="10"/>
  <c r="W946" i="10" a="1"/>
  <c r="W946" i="10"/>
  <c r="W947" i="10" a="1"/>
  <c r="W947" i="10"/>
  <c r="W948" i="10" a="1"/>
  <c r="W948" i="10" s="1"/>
  <c r="W949" i="10" a="1"/>
  <c r="W949" i="10"/>
  <c r="W950" i="10" a="1"/>
  <c r="W950" i="10"/>
  <c r="W951" i="10" a="1"/>
  <c r="W951" i="10" s="1"/>
  <c r="W952" i="10" a="1"/>
  <c r="W952" i="10" s="1"/>
  <c r="W953" i="10" a="1"/>
  <c r="W953" i="10" s="1"/>
  <c r="W954" i="10" a="1"/>
  <c r="W954" i="10"/>
  <c r="W955" i="10" a="1"/>
  <c r="W955" i="10"/>
  <c r="W956" i="10" a="1"/>
  <c r="W956" i="10" s="1"/>
  <c r="W957" i="10" a="1"/>
  <c r="W957" i="10"/>
  <c r="W958" i="10" a="1"/>
  <c r="W958" i="10"/>
  <c r="W959" i="10" a="1"/>
  <c r="W959" i="10" s="1"/>
  <c r="W960" i="10" a="1"/>
  <c r="W960" i="10" s="1"/>
  <c r="W961" i="10" a="1"/>
  <c r="W961" i="10"/>
  <c r="W962" i="10" a="1"/>
  <c r="W962" i="10" s="1"/>
  <c r="W963" i="10" a="1"/>
  <c r="W963" i="10"/>
  <c r="W964" i="10" a="1"/>
  <c r="W964" i="10" s="1"/>
  <c r="W965" i="10" a="1"/>
  <c r="W965" i="10" s="1"/>
  <c r="W966" i="10" a="1"/>
  <c r="W966" i="10"/>
  <c r="W967" i="10" a="1"/>
  <c r="W967" i="10"/>
  <c r="W968" i="10" a="1"/>
  <c r="W968" i="10" s="1"/>
  <c r="W969" i="10" a="1"/>
  <c r="W969" i="10"/>
  <c r="W970" i="10" a="1"/>
  <c r="W970" i="10"/>
  <c r="W971" i="10" a="1"/>
  <c r="W971" i="10" s="1"/>
  <c r="W972" i="10" a="1"/>
  <c r="W972" i="10" s="1"/>
  <c r="W973" i="10" a="1"/>
  <c r="W973" i="10"/>
  <c r="W974" i="10" a="1"/>
  <c r="W974" i="10" s="1"/>
  <c r="W975" i="10" a="1"/>
  <c r="W975" i="10"/>
  <c r="W976" i="10" a="1"/>
  <c r="W976" i="10" s="1"/>
  <c r="W977" i="10" a="1"/>
  <c r="W977" i="10"/>
  <c r="W978" i="10" a="1"/>
  <c r="W978" i="10"/>
  <c r="W979" i="10" a="1"/>
  <c r="W979" i="10"/>
  <c r="W980" i="10" a="1"/>
  <c r="W980" i="10" s="1"/>
  <c r="W981" i="10" a="1"/>
  <c r="W981" i="10"/>
  <c r="W982" i="10" a="1"/>
  <c r="W982" i="10" s="1"/>
  <c r="W983" i="10" a="1"/>
  <c r="W983" i="10" s="1"/>
  <c r="W984" i="10" a="1"/>
  <c r="W984" i="10" s="1"/>
  <c r="W985" i="10" a="1"/>
  <c r="W985" i="10" s="1"/>
  <c r="W986" i="10" a="1"/>
  <c r="W986" i="10"/>
  <c r="W987" i="10" a="1"/>
  <c r="W987" i="10"/>
  <c r="W988" i="10" a="1"/>
  <c r="W988" i="10" s="1"/>
  <c r="W989" i="10" a="1"/>
  <c r="W989" i="10"/>
  <c r="W990" i="10" a="1"/>
  <c r="W990" i="10"/>
  <c r="W991" i="10" a="1"/>
  <c r="W991" i="10"/>
  <c r="W992" i="10" a="1"/>
  <c r="W992" i="10" s="1"/>
  <c r="W993" i="10" a="1"/>
  <c r="W993" i="10"/>
  <c r="W994" i="10" a="1"/>
  <c r="W994" i="10" s="1"/>
  <c r="W995" i="10" a="1"/>
  <c r="W995" i="10"/>
  <c r="W996" i="10" a="1"/>
  <c r="W996" i="10" s="1"/>
  <c r="W997" i="10" a="1"/>
  <c r="W997" i="10" s="1"/>
  <c r="W998" i="10" a="1"/>
  <c r="W998" i="10"/>
  <c r="W999" i="10" a="1"/>
  <c r="W999" i="10"/>
  <c r="W1000" i="10" a="1"/>
  <c r="W1000" i="10" s="1"/>
  <c r="W1001" i="10" a="1"/>
  <c r="W1001" i="10"/>
  <c r="W1002" i="10" a="1"/>
  <c r="W1002" i="10"/>
  <c r="W3" i="10" a="1"/>
  <c r="W3" i="10" s="1"/>
  <c r="U866" i="11" a="1"/>
  <c r="U866" i="11" s="1"/>
  <c r="U65" i="11" a="1"/>
  <c r="U65" i="11" s="1"/>
  <c r="U385" i="11" a="1"/>
  <c r="U385" i="11" s="1"/>
  <c r="U363" i="11" a="1"/>
  <c r="U363" i="11" s="1"/>
  <c r="U947" i="11" a="1"/>
  <c r="U947" i="11" s="1"/>
  <c r="U787" i="11" a="1"/>
  <c r="U787" i="11" s="1"/>
  <c r="U378" i="11" a="1"/>
  <c r="U378" i="11" s="1"/>
  <c r="U985" i="11" a="1"/>
  <c r="U985" i="11" s="1"/>
  <c r="U422" i="11" a="1"/>
  <c r="U422" i="11" s="1"/>
  <c r="U279" i="11" a="1"/>
  <c r="U279" i="11" s="1"/>
  <c r="U147" i="11" a="1"/>
  <c r="U147" i="11" s="1"/>
  <c r="U312" i="11" a="1"/>
  <c r="U312" i="11" s="1"/>
  <c r="U663" i="11" a="1"/>
  <c r="U663" i="11" s="1"/>
  <c r="U698" i="11" a="1"/>
  <c r="U698" i="11" s="1"/>
  <c r="U847" i="11" a="1"/>
  <c r="U847" i="11" s="1"/>
  <c r="U860" i="11" a="1"/>
  <c r="U860" i="11" s="1"/>
  <c r="U909" i="11" a="1"/>
  <c r="U909" i="11" s="1"/>
  <c r="U771" i="11" a="1"/>
  <c r="U771" i="11" s="1"/>
  <c r="U592" i="11" a="1"/>
  <c r="U592" i="11" s="1"/>
  <c r="U216" i="11" a="1"/>
  <c r="U216" i="11" s="1"/>
  <c r="U106" i="11" a="1"/>
  <c r="U106" i="11" s="1"/>
  <c r="U929" i="11" a="1"/>
  <c r="U929" i="11" s="1"/>
  <c r="U520" i="11" a="1"/>
  <c r="U520" i="11" s="1"/>
  <c r="U420" i="11" a="1"/>
  <c r="U420" i="11" s="1"/>
  <c r="U229" i="11" a="1"/>
  <c r="U229" i="11" s="1"/>
  <c r="U564" i="11" a="1"/>
  <c r="U564" i="11" s="1"/>
  <c r="U377" i="11" a="1"/>
  <c r="U377" i="11" s="1"/>
  <c r="U895" i="11" a="1"/>
  <c r="U895" i="11" s="1"/>
  <c r="U927" i="11" a="1"/>
  <c r="U927" i="11" s="1"/>
  <c r="U130" i="11" a="1"/>
  <c r="U130" i="11" s="1"/>
  <c r="U957" i="11" a="1"/>
  <c r="U957" i="11" s="1"/>
  <c r="U725" i="11" a="1"/>
  <c r="U725" i="11" s="1"/>
  <c r="U784" i="11" a="1"/>
  <c r="U784" i="11" s="1"/>
  <c r="U281" i="11" a="1"/>
  <c r="U281" i="11" s="1"/>
  <c r="U993" i="11" a="1"/>
  <c r="U993" i="11" s="1"/>
  <c r="U745" i="11" a="1"/>
  <c r="U745" i="11" s="1"/>
  <c r="U268" i="11" a="1"/>
  <c r="U268" i="11" s="1"/>
  <c r="U711" i="11" a="1"/>
  <c r="U711" i="11" s="1"/>
  <c r="U809" i="11" a="1"/>
  <c r="U809" i="11" s="1"/>
  <c r="U611" i="11" a="1"/>
  <c r="U611" i="11" s="1"/>
  <c r="U728" i="11" a="1"/>
  <c r="U728" i="11" s="1"/>
  <c r="U641" i="11" a="1"/>
  <c r="U641" i="11" s="1"/>
  <c r="U329" i="11" a="1"/>
  <c r="U329" i="11" s="1"/>
  <c r="U380" i="11" a="1"/>
  <c r="U380" i="11" s="1"/>
  <c r="U569" i="11" a="1"/>
  <c r="U569" i="11" s="1"/>
  <c r="U223" i="11" a="1"/>
  <c r="U223" i="11" s="1"/>
  <c r="U597" i="11" a="1"/>
  <c r="U597" i="11" s="1"/>
  <c r="U720" i="11" a="1"/>
  <c r="U720" i="11" s="1"/>
  <c r="U777" i="11" a="1"/>
  <c r="U777" i="11" s="1"/>
  <c r="U161" i="11" a="1"/>
  <c r="U161" i="11" s="1"/>
  <c r="U439" i="11" a="1"/>
  <c r="U439" i="11" s="1"/>
  <c r="U456" i="11" a="1"/>
  <c r="U456" i="11" s="1"/>
  <c r="U856" i="11" a="1"/>
  <c r="U856" i="11" s="1"/>
  <c r="U251" i="11" a="1"/>
  <c r="U251" i="11" s="1"/>
  <c r="U722" i="11" a="1"/>
  <c r="U722" i="11" s="1"/>
  <c r="U470" i="11" a="1"/>
  <c r="U470" i="11" s="1"/>
  <c r="U647" i="11" a="1"/>
  <c r="U647" i="11" s="1"/>
  <c r="U537" i="11" a="1"/>
  <c r="U537" i="11" s="1"/>
  <c r="U977" i="11" a="1"/>
  <c r="U977" i="11" s="1"/>
  <c r="U940" i="11" a="1"/>
  <c r="U940" i="11" s="1"/>
  <c r="U773" i="11" a="1"/>
  <c r="U773" i="11" s="1"/>
  <c r="U308" i="11" a="1"/>
  <c r="U308" i="11" s="1"/>
  <c r="U905" i="11" a="1"/>
  <c r="U905" i="11" s="1"/>
  <c r="U156" i="11" a="1"/>
  <c r="U156" i="11" s="1"/>
  <c r="U207" i="11" a="1"/>
  <c r="U207" i="11" s="1"/>
  <c r="U694" i="11" a="1"/>
  <c r="U694" i="11" s="1"/>
  <c r="U461" i="11" a="1"/>
  <c r="U461" i="11" s="1"/>
  <c r="U521" i="11" a="1"/>
  <c r="U521" i="11" s="1"/>
  <c r="U388" i="11" a="1"/>
  <c r="U388" i="11" s="1"/>
  <c r="U382" i="11" a="1"/>
  <c r="U382" i="11" s="1"/>
  <c r="U631" i="11" a="1"/>
  <c r="U631" i="11" s="1"/>
  <c r="U814" i="11" a="1"/>
  <c r="U814" i="11" s="1"/>
  <c r="U452" i="11" a="1"/>
  <c r="U452" i="11" s="1"/>
  <c r="U849" i="11" a="1"/>
  <c r="U849" i="11" s="1"/>
  <c r="U367" i="11" a="1"/>
  <c r="U367" i="11" s="1"/>
  <c r="U533" i="11" a="1"/>
  <c r="U533" i="11" s="1"/>
  <c r="U460" i="11" a="1"/>
  <c r="U460" i="11" s="1"/>
  <c r="U481" i="11" a="1"/>
  <c r="U481" i="11" s="1"/>
  <c r="U610" i="11" a="1"/>
  <c r="U610" i="11" s="1"/>
  <c r="U72" i="11" a="1"/>
  <c r="U72" i="11" s="1"/>
  <c r="U741" i="11" a="1"/>
  <c r="U741" i="11" s="1"/>
  <c r="U937" i="11" a="1"/>
  <c r="U937" i="11" s="1"/>
  <c r="U443" i="11" a="1"/>
  <c r="U443" i="11" s="1"/>
  <c r="U617" i="11" a="1"/>
  <c r="U617" i="11" s="1"/>
  <c r="U415" i="11" a="1"/>
  <c r="U415" i="11" s="1"/>
  <c r="U451" i="11" a="1"/>
  <c r="U451" i="11" s="1"/>
  <c r="U255" i="11" a="1"/>
  <c r="U255" i="11" s="1"/>
  <c r="U324" i="11" a="1"/>
  <c r="U324" i="11" s="1"/>
  <c r="U172" i="11" a="1"/>
  <c r="U172" i="11" s="1"/>
  <c r="U959" i="11" a="1"/>
  <c r="U959" i="11" s="1"/>
  <c r="U671" i="11" a="1"/>
  <c r="U671" i="11" s="1"/>
  <c r="U99" i="11" a="1"/>
  <c r="U99" i="11" s="1"/>
  <c r="U599" i="11" a="1"/>
  <c r="U599" i="11" s="1"/>
  <c r="U323" i="11" a="1"/>
  <c r="U323" i="11" s="1"/>
  <c r="U11" i="11" a="1"/>
  <c r="U11" i="11" s="1"/>
  <c r="U835" i="11" a="1"/>
  <c r="U835" i="11" s="1"/>
  <c r="U693" i="11" a="1"/>
  <c r="U693" i="11" s="1"/>
  <c r="U66" i="11" a="1"/>
  <c r="U66" i="11" s="1"/>
  <c r="U655" i="11" a="1"/>
  <c r="U655" i="11" s="1"/>
  <c r="U333" i="11" a="1"/>
  <c r="U333" i="11" s="1"/>
  <c r="U854" i="11" a="1"/>
  <c r="U854" i="11" s="1"/>
  <c r="U954" i="11" a="1"/>
  <c r="U954" i="11" s="1"/>
  <c r="U142" i="11" a="1"/>
  <c r="U142" i="11" s="1"/>
  <c r="U654" i="11" a="1"/>
  <c r="U654" i="11" s="1"/>
  <c r="U594" i="11" a="1"/>
  <c r="U594" i="11" s="1"/>
  <c r="U63" i="11" a="1"/>
  <c r="U63" i="11" s="1"/>
  <c r="U598" i="11" a="1"/>
  <c r="U598" i="11" s="1"/>
  <c r="U242" i="11" a="1"/>
  <c r="U242" i="11" s="1"/>
  <c r="U555" i="11" a="1"/>
  <c r="U555" i="11" s="1"/>
  <c r="U237" i="11" a="1"/>
  <c r="U237" i="11" s="1"/>
  <c r="U715" i="11" a="1"/>
  <c r="U715" i="11" s="1"/>
  <c r="U551" i="11" a="1"/>
  <c r="U551" i="11" s="1"/>
  <c r="U791" i="11" a="1"/>
  <c r="U791" i="11" s="1"/>
  <c r="U406" i="11" a="1"/>
  <c r="U406" i="11" s="1"/>
  <c r="U861" i="11" a="1"/>
  <c r="U861" i="11" s="1"/>
  <c r="U829" i="11" a="1"/>
  <c r="U829" i="11" s="1"/>
  <c r="U534" i="11" a="1"/>
  <c r="U534" i="11" s="1"/>
  <c r="U128" i="11" a="1"/>
  <c r="U128" i="11" s="1"/>
  <c r="U526" i="11" a="1"/>
  <c r="U526" i="11" s="1"/>
  <c r="U294" i="11" a="1"/>
  <c r="U294" i="11" s="1"/>
  <c r="U522" i="11" a="1"/>
  <c r="U522" i="11" s="1"/>
  <c r="U218" i="11" a="1"/>
  <c r="U218" i="11" s="1"/>
  <c r="U213" i="11" a="1"/>
  <c r="U213" i="11" s="1"/>
  <c r="U602" i="11" a="1"/>
  <c r="U602" i="11" s="1"/>
  <c r="U40" i="11" a="1"/>
  <c r="U40" i="11" s="1"/>
  <c r="U607" i="11" a="1"/>
  <c r="U607" i="11" s="1"/>
  <c r="U47" i="11" a="1"/>
  <c r="U47" i="11" s="1"/>
  <c r="U810" i="11" a="1"/>
  <c r="U810" i="11" s="1"/>
  <c r="U254" i="11" a="1"/>
  <c r="U254" i="11" s="1"/>
  <c r="U646" i="11" a="1"/>
  <c r="U646" i="11" s="1"/>
  <c r="U563" i="11" a="1"/>
  <c r="U563" i="11" s="1"/>
  <c r="U846" i="11" a="1"/>
  <c r="U846" i="11" s="1"/>
  <c r="U863" i="11" a="1"/>
  <c r="U863" i="11" s="1"/>
  <c r="U119" i="11" a="1"/>
  <c r="U119" i="11" s="1"/>
  <c r="U80" i="11" a="1"/>
  <c r="U80" i="11" s="1"/>
  <c r="U978" i="11" a="1"/>
  <c r="U978" i="11" s="1"/>
  <c r="U686" i="11" a="1"/>
  <c r="U686" i="11" s="1"/>
  <c r="U673" i="11" a="1"/>
  <c r="U673" i="11" s="1"/>
  <c r="U58" i="11" a="1"/>
  <c r="U58" i="11" s="1"/>
  <c r="U42" i="11" a="1"/>
  <c r="U42" i="11" s="1"/>
  <c r="U25" i="11" a="1"/>
  <c r="U25" i="11" s="1"/>
  <c r="U730" i="11" a="1"/>
  <c r="U730" i="11" s="1"/>
  <c r="U54" i="11" a="1"/>
  <c r="U54" i="11" s="1"/>
  <c r="U589" i="11" a="1"/>
  <c r="U589" i="11" s="1"/>
  <c r="U157" i="11" a="1"/>
  <c r="U157" i="11" s="1"/>
  <c r="U56" i="11" a="1"/>
  <c r="U56" i="11" s="1"/>
  <c r="U474" i="11" a="1"/>
  <c r="U474" i="11" s="1"/>
  <c r="U743" i="11" a="1"/>
  <c r="U743" i="11" s="1"/>
  <c r="U198" i="11" a="1"/>
  <c r="U198" i="11" s="1"/>
  <c r="U396" i="11" a="1"/>
  <c r="U396" i="11" s="1"/>
  <c r="U525" i="11" a="1"/>
  <c r="U525" i="11" s="1"/>
  <c r="U8" i="11" a="1"/>
  <c r="U8" i="11" s="1"/>
  <c r="U247" i="11" a="1"/>
  <c r="U247" i="11" s="1"/>
  <c r="U991" i="11" a="1"/>
  <c r="U991" i="11" s="1"/>
  <c r="U699" i="11" a="1"/>
  <c r="U699" i="11" s="1"/>
  <c r="U709" i="11" a="1"/>
  <c r="U709" i="11" s="1"/>
  <c r="U920" i="11" a="1"/>
  <c r="U920" i="11" s="1"/>
  <c r="U215" i="11" a="1"/>
  <c r="U215" i="11" s="1"/>
  <c r="U689" i="11" a="1"/>
  <c r="U689" i="11" s="1"/>
  <c r="U433" i="11" a="1"/>
  <c r="U433" i="11" s="1"/>
  <c r="U998" i="11" a="1"/>
  <c r="U998" i="11" s="1"/>
  <c r="U825" i="11" a="1"/>
  <c r="U825" i="11" s="1"/>
  <c r="U790" i="11" a="1"/>
  <c r="U790" i="11" s="1"/>
  <c r="U492" i="11" a="1"/>
  <c r="U492" i="11" s="1"/>
  <c r="U639" i="11" a="1"/>
  <c r="U639" i="11" s="1"/>
  <c r="U687" i="11" a="1"/>
  <c r="U687" i="11" s="1"/>
  <c r="U109" i="11" a="1"/>
  <c r="U109" i="11" s="1"/>
  <c r="U345" i="11" a="1"/>
  <c r="U345" i="11" s="1"/>
  <c r="U233" i="11" a="1"/>
  <c r="U233" i="11" s="1"/>
  <c r="U393" i="11" a="1"/>
  <c r="U393" i="11" s="1"/>
  <c r="U434" i="11" a="1"/>
  <c r="U434" i="11" s="1"/>
  <c r="U469" i="11" a="1"/>
  <c r="U469" i="11" s="1"/>
  <c r="U209" i="11" a="1"/>
  <c r="U209" i="11" s="1"/>
  <c r="U100" i="11" a="1"/>
  <c r="U100" i="11" s="1"/>
  <c r="U90" i="11" a="1"/>
  <c r="U90" i="11" s="1"/>
  <c r="U265" i="11" a="1"/>
  <c r="U265" i="11" s="1"/>
  <c r="U605" i="11" a="1"/>
  <c r="U605" i="11" s="1"/>
  <c r="U316" i="11" a="1"/>
  <c r="U316" i="11" s="1"/>
  <c r="U941" i="11" a="1"/>
  <c r="U941" i="11" s="1"/>
  <c r="U87" i="11" a="1"/>
  <c r="U87" i="11" s="1"/>
  <c r="U914" i="11" a="1"/>
  <c r="U914" i="11" s="1"/>
  <c r="U304" i="11" a="1"/>
  <c r="U304" i="11" s="1"/>
  <c r="U974" i="11" a="1"/>
  <c r="U974" i="11" s="1"/>
  <c r="U994" i="11" a="1"/>
  <c r="U994" i="11" s="1"/>
  <c r="U46" i="11" a="1"/>
  <c r="U46" i="11" s="1"/>
  <c r="U632" i="11" a="1"/>
  <c r="U632" i="11" s="1"/>
  <c r="U135" i="11" a="1"/>
  <c r="U135" i="11" s="1"/>
  <c r="U334" i="11" a="1"/>
  <c r="U334" i="11" s="1"/>
  <c r="U851" i="11" a="1"/>
  <c r="U851" i="11" s="1"/>
  <c r="U418" i="11" a="1"/>
  <c r="U418" i="11" s="1"/>
  <c r="U322" i="11" a="1"/>
  <c r="U322" i="11" s="1"/>
  <c r="U576" i="11" a="1"/>
  <c r="U576" i="11" s="1"/>
  <c r="U186" i="11" a="1"/>
  <c r="U186" i="11" s="1"/>
  <c r="U1000" i="11" a="1"/>
  <c r="U1000" i="11" s="1"/>
  <c r="U325" i="11" a="1"/>
  <c r="U325" i="11" s="1"/>
  <c r="U595" i="11" a="1"/>
  <c r="U595" i="11" s="1"/>
  <c r="U485" i="11" a="1"/>
  <c r="U485" i="11" s="1"/>
  <c r="U431" i="11" a="1"/>
  <c r="U431" i="11" s="1"/>
  <c r="U869" i="11" a="1"/>
  <c r="U869" i="11" s="1"/>
  <c r="U53" i="11" a="1"/>
  <c r="U53" i="11" s="1"/>
  <c r="U391" i="11" a="1"/>
  <c r="U391" i="11" s="1"/>
  <c r="U642" i="11" a="1"/>
  <c r="U642" i="11" s="1"/>
  <c r="U924" i="11" a="1"/>
  <c r="U924" i="11" s="1"/>
  <c r="U876" i="11" a="1"/>
  <c r="U876" i="11" s="1"/>
  <c r="U71" i="11" a="1"/>
  <c r="U71" i="11" s="1"/>
  <c r="U206" i="11" a="1"/>
  <c r="U206" i="11" s="1"/>
  <c r="U240" i="11" a="1"/>
  <c r="U240" i="11" s="1"/>
  <c r="U78" i="11" a="1"/>
  <c r="U78" i="11" s="1"/>
  <c r="U230" i="11" a="1"/>
  <c r="U230" i="11" s="1"/>
  <c r="U923" i="11" a="1"/>
  <c r="U923" i="11" s="1"/>
  <c r="U701" i="11" a="1"/>
  <c r="U701" i="11" s="1"/>
  <c r="U781" i="11" a="1"/>
  <c r="U781" i="11" s="1"/>
  <c r="U495" i="11" a="1"/>
  <c r="U495" i="11" s="1"/>
  <c r="U588" i="11" a="1"/>
  <c r="U588" i="11" s="1"/>
  <c r="U10" i="11" a="1"/>
  <c r="U10" i="11" s="1"/>
  <c r="U459" i="11" a="1"/>
  <c r="U459" i="11" s="1"/>
  <c r="U343" i="11" a="1"/>
  <c r="U343" i="11" s="1"/>
  <c r="U331" i="11" a="1"/>
  <c r="U331" i="11" s="1"/>
  <c r="U763" i="11" a="1"/>
  <c r="U763" i="11" s="1"/>
  <c r="U335" i="11" a="1"/>
  <c r="U335" i="11" s="1"/>
  <c r="U911" i="11" a="1"/>
  <c r="U911" i="11" s="1"/>
  <c r="U41" i="11" a="1"/>
  <c r="U41" i="11" s="1"/>
  <c r="U987" i="11" a="1"/>
  <c r="U987" i="11" s="1"/>
  <c r="U309" i="11" a="1"/>
  <c r="U309" i="11" s="1"/>
  <c r="U208" i="11" a="1"/>
  <c r="U208" i="11" s="1"/>
  <c r="U691" i="11" a="1"/>
  <c r="U691" i="11" s="1"/>
  <c r="U584" i="11" a="1"/>
  <c r="U584" i="11" s="1"/>
  <c r="U89" i="11" a="1"/>
  <c r="U89" i="11" s="1"/>
  <c r="U293" i="11" a="1"/>
  <c r="U293" i="11" s="1"/>
  <c r="U149" i="11" a="1"/>
  <c r="U149" i="11" s="1"/>
  <c r="U337" i="11" a="1"/>
  <c r="U337" i="11" s="1"/>
  <c r="U263" i="11" a="1"/>
  <c r="U263" i="11" s="1"/>
  <c r="U423" i="11" a="1"/>
  <c r="U423" i="11" s="1"/>
  <c r="U278" i="11" a="1"/>
  <c r="U278" i="11" s="1"/>
  <c r="U411" i="11" a="1"/>
  <c r="U411" i="11" s="1"/>
  <c r="U658" i="11" a="1"/>
  <c r="U658" i="11" s="1"/>
  <c r="U472" i="11" a="1"/>
  <c r="U472" i="11" s="1"/>
  <c r="U740" i="11" a="1"/>
  <c r="U740" i="11" s="1"/>
  <c r="U252" i="11" a="1"/>
  <c r="U252" i="11" s="1"/>
  <c r="U514" i="11" a="1"/>
  <c r="U514" i="11" s="1"/>
  <c r="U231" i="11" a="1"/>
  <c r="U231" i="11" s="1"/>
  <c r="U45" i="11" a="1"/>
  <c r="U45" i="11" s="1"/>
  <c r="U983" i="11" a="1"/>
  <c r="U983" i="11" s="1"/>
  <c r="U266" i="11" a="1"/>
  <c r="U266" i="11" s="1"/>
  <c r="U327" i="11" a="1"/>
  <c r="U327" i="11" s="1"/>
  <c r="U110" i="11" a="1"/>
  <c r="U110" i="11" s="1"/>
  <c r="U269" i="11" a="1"/>
  <c r="U269" i="11" s="1"/>
  <c r="U116" i="11" a="1"/>
  <c r="U116" i="11" s="1"/>
  <c r="U102" i="11" a="1"/>
  <c r="U102" i="11" s="1"/>
  <c r="U111" i="11" a="1"/>
  <c r="U111" i="11" s="1"/>
  <c r="U151" i="11" a="1"/>
  <c r="U151" i="11" s="1"/>
  <c r="U845" i="11" a="1"/>
  <c r="U845" i="11" s="1"/>
  <c r="U31" i="11" a="1"/>
  <c r="U31" i="11" s="1"/>
  <c r="U504" i="11" a="1"/>
  <c r="U504" i="11" s="1"/>
  <c r="U236" i="11" a="1"/>
  <c r="U236" i="11" s="1"/>
  <c r="U68" i="11" a="1"/>
  <c r="U68" i="11" s="1"/>
  <c r="U586" i="11" a="1"/>
  <c r="U586" i="11" s="1"/>
  <c r="U185" i="11" a="1"/>
  <c r="U185" i="11" s="1"/>
  <c r="U292" i="11" a="1"/>
  <c r="U292" i="11" s="1"/>
  <c r="U354" i="11" a="1"/>
  <c r="U354" i="11" s="1"/>
  <c r="U700" i="11" a="1"/>
  <c r="U700" i="11" s="1"/>
  <c r="U336" i="11" a="1"/>
  <c r="U336" i="11" s="1"/>
  <c r="U541" i="11" a="1"/>
  <c r="U541" i="11" s="1"/>
  <c r="U779" i="11" a="1"/>
  <c r="U779" i="11" s="1"/>
  <c r="U705" i="11" a="1"/>
  <c r="U705" i="11" s="1"/>
  <c r="U476" i="11" a="1"/>
  <c r="U476" i="11" s="1"/>
  <c r="U678" i="11" a="1"/>
  <c r="U678" i="11" s="1"/>
  <c r="U766" i="11" a="1"/>
  <c r="U766" i="11" s="1"/>
  <c r="U501" i="11" a="1"/>
  <c r="U501" i="11" s="1"/>
  <c r="U797" i="11" a="1"/>
  <c r="U797" i="11" s="1"/>
  <c r="U77" i="11" a="1"/>
  <c r="U77" i="11" s="1"/>
  <c r="U841" i="11" a="1"/>
  <c r="U841" i="11" s="1"/>
  <c r="U798" i="11" a="1"/>
  <c r="U798" i="11" s="1"/>
  <c r="U580" i="11" a="1"/>
  <c r="U580" i="11" s="1"/>
  <c r="U494" i="11" a="1"/>
  <c r="U494" i="11" s="1"/>
  <c r="U105" i="11" a="1"/>
  <c r="U105" i="11" s="1"/>
  <c r="U882" i="11" a="1"/>
  <c r="U882" i="11" s="1"/>
  <c r="U394" i="11" a="1"/>
  <c r="U394" i="11" s="1"/>
  <c r="U154" i="11" a="1"/>
  <c r="U154" i="11" s="1"/>
  <c r="U210" i="11" a="1"/>
  <c r="U210" i="11" s="1"/>
  <c r="U653" i="11" a="1"/>
  <c r="U653" i="11" s="1"/>
  <c r="U999" i="11" a="1"/>
  <c r="U999" i="11" s="1"/>
  <c r="U463" i="11" a="1"/>
  <c r="U463" i="11" s="1"/>
  <c r="U19" i="11" a="1"/>
  <c r="U19" i="11" s="1"/>
  <c r="U155" i="11" a="1"/>
  <c r="U155" i="11" s="1"/>
  <c r="U508" i="11" a="1"/>
  <c r="U508" i="11" s="1"/>
  <c r="U969" i="11" a="1"/>
  <c r="U969" i="11" s="1"/>
  <c r="U358" i="11" a="1"/>
  <c r="U358" i="11" s="1"/>
  <c r="U590" i="11" a="1"/>
  <c r="U590" i="11" s="1"/>
  <c r="U645" i="11" a="1"/>
  <c r="U645" i="11" s="1"/>
  <c r="U629" i="11" a="1"/>
  <c r="U629" i="11" s="1"/>
  <c r="U37" i="11" a="1"/>
  <c r="U37" i="11" s="1"/>
  <c r="U74" i="11" a="1"/>
  <c r="U74" i="11" s="1"/>
  <c r="U253" i="11" a="1"/>
  <c r="U253" i="11" s="1"/>
  <c r="U919" i="11" a="1"/>
  <c r="U919" i="11" s="1"/>
  <c r="U800" i="11" a="1"/>
  <c r="U800" i="11" s="1"/>
  <c r="U171" i="11" a="1"/>
  <c r="U171" i="11" s="1"/>
  <c r="U350" i="11" a="1"/>
  <c r="U350" i="11" s="1"/>
  <c r="U280" i="11" a="1"/>
  <c r="U280" i="11" s="1"/>
  <c r="U843" i="11" a="1"/>
  <c r="U843" i="11" s="1"/>
  <c r="U262" i="11" a="1"/>
  <c r="U262" i="11" s="1"/>
  <c r="U21" i="11" a="1"/>
  <c r="U21" i="11" s="1"/>
  <c r="U755" i="11" a="1"/>
  <c r="U755" i="11" s="1"/>
  <c r="U285" i="11" a="1"/>
  <c r="U285" i="11" s="1"/>
  <c r="U153" i="11" a="1"/>
  <c r="U153" i="11" s="1"/>
  <c r="U783" i="11" a="1"/>
  <c r="U783" i="11" s="1"/>
  <c r="U796" i="11" a="1"/>
  <c r="U796" i="11" s="1"/>
  <c r="U988" i="11" a="1"/>
  <c r="U988" i="11" s="1"/>
  <c r="U737" i="11" a="1"/>
  <c r="U737" i="11" s="1"/>
  <c r="U955" i="11" a="1"/>
  <c r="U955" i="11" s="1"/>
  <c r="U183" i="11" a="1"/>
  <c r="U183" i="11" s="1"/>
  <c r="U441" i="11" a="1"/>
  <c r="U441" i="11" s="1"/>
  <c r="U23" i="11" a="1"/>
  <c r="U23" i="11" s="1"/>
  <c r="U575" i="11" a="1"/>
  <c r="U575" i="11" s="1"/>
  <c r="U695" i="11" a="1"/>
  <c r="U695" i="11" s="1"/>
  <c r="U680" i="11" a="1"/>
  <c r="U680" i="11" s="1"/>
  <c r="U348" i="11" a="1"/>
  <c r="U348" i="11" s="1"/>
  <c r="U764" i="11" a="1"/>
  <c r="U764" i="11" s="1"/>
  <c r="U757" i="11" a="1"/>
  <c r="U757" i="11" s="1"/>
  <c r="U440" i="11" a="1"/>
  <c r="U440" i="11" s="1"/>
  <c r="U212" i="11" a="1"/>
  <c r="U212" i="11" s="1"/>
  <c r="U417" i="11" a="1"/>
  <c r="U417" i="11" s="1"/>
  <c r="U73" i="11" a="1"/>
  <c r="U73" i="11" s="1"/>
  <c r="U145" i="11" a="1"/>
  <c r="U145" i="11" s="1"/>
  <c r="U752" i="11" a="1"/>
  <c r="U752" i="11" s="1"/>
  <c r="U706" i="11" a="1"/>
  <c r="U706" i="11" s="1"/>
  <c r="U581" i="11" a="1"/>
  <c r="U581" i="11" s="1"/>
  <c r="U601" i="11" a="1"/>
  <c r="U601" i="11" s="1"/>
  <c r="U197" i="11" a="1"/>
  <c r="U197" i="11" s="1"/>
  <c r="U532" i="11" a="1"/>
  <c r="U532" i="11" s="1"/>
  <c r="U811" i="11" a="1"/>
  <c r="U811" i="11" s="1"/>
  <c r="U656" i="11" a="1"/>
  <c r="U656" i="11" s="1"/>
  <c r="U48" i="11" a="1"/>
  <c r="U48" i="11" s="1"/>
  <c r="U562" i="11" a="1"/>
  <c r="U562" i="11" s="1"/>
  <c r="U971" i="11" a="1"/>
  <c r="U971" i="11" s="1"/>
  <c r="U756" i="11" a="1"/>
  <c r="U756" i="11" s="1"/>
  <c r="U547" i="11" a="1"/>
  <c r="U547" i="11" s="1"/>
  <c r="U428" i="11" a="1"/>
  <c r="U428" i="11" s="1"/>
  <c r="U664" i="11" a="1"/>
  <c r="U664" i="11" s="1"/>
  <c r="U273" i="11" a="1"/>
  <c r="U273" i="11" s="1"/>
  <c r="U886" i="11" a="1"/>
  <c r="U886" i="11" s="1"/>
  <c r="U159" i="11" a="1"/>
  <c r="U159" i="11" s="1"/>
  <c r="U739" i="11" a="1"/>
  <c r="U739" i="11" s="1"/>
  <c r="U579" i="11" a="1"/>
  <c r="U579" i="11" s="1"/>
  <c r="U519" i="11" a="1"/>
  <c r="U519" i="11" s="1"/>
  <c r="U258" i="11" a="1"/>
  <c r="U258" i="11" s="1"/>
  <c r="U871" i="11" a="1"/>
  <c r="U871" i="11" s="1"/>
  <c r="U256" i="11" a="1"/>
  <c r="U256" i="11" s="1"/>
  <c r="U95" i="11" a="1"/>
  <c r="U95" i="11" s="1"/>
  <c r="U782" i="11" a="1"/>
  <c r="U782" i="11" s="1"/>
  <c r="U887" i="11" a="1"/>
  <c r="U887" i="11" s="1"/>
  <c r="U124" i="11" a="1"/>
  <c r="U124" i="11" s="1"/>
  <c r="U559" i="11" a="1"/>
  <c r="U559" i="11" s="1"/>
  <c r="U973" i="11" a="1"/>
  <c r="U973" i="11" s="1"/>
  <c r="U864" i="11" a="1"/>
  <c r="U864" i="11" s="1"/>
  <c r="U506" i="11" a="1"/>
  <c r="U506" i="11" s="1"/>
  <c r="U916" i="11" a="1"/>
  <c r="U916" i="11" s="1"/>
  <c r="U765" i="11" a="1"/>
  <c r="U765" i="11" s="1"/>
  <c r="U96" i="11" a="1"/>
  <c r="U96" i="11" s="1"/>
  <c r="U509" i="11" a="1"/>
  <c r="U509" i="11" s="1"/>
  <c r="U60" i="11" a="1"/>
  <c r="U60" i="11" s="1"/>
  <c r="U410" i="11" a="1"/>
  <c r="U410" i="11" s="1"/>
  <c r="U62" i="11" a="1"/>
  <c r="U62" i="11" s="1"/>
  <c r="U355" i="11" a="1"/>
  <c r="U355" i="11" s="1"/>
  <c r="U16" i="11" a="1"/>
  <c r="U16" i="11" s="1"/>
  <c r="U640" i="11" a="1"/>
  <c r="U640" i="11" s="1"/>
  <c r="U963" i="11" a="1"/>
  <c r="U963" i="11" s="1"/>
  <c r="U972" i="11" a="1"/>
  <c r="U972" i="11" s="1"/>
  <c r="U821" i="11" a="1"/>
  <c r="U821" i="11" s="1"/>
  <c r="U804" i="11" a="1"/>
  <c r="U804" i="11" s="1"/>
  <c r="U992" i="11" a="1"/>
  <c r="U992" i="11" s="1"/>
  <c r="U857" i="11" a="1"/>
  <c r="U857" i="11" s="1"/>
  <c r="U742" i="11" a="1"/>
  <c r="U742" i="11" s="1"/>
  <c r="U118" i="11" a="1"/>
  <c r="U118" i="11" s="1"/>
  <c r="U623" i="11" a="1"/>
  <c r="U623" i="11" s="1"/>
  <c r="U935" i="11" a="1"/>
  <c r="U935" i="11" s="1"/>
  <c r="U413" i="11" a="1"/>
  <c r="U413" i="11" s="1"/>
  <c r="U958" i="11" a="1"/>
  <c r="U958" i="11" s="1"/>
  <c r="U834" i="11" a="1"/>
  <c r="U834" i="11" s="1"/>
  <c r="U778" i="11" a="1"/>
  <c r="U778" i="11" s="1"/>
  <c r="U357" i="11" a="1"/>
  <c r="U357" i="11" s="1"/>
  <c r="U662" i="11" a="1"/>
  <c r="U662" i="11" s="1"/>
  <c r="U296" i="11" a="1"/>
  <c r="U296" i="11" s="1"/>
  <c r="U878" i="11" a="1"/>
  <c r="U878" i="11" s="1"/>
  <c r="U360" i="11" a="1"/>
  <c r="U360" i="11" s="1"/>
  <c r="U750" i="11" a="1"/>
  <c r="U750" i="11" s="1"/>
  <c r="U868" i="11" a="1"/>
  <c r="U868" i="11" s="1"/>
  <c r="U75" i="11" a="1"/>
  <c r="U75" i="11" s="1"/>
  <c r="U799" i="11" a="1"/>
  <c r="U799" i="11" s="1"/>
  <c r="U760" i="11" a="1"/>
  <c r="U760" i="11" s="1"/>
  <c r="U409" i="11" a="1"/>
  <c r="U409" i="11" s="1"/>
  <c r="U27" i="11" a="1"/>
  <c r="U27" i="11" s="1"/>
  <c r="U794" i="11" a="1"/>
  <c r="U794" i="11" s="1"/>
  <c r="U318" i="11" a="1"/>
  <c r="U318" i="11" s="1"/>
  <c r="U67" i="11" a="1"/>
  <c r="U67" i="11" s="1"/>
  <c r="U39" i="11" a="1"/>
  <c r="U39" i="11" s="1"/>
  <c r="U395" i="11" a="1"/>
  <c r="U395" i="11" s="1"/>
  <c r="U696" i="11" a="1"/>
  <c r="U696" i="11" s="1"/>
  <c r="U986" i="11" a="1"/>
  <c r="U986" i="11" s="1"/>
  <c r="U621" i="11" a="1"/>
  <c r="U621" i="11" s="1"/>
  <c r="U812" i="11" a="1"/>
  <c r="U812" i="11" s="1"/>
  <c r="U823" i="11" a="1"/>
  <c r="U823" i="11" s="1"/>
  <c r="U453" i="11" a="1"/>
  <c r="U453" i="11" s="1"/>
  <c r="U855" i="11" a="1"/>
  <c r="U855" i="11" s="1"/>
  <c r="U889" i="11" a="1"/>
  <c r="U889" i="11" s="1"/>
  <c r="U780" i="11" a="1"/>
  <c r="U780" i="11" s="1"/>
  <c r="U679" i="11" a="1"/>
  <c r="U679" i="11" s="1"/>
  <c r="U467" i="11" a="1"/>
  <c r="U467" i="11" s="1"/>
  <c r="U182" i="11" a="1"/>
  <c r="U182" i="11" s="1"/>
  <c r="U315" i="11" a="1"/>
  <c r="U315" i="11" s="1"/>
  <c r="U893" i="11" a="1"/>
  <c r="U893" i="11" s="1"/>
  <c r="U290" i="11" a="1"/>
  <c r="U290" i="11" s="1"/>
  <c r="U697" i="11" a="1"/>
  <c r="U697" i="11" s="1"/>
  <c r="U890" i="11" a="1"/>
  <c r="U890" i="11" s="1"/>
  <c r="U582" i="11" a="1"/>
  <c r="U582" i="11" s="1"/>
  <c r="U326" i="11" a="1"/>
  <c r="U326" i="11" s="1"/>
  <c r="U199" i="11" a="1"/>
  <c r="U199" i="11" s="1"/>
  <c r="U921" i="11" a="1"/>
  <c r="U921" i="11" s="1"/>
  <c r="U401" i="11" a="1"/>
  <c r="U401" i="11" s="1"/>
  <c r="U721" i="11" a="1"/>
  <c r="U721" i="11" s="1"/>
  <c r="U897" i="11" a="1"/>
  <c r="U897" i="11" s="1"/>
  <c r="U138" i="11" a="1"/>
  <c r="U138" i="11" s="1"/>
  <c r="U104" i="11" a="1"/>
  <c r="U104" i="11" s="1"/>
  <c r="U173" i="11" a="1"/>
  <c r="U173" i="11" s="1"/>
  <c r="U884" i="11" a="1"/>
  <c r="U884" i="11" s="1"/>
  <c r="U979" i="11" a="1"/>
  <c r="U979" i="11" s="1"/>
  <c r="U830" i="11" a="1"/>
  <c r="U830" i="11" s="1"/>
  <c r="U283" i="11" a="1"/>
  <c r="U283" i="11" s="1"/>
  <c r="U458" i="11" a="1"/>
  <c r="U458" i="11" s="1"/>
  <c r="U990" i="11" a="1"/>
  <c r="U990" i="11" s="1"/>
  <c r="U384" i="11" a="1"/>
  <c r="U384" i="11" s="1"/>
  <c r="U319" i="11" a="1"/>
  <c r="U319" i="11" s="1"/>
  <c r="U536" i="11" a="1"/>
  <c r="U536" i="11" s="1"/>
  <c r="U57" i="11" a="1"/>
  <c r="U57" i="11" s="1"/>
  <c r="U359" i="11" a="1"/>
  <c r="U359" i="11" s="1"/>
  <c r="U91" i="11" a="1"/>
  <c r="U91" i="11" s="1"/>
  <c r="U531" i="11" a="1"/>
  <c r="U531" i="11" s="1"/>
  <c r="U339" i="11" a="1"/>
  <c r="U339" i="11" s="1"/>
  <c r="U962" i="11" a="1"/>
  <c r="U962" i="11" s="1"/>
  <c r="U832" i="11" a="1"/>
  <c r="U832" i="11" s="1"/>
  <c r="U404" i="11" a="1"/>
  <c r="U404" i="11" s="1"/>
  <c r="U615" i="11" a="1"/>
  <c r="U615" i="11" s="1"/>
  <c r="U202" i="11" a="1"/>
  <c r="U202" i="11" s="1"/>
  <c r="U442" i="11" a="1"/>
  <c r="U442" i="11" s="1"/>
  <c r="U661" i="11" a="1"/>
  <c r="U661" i="11" s="1"/>
  <c r="U578" i="11" a="1"/>
  <c r="U578" i="11" s="1"/>
  <c r="U291" i="11" a="1"/>
  <c r="U291" i="11" s="1"/>
  <c r="U489" i="11" a="1"/>
  <c r="U489" i="11" s="1"/>
  <c r="U636" i="11" a="1"/>
  <c r="U636" i="11" s="1"/>
  <c r="U4" i="11" a="1"/>
  <c r="U4" i="11" s="1"/>
  <c r="U850" i="11" a="1"/>
  <c r="U850" i="11" s="1"/>
  <c r="U289" i="11" a="1"/>
  <c r="U289" i="11" s="1"/>
  <c r="U152" i="11" a="1"/>
  <c r="U152" i="11" s="1"/>
  <c r="U838" i="11" a="1"/>
  <c r="U838" i="11" s="1"/>
  <c r="U176" i="11" a="1"/>
  <c r="U176" i="11" s="1"/>
  <c r="U347" i="11" a="1"/>
  <c r="U347" i="11" s="1"/>
  <c r="U967" i="11" a="1"/>
  <c r="U967" i="11" s="1"/>
  <c r="U311" i="11" a="1"/>
  <c r="U311" i="11" s="1"/>
  <c r="U125" i="11" a="1"/>
  <c r="U125" i="11" s="1"/>
  <c r="U900" i="11" a="1"/>
  <c r="U900" i="11" s="1"/>
  <c r="U390" i="11" a="1"/>
  <c r="U390" i="11" s="1"/>
  <c r="U637" i="11" a="1"/>
  <c r="U637" i="11" s="1"/>
  <c r="U961" i="11" a="1"/>
  <c r="U961" i="11" s="1"/>
  <c r="U282" i="11" a="1"/>
  <c r="U282" i="11" s="1"/>
  <c r="U707" i="11" a="1"/>
  <c r="U707" i="11" s="1"/>
  <c r="U917" i="11" a="1"/>
  <c r="U917" i="11" s="1"/>
  <c r="U59" i="11" a="1"/>
  <c r="U59" i="11" s="1"/>
  <c r="U445" i="11" a="1"/>
  <c r="U445" i="11" s="1"/>
  <c r="U436" i="11" a="1"/>
  <c r="U436" i="11" s="1"/>
  <c r="U872" i="11" a="1"/>
  <c r="U872" i="11" s="1"/>
  <c r="U421" i="11" a="1"/>
  <c r="U421" i="11" s="1"/>
  <c r="U14" i="11" a="1"/>
  <c r="U14" i="11" s="1"/>
  <c r="U437" i="11" a="1"/>
  <c r="U437" i="11" s="1"/>
  <c r="U652" i="11" a="1"/>
  <c r="U652" i="11" s="1"/>
  <c r="U677" i="11" a="1"/>
  <c r="U677" i="11" s="1"/>
  <c r="U164" i="11" a="1"/>
  <c r="U164" i="11" s="1"/>
  <c r="U320" i="11" a="1"/>
  <c r="U320" i="11" s="1"/>
  <c r="U995" i="11" a="1"/>
  <c r="U995" i="11" s="1"/>
  <c r="U162" i="11" a="1"/>
  <c r="U162" i="11" s="1"/>
  <c r="U865" i="11" a="1"/>
  <c r="U865" i="11" s="1"/>
  <c r="U276" i="11" a="1"/>
  <c r="U276" i="11" s="1"/>
  <c r="U487" i="11" a="1"/>
  <c r="U487" i="11" s="1"/>
  <c r="U505" i="11" a="1"/>
  <c r="U505" i="11" s="1"/>
  <c r="U115" i="11" a="1"/>
  <c r="U115" i="11" s="1"/>
  <c r="U427" i="11" a="1"/>
  <c r="U427" i="11" s="1"/>
  <c r="U49" i="11" a="1"/>
  <c r="U49" i="11" s="1"/>
  <c r="U574" i="11" a="1"/>
  <c r="U574" i="11" s="1"/>
  <c r="U22" i="11" a="1"/>
  <c r="U22" i="11" s="1"/>
  <c r="U17" i="11" a="1"/>
  <c r="U17" i="11" s="1"/>
  <c r="U24" i="11" a="1"/>
  <c r="U24" i="11" s="1"/>
  <c r="U150" i="11" a="1"/>
  <c r="U150" i="11" s="1"/>
  <c r="U444" i="11" a="1"/>
  <c r="U444" i="11" s="1"/>
  <c r="U314" i="11" a="1"/>
  <c r="U314" i="11" s="1"/>
  <c r="U353" i="11" a="1"/>
  <c r="U353" i="11" s="1"/>
  <c r="U552" i="11" a="1"/>
  <c r="U552" i="11" s="1"/>
  <c r="U376" i="11" a="1"/>
  <c r="U376" i="11" s="1"/>
  <c r="U496" i="11" a="1"/>
  <c r="U496" i="11" s="1"/>
  <c r="U683" i="11" a="1"/>
  <c r="U683" i="11" s="1"/>
  <c r="U585" i="11" a="1"/>
  <c r="U585" i="11" s="1"/>
  <c r="U528" i="11" a="1"/>
  <c r="U528" i="11" s="1"/>
  <c r="U190" i="11" a="1"/>
  <c r="U190" i="11" s="1"/>
  <c r="U340" i="11" a="1"/>
  <c r="U340" i="11" s="1"/>
  <c r="U400" i="11" a="1"/>
  <c r="U400" i="11" s="1"/>
  <c r="U952" i="11" a="1"/>
  <c r="U952" i="11" s="1"/>
  <c r="U488" i="11" a="1"/>
  <c r="U488" i="11" s="1"/>
  <c r="U432" i="11" a="1"/>
  <c r="U432" i="11" s="1"/>
  <c r="U644" i="11" a="1"/>
  <c r="U644" i="11" s="1"/>
  <c r="U833" i="11" a="1"/>
  <c r="U833" i="11" s="1"/>
  <c r="U625" i="11" a="1"/>
  <c r="U625" i="11" s="1"/>
  <c r="U169" i="11" a="1"/>
  <c r="U169" i="11" s="1"/>
  <c r="U837" i="11" a="1"/>
  <c r="U837" i="11" s="1"/>
  <c r="U676" i="11" a="1"/>
  <c r="U676" i="11" s="1"/>
  <c r="U817" i="11" a="1"/>
  <c r="U817" i="11" s="1"/>
  <c r="U35" i="11" a="1"/>
  <c r="U35" i="11" s="1"/>
  <c r="U767" i="11" a="1"/>
  <c r="U767" i="11" s="1"/>
  <c r="U466" i="11" a="1"/>
  <c r="U466" i="11" s="1"/>
  <c r="U500" i="11" a="1"/>
  <c r="U500" i="11" s="1"/>
  <c r="U83" i="11" a="1"/>
  <c r="U83" i="11" s="1"/>
  <c r="U51" i="11" a="1"/>
  <c r="U51" i="11" s="1"/>
  <c r="U918" i="11" a="1"/>
  <c r="U918" i="11" s="1"/>
  <c r="U288" i="11" a="1"/>
  <c r="U288" i="11" s="1"/>
  <c r="U305" i="11" a="1"/>
  <c r="U305" i="11" s="1"/>
  <c r="U614" i="11" a="1"/>
  <c r="U614" i="11" s="1"/>
  <c r="U910" i="11" a="1"/>
  <c r="U910" i="11" s="1"/>
  <c r="U651" i="11" a="1"/>
  <c r="U651" i="11" s="1"/>
  <c r="U103" i="11" a="1"/>
  <c r="U103" i="11" s="1"/>
  <c r="U146" i="11" a="1"/>
  <c r="U146" i="11" s="1"/>
  <c r="U788" i="11" a="1"/>
  <c r="U788" i="11" s="1"/>
  <c r="U726" i="11" a="1"/>
  <c r="U726" i="11" s="1"/>
  <c r="U86" i="11" a="1"/>
  <c r="U86" i="11" s="1"/>
  <c r="U257" i="11" a="1"/>
  <c r="U257" i="11" s="1"/>
  <c r="U371" i="11" a="1"/>
  <c r="U371" i="11" s="1"/>
  <c r="U112" i="11" a="1"/>
  <c r="U112" i="11" s="1"/>
  <c r="U483" i="11" a="1"/>
  <c r="U483" i="11" s="1"/>
  <c r="U690" i="11" a="1"/>
  <c r="U690" i="11" s="1"/>
  <c r="U769" i="11" a="1"/>
  <c r="U769" i="11" s="1"/>
  <c r="U375" i="11" a="1"/>
  <c r="U375" i="11" s="1"/>
  <c r="U858" i="11" a="1"/>
  <c r="U858" i="11" s="1"/>
  <c r="U976" i="11" a="1"/>
  <c r="U976" i="11" s="1"/>
  <c r="U888" i="11" a="1"/>
  <c r="U888" i="11" s="1"/>
  <c r="U498" i="11" a="1"/>
  <c r="U498" i="11" s="1"/>
  <c r="U926" i="11" a="1"/>
  <c r="U926" i="11" s="1"/>
  <c r="U874" i="11" a="1"/>
  <c r="U874" i="11" s="1"/>
  <c r="U374" i="11" a="1"/>
  <c r="U374" i="11" s="1"/>
  <c r="U538" i="11" a="1"/>
  <c r="U538" i="11" s="1"/>
  <c r="U956" i="11" a="1"/>
  <c r="U956" i="11" s="1"/>
  <c r="U938" i="11" a="1"/>
  <c r="U938" i="11" s="1"/>
  <c r="U746" i="11" a="1"/>
  <c r="U746" i="11" s="1"/>
  <c r="U307" i="11" a="1"/>
  <c r="U307" i="11" s="1"/>
  <c r="U497" i="11" a="1"/>
  <c r="U497" i="11" s="1"/>
  <c r="U203" i="11" a="1"/>
  <c r="U203" i="11" s="1"/>
  <c r="U310" i="11" a="1"/>
  <c r="U310" i="11" s="1"/>
  <c r="U675" i="11" a="1"/>
  <c r="U675" i="11" s="1"/>
  <c r="U666" i="11" a="1"/>
  <c r="U666" i="11" s="1"/>
  <c r="U565" i="11" a="1"/>
  <c r="U565" i="11" s="1"/>
  <c r="U6" i="11" a="1"/>
  <c r="U6" i="11" s="1"/>
  <c r="U399" i="11" a="1"/>
  <c r="U399" i="11" s="1"/>
  <c r="U126" i="11" a="1"/>
  <c r="U126" i="11" s="1"/>
  <c r="U136" i="11" a="1"/>
  <c r="U136" i="11" s="1"/>
  <c r="U899" i="11" a="1"/>
  <c r="U899" i="11" s="1"/>
  <c r="U540" i="11" a="1"/>
  <c r="U540" i="11" s="1"/>
  <c r="U587" i="11" a="1"/>
  <c r="U587" i="11" s="1"/>
  <c r="U951" i="11" a="1"/>
  <c r="U951" i="11" s="1"/>
  <c r="U702" i="11" a="1"/>
  <c r="U702" i="11" s="1"/>
  <c r="U802" i="11" a="1"/>
  <c r="U802" i="11" s="1"/>
  <c r="U613" i="11" a="1"/>
  <c r="U613" i="11" s="1"/>
  <c r="U220" i="11" a="1"/>
  <c r="U220" i="11" s="1"/>
  <c r="U299" i="11" a="1"/>
  <c r="U299" i="11" s="1"/>
  <c r="U447" i="11" a="1"/>
  <c r="U447" i="11" s="1"/>
  <c r="U15" i="11" a="1"/>
  <c r="U15" i="11" s="1"/>
  <c r="U624" i="11" a="1"/>
  <c r="U624" i="11" s="1"/>
  <c r="U261" i="11" a="1"/>
  <c r="U261" i="11" s="1"/>
  <c r="U807" i="11" a="1"/>
  <c r="U807" i="11" s="1"/>
  <c r="U915" i="11" a="1"/>
  <c r="U915" i="11" s="1"/>
  <c r="U387" i="11" a="1"/>
  <c r="U387" i="11" s="1"/>
  <c r="U32" i="11" a="1"/>
  <c r="U32" i="11" s="1"/>
  <c r="U398" i="11" a="1"/>
  <c r="U398" i="11" s="1"/>
  <c r="U808" i="11" a="1"/>
  <c r="U808" i="11" s="1"/>
  <c r="U516" i="11" a="1"/>
  <c r="U516" i="11" s="1"/>
  <c r="U187" i="11" a="1"/>
  <c r="U187" i="11" s="1"/>
  <c r="U465" i="11" a="1"/>
  <c r="U465" i="11" s="1"/>
  <c r="U806" i="11" a="1"/>
  <c r="U806" i="11" s="1"/>
  <c r="U867" i="11" a="1"/>
  <c r="U867" i="11" s="1"/>
  <c r="U529" i="11" a="1"/>
  <c r="U529" i="11" s="1"/>
  <c r="U450" i="11" a="1"/>
  <c r="U450" i="11" s="1"/>
  <c r="U364" i="11" a="1"/>
  <c r="U364" i="11" s="1"/>
  <c r="U732" i="11" a="1"/>
  <c r="U732" i="11" s="1"/>
  <c r="U622" i="11" a="1"/>
  <c r="U622" i="11" s="1"/>
  <c r="U922" i="11" a="1"/>
  <c r="U922" i="11" s="1"/>
  <c r="U970" i="11" a="1"/>
  <c r="U970" i="11" s="1"/>
  <c r="U5" i="11" a="1"/>
  <c r="U5" i="11" s="1"/>
  <c r="U271" i="11" a="1"/>
  <c r="U271" i="11" s="1"/>
  <c r="U50" i="11" a="1"/>
  <c r="U50" i="11" s="1"/>
  <c r="U275" i="11" a="1"/>
  <c r="U275" i="11" s="1"/>
  <c r="U704" i="11" a="1"/>
  <c r="U704" i="11" s="1"/>
  <c r="U302" i="11" a="1"/>
  <c r="U302" i="11" s="1"/>
  <c r="U64" i="11" a="1"/>
  <c r="U64" i="11" s="1"/>
  <c r="U776" i="11" a="1"/>
  <c r="U776" i="11" s="1"/>
  <c r="U52" i="11" a="1"/>
  <c r="U52" i="11" s="1"/>
  <c r="U84" i="11" a="1"/>
  <c r="U84" i="11" s="1"/>
  <c r="U158" i="11" a="1"/>
  <c r="U158" i="11" s="1"/>
  <c r="U716" i="11" a="1"/>
  <c r="U716" i="11" s="1"/>
  <c r="U549" i="11" a="1"/>
  <c r="U549" i="11" s="1"/>
  <c r="U768" i="11" a="1"/>
  <c r="U768" i="11" s="1"/>
  <c r="U352" i="11" a="1"/>
  <c r="U352" i="11" s="1"/>
  <c r="U381" i="11" a="1"/>
  <c r="U381" i="11" s="1"/>
  <c r="U902" i="11" a="1"/>
  <c r="U902" i="11" s="1"/>
  <c r="U211" i="11" a="1"/>
  <c r="U211" i="11" s="1"/>
  <c r="U204" i="11" a="1"/>
  <c r="U204" i="11" s="1"/>
  <c r="U805" i="11" a="1"/>
  <c r="U805" i="11" s="1"/>
  <c r="U984" i="11" a="1"/>
  <c r="U984" i="11" s="1"/>
  <c r="U389" i="11" a="1"/>
  <c r="U389" i="11" s="1"/>
  <c r="U117" i="11" a="1"/>
  <c r="U117" i="11" s="1"/>
  <c r="U430" i="11" a="1"/>
  <c r="U430" i="11" s="1"/>
  <c r="U191" i="11" a="1"/>
  <c r="U191" i="11" s="1"/>
  <c r="U710" i="11" a="1"/>
  <c r="U710" i="11" s="1"/>
  <c r="U828" i="11" a="1"/>
  <c r="U828" i="11" s="1"/>
  <c r="U214" i="11" a="1"/>
  <c r="U214" i="11" s="1"/>
  <c r="U248" i="11" a="1"/>
  <c r="U248" i="11" s="1"/>
  <c r="U122" i="11" a="1"/>
  <c r="U122" i="11" s="1"/>
  <c r="U232" i="11" a="1"/>
  <c r="U232" i="11" s="1"/>
  <c r="U996" i="11" a="1"/>
  <c r="U996" i="11" s="1"/>
  <c r="U944" i="11" a="1"/>
  <c r="U944" i="11" s="1"/>
  <c r="U873" i="11" a="1"/>
  <c r="U873" i="11" s="1"/>
  <c r="U950" i="11" a="1"/>
  <c r="U950" i="11" s="1"/>
  <c r="U132" i="11" a="1"/>
  <c r="U132" i="11" s="1"/>
  <c r="U221" i="11" a="1"/>
  <c r="U221" i="11" s="1"/>
  <c r="U416" i="11" a="1"/>
  <c r="U416" i="11" s="1"/>
  <c r="U85" i="11" a="1"/>
  <c r="U85" i="11" s="1"/>
  <c r="U478" i="11" a="1"/>
  <c r="U478" i="11" s="1"/>
  <c r="U94" i="11" a="1"/>
  <c r="U94" i="11" s="1"/>
  <c r="U503" i="11" a="1"/>
  <c r="U503" i="11" s="1"/>
  <c r="U672" i="11" a="1"/>
  <c r="U672" i="11" s="1"/>
  <c r="U573" i="11" a="1"/>
  <c r="U573" i="11" s="1"/>
  <c r="U724" i="11" a="1"/>
  <c r="U724" i="11" s="1"/>
  <c r="U635" i="11" a="1"/>
  <c r="U635" i="11" s="1"/>
  <c r="U195" i="11" a="1"/>
  <c r="U195" i="11" s="1"/>
  <c r="U277" i="11" a="1"/>
  <c r="U277" i="11" s="1"/>
  <c r="U97" i="11" a="1"/>
  <c r="U97" i="11" s="1"/>
  <c r="U989" i="11" a="1"/>
  <c r="U989" i="11" s="1"/>
  <c r="U250" i="11" a="1"/>
  <c r="U250" i="11" s="1"/>
  <c r="U383" i="11" a="1"/>
  <c r="U383" i="11" s="1"/>
  <c r="U93" i="11" a="1"/>
  <c r="U93" i="11" s="1"/>
  <c r="U362" i="11" a="1"/>
  <c r="U362" i="11" s="1"/>
  <c r="U196" i="11" a="1"/>
  <c r="U196" i="11" s="1"/>
  <c r="U762" i="11" a="1"/>
  <c r="U762" i="11" s="1"/>
  <c r="U167" i="11" a="1"/>
  <c r="U167" i="11" s="1"/>
  <c r="U948" i="11" a="1"/>
  <c r="U948" i="11" s="1"/>
  <c r="U392" i="11" a="1"/>
  <c r="U392" i="11" s="1"/>
  <c r="U723" i="11" a="1"/>
  <c r="U723" i="11" s="1"/>
  <c r="U143" i="11" a="1"/>
  <c r="U143" i="11" s="1"/>
  <c r="U634" i="11" a="1"/>
  <c r="U634" i="11" s="1"/>
  <c r="U425" i="11" a="1"/>
  <c r="U425" i="11" s="1"/>
  <c r="U379" i="11" a="1"/>
  <c r="U379" i="11" s="1"/>
  <c r="U260" i="11" a="1"/>
  <c r="U260" i="11" s="1"/>
  <c r="U9" i="11" a="1"/>
  <c r="U9" i="11" s="1"/>
  <c r="U245" i="11" a="1"/>
  <c r="U245" i="11" s="1"/>
  <c r="U88" i="11" a="1"/>
  <c r="U88" i="11" s="1"/>
  <c r="U1001" i="11" a="1"/>
  <c r="U1001" i="11" s="1"/>
  <c r="U674" i="11" a="1"/>
  <c r="U674" i="11" s="1"/>
  <c r="U932" i="11" a="1"/>
  <c r="U932" i="11" s="1"/>
  <c r="U137" i="11" a="1"/>
  <c r="U137" i="11" s="1"/>
  <c r="U524" i="11" a="1"/>
  <c r="U524" i="11" s="1"/>
  <c r="U840" i="11" a="1"/>
  <c r="U840" i="11" s="1"/>
  <c r="U179" i="11" a="1"/>
  <c r="U179" i="11" s="1"/>
  <c r="U554" i="11" a="1"/>
  <c r="U554" i="11" s="1"/>
  <c r="U558" i="11" a="1"/>
  <c r="U558" i="11" s="1"/>
  <c r="U55" i="11" a="1"/>
  <c r="U55" i="11" s="1"/>
  <c r="U341" i="11" a="1"/>
  <c r="U341" i="11" s="1"/>
  <c r="U224" i="11" a="1"/>
  <c r="U224" i="11" s="1"/>
  <c r="U844" i="11" a="1"/>
  <c r="U844" i="11" s="1"/>
  <c r="U141" i="11" a="1"/>
  <c r="U141" i="11" s="1"/>
  <c r="U471" i="11" a="1"/>
  <c r="U471" i="11" s="1"/>
  <c r="U842" i="11" a="1"/>
  <c r="U842" i="11" s="1"/>
  <c r="U901" i="11" a="1"/>
  <c r="U901" i="11" s="1"/>
  <c r="U544" i="11" a="1"/>
  <c r="U544" i="11" s="1"/>
  <c r="U819" i="11" a="1"/>
  <c r="U819" i="11" s="1"/>
  <c r="U571" i="11" a="1"/>
  <c r="U571" i="11" s="1"/>
  <c r="U114" i="11" a="1"/>
  <c r="U114" i="11" s="1"/>
  <c r="U667" i="11" a="1"/>
  <c r="U667" i="11" s="1"/>
  <c r="U402" i="11" a="1"/>
  <c r="U402" i="11" s="1"/>
  <c r="U462" i="11" a="1"/>
  <c r="U462" i="11" s="1"/>
  <c r="U313" i="11" a="1"/>
  <c r="U313" i="11" s="1"/>
  <c r="U608" i="11" a="1"/>
  <c r="U608" i="11" s="1"/>
  <c r="U502" i="11" a="1"/>
  <c r="U502" i="11" s="1"/>
  <c r="U527" i="11" a="1"/>
  <c r="U527" i="11" s="1"/>
  <c r="U836" i="11" a="1"/>
  <c r="U836" i="11" s="1"/>
  <c r="U473" i="11" a="1"/>
  <c r="U473" i="11" s="1"/>
  <c r="U303" i="11" a="1"/>
  <c r="U303" i="11" s="1"/>
  <c r="U344" i="11" a="1"/>
  <c r="U344" i="11" s="1"/>
  <c r="U928" i="11" a="1"/>
  <c r="U928" i="11" s="1"/>
  <c r="U682" i="11" a="1"/>
  <c r="U682" i="11" s="1"/>
  <c r="U770" i="11" a="1"/>
  <c r="U770" i="11" s="1"/>
  <c r="U7" i="11" a="1"/>
  <c r="U7" i="11" s="1"/>
  <c r="U228" i="11" a="1"/>
  <c r="U228" i="11" s="1"/>
  <c r="U801" i="11" a="1"/>
  <c r="U801" i="11" s="1"/>
  <c r="U300" i="11" a="1"/>
  <c r="U300" i="11" s="1"/>
  <c r="U101" i="11" a="1"/>
  <c r="U101" i="11" s="1"/>
  <c r="U877" i="11" a="1"/>
  <c r="U877" i="11" s="1"/>
  <c r="U603" i="11" a="1"/>
  <c r="U603" i="11" s="1"/>
  <c r="U747" i="11" a="1"/>
  <c r="U747" i="11" s="1"/>
  <c r="U61" i="11" a="1"/>
  <c r="U61" i="11" s="1"/>
  <c r="U349" i="11" a="1"/>
  <c r="U349" i="11" s="1"/>
  <c r="U18" i="11" a="1"/>
  <c r="U18" i="11" s="1"/>
  <c r="U891" i="11" a="1"/>
  <c r="U891" i="11" s="1"/>
  <c r="U108" i="11" a="1"/>
  <c r="U108" i="11" s="1"/>
  <c r="U36" i="11" a="1"/>
  <c r="U36" i="11" s="1"/>
  <c r="U913" i="11" a="1"/>
  <c r="U913" i="11" s="1"/>
  <c r="U429" i="11" a="1"/>
  <c r="U429" i="11" s="1"/>
  <c r="U659" i="11" a="1"/>
  <c r="U659" i="11" s="1"/>
  <c r="U618" i="11" a="1"/>
  <c r="U618" i="11" s="1"/>
  <c r="U548" i="11" a="1"/>
  <c r="U548" i="11" s="1"/>
  <c r="U34" i="11" a="1"/>
  <c r="U34" i="11" s="1"/>
  <c r="U163" i="11" a="1"/>
  <c r="U163" i="11" s="1"/>
  <c r="U244" i="11" a="1"/>
  <c r="U244" i="11" s="1"/>
  <c r="U688" i="11" a="1"/>
  <c r="U688" i="11" s="1"/>
  <c r="U133" i="11" a="1"/>
  <c r="U133" i="11" s="1"/>
  <c r="U907" i="11" a="1"/>
  <c r="U907" i="11" s="1"/>
  <c r="U643" i="11" a="1"/>
  <c r="U643" i="11" s="1"/>
  <c r="U612" i="11" a="1"/>
  <c r="U612" i="11" s="1"/>
  <c r="U20" i="11" a="1"/>
  <c r="U20" i="11" s="1"/>
  <c r="U317" i="11" a="1"/>
  <c r="U317" i="11" s="1"/>
  <c r="U628" i="11" a="1"/>
  <c r="U628" i="11" s="1"/>
  <c r="U177" i="11" a="1"/>
  <c r="U177" i="11" s="1"/>
  <c r="U600" i="11" a="1"/>
  <c r="U600" i="11" s="1"/>
  <c r="U568" i="11" a="1"/>
  <c r="U568" i="11" s="1"/>
  <c r="U174" i="11" a="1"/>
  <c r="U174" i="11" s="1"/>
  <c r="U530" i="11" a="1"/>
  <c r="U530" i="11" s="1"/>
  <c r="U419" i="11" a="1"/>
  <c r="U419" i="11" s="1"/>
  <c r="U668" i="11" a="1"/>
  <c r="U668" i="11" s="1"/>
  <c r="U734" i="11" a="1"/>
  <c r="U734" i="11" s="1"/>
  <c r="U188" i="11" a="1"/>
  <c r="U188" i="11" s="1"/>
  <c r="U561" i="11" a="1"/>
  <c r="U561" i="11" s="1"/>
  <c r="U33" i="11" a="1"/>
  <c r="U33" i="11" s="1"/>
  <c r="U968" i="11" a="1"/>
  <c r="U968" i="11" s="1"/>
  <c r="U681" i="11" a="1"/>
  <c r="U681" i="11" s="1"/>
  <c r="U620" i="11" a="1"/>
  <c r="U620" i="11" s="1"/>
  <c r="U879" i="11" a="1"/>
  <c r="U879" i="11" s="1"/>
  <c r="U517" i="11" a="1"/>
  <c r="U517" i="11" s="1"/>
  <c r="U499" i="11" a="1"/>
  <c r="U499" i="11" s="1"/>
  <c r="U76" i="11" a="1"/>
  <c r="U76" i="11" s="1"/>
  <c r="U572" i="11" a="1"/>
  <c r="U572" i="11" s="1"/>
  <c r="U583" i="11" a="1"/>
  <c r="U583" i="11" s="1"/>
  <c r="U81" i="11" a="1"/>
  <c r="U81" i="11" s="1"/>
  <c r="U361" i="11" a="1"/>
  <c r="U361" i="11" s="1"/>
  <c r="U12" i="11" a="1"/>
  <c r="U12" i="11" s="1"/>
  <c r="U785" i="11" a="1"/>
  <c r="U785" i="11" s="1"/>
  <c r="U953" i="11" a="1"/>
  <c r="U953" i="11" s="1"/>
  <c r="U774" i="11" a="1"/>
  <c r="U774" i="11" s="1"/>
  <c r="U246" i="11" a="1"/>
  <c r="U246" i="11" s="1"/>
  <c r="U627" i="11" a="1"/>
  <c r="U627" i="11" s="1"/>
  <c r="U713" i="11" a="1"/>
  <c r="U713" i="11" s="1"/>
  <c r="U619" i="11" a="1"/>
  <c r="U619" i="11" s="1"/>
  <c r="U945" i="11" a="1"/>
  <c r="U945" i="11" s="1"/>
  <c r="U1002" i="11" a="1"/>
  <c r="U1002" i="11" s="1"/>
  <c r="U859" i="11" a="1"/>
  <c r="U859" i="11" s="1"/>
  <c r="U397" i="11" a="1"/>
  <c r="U397" i="11" s="1"/>
  <c r="U949" i="11" a="1"/>
  <c r="U949" i="11" s="1"/>
  <c r="U820" i="11" a="1"/>
  <c r="U820" i="11" s="1"/>
  <c r="U982" i="11" a="1"/>
  <c r="U982" i="11" s="1"/>
  <c r="U286" i="11" a="1"/>
  <c r="U286" i="11" s="1"/>
  <c r="U484" i="11" a="1"/>
  <c r="U484" i="11" s="1"/>
  <c r="U795" i="11" a="1"/>
  <c r="U795" i="11" s="1"/>
  <c r="U241" i="11" a="1"/>
  <c r="U241" i="11" s="1"/>
  <c r="U660" i="11" a="1"/>
  <c r="U660" i="11" s="1"/>
  <c r="U981" i="11" a="1"/>
  <c r="U981" i="11" s="1"/>
  <c r="U616" i="11" a="1"/>
  <c r="U616" i="11" s="1"/>
  <c r="U557" i="11" a="1"/>
  <c r="U557" i="11" s="1"/>
  <c r="U107" i="11" a="1"/>
  <c r="U107" i="11" s="1"/>
  <c r="U543" i="11" a="1"/>
  <c r="U543" i="11" s="1"/>
  <c r="U903" i="11" a="1"/>
  <c r="U903" i="11" s="1"/>
  <c r="U754" i="11" a="1"/>
  <c r="U754" i="11" s="1"/>
  <c r="U593" i="11" a="1"/>
  <c r="U593" i="11" s="1"/>
  <c r="U386" i="11" a="1"/>
  <c r="U386" i="11" s="1"/>
  <c r="U264" i="11" a="1"/>
  <c r="U264" i="11" s="1"/>
  <c r="U960" i="11" a="1"/>
  <c r="U960" i="11" s="1"/>
  <c r="U759" i="11" a="1"/>
  <c r="U759" i="11" s="1"/>
  <c r="U839" i="11" a="1"/>
  <c r="U839" i="11" s="1"/>
  <c r="U930" i="11" a="1"/>
  <c r="U930" i="11" s="1"/>
  <c r="U448" i="11" a="1"/>
  <c r="U448" i="11" s="1"/>
  <c r="U486" i="11" a="1"/>
  <c r="U486" i="11" s="1"/>
  <c r="U939" i="11" a="1"/>
  <c r="U939" i="11" s="1"/>
  <c r="U896" i="11" a="1"/>
  <c r="U896" i="11" s="1"/>
  <c r="U719" i="11" a="1"/>
  <c r="U719" i="11" s="1"/>
  <c r="U238" i="11" a="1"/>
  <c r="U238" i="11" s="1"/>
  <c r="U330" i="11" a="1"/>
  <c r="U330" i="11" s="1"/>
  <c r="U403" i="11" a="1"/>
  <c r="U403" i="11" s="1"/>
  <c r="U405" i="11" a="1"/>
  <c r="U405" i="11" s="1"/>
  <c r="U225" i="11" a="1"/>
  <c r="U225" i="11" s="1"/>
  <c r="U591" i="11" a="1"/>
  <c r="U591" i="11" s="1"/>
  <c r="U545" i="11" a="1"/>
  <c r="U545" i="11" s="1"/>
  <c r="U577" i="11" a="1"/>
  <c r="U577" i="11" s="1"/>
  <c r="U369" i="11" a="1"/>
  <c r="U369" i="11" s="1"/>
  <c r="U234" i="11" a="1"/>
  <c r="U234" i="11" s="1"/>
  <c r="U26" i="11" a="1"/>
  <c r="U26" i="11" s="1"/>
  <c r="U267" i="11" a="1"/>
  <c r="U267" i="11" s="1"/>
  <c r="U366" i="11" a="1"/>
  <c r="U366" i="11" s="1"/>
  <c r="U670" i="11" a="1"/>
  <c r="U670" i="11" s="1"/>
  <c r="U738" i="11" a="1"/>
  <c r="U738" i="11" s="1"/>
  <c r="U98" i="11" a="1"/>
  <c r="U98" i="11" s="1"/>
  <c r="U200" i="11" a="1"/>
  <c r="U200" i="11" s="1"/>
  <c r="U44" i="11" a="1"/>
  <c r="U44" i="11" s="1"/>
  <c r="U28" i="11" a="1"/>
  <c r="U28" i="11" s="1"/>
  <c r="U714" i="11" a="1"/>
  <c r="U714" i="11" s="1"/>
  <c r="U942" i="11" a="1"/>
  <c r="U942" i="11" s="1"/>
  <c r="U426" i="11" a="1"/>
  <c r="U426" i="11" s="1"/>
  <c r="U744" i="11" a="1"/>
  <c r="U744" i="11" s="1"/>
  <c r="U227" i="11" a="1"/>
  <c r="U227" i="11" s="1"/>
  <c r="U556" i="11" a="1"/>
  <c r="U556" i="11" s="1"/>
  <c r="U566" i="11" a="1"/>
  <c r="U566" i="11" s="1"/>
  <c r="U685" i="11" a="1"/>
  <c r="U685" i="11" s="1"/>
  <c r="U178" i="11" a="1"/>
  <c r="U178" i="11" s="1"/>
  <c r="U510" i="11" a="1"/>
  <c r="U510" i="11" s="1"/>
  <c r="U570" i="11" a="1"/>
  <c r="U570" i="11" s="1"/>
  <c r="U904" i="11" a="1"/>
  <c r="U904" i="11" s="1"/>
  <c r="U321" i="11" a="1"/>
  <c r="U321" i="11" s="1"/>
  <c r="U332" i="11" a="1"/>
  <c r="U332" i="11" s="1"/>
  <c r="U934" i="11" a="1"/>
  <c r="U934" i="11" s="1"/>
  <c r="U908" i="11" a="1"/>
  <c r="U908" i="11" s="1"/>
  <c r="U144" i="11" a="1"/>
  <c r="U144" i="11" s="1"/>
  <c r="U818" i="11" a="1"/>
  <c r="U818" i="11" s="1"/>
  <c r="U43" i="11" a="1"/>
  <c r="U43" i="11" s="1"/>
  <c r="U82" i="11" a="1"/>
  <c r="U82" i="11" s="1"/>
  <c r="U827" i="11" a="1"/>
  <c r="U827" i="11" s="1"/>
  <c r="U270" i="11" a="1"/>
  <c r="U270" i="11" s="1"/>
  <c r="U297" i="11" a="1"/>
  <c r="U297" i="11" s="1"/>
  <c r="U875" i="11" a="1"/>
  <c r="U875" i="11" s="1"/>
  <c r="U946" i="11" a="1"/>
  <c r="U946" i="11" s="1"/>
  <c r="U139" i="11" a="1"/>
  <c r="U139" i="11" s="1"/>
  <c r="U997" i="11" a="1"/>
  <c r="U997" i="11" s="1"/>
  <c r="U824" i="11" a="1"/>
  <c r="U824" i="11" s="1"/>
  <c r="U287" i="11" a="1"/>
  <c r="U287" i="11" s="1"/>
  <c r="U925" i="11" a="1"/>
  <c r="U925" i="11" s="1"/>
  <c r="U553" i="11" a="1"/>
  <c r="U553" i="11" s="1"/>
  <c r="U192" i="11" a="1"/>
  <c r="U192" i="11" s="1"/>
  <c r="U826" i="11" a="1"/>
  <c r="U826" i="11" s="1"/>
  <c r="U862" i="11" a="1"/>
  <c r="U862" i="11" s="1"/>
  <c r="U712" i="11" a="1"/>
  <c r="U712" i="11" s="1"/>
  <c r="U665" i="11" a="1"/>
  <c r="U665" i="11" s="1"/>
  <c r="U633" i="11" a="1"/>
  <c r="U633" i="11" s="1"/>
  <c r="U669" i="11" a="1"/>
  <c r="U669" i="11" s="1"/>
  <c r="U852" i="11" a="1"/>
  <c r="U852" i="11" s="1"/>
  <c r="U604" i="11" a="1"/>
  <c r="U604" i="11" s="1"/>
  <c r="U539" i="11" a="1"/>
  <c r="U539" i="11" s="1"/>
  <c r="U853" i="11" a="1"/>
  <c r="U853" i="11" s="1"/>
  <c r="U368" i="11" a="1"/>
  <c r="U368" i="11" s="1"/>
  <c r="U943" i="11" a="1"/>
  <c r="U943" i="11" s="1"/>
  <c r="U815" i="11" a="1"/>
  <c r="U815" i="11" s="1"/>
  <c r="U718" i="11" a="1"/>
  <c r="U718" i="11" s="1"/>
  <c r="U243" i="11" a="1"/>
  <c r="U243" i="11" s="1"/>
  <c r="U464" i="11" a="1"/>
  <c r="U464" i="11" s="1"/>
  <c r="U475" i="11" a="1"/>
  <c r="U475" i="11" s="1"/>
  <c r="U123" i="11" a="1"/>
  <c r="U123" i="11" s="1"/>
  <c r="U898" i="11" a="1"/>
  <c r="U898" i="11" s="1"/>
  <c r="U120" i="11" a="1"/>
  <c r="U120" i="11" s="1"/>
  <c r="U912" i="11" a="1"/>
  <c r="U912" i="11" s="1"/>
  <c r="U906" i="11" a="1"/>
  <c r="U906" i="11" s="1"/>
  <c r="U727" i="11" a="1"/>
  <c r="U727" i="11" s="1"/>
  <c r="U518" i="11" a="1"/>
  <c r="U518" i="11" s="1"/>
  <c r="U933" i="11" a="1"/>
  <c r="U933" i="11" s="1"/>
  <c r="U457" i="11" a="1"/>
  <c r="U457" i="11" s="1"/>
  <c r="U803" i="11" a="1"/>
  <c r="U803" i="11" s="1"/>
  <c r="U328" i="11" a="1"/>
  <c r="U328" i="11" s="1"/>
  <c r="U113" i="11" a="1"/>
  <c r="U113" i="11" s="1"/>
  <c r="U201" i="11" a="1"/>
  <c r="U201" i="11" s="1"/>
  <c r="U880" i="11" a="1"/>
  <c r="U880" i="11" s="1"/>
  <c r="U606" i="11" a="1"/>
  <c r="U606" i="11" s="1"/>
  <c r="U455" i="11" a="1"/>
  <c r="U455" i="11" s="1"/>
  <c r="U274" i="11" a="1"/>
  <c r="U274" i="11" s="1"/>
  <c r="U175" i="11" a="1"/>
  <c r="U175" i="11" s="1"/>
  <c r="U931" i="11" a="1"/>
  <c r="U931" i="11" s="1"/>
  <c r="U648" i="11" a="1"/>
  <c r="U648" i="11" s="1"/>
  <c r="U346" i="11" a="1"/>
  <c r="U346" i="11" s="1"/>
  <c r="U892" i="11" a="1"/>
  <c r="U892" i="11" s="1"/>
  <c r="U692" i="11" a="1"/>
  <c r="U692" i="11" s="1"/>
  <c r="U729" i="11" a="1"/>
  <c r="U729" i="11" s="1"/>
  <c r="U168" i="11" a="1"/>
  <c r="U168" i="11" s="1"/>
  <c r="U69" i="11" a="1"/>
  <c r="U69" i="11" s="1"/>
  <c r="U964" i="11" a="1"/>
  <c r="U964" i="11" s="1"/>
  <c r="U789" i="11" a="1"/>
  <c r="U789" i="11" s="1"/>
  <c r="U134" i="11" a="1"/>
  <c r="U134" i="11" s="1"/>
  <c r="U272" i="11" a="1"/>
  <c r="U272" i="11" s="1"/>
  <c r="U786" i="11" a="1"/>
  <c r="U786" i="11" s="1"/>
  <c r="U731" i="11" a="1"/>
  <c r="U731" i="11" s="1"/>
  <c r="U148" i="11" a="1"/>
  <c r="U148" i="11" s="1"/>
  <c r="U550" i="11" a="1"/>
  <c r="U550" i="11" s="1"/>
  <c r="U70" i="11" a="1"/>
  <c r="U70" i="11" s="1"/>
  <c r="U372" i="11" a="1"/>
  <c r="U372" i="11" s="1"/>
  <c r="U295" i="11" a="1"/>
  <c r="U295" i="11" s="1"/>
  <c r="U160" i="11" a="1"/>
  <c r="U160" i="11" s="1"/>
  <c r="U424" i="11" a="1"/>
  <c r="U424" i="11" s="1"/>
  <c r="U535" i="11" a="1"/>
  <c r="U535" i="11" s="1"/>
  <c r="U735" i="11" a="1"/>
  <c r="U735" i="11" s="1"/>
  <c r="U365" i="11" a="1"/>
  <c r="U365" i="11" s="1"/>
  <c r="U753" i="11" a="1"/>
  <c r="U753" i="11" s="1"/>
  <c r="U205" i="11" a="1"/>
  <c r="U205" i="11" s="1"/>
  <c r="U703" i="11" a="1"/>
  <c r="U703" i="11" s="1"/>
  <c r="U772" i="11" a="1"/>
  <c r="U772" i="11" s="1"/>
  <c r="U736" i="11" a="1"/>
  <c r="U736" i="11" s="1"/>
  <c r="U885" i="11" a="1"/>
  <c r="U885" i="11" s="1"/>
  <c r="U38" i="11" a="1"/>
  <c r="U38" i="11" s="1"/>
  <c r="U793" i="11" a="1"/>
  <c r="U793" i="11" s="1"/>
  <c r="U170" i="11" a="1"/>
  <c r="U170" i="11" s="1"/>
  <c r="U217" i="11" a="1"/>
  <c r="U217" i="11" s="1"/>
  <c r="U733" i="11" a="1"/>
  <c r="U733" i="11" s="1"/>
  <c r="U567" i="11" a="1"/>
  <c r="U567" i="11" s="1"/>
  <c r="U650" i="11" a="1"/>
  <c r="U650" i="11" s="1"/>
  <c r="U131" i="11" a="1"/>
  <c r="U131" i="11" s="1"/>
  <c r="U822" i="11" a="1"/>
  <c r="U822" i="11" s="1"/>
  <c r="U638" i="11" a="1"/>
  <c r="U638" i="11" s="1"/>
  <c r="U708" i="11" a="1"/>
  <c r="U708" i="11" s="1"/>
  <c r="U140" i="11" a="1"/>
  <c r="U140" i="11" s="1"/>
  <c r="U749" i="11" a="1"/>
  <c r="U749" i="11" s="1"/>
  <c r="U165" i="11" a="1"/>
  <c r="U165" i="11" s="1"/>
  <c r="U966" i="11" a="1"/>
  <c r="U966" i="11" s="1"/>
  <c r="U356" i="11" a="1"/>
  <c r="U356" i="11" s="1"/>
  <c r="U166" i="11" a="1"/>
  <c r="U166" i="11" s="1"/>
  <c r="U127" i="11" a="1"/>
  <c r="U127" i="11" s="1"/>
  <c r="U373" i="11" a="1"/>
  <c r="U373" i="11" s="1"/>
  <c r="U342" i="11" a="1"/>
  <c r="U342" i="11" s="1"/>
  <c r="U435" i="11" a="1"/>
  <c r="U435" i="11" s="1"/>
  <c r="U438" i="11" a="1"/>
  <c r="U438" i="11" s="1"/>
  <c r="U816" i="11" a="1"/>
  <c r="U816" i="11" s="1"/>
  <c r="U249" i="11" a="1"/>
  <c r="U249" i="11" s="1"/>
  <c r="U831" i="11" a="1"/>
  <c r="U831" i="11" s="1"/>
  <c r="U758" i="11" a="1"/>
  <c r="U758" i="11" s="1"/>
  <c r="U491" i="11" a="1"/>
  <c r="U491" i="11" s="1"/>
  <c r="U189" i="11" a="1"/>
  <c r="U189" i="11" s="1"/>
  <c r="U490" i="11" a="1"/>
  <c r="U490" i="11" s="1"/>
  <c r="U180" i="11" a="1"/>
  <c r="U180" i="11" s="1"/>
  <c r="U792" i="11" a="1"/>
  <c r="U792" i="11" s="1"/>
  <c r="U193" i="11" a="1"/>
  <c r="U193" i="11" s="1"/>
  <c r="U657" i="11" a="1"/>
  <c r="U657" i="11" s="1"/>
  <c r="U3" i="11" a="1"/>
  <c r="U3" i="11" s="1"/>
  <c r="U748" i="11" a="1"/>
  <c r="U748" i="11" s="1"/>
  <c r="U298" i="11" a="1"/>
  <c r="U298" i="11" s="1"/>
  <c r="U881" i="11" a="1"/>
  <c r="U881" i="11" s="1"/>
  <c r="U560" i="11" a="1"/>
  <c r="U560" i="11" s="1"/>
  <c r="U965" i="11" a="1"/>
  <c r="U965" i="11" s="1"/>
  <c r="U870" i="11" a="1"/>
  <c r="U870" i="11" s="1"/>
  <c r="U717" i="11" a="1"/>
  <c r="U717" i="11" s="1"/>
  <c r="U219" i="11" a="1"/>
  <c r="U219" i="11" s="1"/>
  <c r="U479" i="11" a="1"/>
  <c r="U479" i="11" s="1"/>
  <c r="U92" i="11" a="1"/>
  <c r="U92" i="11" s="1"/>
  <c r="U480" i="11" a="1"/>
  <c r="U480" i="11" s="1"/>
  <c r="U194" i="11" a="1"/>
  <c r="U194" i="11" s="1"/>
  <c r="U239" i="11" a="1"/>
  <c r="U239" i="11" s="1"/>
  <c r="U468" i="11" a="1"/>
  <c r="U468" i="11" s="1"/>
  <c r="U493" i="11" a="1"/>
  <c r="U493" i="11" s="1"/>
  <c r="U542" i="11" a="1"/>
  <c r="U542" i="11" s="1"/>
  <c r="U412" i="11" a="1"/>
  <c r="U412" i="11" s="1"/>
  <c r="U351" i="11" a="1"/>
  <c r="U351" i="11" s="1"/>
  <c r="U775" i="11" a="1"/>
  <c r="U775" i="11" s="1"/>
  <c r="U449" i="11" a="1"/>
  <c r="U449" i="11" s="1"/>
  <c r="U596" i="11" a="1"/>
  <c r="U596" i="11" s="1"/>
  <c r="U13" i="11" a="1"/>
  <c r="U13" i="11" s="1"/>
  <c r="U630" i="11" a="1"/>
  <c r="U630" i="11" s="1"/>
  <c r="U338" i="11" a="1"/>
  <c r="U338" i="11" s="1"/>
  <c r="U306" i="11" a="1"/>
  <c r="U306" i="11" s="1"/>
  <c r="U235" i="11" a="1"/>
  <c r="U235" i="11" s="1"/>
  <c r="U414" i="11" a="1"/>
  <c r="U414" i="11" s="1"/>
  <c r="U454" i="11" a="1"/>
  <c r="U454" i="11" s="1"/>
  <c r="U546" i="11" a="1"/>
  <c r="U546" i="11" s="1"/>
  <c r="U408" i="11" a="1"/>
  <c r="U408" i="11" s="1"/>
  <c r="U259" i="11" a="1"/>
  <c r="U259" i="11" s="1"/>
  <c r="U848" i="11" a="1"/>
  <c r="U848" i="11" s="1"/>
  <c r="U226" i="11" a="1"/>
  <c r="U226" i="11" s="1"/>
  <c r="U79" i="11" a="1"/>
  <c r="U79" i="11" s="1"/>
  <c r="U684" i="11" a="1"/>
  <c r="U684" i="11" s="1"/>
  <c r="U512" i="11" a="1"/>
  <c r="U512" i="11" s="1"/>
  <c r="U523" i="11" a="1"/>
  <c r="U523" i="11" s="1"/>
  <c r="U609" i="11" a="1"/>
  <c r="U609" i="11" s="1"/>
  <c r="U894" i="11" a="1"/>
  <c r="U894" i="11" s="1"/>
  <c r="U936" i="11" a="1"/>
  <c r="U936" i="11" s="1"/>
  <c r="U482" i="11" a="1"/>
  <c r="U482" i="11" s="1"/>
  <c r="U649" i="11" a="1"/>
  <c r="U649" i="11" s="1"/>
  <c r="U184" i="11" a="1"/>
  <c r="U184" i="11" s="1"/>
  <c r="U477" i="11" a="1"/>
  <c r="U477" i="11" s="1"/>
  <c r="U511" i="11" a="1"/>
  <c r="U511" i="11" s="1"/>
  <c r="U813" i="11" a="1"/>
  <c r="U813" i="11" s="1"/>
  <c r="U975" i="11" a="1"/>
  <c r="U975" i="11" s="1"/>
  <c r="U222" i="11" a="1"/>
  <c r="U222" i="11" s="1"/>
  <c r="U980" i="11" a="1"/>
  <c r="U980" i="11" s="1"/>
  <c r="U121" i="11" a="1"/>
  <c r="U121" i="11" s="1"/>
  <c r="U883" i="11" a="1"/>
  <c r="U883" i="11" s="1"/>
  <c r="U370" i="11" a="1"/>
  <c r="U370" i="11" s="1"/>
  <c r="U761" i="11" a="1"/>
  <c r="U761" i="11" s="1"/>
  <c r="U29" i="11" a="1"/>
  <c r="U29" i="11" s="1"/>
  <c r="U181" i="11" a="1"/>
  <c r="U181" i="11" s="1"/>
  <c r="U507" i="11" a="1"/>
  <c r="U507" i="11" s="1"/>
  <c r="U515" i="11" a="1"/>
  <c r="U515" i="11" s="1"/>
  <c r="U284" i="11" a="1"/>
  <c r="U284" i="11" s="1"/>
  <c r="U30" i="11" a="1"/>
  <c r="U30" i="11" s="1"/>
  <c r="U626" i="11" a="1"/>
  <c r="U626" i="11" s="1"/>
  <c r="U407" i="11" a="1"/>
  <c r="U407" i="11" s="1"/>
  <c r="U751" i="11" a="1"/>
  <c r="U751" i="11" s="1"/>
  <c r="U513" i="11" a="1"/>
  <c r="U513" i="11" s="1"/>
  <c r="U129" i="11" a="1"/>
  <c r="U129" i="11" s="1"/>
  <c r="U301" i="11" a="1"/>
  <c r="U301" i="11" s="1"/>
  <c r="U446" i="11" a="1"/>
  <c r="U446" i="11" s="1"/>
  <c r="U3" i="10" a="1"/>
  <c r="U3" i="10" s="1"/>
  <c r="U54" i="10" a="1"/>
  <c r="U54" i="10" s="1"/>
  <c r="U55" i="10" a="1"/>
  <c r="U55" i="10" s="1"/>
  <c r="U56" i="10" a="1"/>
  <c r="U56" i="10" s="1"/>
  <c r="U57" i="10" a="1"/>
  <c r="U57" i="10"/>
  <c r="U58" i="10" a="1"/>
  <c r="U58" i="10" s="1"/>
  <c r="U59" i="10" a="1"/>
  <c r="U59" i="10" s="1"/>
  <c r="U60" i="10" a="1"/>
  <c r="U60" i="10"/>
  <c r="U61" i="10" a="1"/>
  <c r="U61" i="10" s="1"/>
  <c r="U62" i="10" a="1"/>
  <c r="U62" i="10" s="1"/>
  <c r="U63" i="10" a="1"/>
  <c r="U63" i="10" s="1"/>
  <c r="U64" i="10" a="1"/>
  <c r="U64" i="10" s="1"/>
  <c r="U65" i="10" a="1"/>
  <c r="U65" i="10" s="1"/>
  <c r="U66" i="10" a="1"/>
  <c r="U66" i="10" s="1"/>
  <c r="U67" i="10" a="1"/>
  <c r="U67" i="10"/>
  <c r="U68" i="10" a="1"/>
  <c r="U68" i="10" s="1"/>
  <c r="U69" i="10" a="1"/>
  <c r="U69" i="10" s="1"/>
  <c r="U70" i="10" a="1"/>
  <c r="U70" i="10" s="1"/>
  <c r="U71" i="10" a="1"/>
  <c r="U71" i="10" s="1"/>
  <c r="U72" i="10" a="1"/>
  <c r="U72" i="10" s="1"/>
  <c r="U73" i="10" a="1"/>
  <c r="U73" i="10" s="1"/>
  <c r="U74" i="10" a="1"/>
  <c r="U74" i="10" s="1"/>
  <c r="U75" i="10" a="1"/>
  <c r="U75" i="10" s="1"/>
  <c r="U76" i="10" a="1"/>
  <c r="U76" i="10" s="1"/>
  <c r="U77" i="10" a="1"/>
  <c r="U77" i="10" s="1"/>
  <c r="U78" i="10" a="1"/>
  <c r="U78" i="10" s="1"/>
  <c r="U79" i="10" a="1"/>
  <c r="U79" i="10"/>
  <c r="U80" i="10" a="1"/>
  <c r="U80" i="10" s="1"/>
  <c r="U81" i="10" a="1"/>
  <c r="U81" i="10" s="1"/>
  <c r="U82" i="10" a="1"/>
  <c r="U82" i="10" s="1"/>
  <c r="U83" i="10" a="1"/>
  <c r="U83" i="10" s="1"/>
  <c r="U84" i="10" a="1"/>
  <c r="U84" i="10"/>
  <c r="U85" i="10" a="1"/>
  <c r="U85" i="10" s="1"/>
  <c r="U86" i="10" a="1"/>
  <c r="U86" i="10" s="1"/>
  <c r="U87" i="10" a="1"/>
  <c r="U87" i="10" s="1"/>
  <c r="U88" i="10" a="1"/>
  <c r="U88" i="10" s="1"/>
  <c r="U89" i="10" a="1"/>
  <c r="U89" i="10" s="1"/>
  <c r="U90" i="10" a="1"/>
  <c r="U90" i="10" s="1"/>
  <c r="U91" i="10" a="1"/>
  <c r="U91" i="10" s="1"/>
  <c r="U92" i="10" a="1"/>
  <c r="U92" i="10"/>
  <c r="U93" i="10" a="1"/>
  <c r="U93" i="10" s="1"/>
  <c r="U94" i="10" a="1"/>
  <c r="U94" i="10" s="1"/>
  <c r="U95" i="10" a="1"/>
  <c r="U95" i="10" s="1"/>
  <c r="U96" i="10" a="1"/>
  <c r="U96" i="10" s="1"/>
  <c r="U97" i="10" a="1"/>
  <c r="U97" i="10" s="1"/>
  <c r="U98" i="10" a="1"/>
  <c r="U98" i="10" s="1"/>
  <c r="U99" i="10" a="1"/>
  <c r="U99" i="10" s="1"/>
  <c r="U100" i="10" a="1"/>
  <c r="U100" i="10" s="1"/>
  <c r="U101" i="10" a="1"/>
  <c r="U101" i="10"/>
  <c r="U102" i="10" a="1"/>
  <c r="U102" i="10" s="1"/>
  <c r="U103" i="10" a="1"/>
  <c r="U103" i="10" s="1"/>
  <c r="U104" i="10" a="1"/>
  <c r="U104" i="10" s="1"/>
  <c r="U105" i="10" a="1"/>
  <c r="U105" i="10" s="1"/>
  <c r="U106" i="10" a="1"/>
  <c r="U106" i="10" s="1"/>
  <c r="U107" i="10" a="1"/>
  <c r="U107" i="10"/>
  <c r="U108" i="10" a="1"/>
  <c r="U108" i="10" s="1"/>
  <c r="U109" i="10" a="1"/>
  <c r="U109" i="10" s="1"/>
  <c r="U110" i="10" a="1"/>
  <c r="U110" i="10" s="1"/>
  <c r="U111" i="10" a="1"/>
  <c r="U111" i="10" s="1"/>
  <c r="U112" i="10" a="1"/>
  <c r="U112" i="10" s="1"/>
  <c r="U113" i="10" a="1"/>
  <c r="U113" i="10" s="1"/>
  <c r="U114" i="10" a="1"/>
  <c r="U114" i="10" s="1"/>
  <c r="U115" i="10" a="1"/>
  <c r="U115" i="10" s="1"/>
  <c r="U116" i="10" a="1"/>
  <c r="U116" i="10" s="1"/>
  <c r="U117" i="10" a="1"/>
  <c r="U117" i="10" s="1"/>
  <c r="U118" i="10" a="1"/>
  <c r="U118" i="10" s="1"/>
  <c r="U119" i="10" a="1"/>
  <c r="U119" i="10" s="1"/>
  <c r="U120" i="10" a="1"/>
  <c r="U120" i="10" s="1"/>
  <c r="U121" i="10" a="1"/>
  <c r="U121" i="10"/>
  <c r="U122" i="10" a="1"/>
  <c r="U122" i="10" s="1"/>
  <c r="U123" i="10" a="1"/>
  <c r="U123" i="10" s="1"/>
  <c r="U124" i="10" a="1"/>
  <c r="U124" i="10" s="1"/>
  <c r="U125" i="10" a="1"/>
  <c r="U125" i="10" s="1"/>
  <c r="U126" i="10" a="1"/>
  <c r="U126" i="10" s="1"/>
  <c r="U127" i="10" a="1"/>
  <c r="U127" i="10" s="1"/>
  <c r="U128" i="10" a="1"/>
  <c r="U128" i="10" s="1"/>
  <c r="U129" i="10" a="1"/>
  <c r="U129" i="10" s="1"/>
  <c r="U130" i="10" a="1"/>
  <c r="U130" i="10" s="1"/>
  <c r="U131" i="10" a="1"/>
  <c r="U131" i="10" s="1"/>
  <c r="U132" i="10" a="1"/>
  <c r="U132" i="10" s="1"/>
  <c r="U133" i="10" a="1"/>
  <c r="U133" i="10" s="1"/>
  <c r="U134" i="10" a="1"/>
  <c r="U134" i="10" s="1"/>
  <c r="U135" i="10" a="1"/>
  <c r="U135" i="10" s="1"/>
  <c r="U136" i="10" a="1"/>
  <c r="U136" i="10" s="1"/>
  <c r="U137" i="10" a="1"/>
  <c r="U137" i="10" s="1"/>
  <c r="U138" i="10" a="1"/>
  <c r="U138" i="10" s="1"/>
  <c r="U139" i="10" a="1"/>
  <c r="U139" i="10" s="1"/>
  <c r="U140" i="10" a="1"/>
  <c r="U140" i="10"/>
  <c r="U141" i="10" a="1"/>
  <c r="U141" i="10" s="1"/>
  <c r="U142" i="10" a="1"/>
  <c r="U142" i="10" s="1"/>
  <c r="U143" i="10" a="1"/>
  <c r="U143" i="10" s="1"/>
  <c r="U144" i="10" a="1"/>
  <c r="U144" i="10" s="1"/>
  <c r="U145" i="10" a="1"/>
  <c r="U145" i="10" s="1"/>
  <c r="U146" i="10" a="1"/>
  <c r="U146" i="10" s="1"/>
  <c r="U147" i="10" a="1"/>
  <c r="U147" i="10" s="1"/>
  <c r="U148" i="10" a="1"/>
  <c r="U148" i="10"/>
  <c r="U149" i="10" a="1"/>
  <c r="U149" i="10"/>
  <c r="U150" i="10" a="1"/>
  <c r="U150" i="10" s="1"/>
  <c r="U151" i="10" a="1"/>
  <c r="U151" i="10" s="1"/>
  <c r="U152" i="10" a="1"/>
  <c r="U152" i="10" s="1"/>
  <c r="U153" i="10" a="1"/>
  <c r="U153" i="10" s="1"/>
  <c r="U154" i="10" a="1"/>
  <c r="U154" i="10" s="1"/>
  <c r="U155" i="10" a="1"/>
  <c r="U155" i="10" s="1"/>
  <c r="U156" i="10" a="1"/>
  <c r="U156" i="10" s="1"/>
  <c r="U157" i="10" a="1"/>
  <c r="U157" i="10" s="1"/>
  <c r="U158" i="10" a="1"/>
  <c r="U158" i="10" s="1"/>
  <c r="U159" i="10" a="1"/>
  <c r="U159" i="10" s="1"/>
  <c r="U160" i="10" a="1"/>
  <c r="U160" i="10" s="1"/>
  <c r="U161" i="10" a="1"/>
  <c r="U161" i="10" s="1"/>
  <c r="U162" i="10" a="1"/>
  <c r="U162" i="10" s="1"/>
  <c r="U163" i="10" a="1"/>
  <c r="U163" i="10" s="1"/>
  <c r="U164" i="10" a="1"/>
  <c r="U164" i="10" s="1"/>
  <c r="U165" i="10" a="1"/>
  <c r="U165" i="10" s="1"/>
  <c r="U166" i="10" a="1"/>
  <c r="U166" i="10" s="1"/>
  <c r="U167" i="10" a="1"/>
  <c r="U167" i="10" s="1"/>
  <c r="U168" i="10" a="1"/>
  <c r="U168" i="10" s="1"/>
  <c r="U169" i="10" a="1"/>
  <c r="U169" i="10" s="1"/>
  <c r="U170" i="10" a="1"/>
  <c r="U170" i="10" s="1"/>
  <c r="U171" i="10" a="1"/>
  <c r="U171" i="10" s="1"/>
  <c r="U172" i="10" a="1"/>
  <c r="U172" i="10" s="1"/>
  <c r="U173" i="10" a="1"/>
  <c r="U173" i="10" s="1"/>
  <c r="U174" i="10" a="1"/>
  <c r="U174" i="10" s="1"/>
  <c r="U175" i="10" a="1"/>
  <c r="U175" i="10" s="1"/>
  <c r="U176" i="10" a="1"/>
  <c r="U176" i="10" s="1"/>
  <c r="U177" i="10" a="1"/>
  <c r="U177" i="10" s="1"/>
  <c r="U178" i="10" a="1"/>
  <c r="U178" i="10" s="1"/>
  <c r="U179" i="10" a="1"/>
  <c r="U179" i="10" s="1"/>
  <c r="U180" i="10" a="1"/>
  <c r="U180" i="10" s="1"/>
  <c r="U181" i="10" a="1"/>
  <c r="U181" i="10" s="1"/>
  <c r="U182" i="10" a="1"/>
  <c r="U182" i="10" s="1"/>
  <c r="U183" i="10" a="1"/>
  <c r="U183" i="10" s="1"/>
  <c r="U184" i="10" a="1"/>
  <c r="U184" i="10" s="1"/>
  <c r="U185" i="10" a="1"/>
  <c r="U185" i="10" s="1"/>
  <c r="U186" i="10" a="1"/>
  <c r="U186" i="10" s="1"/>
  <c r="U187" i="10" a="1"/>
  <c r="U187" i="10" s="1"/>
  <c r="U188" i="10" a="1"/>
  <c r="U188" i="10" s="1"/>
  <c r="U189" i="10" a="1"/>
  <c r="U189" i="10" s="1"/>
  <c r="U190" i="10" a="1"/>
  <c r="U190" i="10" s="1"/>
  <c r="U191" i="10" a="1"/>
  <c r="U191" i="10" s="1"/>
  <c r="U192" i="10" a="1"/>
  <c r="U192" i="10" s="1"/>
  <c r="U193" i="10" a="1"/>
  <c r="U193" i="10" s="1"/>
  <c r="U194" i="10" a="1"/>
  <c r="U194" i="10" s="1"/>
  <c r="U195" i="10" a="1"/>
  <c r="U195" i="10" s="1"/>
  <c r="U196" i="10" a="1"/>
  <c r="U196" i="10" s="1"/>
  <c r="U197" i="10" a="1"/>
  <c r="U197" i="10"/>
  <c r="U198" i="10" a="1"/>
  <c r="U198" i="10" s="1"/>
  <c r="U199" i="10" a="1"/>
  <c r="U199" i="10" s="1"/>
  <c r="U200" i="10" a="1"/>
  <c r="U200" i="10" s="1"/>
  <c r="U201" i="10" a="1"/>
  <c r="U201" i="10" s="1"/>
  <c r="U202" i="10" a="1"/>
  <c r="U202" i="10" s="1"/>
  <c r="U203" i="10" a="1"/>
  <c r="U203" i="10"/>
  <c r="U204" i="10" a="1"/>
  <c r="U204" i="10" s="1"/>
  <c r="U205" i="10" a="1"/>
  <c r="U205" i="10" s="1"/>
  <c r="U206" i="10" a="1"/>
  <c r="U206" i="10" s="1"/>
  <c r="U207" i="10" a="1"/>
  <c r="U207" i="10" s="1"/>
  <c r="U208" i="10" a="1"/>
  <c r="U208" i="10" s="1"/>
  <c r="U209" i="10" a="1"/>
  <c r="U209" i="10" s="1"/>
  <c r="U210" i="10" a="1"/>
  <c r="U210" i="10" s="1"/>
  <c r="U211" i="10" a="1"/>
  <c r="U211" i="10"/>
  <c r="U212" i="10" a="1"/>
  <c r="U212" i="10" s="1"/>
  <c r="U213" i="10" a="1"/>
  <c r="U213" i="10" s="1"/>
  <c r="U214" i="10" a="1"/>
  <c r="U214" i="10" s="1"/>
  <c r="U215" i="10" a="1"/>
  <c r="U215" i="10" s="1"/>
  <c r="U216" i="10" a="1"/>
  <c r="U216" i="10" s="1"/>
  <c r="U217" i="10" a="1"/>
  <c r="U217" i="10" s="1"/>
  <c r="U218" i="10" a="1"/>
  <c r="U218" i="10" s="1"/>
  <c r="U219" i="10" a="1"/>
  <c r="U219" i="10" s="1"/>
  <c r="U220" i="10" a="1"/>
  <c r="U220" i="10" s="1"/>
  <c r="U221" i="10" a="1"/>
  <c r="U221" i="10" s="1"/>
  <c r="U222" i="10" a="1"/>
  <c r="U222" i="10" s="1"/>
  <c r="U223" i="10" a="1"/>
  <c r="U223" i="10" s="1"/>
  <c r="U224" i="10" a="1"/>
  <c r="U224" i="10" s="1"/>
  <c r="U225" i="10" a="1"/>
  <c r="U225" i="10" s="1"/>
  <c r="U226" i="10" a="1"/>
  <c r="U226" i="10" s="1"/>
  <c r="U227" i="10" a="1"/>
  <c r="U227" i="10" s="1"/>
  <c r="U228" i="10" a="1"/>
  <c r="U228" i="10" s="1"/>
  <c r="U229" i="10" a="1"/>
  <c r="U229" i="10" s="1"/>
  <c r="U230" i="10" a="1"/>
  <c r="U230" i="10" s="1"/>
  <c r="U231" i="10" a="1"/>
  <c r="U231" i="10"/>
  <c r="U232" i="10" a="1"/>
  <c r="U232" i="10" s="1"/>
  <c r="U233" i="10" a="1"/>
  <c r="U233" i="10" s="1"/>
  <c r="U234" i="10" a="1"/>
  <c r="U234" i="10" s="1"/>
  <c r="U235" i="10" a="1"/>
  <c r="U235" i="10" s="1"/>
  <c r="U236" i="10" a="1"/>
  <c r="U236" i="10" s="1"/>
  <c r="U237" i="10" a="1"/>
  <c r="U237" i="10" s="1"/>
  <c r="U238" i="10" a="1"/>
  <c r="U238" i="10" s="1"/>
  <c r="U239" i="10" a="1"/>
  <c r="U239" i="10" s="1"/>
  <c r="U240" i="10" a="1"/>
  <c r="U240" i="10" s="1"/>
  <c r="U241" i="10" a="1"/>
  <c r="U241" i="10" s="1"/>
  <c r="U242" i="10" a="1"/>
  <c r="U242" i="10" s="1"/>
  <c r="U243" i="10" a="1"/>
  <c r="U243" i="10" s="1"/>
  <c r="U244" i="10" a="1"/>
  <c r="U244" i="10" s="1"/>
  <c r="U245" i="10" a="1"/>
  <c r="U245" i="10" s="1"/>
  <c r="U246" i="10" a="1"/>
  <c r="U246" i="10" s="1"/>
  <c r="U247" i="10" a="1"/>
  <c r="U247" i="10" s="1"/>
  <c r="U248" i="10" a="1"/>
  <c r="U248" i="10"/>
  <c r="U249" i="10" a="1"/>
  <c r="U249" i="10" s="1"/>
  <c r="U250" i="10" a="1"/>
  <c r="U250" i="10" s="1"/>
  <c r="U251" i="10" a="1"/>
  <c r="U251" i="10" s="1"/>
  <c r="U252" i="10" a="1"/>
  <c r="U252" i="10" s="1"/>
  <c r="U253" i="10" a="1"/>
  <c r="U253" i="10"/>
  <c r="U254" i="10" a="1"/>
  <c r="U254" i="10" s="1"/>
  <c r="U255" i="10" a="1"/>
  <c r="U255" i="10" s="1"/>
  <c r="U256" i="10" a="1"/>
  <c r="U256" i="10" s="1"/>
  <c r="U257" i="10" a="1"/>
  <c r="U257" i="10" s="1"/>
  <c r="U258" i="10" a="1"/>
  <c r="U258" i="10" s="1"/>
  <c r="U259" i="10" a="1"/>
  <c r="U259" i="10"/>
  <c r="U260" i="10" a="1"/>
  <c r="U260" i="10" s="1"/>
  <c r="U261" i="10" a="1"/>
  <c r="U261" i="10" s="1"/>
  <c r="U262" i="10" a="1"/>
  <c r="U262" i="10" s="1"/>
  <c r="U263" i="10" a="1"/>
  <c r="U263" i="10" s="1"/>
  <c r="U264" i="10" a="1"/>
  <c r="U264" i="10" s="1"/>
  <c r="U265" i="10" a="1"/>
  <c r="U265" i="10" s="1"/>
  <c r="U266" i="10" a="1"/>
  <c r="U266" i="10" s="1"/>
  <c r="U267" i="10" a="1"/>
  <c r="U267" i="10" s="1"/>
  <c r="U268" i="10" a="1"/>
  <c r="U268" i="10" s="1"/>
  <c r="U269" i="10" a="1"/>
  <c r="U269" i="10" s="1"/>
  <c r="U270" i="10" a="1"/>
  <c r="U270" i="10" s="1"/>
  <c r="U271" i="10" a="1"/>
  <c r="U271" i="10"/>
  <c r="U272" i="10" a="1"/>
  <c r="U272" i="10" s="1"/>
  <c r="U273" i="10" a="1"/>
  <c r="U273" i="10" s="1"/>
  <c r="U274" i="10" a="1"/>
  <c r="U274" i="10" s="1"/>
  <c r="U275" i="10" a="1"/>
  <c r="U275" i="10"/>
  <c r="U276" i="10" a="1"/>
  <c r="U276" i="10" s="1"/>
  <c r="U277" i="10" a="1"/>
  <c r="U277" i="10" s="1"/>
  <c r="U278" i="10" a="1"/>
  <c r="U278" i="10" s="1"/>
  <c r="U279" i="10" a="1"/>
  <c r="U279" i="10" s="1"/>
  <c r="U280" i="10" a="1"/>
  <c r="U280" i="10" s="1"/>
  <c r="U281" i="10" a="1"/>
  <c r="U281" i="10"/>
  <c r="U282" i="10" a="1"/>
  <c r="U282" i="10" s="1"/>
  <c r="U283" i="10" a="1"/>
  <c r="U283" i="10" s="1"/>
  <c r="U284" i="10" a="1"/>
  <c r="U284" i="10" s="1"/>
  <c r="U285" i="10" a="1"/>
  <c r="U285" i="10" s="1"/>
  <c r="U286" i="10" a="1"/>
  <c r="U286" i="10" s="1"/>
  <c r="U287" i="10" a="1"/>
  <c r="U287" i="10" s="1"/>
  <c r="U288" i="10" a="1"/>
  <c r="U288" i="10" s="1"/>
  <c r="U289" i="10" a="1"/>
  <c r="U289" i="10" s="1"/>
  <c r="U290" i="10" a="1"/>
  <c r="U290" i="10" s="1"/>
  <c r="U291" i="10" a="1"/>
  <c r="U291" i="10" s="1"/>
  <c r="U292" i="10" a="1"/>
  <c r="U292" i="10" s="1"/>
  <c r="U293" i="10" a="1"/>
  <c r="U293" i="10"/>
  <c r="U294" i="10" a="1"/>
  <c r="U294" i="10" s="1"/>
  <c r="U295" i="10" a="1"/>
  <c r="U295" i="10"/>
  <c r="U296" i="10" a="1"/>
  <c r="U296" i="10" s="1"/>
  <c r="U297" i="10" a="1"/>
  <c r="U297" i="10" s="1"/>
  <c r="U298" i="10" a="1"/>
  <c r="U298" i="10" s="1"/>
  <c r="U299" i="10" a="1"/>
  <c r="U299" i="10" s="1"/>
  <c r="U300" i="10" a="1"/>
  <c r="U300" i="10" s="1"/>
  <c r="U301" i="10" a="1"/>
  <c r="U301" i="10" s="1"/>
  <c r="U302" i="10" a="1"/>
  <c r="U302" i="10" s="1"/>
  <c r="U303" i="10" a="1"/>
  <c r="U303" i="10" s="1"/>
  <c r="U304" i="10" a="1"/>
  <c r="U304" i="10" s="1"/>
  <c r="U305" i="10" a="1"/>
  <c r="U305" i="10" s="1"/>
  <c r="U306" i="10" a="1"/>
  <c r="U306" i="10" s="1"/>
  <c r="U307" i="10" a="1"/>
  <c r="U307" i="10" s="1"/>
  <c r="U308" i="10" a="1"/>
  <c r="U308" i="10" s="1"/>
  <c r="U309" i="10" a="1"/>
  <c r="U309" i="10" s="1"/>
  <c r="U310" i="10" a="1"/>
  <c r="U310" i="10" s="1"/>
  <c r="U311" i="10" a="1"/>
  <c r="U311" i="10" s="1"/>
  <c r="U312" i="10" a="1"/>
  <c r="U312" i="10"/>
  <c r="U313" i="10" a="1"/>
  <c r="U313" i="10"/>
  <c r="U314" i="10" a="1"/>
  <c r="U314" i="10" s="1"/>
  <c r="U315" i="10" a="1"/>
  <c r="U315" i="10" s="1"/>
  <c r="U316" i="10" a="1"/>
  <c r="U316" i="10" s="1"/>
  <c r="U317" i="10" a="1"/>
  <c r="U317" i="10" s="1"/>
  <c r="U318" i="10" a="1"/>
  <c r="U318" i="10" s="1"/>
  <c r="U319" i="10" a="1"/>
  <c r="U319" i="10" s="1"/>
  <c r="U320" i="10" a="1"/>
  <c r="U320" i="10" s="1"/>
  <c r="U321" i="10" a="1"/>
  <c r="U321" i="10" s="1"/>
  <c r="U322" i="10" a="1"/>
  <c r="U322" i="10" s="1"/>
  <c r="U323" i="10" a="1"/>
  <c r="U323" i="10"/>
  <c r="U324" i="10" a="1"/>
  <c r="U324" i="10" s="1"/>
  <c r="U325" i="10" a="1"/>
  <c r="U325" i="10" s="1"/>
  <c r="U326" i="10" a="1"/>
  <c r="U326" i="10" s="1"/>
  <c r="U327" i="10" a="1"/>
  <c r="U327" i="10" s="1"/>
  <c r="U328" i="10" a="1"/>
  <c r="U328" i="10" s="1"/>
  <c r="U329" i="10" a="1"/>
  <c r="U329" i="10" s="1"/>
  <c r="U330" i="10" a="1"/>
  <c r="U330" i="10" s="1"/>
  <c r="U331" i="10" a="1"/>
  <c r="U331" i="10" s="1"/>
  <c r="U332" i="10" a="1"/>
  <c r="U332" i="10" s="1"/>
  <c r="U333" i="10" a="1"/>
  <c r="U333" i="10" s="1"/>
  <c r="U334" i="10" a="1"/>
  <c r="U334" i="10" s="1"/>
  <c r="U335" i="10" a="1"/>
  <c r="U335" i="10" s="1"/>
  <c r="U336" i="10" a="1"/>
  <c r="U336" i="10"/>
  <c r="U337" i="10" a="1"/>
  <c r="U337" i="10" s="1"/>
  <c r="U338" i="10" a="1"/>
  <c r="U338" i="10" s="1"/>
  <c r="U339" i="10" a="1"/>
  <c r="U339" i="10" s="1"/>
  <c r="U340" i="10" a="1"/>
  <c r="U340" i="10" s="1"/>
  <c r="U341" i="10" a="1"/>
  <c r="U341" i="10"/>
  <c r="U342" i="10" a="1"/>
  <c r="U342" i="10" s="1"/>
  <c r="U343" i="10" a="1"/>
  <c r="U343" i="10" s="1"/>
  <c r="U344" i="10" a="1"/>
  <c r="U344" i="10" s="1"/>
  <c r="U345" i="10" a="1"/>
  <c r="U345" i="10" s="1"/>
  <c r="U346" i="10" a="1"/>
  <c r="U346" i="10" s="1"/>
  <c r="U347" i="10" a="1"/>
  <c r="U347" i="10" s="1"/>
  <c r="U348" i="10" a="1"/>
  <c r="U348" i="10"/>
  <c r="U349" i="10" a="1"/>
  <c r="U349" i="10" s="1"/>
  <c r="U350" i="10" a="1"/>
  <c r="U350" i="10" s="1"/>
  <c r="U351" i="10" a="1"/>
  <c r="U351" i="10" s="1"/>
  <c r="U352" i="10" a="1"/>
  <c r="U352" i="10" s="1"/>
  <c r="U353" i="10" a="1"/>
  <c r="U353" i="10" s="1"/>
  <c r="U354" i="10" a="1"/>
  <c r="U354" i="10" s="1"/>
  <c r="U355" i="10" a="1"/>
  <c r="U355" i="10"/>
  <c r="U356" i="10" a="1"/>
  <c r="U356" i="10" s="1"/>
  <c r="U357" i="10" a="1"/>
  <c r="U357" i="10" s="1"/>
  <c r="U358" i="10" a="1"/>
  <c r="U358" i="10" s="1"/>
  <c r="U359" i="10" a="1"/>
  <c r="U359" i="10" s="1"/>
  <c r="U360" i="10" a="1"/>
  <c r="U360" i="10" s="1"/>
  <c r="U361" i="10" a="1"/>
  <c r="U361" i="10" s="1"/>
  <c r="U362" i="10" a="1"/>
  <c r="U362" i="10" s="1"/>
  <c r="U363" i="10" a="1"/>
  <c r="U363" i="10" s="1"/>
  <c r="U364" i="10" a="1"/>
  <c r="U364" i="10" s="1"/>
  <c r="U365" i="10" a="1"/>
  <c r="U365" i="10" s="1"/>
  <c r="U366" i="10" a="1"/>
  <c r="U366" i="10" s="1"/>
  <c r="U367" i="10" a="1"/>
  <c r="U367" i="10"/>
  <c r="U368" i="10" a="1"/>
  <c r="U368" i="10" s="1"/>
  <c r="U369" i="10" a="1"/>
  <c r="U369" i="10" s="1"/>
  <c r="U370" i="10" a="1"/>
  <c r="U370" i="10" s="1"/>
  <c r="U371" i="10" a="1"/>
  <c r="U371" i="10"/>
  <c r="U372" i="10" a="1"/>
  <c r="U372" i="10" s="1"/>
  <c r="U373" i="10" a="1"/>
  <c r="U373" i="10" s="1"/>
  <c r="U374" i="10" a="1"/>
  <c r="U374" i="10" s="1"/>
  <c r="U375" i="10" a="1"/>
  <c r="U375" i="10" s="1"/>
  <c r="U376" i="10" a="1"/>
  <c r="U376" i="10" s="1"/>
  <c r="U377" i="10" a="1"/>
  <c r="U377" i="10" s="1"/>
  <c r="U378" i="10" a="1"/>
  <c r="U378" i="10" s="1"/>
  <c r="U379" i="10" a="1"/>
  <c r="U379" i="10" s="1"/>
  <c r="U380" i="10" a="1"/>
  <c r="U380" i="10" s="1"/>
  <c r="U381" i="10" a="1"/>
  <c r="U381" i="10" s="1"/>
  <c r="U382" i="10" a="1"/>
  <c r="U382" i="10" s="1"/>
  <c r="U383" i="10" a="1"/>
  <c r="U383" i="10" s="1"/>
  <c r="U384" i="10" a="1"/>
  <c r="U384" i="10" s="1"/>
  <c r="U385" i="10" a="1"/>
  <c r="U385" i="10" s="1"/>
  <c r="U386" i="10" a="1"/>
  <c r="U386" i="10" s="1"/>
  <c r="U387" i="10" a="1"/>
  <c r="U387" i="10"/>
  <c r="U388" i="10" a="1"/>
  <c r="U388" i="10" s="1"/>
  <c r="U389" i="10" a="1"/>
  <c r="U389" i="10" s="1"/>
  <c r="U390" i="10" a="1"/>
  <c r="U390" i="10" s="1"/>
  <c r="U391" i="10" a="1"/>
  <c r="U391" i="10" s="1"/>
  <c r="U392" i="10" a="1"/>
  <c r="U392" i="10" s="1"/>
  <c r="U393" i="10" a="1"/>
  <c r="U393" i="10" s="1"/>
  <c r="U394" i="10" a="1"/>
  <c r="U394" i="10" s="1"/>
  <c r="U395" i="10" a="1"/>
  <c r="U395" i="10" s="1"/>
  <c r="U396" i="10" a="1"/>
  <c r="U396" i="10" s="1"/>
  <c r="U397" i="10" a="1"/>
  <c r="U397" i="10" s="1"/>
  <c r="U398" i="10" a="1"/>
  <c r="U398" i="10" s="1"/>
  <c r="U399" i="10" a="1"/>
  <c r="U399" i="10" s="1"/>
  <c r="U400" i="10" a="1"/>
  <c r="U400" i="10" s="1"/>
  <c r="U401" i="10" a="1"/>
  <c r="U401" i="10" s="1"/>
  <c r="U402" i="10" a="1"/>
  <c r="U402" i="10" s="1"/>
  <c r="U403" i="10" a="1"/>
  <c r="U403" i="10" s="1"/>
  <c r="U404" i="10" a="1"/>
  <c r="U404" i="10" s="1"/>
  <c r="U405" i="10" a="1"/>
  <c r="U405" i="10" s="1"/>
  <c r="U406" i="10" a="1"/>
  <c r="U406" i="10" s="1"/>
  <c r="U407" i="10" a="1"/>
  <c r="U407" i="10" s="1"/>
  <c r="U408" i="10" a="1"/>
  <c r="U408" i="10" s="1"/>
  <c r="U409" i="10" a="1"/>
  <c r="U409" i="10" s="1"/>
  <c r="U410" i="10" a="1"/>
  <c r="U410" i="10" s="1"/>
  <c r="U411" i="10" a="1"/>
  <c r="U411" i="10" s="1"/>
  <c r="U412" i="10" a="1"/>
  <c r="U412" i="10" s="1"/>
  <c r="U413" i="10" a="1"/>
  <c r="U413" i="10" s="1"/>
  <c r="U414" i="10" a="1"/>
  <c r="U414" i="10"/>
  <c r="U415" i="10" a="1"/>
  <c r="U415" i="10" s="1"/>
  <c r="U416" i="10" a="1"/>
  <c r="U416" i="10" s="1"/>
  <c r="U417" i="10" a="1"/>
  <c r="U417" i="10" s="1"/>
  <c r="U418" i="10" a="1"/>
  <c r="U418" i="10" s="1"/>
  <c r="U419" i="10" a="1"/>
  <c r="U419" i="10"/>
  <c r="U420" i="10" a="1"/>
  <c r="U420" i="10"/>
  <c r="U421" i="10" a="1"/>
  <c r="U421" i="10" s="1"/>
  <c r="U422" i="10" a="1"/>
  <c r="U422" i="10" s="1"/>
  <c r="U423" i="10" a="1"/>
  <c r="U423" i="10" s="1"/>
  <c r="U424" i="10" a="1"/>
  <c r="U424" i="10" s="1"/>
  <c r="U425" i="10" a="1"/>
  <c r="U425" i="10" s="1"/>
  <c r="U426" i="10" a="1"/>
  <c r="U426" i="10" s="1"/>
  <c r="U427" i="10" a="1"/>
  <c r="U427" i="10" s="1"/>
  <c r="U428" i="10" a="1"/>
  <c r="U428" i="10" s="1"/>
  <c r="U429" i="10" a="1"/>
  <c r="U429" i="10" s="1"/>
  <c r="U430" i="10" a="1"/>
  <c r="U430" i="10" s="1"/>
  <c r="U431" i="10" a="1"/>
  <c r="U431" i="10" s="1"/>
  <c r="U432" i="10" a="1"/>
  <c r="U432" i="10"/>
  <c r="U433" i="10" a="1"/>
  <c r="U433" i="10" s="1"/>
  <c r="U434" i="10" a="1"/>
  <c r="U434" i="10" s="1"/>
  <c r="U435" i="10" a="1"/>
  <c r="U435" i="10" s="1"/>
  <c r="U436" i="10" a="1"/>
  <c r="U436" i="10" s="1"/>
  <c r="U437" i="10" a="1"/>
  <c r="U437" i="10" s="1"/>
  <c r="U438" i="10" a="1"/>
  <c r="U438" i="10"/>
  <c r="U439" i="10" a="1"/>
  <c r="U439" i="10" s="1"/>
  <c r="U440" i="10" a="1"/>
  <c r="U440" i="10" s="1"/>
  <c r="U441" i="10" a="1"/>
  <c r="U441" i="10" s="1"/>
  <c r="U442" i="10" a="1"/>
  <c r="U442" i="10" s="1"/>
  <c r="U443" i="10" a="1"/>
  <c r="U443" i="10"/>
  <c r="U444" i="10" a="1"/>
  <c r="U444" i="10" s="1"/>
  <c r="U445" i="10" a="1"/>
  <c r="U445" i="10" s="1"/>
  <c r="U446" i="10" a="1"/>
  <c r="U446" i="10" s="1"/>
  <c r="U447" i="10" a="1"/>
  <c r="U447" i="10" s="1"/>
  <c r="U448" i="10" a="1"/>
  <c r="U448" i="10" s="1"/>
  <c r="U449" i="10" a="1"/>
  <c r="U449" i="10" s="1"/>
  <c r="U450" i="10" a="1"/>
  <c r="U450" i="10" s="1"/>
  <c r="U451" i="10" a="1"/>
  <c r="U451" i="10" s="1"/>
  <c r="U452" i="10" a="1"/>
  <c r="U452" i="10" s="1"/>
  <c r="U453" i="10" a="1"/>
  <c r="U453" i="10" s="1"/>
  <c r="U454" i="10" a="1"/>
  <c r="U454" i="10" s="1"/>
  <c r="U455" i="10" a="1"/>
  <c r="U455" i="10"/>
  <c r="U456" i="10" a="1"/>
  <c r="U456" i="10"/>
  <c r="U457" i="10" a="1"/>
  <c r="U457" i="10" s="1"/>
  <c r="U458" i="10" a="1"/>
  <c r="U458" i="10" s="1"/>
  <c r="U459" i="10" a="1"/>
  <c r="U459" i="10" s="1"/>
  <c r="U460" i="10" a="1"/>
  <c r="U460" i="10" s="1"/>
  <c r="U461" i="10" a="1"/>
  <c r="U461" i="10" s="1"/>
  <c r="U462" i="10" a="1"/>
  <c r="U462" i="10"/>
  <c r="U463" i="10" a="1"/>
  <c r="U463" i="10" s="1"/>
  <c r="U464" i="10" a="1"/>
  <c r="U464" i="10" s="1"/>
  <c r="U465" i="10" a="1"/>
  <c r="U465" i="10" s="1"/>
  <c r="U466" i="10" a="1"/>
  <c r="U466" i="10" s="1"/>
  <c r="U467" i="10" a="1"/>
  <c r="U467" i="10" s="1"/>
  <c r="U468" i="10" a="1"/>
  <c r="U468" i="10" s="1"/>
  <c r="U469" i="10" a="1"/>
  <c r="U469" i="10" s="1"/>
  <c r="U470" i="10" a="1"/>
  <c r="U470" i="10" s="1"/>
  <c r="U471" i="10" a="1"/>
  <c r="U471" i="10" s="1"/>
  <c r="U472" i="10" a="1"/>
  <c r="U472" i="10" s="1"/>
  <c r="U473" i="10" a="1"/>
  <c r="U473" i="10" s="1"/>
  <c r="U474" i="10" a="1"/>
  <c r="U474" i="10"/>
  <c r="U475" i="10" a="1"/>
  <c r="U475" i="10" s="1"/>
  <c r="U476" i="10" a="1"/>
  <c r="U476" i="10" s="1"/>
  <c r="U477" i="10" a="1"/>
  <c r="U477" i="10" s="1"/>
  <c r="U478" i="10" a="1"/>
  <c r="U478" i="10" s="1"/>
  <c r="U479" i="10" a="1"/>
  <c r="U479" i="10"/>
  <c r="U480" i="10" a="1"/>
  <c r="U480" i="10"/>
  <c r="U481" i="10" a="1"/>
  <c r="U481" i="10" s="1"/>
  <c r="U482" i="10" a="1"/>
  <c r="U482" i="10" s="1"/>
  <c r="U483" i="10" a="1"/>
  <c r="U483" i="10" s="1"/>
  <c r="U484" i="10" a="1"/>
  <c r="U484" i="10" s="1"/>
  <c r="U485" i="10" a="1"/>
  <c r="U485" i="10" s="1"/>
  <c r="U486" i="10" a="1"/>
  <c r="U486" i="10" s="1"/>
  <c r="U487" i="10" a="1"/>
  <c r="U487" i="10" s="1"/>
  <c r="U488" i="10" a="1"/>
  <c r="U488" i="10" s="1"/>
  <c r="U489" i="10" a="1"/>
  <c r="U489" i="10" s="1"/>
  <c r="U490" i="10" a="1"/>
  <c r="U490" i="10" s="1"/>
  <c r="U491" i="10" a="1"/>
  <c r="U491" i="10" s="1"/>
  <c r="U492" i="10" a="1"/>
  <c r="U492" i="10"/>
  <c r="U493" i="10" a="1"/>
  <c r="U493" i="10" s="1"/>
  <c r="U494" i="10" a="1"/>
  <c r="U494" i="10" s="1"/>
  <c r="U495" i="10" a="1"/>
  <c r="U495" i="10" s="1"/>
  <c r="U496" i="10" a="1"/>
  <c r="U496" i="10" s="1"/>
  <c r="U497" i="10" a="1"/>
  <c r="U497" i="10" s="1"/>
  <c r="U498" i="10" a="1"/>
  <c r="U498" i="10" s="1"/>
  <c r="U499" i="10" a="1"/>
  <c r="U499" i="10" s="1"/>
  <c r="U500" i="10" a="1"/>
  <c r="U500" i="10" s="1"/>
  <c r="U501" i="10" a="1"/>
  <c r="U501" i="10" s="1"/>
  <c r="U502" i="10" a="1"/>
  <c r="U502" i="10" s="1"/>
  <c r="U503" i="10" a="1"/>
  <c r="U503" i="10" s="1"/>
  <c r="U504" i="10" a="1"/>
  <c r="U504" i="10" s="1"/>
  <c r="U505" i="10" a="1"/>
  <c r="U505" i="10" s="1"/>
  <c r="U506" i="10" a="1"/>
  <c r="U506" i="10"/>
  <c r="U507" i="10" a="1"/>
  <c r="U507" i="10" s="1"/>
  <c r="U508" i="10" a="1"/>
  <c r="U508" i="10" s="1"/>
  <c r="U509" i="10" a="1"/>
  <c r="U509" i="10" s="1"/>
  <c r="U510" i="10" a="1"/>
  <c r="U510" i="10" s="1"/>
  <c r="U511" i="10" a="1"/>
  <c r="U511" i="10" s="1"/>
  <c r="U512" i="10" a="1"/>
  <c r="U512" i="10" s="1"/>
  <c r="U513" i="10" a="1"/>
  <c r="U513" i="10" s="1"/>
  <c r="U514" i="10" a="1"/>
  <c r="U514" i="10" s="1"/>
  <c r="U515" i="10" a="1"/>
  <c r="U515" i="10" s="1"/>
  <c r="U516" i="10" a="1"/>
  <c r="U516" i="10"/>
  <c r="U517" i="10" a="1"/>
  <c r="U517" i="10" s="1"/>
  <c r="U518" i="10" a="1"/>
  <c r="U518" i="10" s="1"/>
  <c r="U519" i="10" a="1"/>
  <c r="U519" i="10"/>
  <c r="U520" i="10" a="1"/>
  <c r="U520" i="10" s="1"/>
  <c r="U521" i="10" a="1"/>
  <c r="U521" i="10" s="1"/>
  <c r="U522" i="10" a="1"/>
  <c r="U522" i="10" s="1"/>
  <c r="U523" i="10" a="1"/>
  <c r="U523" i="10" s="1"/>
  <c r="U524" i="10" a="1"/>
  <c r="U524" i="10"/>
  <c r="U525" i="10" a="1"/>
  <c r="U525" i="10" s="1"/>
  <c r="U526" i="10" a="1"/>
  <c r="U526" i="10" s="1"/>
  <c r="U527" i="10" a="1"/>
  <c r="U527" i="10" s="1"/>
  <c r="U528" i="10" a="1"/>
  <c r="U528" i="10" s="1"/>
  <c r="U529" i="10" a="1"/>
  <c r="U529" i="10" s="1"/>
  <c r="U530" i="10" a="1"/>
  <c r="U530" i="10"/>
  <c r="U531" i="10" a="1"/>
  <c r="U531" i="10" s="1"/>
  <c r="U532" i="10" a="1"/>
  <c r="U532" i="10" s="1"/>
  <c r="U533" i="10" a="1"/>
  <c r="U533" i="10" s="1"/>
  <c r="U534" i="10" a="1"/>
  <c r="U534" i="10" s="1"/>
  <c r="U535" i="10" a="1"/>
  <c r="U535" i="10"/>
  <c r="U536" i="10" a="1"/>
  <c r="U536" i="10" s="1"/>
  <c r="U537" i="10" a="1"/>
  <c r="U537" i="10" s="1"/>
  <c r="U538" i="10" a="1"/>
  <c r="U538" i="10" s="1"/>
  <c r="U539" i="10" a="1"/>
  <c r="U539" i="10"/>
  <c r="U540" i="10" a="1"/>
  <c r="U540" i="10" s="1"/>
  <c r="U541" i="10" a="1"/>
  <c r="U541" i="10" s="1"/>
  <c r="U542" i="10" a="1"/>
  <c r="U542" i="10" s="1"/>
  <c r="U543" i="10" a="1"/>
  <c r="U543" i="10" s="1"/>
  <c r="U544" i="10" a="1"/>
  <c r="U544" i="10" s="1"/>
  <c r="U545" i="10" a="1"/>
  <c r="U545" i="10" s="1"/>
  <c r="U546" i="10" a="1"/>
  <c r="U546" i="10" s="1"/>
  <c r="U547" i="10" a="1"/>
  <c r="U547" i="10" s="1"/>
  <c r="U548" i="10" a="1"/>
  <c r="U548" i="10" s="1"/>
  <c r="U549" i="10" a="1"/>
  <c r="U549" i="10" s="1"/>
  <c r="U550" i="10" a="1"/>
  <c r="U550" i="10" s="1"/>
  <c r="U551" i="10" a="1"/>
  <c r="U551" i="10" s="1"/>
  <c r="U552" i="10" a="1"/>
  <c r="U552" i="10" s="1"/>
  <c r="U553" i="10" a="1"/>
  <c r="U553" i="10" s="1"/>
  <c r="U554" i="10" a="1"/>
  <c r="U554" i="10" s="1"/>
  <c r="U555" i="10" a="1"/>
  <c r="U555" i="10" s="1"/>
  <c r="U556" i="10" a="1"/>
  <c r="U556" i="10" s="1"/>
  <c r="U557" i="10" a="1"/>
  <c r="U557" i="10" s="1"/>
  <c r="U558" i="10" a="1"/>
  <c r="U558" i="10" s="1"/>
  <c r="U559" i="10" a="1"/>
  <c r="U559" i="10" s="1"/>
  <c r="U560" i="10" a="1"/>
  <c r="U560" i="10"/>
  <c r="U561" i="10" a="1"/>
  <c r="U561" i="10" s="1"/>
  <c r="U562" i="10" a="1"/>
  <c r="U562" i="10"/>
  <c r="U563" i="10" a="1"/>
  <c r="U563" i="10" s="1"/>
  <c r="U564" i="10" a="1"/>
  <c r="U564" i="10" s="1"/>
  <c r="U565" i="10" a="1"/>
  <c r="U565" i="10" s="1"/>
  <c r="U566" i="10" a="1"/>
  <c r="U566" i="10"/>
  <c r="U567" i="10" a="1"/>
  <c r="U567" i="10" s="1"/>
  <c r="U568" i="10" a="1"/>
  <c r="U568" i="10" s="1"/>
  <c r="U569" i="10" a="1"/>
  <c r="U569" i="10" s="1"/>
  <c r="U570" i="10" a="1"/>
  <c r="U570" i="10" s="1"/>
  <c r="U571" i="10" a="1"/>
  <c r="U571" i="10" s="1"/>
  <c r="U572" i="10" a="1"/>
  <c r="U572" i="10" s="1"/>
  <c r="U573" i="10" a="1"/>
  <c r="U573" i="10" s="1"/>
  <c r="U574" i="10" a="1"/>
  <c r="U574" i="10"/>
  <c r="U575" i="10" a="1"/>
  <c r="U575" i="10" s="1"/>
  <c r="U576" i="10" a="1"/>
  <c r="U576" i="10" s="1"/>
  <c r="U577" i="10" a="1"/>
  <c r="U577" i="10" s="1"/>
  <c r="U578" i="10" a="1"/>
  <c r="U578" i="10" s="1"/>
  <c r="U579" i="10" a="1"/>
  <c r="U579" i="10"/>
  <c r="U580" i="10" a="1"/>
  <c r="U580" i="10" s="1"/>
  <c r="U581" i="10" a="1"/>
  <c r="U581" i="10" s="1"/>
  <c r="U582" i="10" a="1"/>
  <c r="U582" i="10" s="1"/>
  <c r="U583" i="10" a="1"/>
  <c r="U583" i="10" s="1"/>
  <c r="U584" i="10" a="1"/>
  <c r="U584" i="10"/>
  <c r="U585" i="10" a="1"/>
  <c r="U585" i="10" s="1"/>
  <c r="U586" i="10" a="1"/>
  <c r="U586" i="10" s="1"/>
  <c r="U587" i="10" a="1"/>
  <c r="U587" i="10" s="1"/>
  <c r="U588" i="10" a="1"/>
  <c r="U588" i="10" s="1"/>
  <c r="U589" i="10" a="1"/>
  <c r="U589" i="10" s="1"/>
  <c r="U590" i="10" a="1"/>
  <c r="U590" i="10"/>
  <c r="U591" i="10" a="1"/>
  <c r="U591" i="10" s="1"/>
  <c r="U592" i="10" a="1"/>
  <c r="U592" i="10" s="1"/>
  <c r="U593" i="10" a="1"/>
  <c r="U593" i="10" s="1"/>
  <c r="U594" i="10" a="1"/>
  <c r="U594" i="10" s="1"/>
  <c r="U595" i="10" a="1"/>
  <c r="U595" i="10" s="1"/>
  <c r="U596" i="10" a="1"/>
  <c r="U596" i="10" s="1"/>
  <c r="U597" i="10" a="1"/>
  <c r="U597" i="10" s="1"/>
  <c r="U598" i="10" a="1"/>
  <c r="U598" i="10" s="1"/>
  <c r="U599" i="10" a="1"/>
  <c r="U599" i="10"/>
  <c r="U600" i="10" a="1"/>
  <c r="U600" i="10" s="1"/>
  <c r="U601" i="10" a="1"/>
  <c r="U601" i="10" s="1"/>
  <c r="U602" i="10" a="1"/>
  <c r="U602" i="10" s="1"/>
  <c r="U603" i="10" a="1"/>
  <c r="U603" i="10" s="1"/>
  <c r="U604" i="10" a="1"/>
  <c r="U604" i="10" s="1"/>
  <c r="U605" i="10" a="1"/>
  <c r="U605" i="10" s="1"/>
  <c r="U606" i="10" a="1"/>
  <c r="U606" i="10"/>
  <c r="U607" i="10" a="1"/>
  <c r="U607" i="10" s="1"/>
  <c r="U608" i="10" a="1"/>
  <c r="U608" i="10" s="1"/>
  <c r="U609" i="10" a="1"/>
  <c r="U609" i="10" s="1"/>
  <c r="U610" i="10" a="1"/>
  <c r="U610" i="10" s="1"/>
  <c r="U611" i="10" a="1"/>
  <c r="U611" i="10"/>
  <c r="U612" i="10" a="1"/>
  <c r="U612" i="10"/>
  <c r="U613" i="10" a="1"/>
  <c r="U613" i="10" s="1"/>
  <c r="U614" i="10" a="1"/>
  <c r="U614" i="10" s="1"/>
  <c r="U615" i="10" a="1"/>
  <c r="U615" i="10" s="1"/>
  <c r="U616" i="10" a="1"/>
  <c r="U616" i="10" s="1"/>
  <c r="U617" i="10" a="1"/>
  <c r="U617" i="10" s="1"/>
  <c r="U618" i="10" a="1"/>
  <c r="U618" i="10" s="1"/>
  <c r="U619" i="10" a="1"/>
  <c r="U619" i="10" s="1"/>
  <c r="U620" i="10" a="1"/>
  <c r="U620" i="10"/>
  <c r="U621" i="10" a="1"/>
  <c r="U621" i="10" s="1"/>
  <c r="U622" i="10" a="1"/>
  <c r="U622" i="10" s="1"/>
  <c r="U623" i="10" a="1"/>
  <c r="U623" i="10"/>
  <c r="U624" i="10" a="1"/>
  <c r="U624" i="10" s="1"/>
  <c r="U625" i="10" a="1"/>
  <c r="U625" i="10" s="1"/>
  <c r="U626" i="10" a="1"/>
  <c r="U626" i="10" s="1"/>
  <c r="U627" i="10" a="1"/>
  <c r="U627" i="10"/>
  <c r="U628" i="10" a="1"/>
  <c r="U628" i="10" s="1"/>
  <c r="U629" i="10" a="1"/>
  <c r="U629" i="10" s="1"/>
  <c r="U630" i="10" a="1"/>
  <c r="U630" i="10" s="1"/>
  <c r="U631" i="10" a="1"/>
  <c r="U631" i="10" s="1"/>
  <c r="U632" i="10" a="1"/>
  <c r="U632" i="10" s="1"/>
  <c r="U633" i="10" a="1"/>
  <c r="U633" i="10" s="1"/>
  <c r="U634" i="10" a="1"/>
  <c r="U634" i="10"/>
  <c r="U635" i="10" a="1"/>
  <c r="U635" i="10" s="1"/>
  <c r="U636" i="10" a="1"/>
  <c r="U636" i="10"/>
  <c r="U637" i="10" a="1"/>
  <c r="U637" i="10" s="1"/>
  <c r="U638" i="10" a="1"/>
  <c r="U638" i="10"/>
  <c r="U639" i="10" a="1"/>
  <c r="U639" i="10" s="1"/>
  <c r="U640" i="10" a="1"/>
  <c r="U640" i="10" s="1"/>
  <c r="U641" i="10" a="1"/>
  <c r="U641" i="10" s="1"/>
  <c r="U642" i="10" a="1"/>
  <c r="U642" i="10" s="1"/>
  <c r="U643" i="10" a="1"/>
  <c r="U643" i="10" s="1"/>
  <c r="U644" i="10" a="1"/>
  <c r="U644" i="10"/>
  <c r="U645" i="10" a="1"/>
  <c r="U645" i="10" s="1"/>
  <c r="U646" i="10" a="1"/>
  <c r="U646" i="10" s="1"/>
  <c r="U647" i="10" a="1"/>
  <c r="U647" i="10"/>
  <c r="U648" i="10" a="1"/>
  <c r="U648" i="10" s="1"/>
  <c r="U649" i="10" a="1"/>
  <c r="U649" i="10" s="1"/>
  <c r="U650" i="10" a="1"/>
  <c r="U650" i="10"/>
  <c r="U651" i="10" a="1"/>
  <c r="U651" i="10" s="1"/>
  <c r="U652" i="10" a="1"/>
  <c r="U652" i="10" s="1"/>
  <c r="U653" i="10" a="1"/>
  <c r="U653" i="10" s="1"/>
  <c r="U654" i="10" a="1"/>
  <c r="U654" i="10" s="1"/>
  <c r="U655" i="10" a="1"/>
  <c r="U655" i="10"/>
  <c r="U656" i="10" a="1"/>
  <c r="U656" i="10" s="1"/>
  <c r="U657" i="10" a="1"/>
  <c r="U657" i="10" s="1"/>
  <c r="U658" i="10" a="1"/>
  <c r="U658" i="10"/>
  <c r="U659" i="10" a="1"/>
  <c r="U659" i="10"/>
  <c r="U660" i="10" a="1"/>
  <c r="U660" i="10" s="1"/>
  <c r="U661" i="10" a="1"/>
  <c r="U661" i="10" s="1"/>
  <c r="U662" i="10" a="1"/>
  <c r="U662" i="10" s="1"/>
  <c r="U663" i="10" a="1"/>
  <c r="U663" i="10" s="1"/>
  <c r="U664" i="10" a="1"/>
  <c r="U664" i="10"/>
  <c r="U665" i="10" a="1"/>
  <c r="U665" i="10" s="1"/>
  <c r="U666" i="10" a="1"/>
  <c r="U666" i="10"/>
  <c r="U667" i="10" a="1"/>
  <c r="U667" i="10" s="1"/>
  <c r="U668" i="10" a="1"/>
  <c r="U668" i="10" s="1"/>
  <c r="U669" i="10" a="1"/>
  <c r="U669" i="10" s="1"/>
  <c r="U670" i="10" a="1"/>
  <c r="U670" i="10"/>
  <c r="U671" i="10" a="1"/>
  <c r="U671" i="10" s="1"/>
  <c r="U672" i="10" a="1"/>
  <c r="U672" i="10" s="1"/>
  <c r="U673" i="10" a="1"/>
  <c r="U673" i="10" s="1"/>
  <c r="U674" i="10" a="1"/>
  <c r="U674" i="10" s="1"/>
  <c r="U675" i="10" a="1"/>
  <c r="U675" i="10"/>
  <c r="U676" i="10" a="1"/>
  <c r="U676" i="10"/>
  <c r="U677" i="10" a="1"/>
  <c r="U677" i="10" s="1"/>
  <c r="U678" i="10" a="1"/>
  <c r="U678" i="10" s="1"/>
  <c r="U679" i="10" a="1"/>
  <c r="U679" i="10" s="1"/>
  <c r="U680" i="10" a="1"/>
  <c r="U680" i="10" s="1"/>
  <c r="U681" i="10" a="1"/>
  <c r="U681" i="10" s="1"/>
  <c r="U682" i="10" a="1"/>
  <c r="U682" i="10"/>
  <c r="U683" i="10" a="1"/>
  <c r="U683" i="10" s="1"/>
  <c r="U684" i="10" a="1"/>
  <c r="U684" i="10" s="1"/>
  <c r="U685" i="10" a="1"/>
  <c r="U685" i="10" s="1"/>
  <c r="U686" i="10" a="1"/>
  <c r="U686" i="10" s="1"/>
  <c r="U687" i="10" a="1"/>
  <c r="U687" i="10"/>
  <c r="U688" i="10" a="1"/>
  <c r="U688" i="10"/>
  <c r="U689" i="10" a="1"/>
  <c r="U689" i="10" s="1"/>
  <c r="U690" i="10" a="1"/>
  <c r="U690" i="10" s="1"/>
  <c r="U691" i="10" a="1"/>
  <c r="U691" i="10" s="1"/>
  <c r="U692" i="10" a="1"/>
  <c r="U692" i="10" s="1"/>
  <c r="U693" i="10" a="1"/>
  <c r="U693" i="10" s="1"/>
  <c r="U694" i="10" a="1"/>
  <c r="U694" i="10" s="1"/>
  <c r="U695" i="10" a="1"/>
  <c r="U695" i="10" s="1"/>
  <c r="U696" i="10" a="1"/>
  <c r="U696" i="10" s="1"/>
  <c r="U697" i="10" a="1"/>
  <c r="U697" i="10" s="1"/>
  <c r="U698" i="10" a="1"/>
  <c r="U698" i="10"/>
  <c r="U699" i="10" a="1"/>
  <c r="U699" i="10"/>
  <c r="U700" i="10" a="1"/>
  <c r="U700" i="10" s="1"/>
  <c r="U701" i="10" a="1"/>
  <c r="U701" i="10" s="1"/>
  <c r="U702" i="10" a="1"/>
  <c r="U702" i="10" s="1"/>
  <c r="U703" i="10" a="1"/>
  <c r="U703" i="10" s="1"/>
  <c r="U704" i="10" a="1"/>
  <c r="U704" i="10" s="1"/>
  <c r="U705" i="10" a="1"/>
  <c r="U705" i="10" s="1"/>
  <c r="U706" i="10" a="1"/>
  <c r="U706" i="10" s="1"/>
  <c r="U707" i="10" a="1"/>
  <c r="U707" i="10" s="1"/>
  <c r="U708" i="10" a="1"/>
  <c r="U708" i="10" s="1"/>
  <c r="U709" i="10" a="1"/>
  <c r="U709" i="10" s="1"/>
  <c r="U710" i="10" a="1"/>
  <c r="U710" i="10"/>
  <c r="U711" i="10" a="1"/>
  <c r="U711" i="10" s="1"/>
  <c r="U712" i="10" a="1"/>
  <c r="U712" i="10" s="1"/>
  <c r="U713" i="10" a="1"/>
  <c r="U713" i="10" s="1"/>
  <c r="U714" i="10" a="1"/>
  <c r="U714" i="10"/>
  <c r="U715" i="10" a="1"/>
  <c r="U715" i="10" s="1"/>
  <c r="U716" i="10" a="1"/>
  <c r="U716" i="10" s="1"/>
  <c r="U717" i="10" a="1"/>
  <c r="U717" i="10" s="1"/>
  <c r="U718" i="10" a="1"/>
  <c r="U718" i="10" s="1"/>
  <c r="U719" i="10" a="1"/>
  <c r="U719" i="10" s="1"/>
  <c r="U720" i="10" a="1"/>
  <c r="U720" i="10"/>
  <c r="U721" i="10" a="1"/>
  <c r="U721" i="10" s="1"/>
  <c r="U722" i="10" a="1"/>
  <c r="U722" i="10" s="1"/>
  <c r="U723" i="10" a="1"/>
  <c r="U723" i="10"/>
  <c r="U724" i="10" a="1"/>
  <c r="U724" i="10" s="1"/>
  <c r="U725" i="10" a="1"/>
  <c r="U725" i="10" s="1"/>
  <c r="U726" i="10" a="1"/>
  <c r="U726" i="10" s="1"/>
  <c r="U727" i="10" a="1"/>
  <c r="U727" i="10" s="1"/>
  <c r="U728" i="10" a="1"/>
  <c r="U728" i="10" s="1"/>
  <c r="U729" i="10" a="1"/>
  <c r="U729" i="10" s="1"/>
  <c r="U730" i="10" a="1"/>
  <c r="U730" i="10" s="1"/>
  <c r="U731" i="10" a="1"/>
  <c r="U731" i="10"/>
  <c r="U732" i="10" a="1"/>
  <c r="U732" i="10" s="1"/>
  <c r="U733" i="10" a="1"/>
  <c r="U733" i="10" s="1"/>
  <c r="U734" i="10" a="1"/>
  <c r="U734" i="10"/>
  <c r="U735" i="10" a="1"/>
  <c r="U735" i="10" s="1"/>
  <c r="U736" i="10" a="1"/>
  <c r="U736" i="10" s="1"/>
  <c r="U737" i="10" a="1"/>
  <c r="U737" i="10" s="1"/>
  <c r="U738" i="10" a="1"/>
  <c r="U738" i="10" s="1"/>
  <c r="U739" i="10" a="1"/>
  <c r="U739" i="10" s="1"/>
  <c r="U740" i="10" a="1"/>
  <c r="U740" i="10"/>
  <c r="U741" i="10" a="1"/>
  <c r="U741" i="10" s="1"/>
  <c r="U742" i="10" a="1"/>
  <c r="U742" i="10"/>
  <c r="U743" i="10" a="1"/>
  <c r="U743" i="10" s="1"/>
  <c r="U744" i="10" a="1"/>
  <c r="U744" i="10" s="1"/>
  <c r="U745" i="10" a="1"/>
  <c r="U745" i="10" s="1"/>
  <c r="U746" i="10" a="1"/>
  <c r="U746" i="10" s="1"/>
  <c r="U747" i="10" a="1"/>
  <c r="U747" i="10" s="1"/>
  <c r="U748" i="10" a="1"/>
  <c r="U748" i="10"/>
  <c r="U749" i="10" a="1"/>
  <c r="U749" i="10" s="1"/>
  <c r="U750" i="10" a="1"/>
  <c r="U750" i="10" s="1"/>
  <c r="U751" i="10" a="1"/>
  <c r="U751" i="10"/>
  <c r="U752" i="10" a="1"/>
  <c r="U752" i="10"/>
  <c r="U753" i="10" a="1"/>
  <c r="U753" i="10" s="1"/>
  <c r="U754" i="10" a="1"/>
  <c r="U754" i="10" s="1"/>
  <c r="U755" i="10" a="1"/>
  <c r="U755" i="10" s="1"/>
  <c r="U756" i="10" a="1"/>
  <c r="U756" i="10" s="1"/>
  <c r="U757" i="10" a="1"/>
  <c r="U757" i="10" s="1"/>
  <c r="U758" i="10" a="1"/>
  <c r="U758" i="10" s="1"/>
  <c r="U759" i="10" a="1"/>
  <c r="U759" i="10" s="1"/>
  <c r="U760" i="10" a="1"/>
  <c r="U760" i="10" s="1"/>
  <c r="U761" i="10" a="1"/>
  <c r="U761" i="10" s="1"/>
  <c r="U762" i="10" a="1"/>
  <c r="U762" i="10"/>
  <c r="U763" i="10" a="1"/>
  <c r="U763" i="10"/>
  <c r="U764" i="10" a="1"/>
  <c r="U764" i="10"/>
  <c r="U765" i="10" a="1"/>
  <c r="U765" i="10" s="1"/>
  <c r="U766" i="10" a="1"/>
  <c r="U766" i="10" s="1"/>
  <c r="U767" i="10" a="1"/>
  <c r="U767" i="10" s="1"/>
  <c r="U768" i="10" a="1"/>
  <c r="U768" i="10" s="1"/>
  <c r="U769" i="10" a="1"/>
  <c r="U769" i="10" s="1"/>
  <c r="U770" i="10" a="1"/>
  <c r="U770" i="10" s="1"/>
  <c r="U771" i="10" a="1"/>
  <c r="U771" i="10" s="1"/>
  <c r="U772" i="10" a="1"/>
  <c r="U772" i="10" s="1"/>
  <c r="U773" i="10" a="1"/>
  <c r="U773" i="10" s="1"/>
  <c r="U774" i="10" a="1"/>
  <c r="U774" i="10"/>
  <c r="U775" i="10" a="1"/>
  <c r="U775" i="10"/>
  <c r="U776" i="10" a="1"/>
  <c r="U776" i="10" s="1"/>
  <c r="U777" i="10" a="1"/>
  <c r="U777" i="10" s="1"/>
  <c r="U778" i="10" a="1"/>
  <c r="U778" i="10"/>
  <c r="U779" i="10" a="1"/>
  <c r="U779" i="10" s="1"/>
  <c r="U780" i="10" a="1"/>
  <c r="U780" i="10"/>
  <c r="U781" i="10" a="1"/>
  <c r="U781" i="10" s="1"/>
  <c r="U782" i="10" a="1"/>
  <c r="U782" i="10" s="1"/>
  <c r="U783" i="10" a="1"/>
  <c r="U783" i="10" s="1"/>
  <c r="U784" i="10" a="1"/>
  <c r="U784" i="10" s="1"/>
  <c r="U785" i="10" a="1"/>
  <c r="U785" i="10" s="1"/>
  <c r="U786" i="10" a="1"/>
  <c r="U786" i="10"/>
  <c r="U787" i="10" a="1"/>
  <c r="U787" i="10" s="1"/>
  <c r="U788" i="10" a="1"/>
  <c r="U788" i="10" s="1"/>
  <c r="U789" i="10" a="1"/>
  <c r="U789" i="10" s="1"/>
  <c r="U790" i="10" a="1"/>
  <c r="U790" i="10" s="1"/>
  <c r="U791" i="10" a="1"/>
  <c r="U791" i="10" s="1"/>
  <c r="U792" i="10" a="1"/>
  <c r="U792" i="10"/>
  <c r="U793" i="10" a="1"/>
  <c r="U793" i="10" s="1"/>
  <c r="U794" i="10" a="1"/>
  <c r="U794" i="10" s="1"/>
  <c r="U795" i="10" a="1"/>
  <c r="U795" i="10" s="1"/>
  <c r="U796" i="10" a="1"/>
  <c r="U796" i="10"/>
  <c r="U797" i="10" a="1"/>
  <c r="U797" i="10" s="1"/>
  <c r="U798" i="10" a="1"/>
  <c r="U798" i="10" s="1"/>
  <c r="U799" i="10" a="1"/>
  <c r="U799" i="10" s="1"/>
  <c r="U800" i="10" a="1"/>
  <c r="U800" i="10" s="1"/>
  <c r="U801" i="10" a="1"/>
  <c r="U801" i="10" s="1"/>
  <c r="U802" i="10" a="1"/>
  <c r="U802" i="10" s="1"/>
  <c r="U803" i="10" a="1"/>
  <c r="U803" i="10"/>
  <c r="U804" i="10" a="1"/>
  <c r="U804" i="10" s="1"/>
  <c r="U805" i="10" a="1"/>
  <c r="U805" i="10" s="1"/>
  <c r="U806" i="10" a="1"/>
  <c r="U806" i="10" s="1"/>
  <c r="U807" i="10" a="1"/>
  <c r="U807" i="10"/>
  <c r="U808" i="10" a="1"/>
  <c r="U808" i="10" s="1"/>
  <c r="U809" i="10" a="1"/>
  <c r="U809" i="10" s="1"/>
  <c r="U810" i="10" a="1"/>
  <c r="U810" i="10" s="1"/>
  <c r="U811" i="10" a="1"/>
  <c r="U811" i="10" s="1"/>
  <c r="U812" i="10" a="1"/>
  <c r="U812" i="10"/>
  <c r="U813" i="10" a="1"/>
  <c r="U813" i="10" s="1"/>
  <c r="U814" i="10" a="1"/>
  <c r="U814" i="10" s="1"/>
  <c r="U815" i="10" a="1"/>
  <c r="U815" i="10" s="1"/>
  <c r="U816" i="10" a="1"/>
  <c r="U816" i="10"/>
  <c r="U817" i="10" a="1"/>
  <c r="U817" i="10" s="1"/>
  <c r="U818" i="10" a="1"/>
  <c r="U818" i="10"/>
  <c r="U819" i="10" a="1"/>
  <c r="U819" i="10" s="1"/>
  <c r="U820" i="10" a="1"/>
  <c r="U820" i="10" s="1"/>
  <c r="U821" i="10" a="1"/>
  <c r="U821" i="10" s="1"/>
  <c r="U822" i="10" a="1"/>
  <c r="U822" i="10" s="1"/>
  <c r="U823" i="10" a="1"/>
  <c r="U823" i="10" s="1"/>
  <c r="U824" i="10" a="1"/>
  <c r="U824" i="10"/>
  <c r="U825" i="10" a="1"/>
  <c r="U825" i="10" s="1"/>
  <c r="U826" i="10" a="1"/>
  <c r="U826" i="10" s="1"/>
  <c r="U827" i="10" a="1"/>
  <c r="U827" i="10"/>
  <c r="U828" i="10" a="1"/>
  <c r="U828" i="10"/>
  <c r="U829" i="10" a="1"/>
  <c r="U829" i="10" s="1"/>
  <c r="U830" i="10" a="1"/>
  <c r="U830" i="10" s="1"/>
  <c r="U831" i="10" a="1"/>
  <c r="U831" i="10" s="1"/>
  <c r="U832" i="10" a="1"/>
  <c r="U832" i="10" s="1"/>
  <c r="U833" i="10" a="1"/>
  <c r="U833" i="10" s="1"/>
  <c r="U834" i="10" a="1"/>
  <c r="U834" i="10" s="1"/>
  <c r="U835" i="10" a="1"/>
  <c r="U835" i="10"/>
  <c r="U836" i="10" a="1"/>
  <c r="U836" i="10" s="1"/>
  <c r="U837" i="10" a="1"/>
  <c r="U837" i="10" s="1"/>
  <c r="U838" i="10" a="1"/>
  <c r="U838" i="10"/>
  <c r="U839" i="10" a="1"/>
  <c r="U839" i="10"/>
  <c r="U840" i="10" a="1"/>
  <c r="U840" i="10" s="1"/>
  <c r="U841" i="10" a="1"/>
  <c r="U841" i="10" s="1"/>
  <c r="U842" i="10" a="1"/>
  <c r="U842" i="10" s="1"/>
  <c r="U843" i="10" a="1"/>
  <c r="U843" i="10" s="1"/>
  <c r="U844" i="10" a="1"/>
  <c r="U844" i="10" s="1"/>
  <c r="U845" i="10" a="1"/>
  <c r="U845" i="10" s="1"/>
  <c r="U846" i="10" a="1"/>
  <c r="U846" i="10" s="1"/>
  <c r="U847" i="10" a="1"/>
  <c r="U847" i="10" s="1"/>
  <c r="U848" i="10" a="1"/>
  <c r="U848" i="10" s="1"/>
  <c r="U849" i="10" a="1"/>
  <c r="U849" i="10" s="1"/>
  <c r="U850" i="10" a="1"/>
  <c r="U850" i="10"/>
  <c r="U851" i="10" a="1"/>
  <c r="U851" i="10"/>
  <c r="U852" i="10" a="1"/>
  <c r="U852" i="10" s="1"/>
  <c r="U853" i="10" a="1"/>
  <c r="U853" i="10" s="1"/>
  <c r="U854" i="10" a="1"/>
  <c r="U854" i="10" s="1"/>
  <c r="U855" i="10" a="1"/>
  <c r="U855" i="10" s="1"/>
  <c r="U856" i="10" a="1"/>
  <c r="U856" i="10"/>
  <c r="U857" i="10" a="1"/>
  <c r="U857" i="10" s="1"/>
  <c r="U858" i="10" a="1"/>
  <c r="U858" i="10" s="1"/>
  <c r="U859" i="10" a="1"/>
  <c r="U859" i="10" s="1"/>
  <c r="U860" i="10" a="1"/>
  <c r="U860" i="10" s="1"/>
  <c r="U861" i="10" a="1"/>
  <c r="U861" i="10" s="1"/>
  <c r="U862" i="10" a="1"/>
  <c r="U862" i="10"/>
  <c r="U863" i="10" a="1"/>
  <c r="U863" i="10" s="1"/>
  <c r="U864" i="10" a="1"/>
  <c r="U864" i="10" s="1"/>
  <c r="U865" i="10" a="1"/>
  <c r="U865" i="10" s="1"/>
  <c r="U866" i="10" a="1"/>
  <c r="U866" i="10" s="1"/>
  <c r="U867" i="10" a="1"/>
  <c r="U867" i="10"/>
  <c r="U868" i="10" a="1"/>
  <c r="U868" i="10"/>
  <c r="U869" i="10" a="1"/>
  <c r="U869" i="10" s="1"/>
  <c r="U870" i="10" a="1"/>
  <c r="U870" i="10" s="1"/>
  <c r="U871" i="10" a="1"/>
  <c r="U871" i="10" s="1"/>
  <c r="U872" i="10" a="1"/>
  <c r="U872" i="10" s="1"/>
  <c r="U873" i="10" a="1"/>
  <c r="U873" i="10" s="1"/>
  <c r="U874" i="10" a="1"/>
  <c r="U874" i="10" s="1"/>
  <c r="U875" i="10" a="1"/>
  <c r="U875" i="10" s="1"/>
  <c r="U876" i="10" a="1"/>
  <c r="U876" i="10" s="1"/>
  <c r="U877" i="10" a="1"/>
  <c r="U877" i="10" s="1"/>
  <c r="U878" i="10" a="1"/>
  <c r="U878" i="10" s="1"/>
  <c r="U879" i="10" a="1"/>
  <c r="U879" i="10" s="1"/>
  <c r="U880" i="10" a="1"/>
  <c r="U880" i="10"/>
  <c r="U881" i="10" a="1"/>
  <c r="U881" i="10" s="1"/>
  <c r="U882" i="10" a="1"/>
  <c r="U882" i="10" s="1"/>
  <c r="U883" i="10" a="1"/>
  <c r="U883" i="10" s="1"/>
  <c r="U884" i="10" a="1"/>
  <c r="U884" i="10" s="1"/>
  <c r="U885" i="10" a="1"/>
  <c r="U885" i="10" s="1"/>
  <c r="U886" i="10" a="1"/>
  <c r="U886" i="10" s="1"/>
  <c r="U887" i="10" a="1"/>
  <c r="U887" i="10" s="1"/>
  <c r="U888" i="10" a="1"/>
  <c r="U888" i="10" s="1"/>
  <c r="U889" i="10" a="1"/>
  <c r="U889" i="10" s="1"/>
  <c r="U890" i="10" a="1"/>
  <c r="U890" i="10" s="1"/>
  <c r="U891" i="10" a="1"/>
  <c r="U891" i="10"/>
  <c r="U892" i="10" a="1"/>
  <c r="U892" i="10" s="1"/>
  <c r="U893" i="10" a="1"/>
  <c r="U893" i="10" s="1"/>
  <c r="U894" i="10" a="1"/>
  <c r="U894" i="10"/>
  <c r="U895" i="10" a="1"/>
  <c r="U895" i="10" s="1"/>
  <c r="U896" i="10" a="1"/>
  <c r="U896" i="10" s="1"/>
  <c r="U897" i="10" a="1"/>
  <c r="U897" i="10" s="1"/>
  <c r="U898" i="10" a="1"/>
  <c r="U898" i="10" s="1"/>
  <c r="U899" i="10" a="1"/>
  <c r="U899" i="10" s="1"/>
  <c r="U900" i="10" a="1"/>
  <c r="U900" i="10"/>
  <c r="U901" i="10" a="1"/>
  <c r="U901" i="10" s="1"/>
  <c r="U902" i="10" a="1"/>
  <c r="U902" i="10"/>
  <c r="U903" i="10" a="1"/>
  <c r="U903" i="10" s="1"/>
  <c r="U904" i="10" a="1"/>
  <c r="U904" i="10" s="1"/>
  <c r="U905" i="10" a="1"/>
  <c r="U905" i="10" s="1"/>
  <c r="U906" i="10" a="1"/>
  <c r="U906" i="10" s="1"/>
  <c r="U907" i="10" a="1"/>
  <c r="U907" i="10" s="1"/>
  <c r="U908" i="10" a="1"/>
  <c r="U908" i="10" s="1"/>
  <c r="U909" i="10" a="1"/>
  <c r="U909" i="10" s="1"/>
  <c r="U910" i="10" a="1"/>
  <c r="U910" i="10" s="1"/>
  <c r="U911" i="10" a="1"/>
  <c r="U911" i="10" s="1"/>
  <c r="U912" i="10" a="1"/>
  <c r="U912" i="10"/>
  <c r="U913" i="10" a="1"/>
  <c r="U913" i="10" s="1"/>
  <c r="U914" i="10" a="1"/>
  <c r="U914" i="10"/>
  <c r="U915" i="10" a="1"/>
  <c r="U915" i="10" s="1"/>
  <c r="U916" i="10" a="1"/>
  <c r="U916" i="10" s="1"/>
  <c r="U917" i="10" a="1"/>
  <c r="U917" i="10" s="1"/>
  <c r="U918" i="10" a="1"/>
  <c r="U918" i="10" s="1"/>
  <c r="U919" i="10" a="1"/>
  <c r="U919" i="10"/>
  <c r="U920" i="10" a="1"/>
  <c r="U920" i="10"/>
  <c r="U921" i="10" a="1"/>
  <c r="U921" i="10" s="1"/>
  <c r="U922" i="10" a="1"/>
  <c r="U922" i="10" s="1"/>
  <c r="U923" i="10" a="1"/>
  <c r="U923" i="10" s="1"/>
  <c r="U924" i="10" a="1"/>
  <c r="U924" i="10" s="1"/>
  <c r="U925" i="10" a="1"/>
  <c r="U925" i="10" s="1"/>
  <c r="U926" i="10" a="1"/>
  <c r="U926" i="10"/>
  <c r="U927" i="10" a="1"/>
  <c r="U927" i="10" s="1"/>
  <c r="U928" i="10" a="1"/>
  <c r="U928" i="10" s="1"/>
  <c r="U929" i="10" a="1"/>
  <c r="U929" i="10" s="1"/>
  <c r="U930" i="10" a="1"/>
  <c r="U930" i="10" s="1"/>
  <c r="U931" i="10" a="1"/>
  <c r="U931" i="10"/>
  <c r="U932" i="10" a="1"/>
  <c r="U932" i="10" s="1"/>
  <c r="U933" i="10" a="1"/>
  <c r="U933" i="10" s="1"/>
  <c r="U934" i="10" a="1"/>
  <c r="U934" i="10" s="1"/>
  <c r="U935" i="10" a="1"/>
  <c r="U935" i="10"/>
  <c r="U936" i="10" a="1"/>
  <c r="U936" i="10"/>
  <c r="U937" i="10" a="1"/>
  <c r="U937" i="10" s="1"/>
  <c r="U938" i="10" a="1"/>
  <c r="U938" i="10" s="1"/>
  <c r="U939" i="10" a="1"/>
  <c r="U939" i="10" s="1"/>
  <c r="U940" i="10" a="1"/>
  <c r="U940" i="10" s="1"/>
  <c r="U941" i="10" a="1"/>
  <c r="U941" i="10" s="1"/>
  <c r="U942" i="10" a="1"/>
  <c r="U942" i="10" s="1"/>
  <c r="U943" i="10" a="1"/>
  <c r="U943" i="10"/>
  <c r="U944" i="10" a="1"/>
  <c r="U944" i="10" s="1"/>
  <c r="U945" i="10" a="1"/>
  <c r="U945" i="10" s="1"/>
  <c r="U946" i="10" a="1"/>
  <c r="U946" i="10"/>
  <c r="U947" i="10" a="1"/>
  <c r="U947" i="10" s="1"/>
  <c r="U948" i="10" a="1"/>
  <c r="U948" i="10" s="1"/>
  <c r="U949" i="10" a="1"/>
  <c r="U949" i="10" s="1"/>
  <c r="U950" i="10" a="1"/>
  <c r="U950" i="10" s="1"/>
  <c r="U951" i="10" a="1"/>
  <c r="U951" i="10" s="1"/>
  <c r="U952" i="10" a="1"/>
  <c r="U952" i="10" s="1"/>
  <c r="U953" i="10" a="1"/>
  <c r="U953" i="10" s="1"/>
  <c r="U954" i="10" a="1"/>
  <c r="U954" i="10"/>
  <c r="U955" i="10" a="1"/>
  <c r="U955" i="10"/>
  <c r="U956" i="10" a="1"/>
  <c r="U956" i="10" s="1"/>
  <c r="U957" i="10" a="1"/>
  <c r="U957" i="10" s="1"/>
  <c r="U958" i="10" a="1"/>
  <c r="U958" i="10"/>
  <c r="U959" i="10" a="1"/>
  <c r="U959" i="10" s="1"/>
  <c r="U960" i="10" a="1"/>
  <c r="U960" i="10"/>
  <c r="U961" i="10" a="1"/>
  <c r="U961" i="10" s="1"/>
  <c r="U962" i="10" a="1"/>
  <c r="U962" i="10" s="1"/>
  <c r="U963" i="10" a="1"/>
  <c r="U963" i="10" s="1"/>
  <c r="U964" i="10" a="1"/>
  <c r="U964" i="10" s="1"/>
  <c r="U965" i="10" a="1"/>
  <c r="U965" i="10" s="1"/>
  <c r="U966" i="10" a="1"/>
  <c r="U966" i="10" s="1"/>
  <c r="U967" i="10" a="1"/>
  <c r="U967" i="10"/>
  <c r="U968" i="10" a="1"/>
  <c r="U968" i="10" s="1"/>
  <c r="U969" i="10" a="1"/>
  <c r="U969" i="10" s="1"/>
  <c r="U970" i="10" a="1"/>
  <c r="U970" i="10"/>
  <c r="U971" i="10" a="1"/>
  <c r="U971" i="10" s="1"/>
  <c r="U972" i="10" a="1"/>
  <c r="U972" i="10"/>
  <c r="U973" i="10" a="1"/>
  <c r="U973" i="10" s="1"/>
  <c r="U974" i="10" a="1"/>
  <c r="U974" i="10" s="1"/>
  <c r="U975" i="10" a="1"/>
  <c r="U975" i="10" s="1"/>
  <c r="U976" i="10" a="1"/>
  <c r="U976" i="10" s="1"/>
  <c r="U977" i="10" a="1"/>
  <c r="U977" i="10" s="1"/>
  <c r="U978" i="10" a="1"/>
  <c r="U978" i="10"/>
  <c r="U979" i="10" a="1"/>
  <c r="U979" i="10" s="1"/>
  <c r="U980" i="10" a="1"/>
  <c r="U980" i="10" s="1"/>
  <c r="U981" i="10" a="1"/>
  <c r="U981" i="10" s="1"/>
  <c r="U982" i="10" a="1"/>
  <c r="U982" i="10"/>
  <c r="U983" i="10" a="1"/>
  <c r="U983" i="10"/>
  <c r="U984" i="10" a="1"/>
  <c r="U984" i="10" s="1"/>
  <c r="U985" i="10" a="1"/>
  <c r="U985" i="10" s="1"/>
  <c r="U986" i="10" a="1"/>
  <c r="U986" i="10" s="1"/>
  <c r="U987" i="10" a="1"/>
  <c r="U987" i="10" s="1"/>
  <c r="U988" i="10" a="1"/>
  <c r="U988" i="10" s="1"/>
  <c r="U989" i="10" a="1"/>
  <c r="U989" i="10" s="1"/>
  <c r="U990" i="10" a="1"/>
  <c r="U990" i="10" s="1"/>
  <c r="U991" i="10" a="1"/>
  <c r="U991" i="10" s="1"/>
  <c r="U992" i="10" a="1"/>
  <c r="U992" i="10" s="1"/>
  <c r="U993" i="10" a="1"/>
  <c r="U993" i="10" s="1"/>
  <c r="U994" i="10" a="1"/>
  <c r="U994" i="10" s="1"/>
  <c r="U995" i="10" a="1"/>
  <c r="U995" i="10" s="1"/>
  <c r="U996" i="10" a="1"/>
  <c r="U996" i="10" s="1"/>
  <c r="U997" i="10" a="1"/>
  <c r="U997" i="10" s="1"/>
  <c r="U998" i="10" a="1"/>
  <c r="U998" i="10" s="1"/>
  <c r="U999" i="10" a="1"/>
  <c r="U999" i="10"/>
  <c r="U1000" i="10" a="1"/>
  <c r="U1000" i="10" s="1"/>
  <c r="U1001" i="10" a="1"/>
  <c r="U1001" i="10" s="1"/>
  <c r="U1002" i="10" a="1"/>
  <c r="U1002" i="10" s="1"/>
  <c r="U53" i="10" a="1"/>
  <c r="U53" i="10" s="1"/>
  <c r="U4" i="10" a="1"/>
  <c r="U4" i="10" s="1"/>
  <c r="U5" i="10" a="1"/>
  <c r="U5" i="10" s="1"/>
  <c r="U6" i="10" a="1"/>
  <c r="U6" i="10" s="1"/>
  <c r="U7" i="10" a="1"/>
  <c r="U7" i="10" s="1"/>
  <c r="U8" i="10" a="1"/>
  <c r="U8" i="10" s="1"/>
  <c r="U9" i="10" a="1"/>
  <c r="U9" i="10" s="1"/>
  <c r="U10" i="10" a="1"/>
  <c r="U10" i="10" s="1"/>
  <c r="U11" i="10" a="1"/>
  <c r="U11" i="10" s="1"/>
  <c r="U12" i="10" a="1"/>
  <c r="U12" i="10" s="1"/>
  <c r="U13" i="10" a="1"/>
  <c r="U13" i="10"/>
  <c r="U14" i="10" a="1"/>
  <c r="U14" i="10" s="1"/>
  <c r="U15" i="10" a="1"/>
  <c r="U15" i="10" s="1"/>
  <c r="U16" i="10" a="1"/>
  <c r="U16" i="10" s="1"/>
  <c r="U17" i="10" a="1"/>
  <c r="U17" i="10" s="1"/>
  <c r="U18" i="10" a="1"/>
  <c r="U18" i="10" s="1"/>
  <c r="U19" i="10" a="1"/>
  <c r="U19" i="10"/>
  <c r="U20" i="10" a="1"/>
  <c r="U20" i="10" s="1"/>
  <c r="U21" i="10" a="1"/>
  <c r="U21" i="10" s="1"/>
  <c r="U22" i="10" a="1"/>
  <c r="U22" i="10"/>
  <c r="U23" i="10" a="1"/>
  <c r="U23" i="10" s="1"/>
  <c r="U24" i="10" a="1"/>
  <c r="U24" i="10" s="1"/>
  <c r="U25" i="10" a="1"/>
  <c r="U25" i="10"/>
  <c r="U26" i="10" a="1"/>
  <c r="U26" i="10" s="1"/>
  <c r="U27" i="10" a="1"/>
  <c r="U27" i="10" s="1"/>
  <c r="U28" i="10" a="1"/>
  <c r="U28" i="10" s="1"/>
  <c r="U29" i="10" a="1"/>
  <c r="U29" i="10" s="1"/>
  <c r="U30" i="10" a="1"/>
  <c r="U30" i="10" s="1"/>
  <c r="U31" i="10" a="1"/>
  <c r="U31" i="10"/>
  <c r="U32" i="10" a="1"/>
  <c r="U32" i="10" s="1"/>
  <c r="U33" i="10" a="1"/>
  <c r="U33" i="10" s="1"/>
  <c r="U34" i="10" a="1"/>
  <c r="U34" i="10" s="1"/>
  <c r="U35" i="10" a="1"/>
  <c r="U35" i="10"/>
  <c r="U36" i="10" a="1"/>
  <c r="U36" i="10" s="1"/>
  <c r="U37" i="10" a="1"/>
  <c r="U37" i="10" s="1"/>
  <c r="U38" i="10" a="1"/>
  <c r="U38" i="10" s="1"/>
  <c r="U39" i="10" a="1"/>
  <c r="U39" i="10" s="1"/>
  <c r="U40" i="10" a="1"/>
  <c r="U40" i="10" s="1"/>
  <c r="U41" i="10" a="1"/>
  <c r="U41" i="10" s="1"/>
  <c r="U42" i="10" a="1"/>
  <c r="U42" i="10"/>
  <c r="U43" i="10" a="1"/>
  <c r="U43" i="10" s="1"/>
  <c r="U44" i="10" a="1"/>
  <c r="U44" i="10" s="1"/>
  <c r="U45" i="10" a="1"/>
  <c r="U45" i="10"/>
  <c r="U46" i="10" a="1"/>
  <c r="U46" i="10" s="1"/>
  <c r="U47" i="10" a="1"/>
  <c r="U47" i="10" s="1"/>
  <c r="U48" i="10" a="1"/>
  <c r="U48" i="10" s="1"/>
  <c r="U49" i="10" a="1"/>
  <c r="U49" i="10" s="1"/>
  <c r="U50" i="10" a="1"/>
  <c r="U50" i="10" s="1"/>
  <c r="U51" i="10" a="1"/>
  <c r="U51" i="10"/>
  <c r="U52" i="10" a="1"/>
  <c r="U52" i="10" s="1"/>
  <c r="T28" i="7" a="1"/>
  <c r="T28" i="7" s="1"/>
  <c r="F13" i="7"/>
  <c r="G13" i="7"/>
  <c r="H13" i="7"/>
  <c r="I13" i="7"/>
  <c r="J13" i="7"/>
  <c r="K13" i="7"/>
  <c r="L13" i="7"/>
  <c r="M13" i="7"/>
  <c r="N13" i="7"/>
  <c r="O13" i="7"/>
  <c r="F14" i="7"/>
  <c r="G14" i="7"/>
  <c r="H14" i="7"/>
  <c r="I14" i="7"/>
  <c r="J14" i="7"/>
  <c r="K14" i="7"/>
  <c r="L14" i="7"/>
  <c r="M14" i="7"/>
  <c r="N14" i="7"/>
  <c r="O14" i="7"/>
  <c r="F15" i="7"/>
  <c r="G15" i="7"/>
  <c r="H15" i="7"/>
  <c r="I15" i="7"/>
  <c r="J15" i="7"/>
  <c r="K15" i="7"/>
  <c r="L15" i="7"/>
  <c r="M15" i="7"/>
  <c r="N15" i="7"/>
  <c r="O15" i="7"/>
  <c r="G12" i="7"/>
  <c r="H12" i="7"/>
  <c r="I12" i="7"/>
  <c r="J12" i="7"/>
  <c r="K12" i="7"/>
  <c r="L12" i="7"/>
  <c r="M12" i="7"/>
  <c r="N12" i="7"/>
  <c r="O12" i="7"/>
  <c r="F12" i="7"/>
  <c r="Q3" i="7" a="1"/>
  <c r="Q5" i="7" a="1"/>
  <c r="R3" i="7" a="1"/>
  <c r="R5" i="7" a="1"/>
  <c r="R6" i="7" a="1"/>
  <c r="Q4" i="7" a="1"/>
  <c r="Q6" i="7" a="1"/>
  <c r="R4" i="7" a="1"/>
  <c r="X6" i="15" l="1"/>
  <c r="X20" i="15"/>
  <c r="X16" i="15"/>
  <c r="X17" i="15"/>
  <c r="X21" i="15"/>
  <c r="X25" i="15"/>
  <c r="X29" i="15"/>
  <c r="X13" i="15"/>
  <c r="X26" i="15"/>
  <c r="X28" i="15"/>
  <c r="X4" i="15"/>
  <c r="X10" i="15"/>
  <c r="X12" i="15"/>
  <c r="X5" i="15"/>
  <c r="X33" i="15"/>
  <c r="X36" i="15"/>
  <c r="X8" i="15"/>
  <c r="X15" i="15"/>
  <c r="X34" i="15"/>
  <c r="X9" i="15"/>
  <c r="X7" i="15"/>
  <c r="X3" i="15"/>
  <c r="X27" i="15"/>
  <c r="X23" i="15"/>
  <c r="X22" i="15"/>
  <c r="X11" i="15"/>
  <c r="X14" i="15"/>
  <c r="X24" i="15"/>
  <c r="V370" i="11"/>
  <c r="Y370" i="11"/>
  <c r="V512" i="11"/>
  <c r="Y512" i="11"/>
  <c r="V449" i="11"/>
  <c r="Y449" i="11"/>
  <c r="V560" i="11"/>
  <c r="Y560" i="11"/>
  <c r="V438" i="11"/>
  <c r="Y438" i="11"/>
  <c r="V567" i="11"/>
  <c r="Y567" i="11"/>
  <c r="V160" i="11"/>
  <c r="Y160" i="11"/>
  <c r="V892" i="11"/>
  <c r="Y892" i="11"/>
  <c r="V727" i="11"/>
  <c r="Y727" i="11"/>
  <c r="V852" i="11"/>
  <c r="Y852" i="11"/>
  <c r="V297" i="11"/>
  <c r="Y297" i="11"/>
  <c r="V566" i="11"/>
  <c r="Y566" i="11"/>
  <c r="V234" i="11"/>
  <c r="Y234" i="11"/>
  <c r="V839" i="11"/>
  <c r="Y839" i="11"/>
  <c r="V484" i="11"/>
  <c r="Y484" i="11"/>
  <c r="V12" i="11"/>
  <c r="Y12" i="11"/>
  <c r="V668" i="11"/>
  <c r="Y668" i="11"/>
  <c r="V163" i="11"/>
  <c r="Y163" i="11"/>
  <c r="V101" i="11"/>
  <c r="Y101" i="11"/>
  <c r="V462" i="11"/>
  <c r="Y462" i="11"/>
  <c r="V554" i="11"/>
  <c r="Y554" i="11"/>
  <c r="V723" i="11"/>
  <c r="Y723" i="11"/>
  <c r="V573" i="11"/>
  <c r="Y573" i="11"/>
  <c r="V214" i="11"/>
  <c r="Y214" i="11"/>
  <c r="V716" i="11"/>
  <c r="Y716" i="11"/>
  <c r="V364" i="11"/>
  <c r="Y364" i="11"/>
  <c r="V15" i="11"/>
  <c r="Y15" i="11"/>
  <c r="V666" i="11"/>
  <c r="Y666" i="11"/>
  <c r="V858" i="11"/>
  <c r="Y858" i="11"/>
  <c r="V305" i="11"/>
  <c r="Y305" i="11"/>
  <c r="V432" i="11"/>
  <c r="Y432" i="11"/>
  <c r="V24" i="11"/>
  <c r="Y24" i="11"/>
  <c r="V652" i="11"/>
  <c r="Y652" i="11"/>
  <c r="V311" i="11"/>
  <c r="Y311" i="11"/>
  <c r="V615" i="11"/>
  <c r="Y615" i="11"/>
  <c r="V979" i="11"/>
  <c r="Y979" i="11"/>
  <c r="V315" i="11"/>
  <c r="Y315" i="11"/>
  <c r="V318" i="11"/>
  <c r="Y318" i="11"/>
  <c r="V958" i="11"/>
  <c r="Y958" i="11"/>
  <c r="V410" i="11"/>
  <c r="Y410" i="11"/>
  <c r="V258" i="11"/>
  <c r="Y258" i="11"/>
  <c r="V532" i="11"/>
  <c r="Y532" i="11"/>
  <c r="V575" i="11"/>
  <c r="Y575" i="11"/>
  <c r="V350" i="11"/>
  <c r="Y350" i="11"/>
  <c r="V999" i="11"/>
  <c r="Y999" i="11"/>
  <c r="V476" i="11"/>
  <c r="Y476" i="11"/>
  <c r="V111" i="11"/>
  <c r="Y111" i="11"/>
  <c r="V278" i="11"/>
  <c r="Y278" i="11"/>
  <c r="V331" i="11"/>
  <c r="Y331" i="11"/>
  <c r="V642" i="11"/>
  <c r="Y642" i="11"/>
  <c r="V632" i="11"/>
  <c r="Y632" i="11"/>
  <c r="V393" i="11"/>
  <c r="Y393" i="11"/>
  <c r="V991" i="11"/>
  <c r="Y991" i="11"/>
  <c r="V673" i="11"/>
  <c r="Y673" i="11"/>
  <c r="V218" i="11"/>
  <c r="Y218" i="11"/>
  <c r="V63" i="11"/>
  <c r="Y63" i="11"/>
  <c r="V959" i="11"/>
  <c r="Y959" i="11"/>
  <c r="V849" i="11"/>
  <c r="Y849" i="11"/>
  <c r="V537" i="11"/>
  <c r="Y537" i="11"/>
  <c r="V641" i="11"/>
  <c r="Y641" i="11"/>
  <c r="V564" i="11"/>
  <c r="Y564" i="11"/>
  <c r="V279" i="11"/>
  <c r="Y279" i="11"/>
  <c r="V626" i="11"/>
  <c r="Y626" i="11"/>
  <c r="V477" i="11"/>
  <c r="Y477" i="11"/>
  <c r="V454" i="11"/>
  <c r="Y454" i="11"/>
  <c r="V194" i="11"/>
  <c r="Y194" i="11"/>
  <c r="V180" i="11"/>
  <c r="Y180" i="11"/>
  <c r="V165" i="11"/>
  <c r="Y165" i="11"/>
  <c r="V772" i="11"/>
  <c r="Y772" i="11"/>
  <c r="V272" i="11"/>
  <c r="Y272" i="11"/>
  <c r="V880" i="11"/>
  <c r="Y880" i="11"/>
  <c r="V243" i="11"/>
  <c r="Y243" i="11"/>
  <c r="V553" i="11"/>
  <c r="Y553" i="11"/>
  <c r="V934" i="11"/>
  <c r="Y934" i="11"/>
  <c r="V44" i="11"/>
  <c r="Y44" i="11"/>
  <c r="V330" i="11"/>
  <c r="Y330" i="11"/>
  <c r="V543" i="11"/>
  <c r="Y543" i="11"/>
  <c r="V945" i="11"/>
  <c r="Y945" i="11"/>
  <c r="V879" i="11"/>
  <c r="Y879" i="11"/>
  <c r="V317" i="11"/>
  <c r="Y317" i="11"/>
  <c r="V108" i="11"/>
  <c r="Y108" i="11"/>
  <c r="V344" i="11"/>
  <c r="Y344" i="11"/>
  <c r="V842" i="11"/>
  <c r="Y842" i="11"/>
  <c r="V88" i="11"/>
  <c r="Y88" i="11"/>
  <c r="V383" i="11"/>
  <c r="Y383" i="11"/>
  <c r="V132" i="11"/>
  <c r="Y132" i="11"/>
  <c r="V805" i="11"/>
  <c r="Y805" i="11"/>
  <c r="V275" i="11"/>
  <c r="Y275" i="11"/>
  <c r="V808" i="11"/>
  <c r="Y808" i="11"/>
  <c r="V587" i="11"/>
  <c r="Y587" i="11"/>
  <c r="V956" i="11"/>
  <c r="Y956" i="11"/>
  <c r="V86" i="11"/>
  <c r="Y86" i="11"/>
  <c r="V35" i="11"/>
  <c r="Y35" i="11"/>
  <c r="V683" i="11"/>
  <c r="Y683" i="11"/>
  <c r="V487" i="11"/>
  <c r="Y487" i="11"/>
  <c r="V917" i="11"/>
  <c r="Y917" i="11"/>
  <c r="V4" i="11"/>
  <c r="Y4" i="11"/>
  <c r="V57" i="11"/>
  <c r="Y57" i="11"/>
  <c r="V921" i="11"/>
  <c r="Y921" i="11"/>
  <c r="V823" i="11"/>
  <c r="Y823" i="11"/>
  <c r="V750" i="11"/>
  <c r="Y750" i="11"/>
  <c r="V804" i="11"/>
  <c r="Y804" i="11"/>
  <c r="V973" i="11"/>
  <c r="Y973" i="11"/>
  <c r="V428" i="11"/>
  <c r="Y428" i="11"/>
  <c r="V417" i="11"/>
  <c r="Y417" i="11"/>
  <c r="V783" i="11"/>
  <c r="Y783" i="11"/>
  <c r="V645" i="11"/>
  <c r="Y645" i="11"/>
  <c r="V580" i="11"/>
  <c r="Y580" i="11"/>
  <c r="V185" i="11"/>
  <c r="Y185" i="11"/>
  <c r="V45" i="11"/>
  <c r="Y45" i="11"/>
  <c r="V691" i="11"/>
  <c r="Y691" i="11"/>
  <c r="V923" i="11"/>
  <c r="Y923" i="11"/>
  <c r="V1000" i="11"/>
  <c r="Y1000" i="11"/>
  <c r="V316" i="11"/>
  <c r="Y316" i="11"/>
  <c r="V825" i="11"/>
  <c r="Y825" i="11"/>
  <c r="V56" i="11"/>
  <c r="Y56" i="11"/>
  <c r="V646" i="11"/>
  <c r="Y646" i="11"/>
  <c r="V406" i="11"/>
  <c r="Y406" i="11"/>
  <c r="V66" i="11"/>
  <c r="Y66" i="11"/>
  <c r="V937" i="11"/>
  <c r="Y937" i="11"/>
  <c r="V694" i="11"/>
  <c r="Y694" i="11"/>
  <c r="V161" i="11"/>
  <c r="Y161" i="11"/>
  <c r="V281" i="11"/>
  <c r="Y281" i="11"/>
  <c r="V771" i="11"/>
  <c r="Y771" i="11"/>
  <c r="V65" i="11"/>
  <c r="Y65" i="11"/>
  <c r="V30" i="11"/>
  <c r="Y30" i="11"/>
  <c r="V883" i="11"/>
  <c r="Y883" i="11"/>
  <c r="V184" i="11"/>
  <c r="Y184" i="11"/>
  <c r="V684" i="11"/>
  <c r="Y684" i="11"/>
  <c r="V414" i="11"/>
  <c r="Y414" i="11"/>
  <c r="V775" i="11"/>
  <c r="Y775" i="11"/>
  <c r="V480" i="11"/>
  <c r="Y480" i="11"/>
  <c r="V881" i="11"/>
  <c r="Y881" i="11"/>
  <c r="V490" i="11"/>
  <c r="Y490" i="11"/>
  <c r="V435" i="11"/>
  <c r="Y435" i="11"/>
  <c r="V777" i="11"/>
  <c r="Y777" i="11"/>
  <c r="V229" i="11"/>
  <c r="Y229" i="11"/>
  <c r="V866" i="11"/>
  <c r="Y866" i="11"/>
  <c r="V733" i="11"/>
  <c r="Y733" i="11"/>
  <c r="V346" i="11"/>
  <c r="Y346" i="11"/>
  <c r="V718" i="11"/>
  <c r="Y718" i="11"/>
  <c r="V270" i="11"/>
  <c r="Y270" i="11"/>
  <c r="V200" i="11"/>
  <c r="Y200" i="11"/>
  <c r="V759" i="11"/>
  <c r="Y759" i="11"/>
  <c r="V619" i="11"/>
  <c r="Y619" i="11"/>
  <c r="V20" i="11"/>
  <c r="Y20" i="11"/>
  <c r="V891" i="11"/>
  <c r="Y891" i="11"/>
  <c r="V402" i="11"/>
  <c r="Y402" i="11"/>
  <c r="V245" i="11"/>
  <c r="Y245" i="11"/>
  <c r="V250" i="11"/>
  <c r="Y250" i="11"/>
  <c r="V828" i="11"/>
  <c r="Y828" i="11"/>
  <c r="V158" i="11"/>
  <c r="Y158" i="11"/>
  <c r="V398" i="11"/>
  <c r="Y398" i="11"/>
  <c r="V675" i="11"/>
  <c r="Y675" i="11"/>
  <c r="V726" i="11"/>
  <c r="Y726" i="11"/>
  <c r="V276" i="11"/>
  <c r="Y276" i="11"/>
  <c r="V653" i="11"/>
  <c r="Y653" i="11"/>
  <c r="V446" i="11"/>
  <c r="Y446" i="11"/>
  <c r="V121" i="11"/>
  <c r="Y121" i="11"/>
  <c r="V79" i="11"/>
  <c r="Y79" i="11"/>
  <c r="V351" i="11"/>
  <c r="Y351" i="11"/>
  <c r="V298" i="11"/>
  <c r="Y298" i="11"/>
  <c r="V342" i="11"/>
  <c r="Y342" i="11"/>
  <c r="V217" i="11"/>
  <c r="Y217" i="11"/>
  <c r="V372" i="11"/>
  <c r="Y372" i="11"/>
  <c r="V648" i="11"/>
  <c r="Y648" i="11"/>
  <c r="V113" i="11"/>
  <c r="Y113" i="11"/>
  <c r="V815" i="11"/>
  <c r="Y815" i="11"/>
  <c r="V287" i="11"/>
  <c r="Y287" i="11"/>
  <c r="V321" i="11"/>
  <c r="Y321" i="11"/>
  <c r="V98" i="11"/>
  <c r="Y98" i="11"/>
  <c r="V719" i="11"/>
  <c r="Y719" i="11"/>
  <c r="V557" i="11"/>
  <c r="Y557" i="11"/>
  <c r="V713" i="11"/>
  <c r="Y713" i="11"/>
  <c r="V681" i="11"/>
  <c r="Y681" i="11"/>
  <c r="V612" i="11"/>
  <c r="Y612" i="11"/>
  <c r="V18" i="11"/>
  <c r="Y18" i="11"/>
  <c r="V473" i="11"/>
  <c r="Y473" i="11"/>
  <c r="V840" i="11"/>
  <c r="Y840" i="11"/>
  <c r="V948" i="11"/>
  <c r="Y948" i="11"/>
  <c r="V503" i="11"/>
  <c r="Y503" i="11"/>
  <c r="V710" i="11"/>
  <c r="Y710" i="11"/>
  <c r="V84" i="11"/>
  <c r="Y84" i="11"/>
  <c r="V529" i="11"/>
  <c r="Y529" i="11"/>
  <c r="V299" i="11"/>
  <c r="Y299" i="11"/>
  <c r="V310" i="11"/>
  <c r="Y310" i="11"/>
  <c r="V769" i="11"/>
  <c r="Y769" i="11"/>
  <c r="V676" i="11"/>
  <c r="Y676" i="11"/>
  <c r="V376" i="11"/>
  <c r="Y376" i="11"/>
  <c r="V865" i="11"/>
  <c r="Y865" i="11"/>
  <c r="V282" i="11"/>
  <c r="Y282" i="11"/>
  <c r="V832" i="11"/>
  <c r="Y832" i="11"/>
  <c r="V173" i="11"/>
  <c r="Y173" i="11"/>
  <c r="V467" i="11"/>
  <c r="Y467" i="11"/>
  <c r="V27" i="11"/>
  <c r="Y27" i="11"/>
  <c r="V935" i="11"/>
  <c r="Y935" i="11"/>
  <c r="V509" i="11"/>
  <c r="Y509" i="11"/>
  <c r="V579" i="11"/>
  <c r="Y579" i="11"/>
  <c r="V601" i="11"/>
  <c r="Y601" i="11"/>
  <c r="V441" i="11"/>
  <c r="Y441" i="11"/>
  <c r="V800" i="11"/>
  <c r="Y800" i="11"/>
  <c r="V210" i="11"/>
  <c r="Y210" i="11"/>
  <c r="V779" i="11"/>
  <c r="Y779" i="11"/>
  <c r="V116" i="11"/>
  <c r="Y116" i="11"/>
  <c r="V263" i="11"/>
  <c r="Y263" i="11"/>
  <c r="V459" i="11"/>
  <c r="Y459" i="11"/>
  <c r="V53" i="11"/>
  <c r="Y53" i="11"/>
  <c r="V994" i="11"/>
  <c r="Y994" i="11"/>
  <c r="V345" i="11"/>
  <c r="Y345" i="11"/>
  <c r="V8" i="11"/>
  <c r="Y8" i="11"/>
  <c r="V978" i="11"/>
  <c r="Y978" i="11"/>
  <c r="V294" i="11"/>
  <c r="Y294" i="11"/>
  <c r="V654" i="11"/>
  <c r="Y654" i="11"/>
  <c r="V324" i="11"/>
  <c r="Y324" i="11"/>
  <c r="V814" i="11"/>
  <c r="Y814" i="11"/>
  <c r="V470" i="11"/>
  <c r="Y470" i="11"/>
  <c r="V611" i="11"/>
  <c r="Y611" i="11"/>
  <c r="V420" i="11"/>
  <c r="Y420" i="11"/>
  <c r="V985" i="11"/>
  <c r="Y985" i="11"/>
  <c r="V515" i="11"/>
  <c r="Y515" i="11"/>
  <c r="V482" i="11"/>
  <c r="Y482" i="11"/>
  <c r="V306" i="11"/>
  <c r="Y306" i="11"/>
  <c r="V479" i="11"/>
  <c r="Y479" i="11"/>
  <c r="V491" i="11"/>
  <c r="Y491" i="11"/>
  <c r="V708" i="11"/>
  <c r="Y708" i="11"/>
  <c r="V753" i="11"/>
  <c r="Y753" i="11"/>
  <c r="V70" i="11"/>
  <c r="Y70" i="11"/>
  <c r="V931" i="11"/>
  <c r="Y931" i="11"/>
  <c r="V328" i="11"/>
  <c r="Y328" i="11"/>
  <c r="V120" i="11"/>
  <c r="Y120" i="11"/>
  <c r="V943" i="11"/>
  <c r="Y943" i="11"/>
  <c r="V665" i="11"/>
  <c r="Y665" i="11"/>
  <c r="V824" i="11"/>
  <c r="Y824" i="11"/>
  <c r="V904" i="11"/>
  <c r="Y904" i="11"/>
  <c r="V744" i="11"/>
  <c r="Y744" i="11"/>
  <c r="V738" i="11"/>
  <c r="Y738" i="11"/>
  <c r="V545" i="11"/>
  <c r="Y545" i="11"/>
  <c r="V896" i="11"/>
  <c r="Y896" i="11"/>
  <c r="V264" i="11"/>
  <c r="Y264" i="11"/>
  <c r="V616" i="11"/>
  <c r="Y616" i="11"/>
  <c r="V820" i="11"/>
  <c r="Y820" i="11"/>
  <c r="V627" i="11"/>
  <c r="Y627" i="11"/>
  <c r="V583" i="11"/>
  <c r="Y583" i="11"/>
  <c r="V968" i="11"/>
  <c r="Y968" i="11"/>
  <c r="V174" i="11"/>
  <c r="Y174" i="11"/>
  <c r="V643" i="11"/>
  <c r="Y643" i="11"/>
  <c r="V618" i="11"/>
  <c r="Y618" i="11"/>
  <c r="V349" i="11"/>
  <c r="Y349" i="11"/>
  <c r="V228" i="11"/>
  <c r="Y228" i="11"/>
  <c r="V836" i="11"/>
  <c r="Y836" i="11"/>
  <c r="V114" i="11"/>
  <c r="Y114" i="11"/>
  <c r="V844" i="11"/>
  <c r="Y844" i="11"/>
  <c r="V524" i="11"/>
  <c r="Y524" i="11"/>
  <c r="V260" i="11"/>
  <c r="Y260" i="11"/>
  <c r="V167" i="11"/>
  <c r="Y167" i="11"/>
  <c r="V97" i="11"/>
  <c r="Y97" i="11"/>
  <c r="V94" i="11"/>
  <c r="Y94" i="11"/>
  <c r="V944" i="11"/>
  <c r="Y944" i="11"/>
  <c r="V191" i="11"/>
  <c r="Y191" i="11"/>
  <c r="V902" i="11"/>
  <c r="Y902" i="11"/>
  <c r="V52" i="11"/>
  <c r="Y52" i="11"/>
  <c r="V5" i="11"/>
  <c r="Y5" i="11"/>
  <c r="V867" i="11"/>
  <c r="Y867" i="11"/>
  <c r="V387" i="11"/>
  <c r="Y387" i="11"/>
  <c r="V220" i="11"/>
  <c r="Y220" i="11"/>
  <c r="V136" i="11"/>
  <c r="Y136" i="11"/>
  <c r="V203" i="11"/>
  <c r="Y203" i="11"/>
  <c r="V874" i="11"/>
  <c r="Y874" i="11"/>
  <c r="V690" i="11"/>
  <c r="Y690" i="11"/>
  <c r="V146" i="11"/>
  <c r="Y146" i="11"/>
  <c r="V51" i="11"/>
  <c r="Y51" i="11"/>
  <c r="V837" i="11"/>
  <c r="Y837" i="11"/>
  <c r="V400" i="11"/>
  <c r="Y400" i="11"/>
  <c r="V552" i="11"/>
  <c r="Y552" i="11"/>
  <c r="V574" i="11"/>
  <c r="Y574" i="11"/>
  <c r="V162" i="11"/>
  <c r="Y162" i="11"/>
  <c r="V421" i="11"/>
  <c r="Y421" i="11"/>
  <c r="V961" i="11"/>
  <c r="Y961" i="11"/>
  <c r="V176" i="11"/>
  <c r="Y176" i="11"/>
  <c r="V291" i="11"/>
  <c r="Y291" i="11"/>
  <c r="V962" i="11"/>
  <c r="Y962" i="11"/>
  <c r="V384" i="11"/>
  <c r="Y384" i="11"/>
  <c r="V104" i="11"/>
  <c r="Y104" i="11"/>
  <c r="V582" i="11"/>
  <c r="Y582" i="11"/>
  <c r="V679" i="11"/>
  <c r="Y679" i="11"/>
  <c r="V986" i="11"/>
  <c r="Y986" i="11"/>
  <c r="V409" i="11"/>
  <c r="Y409" i="11"/>
  <c r="V296" i="11"/>
  <c r="Y296" i="11"/>
  <c r="V623" i="11"/>
  <c r="Y623" i="11"/>
  <c r="V963" i="11"/>
  <c r="Y963" i="11"/>
  <c r="V96" i="11"/>
  <c r="Y96" i="11"/>
  <c r="V887" i="11"/>
  <c r="Y887" i="11"/>
  <c r="V739" i="11"/>
  <c r="Y739" i="11"/>
  <c r="V971" i="11"/>
  <c r="Y971" i="11"/>
  <c r="V581" i="11"/>
  <c r="Y581" i="11"/>
  <c r="V757" i="11"/>
  <c r="Y757" i="11"/>
  <c r="V183" i="11"/>
  <c r="Y183" i="11"/>
  <c r="V755" i="11"/>
  <c r="Y755" i="11"/>
  <c r="V919" i="11"/>
  <c r="Y919" i="11"/>
  <c r="V969" i="11"/>
  <c r="Y969" i="11"/>
  <c r="V154" i="11"/>
  <c r="Y154" i="11"/>
  <c r="V77" i="11"/>
  <c r="Y77" i="11"/>
  <c r="V541" i="11"/>
  <c r="Y541" i="11"/>
  <c r="V236" i="11"/>
  <c r="Y236" i="11"/>
  <c r="V269" i="11"/>
  <c r="Y269" i="11"/>
  <c r="V252" i="11"/>
  <c r="Y252" i="11"/>
  <c r="V337" i="11"/>
  <c r="Y337" i="11"/>
  <c r="V987" i="11"/>
  <c r="Y987" i="11"/>
  <c r="V10" i="11"/>
  <c r="Y10" i="11"/>
  <c r="V240" i="11"/>
  <c r="Y240" i="11"/>
  <c r="V869" i="11"/>
  <c r="Y869" i="11"/>
  <c r="V322" i="11"/>
  <c r="Y322" i="11"/>
  <c r="V974" i="11"/>
  <c r="Y974" i="11"/>
  <c r="V90" i="11"/>
  <c r="Y90" i="11"/>
  <c r="V109" i="11"/>
  <c r="Y109" i="11"/>
  <c r="V689" i="11"/>
  <c r="Y689" i="11"/>
  <c r="V525" i="11"/>
  <c r="Y525" i="11"/>
  <c r="V54" i="11"/>
  <c r="Y54" i="11"/>
  <c r="V80" i="11"/>
  <c r="Y80" i="11"/>
  <c r="V47" i="11"/>
  <c r="Y47" i="11"/>
  <c r="V526" i="11"/>
  <c r="Y526" i="11"/>
  <c r="V715" i="11"/>
  <c r="Y715" i="11"/>
  <c r="V142" i="11"/>
  <c r="Y142" i="11"/>
  <c r="V11" i="11"/>
  <c r="Y11" i="11"/>
  <c r="V255" i="11"/>
  <c r="Y255" i="11"/>
  <c r="V610" i="11"/>
  <c r="Y610" i="11"/>
  <c r="V631" i="11"/>
  <c r="Y631" i="11"/>
  <c r="V905" i="11"/>
  <c r="Y905" i="11"/>
  <c r="V722" i="11"/>
  <c r="Y722" i="11"/>
  <c r="V597" i="11"/>
  <c r="Y597" i="11"/>
  <c r="V809" i="11"/>
  <c r="Y809" i="11"/>
  <c r="V957" i="11"/>
  <c r="Y957" i="11"/>
  <c r="V520" i="11"/>
  <c r="Y520" i="11"/>
  <c r="V847" i="11"/>
  <c r="Y847" i="11"/>
  <c r="V378" i="11"/>
  <c r="Y378" i="11"/>
  <c r="V703" i="11"/>
  <c r="Y703" i="11"/>
  <c r="V201" i="11"/>
  <c r="Y201" i="11"/>
  <c r="V925" i="11"/>
  <c r="Y925" i="11"/>
  <c r="V369" i="11"/>
  <c r="Y369" i="11"/>
  <c r="V107" i="11"/>
  <c r="Y107" i="11"/>
  <c r="V620" i="11"/>
  <c r="Y620" i="11"/>
  <c r="V34" i="11"/>
  <c r="Y34" i="11"/>
  <c r="V303" i="11"/>
  <c r="Y303" i="11"/>
  <c r="V179" i="11"/>
  <c r="Y179" i="11"/>
  <c r="V672" i="11"/>
  <c r="Y672" i="11"/>
  <c r="V204" i="11"/>
  <c r="Y204" i="11"/>
  <c r="V50" i="11"/>
  <c r="Y50" i="11"/>
  <c r="V447" i="11"/>
  <c r="Y447" i="11"/>
  <c r="V538" i="11"/>
  <c r="Y538" i="11"/>
  <c r="V817" i="11"/>
  <c r="Y817" i="11"/>
  <c r="V17" i="11"/>
  <c r="Y17" i="11"/>
  <c r="V707" i="11"/>
  <c r="Y707" i="11"/>
  <c r="V636" i="11"/>
  <c r="Y636" i="11"/>
  <c r="V536" i="11"/>
  <c r="Y536" i="11"/>
  <c r="V182" i="11"/>
  <c r="Y182" i="11"/>
  <c r="V794" i="11"/>
  <c r="Y794" i="11"/>
  <c r="V413" i="11"/>
  <c r="Y413" i="11"/>
  <c r="V60" i="11"/>
  <c r="Y60" i="11"/>
  <c r="V519" i="11"/>
  <c r="Y519" i="11"/>
  <c r="V197" i="11"/>
  <c r="Y197" i="11"/>
  <c r="V23" i="11"/>
  <c r="Y23" i="11"/>
  <c r="V590" i="11"/>
  <c r="Y590" i="11"/>
  <c r="V705" i="11"/>
  <c r="Y705" i="11"/>
  <c r="V102" i="11"/>
  <c r="Y102" i="11"/>
  <c r="V423" i="11"/>
  <c r="Y423" i="11"/>
  <c r="V343" i="11"/>
  <c r="Y343" i="11"/>
  <c r="V391" i="11"/>
  <c r="Y391" i="11"/>
  <c r="V46" i="11"/>
  <c r="Y46" i="11"/>
  <c r="V998" i="11"/>
  <c r="Y998" i="11"/>
  <c r="V157" i="11"/>
  <c r="Y157" i="11"/>
  <c r="V254" i="11"/>
  <c r="Y254" i="11"/>
  <c r="V522" i="11"/>
  <c r="Y522" i="11"/>
  <c r="V594" i="11"/>
  <c r="Y594" i="11"/>
  <c r="V172" i="11"/>
  <c r="Y172" i="11"/>
  <c r="V452" i="11"/>
  <c r="Y452" i="11"/>
  <c r="V647" i="11"/>
  <c r="Y647" i="11"/>
  <c r="V784" i="11"/>
  <c r="Y784" i="11"/>
  <c r="V422" i="11"/>
  <c r="Y422" i="11"/>
  <c r="V284" i="11"/>
  <c r="Y284" i="11"/>
  <c r="V649" i="11"/>
  <c r="Y649" i="11"/>
  <c r="V235" i="11"/>
  <c r="Y235" i="11"/>
  <c r="V92" i="11"/>
  <c r="Y92" i="11"/>
  <c r="V189" i="11"/>
  <c r="Y189" i="11"/>
  <c r="V140" i="11"/>
  <c r="Y140" i="11"/>
  <c r="V205" i="11"/>
  <c r="Y205" i="11"/>
  <c r="V789" i="11"/>
  <c r="Y789" i="11"/>
  <c r="V912" i="11"/>
  <c r="Y912" i="11"/>
  <c r="V633" i="11"/>
  <c r="Y633" i="11"/>
  <c r="V827" i="11"/>
  <c r="Y827" i="11"/>
  <c r="V227" i="11"/>
  <c r="Y227" i="11"/>
  <c r="V577" i="11"/>
  <c r="Y577" i="11"/>
  <c r="V960" i="11"/>
  <c r="Y960" i="11"/>
  <c r="V982" i="11"/>
  <c r="Y982" i="11"/>
  <c r="V81" i="11"/>
  <c r="Y81" i="11"/>
  <c r="V530" i="11"/>
  <c r="Y530" i="11"/>
  <c r="V548" i="11"/>
  <c r="Y548" i="11"/>
  <c r="V801" i="11"/>
  <c r="Y801" i="11"/>
  <c r="V667" i="11"/>
  <c r="Y667" i="11"/>
  <c r="V141" i="11"/>
  <c r="Y141" i="11"/>
  <c r="V9" i="11"/>
  <c r="Y9" i="11"/>
  <c r="V989" i="11"/>
  <c r="Y989" i="11"/>
  <c r="V873" i="11"/>
  <c r="Y873" i="11"/>
  <c r="V211" i="11"/>
  <c r="Y211" i="11"/>
  <c r="V271" i="11"/>
  <c r="Y271" i="11"/>
  <c r="V32" i="11"/>
  <c r="Y32" i="11"/>
  <c r="V899" i="11"/>
  <c r="Y899" i="11"/>
  <c r="V374" i="11"/>
  <c r="Y374" i="11"/>
  <c r="V788" i="11"/>
  <c r="Y788" i="11"/>
  <c r="V918" i="11"/>
  <c r="Y918" i="11"/>
  <c r="V952" i="11"/>
  <c r="Y952" i="11"/>
  <c r="V22" i="11"/>
  <c r="Y22" i="11"/>
  <c r="V14" i="11"/>
  <c r="Y14" i="11"/>
  <c r="V347" i="11"/>
  <c r="Y347" i="11"/>
  <c r="V489" i="11"/>
  <c r="Y489" i="11"/>
  <c r="V319" i="11"/>
  <c r="Y319" i="11"/>
  <c r="V326" i="11"/>
  <c r="Y326" i="11"/>
  <c r="V621" i="11"/>
  <c r="Y621" i="11"/>
  <c r="V878" i="11"/>
  <c r="Y878" i="11"/>
  <c r="V972" i="11"/>
  <c r="Y972" i="11"/>
  <c r="V124" i="11"/>
  <c r="Y124" i="11"/>
  <c r="V756" i="11"/>
  <c r="Y756" i="11"/>
  <c r="V440" i="11"/>
  <c r="Y440" i="11"/>
  <c r="V285" i="11"/>
  <c r="Y285" i="11"/>
  <c r="V358" i="11"/>
  <c r="Y358" i="11"/>
  <c r="V841" i="11"/>
  <c r="Y841" i="11"/>
  <c r="V68" i="11"/>
  <c r="Y68" i="11"/>
  <c r="V514" i="11"/>
  <c r="Y514" i="11"/>
  <c r="V309" i="11"/>
  <c r="Y309" i="11"/>
  <c r="V78" i="11"/>
  <c r="Y78" i="11"/>
  <c r="V576" i="11"/>
  <c r="Y576" i="11"/>
  <c r="V265" i="11"/>
  <c r="Y265" i="11"/>
  <c r="V433" i="11"/>
  <c r="Y433" i="11"/>
  <c r="V589" i="11"/>
  <c r="Y589" i="11"/>
  <c r="V810" i="11"/>
  <c r="Y810" i="11"/>
  <c r="V551" i="11"/>
  <c r="Y551" i="11"/>
  <c r="V835" i="11"/>
  <c r="Y835" i="11"/>
  <c r="V72" i="11"/>
  <c r="Y72" i="11"/>
  <c r="V156" i="11"/>
  <c r="Y156" i="11"/>
  <c r="V720" i="11"/>
  <c r="Y720" i="11"/>
  <c r="V725" i="11"/>
  <c r="Y725" i="11"/>
  <c r="V860" i="11"/>
  <c r="Y860" i="11"/>
  <c r="V301" i="11"/>
  <c r="Y301" i="11"/>
  <c r="V980" i="11"/>
  <c r="Y980" i="11"/>
  <c r="V226" i="11"/>
  <c r="Y226" i="11"/>
  <c r="V412" i="11"/>
  <c r="Y412" i="11"/>
  <c r="V748" i="11"/>
  <c r="Y748" i="11"/>
  <c r="V373" i="11"/>
  <c r="Y373" i="11"/>
  <c r="V170" i="11"/>
  <c r="Y170" i="11"/>
  <c r="V964" i="11"/>
  <c r="Y964" i="11"/>
  <c r="V82" i="11"/>
  <c r="Y82" i="11"/>
  <c r="V129" i="11"/>
  <c r="Y129" i="11"/>
  <c r="V507" i="11"/>
  <c r="Y507" i="11"/>
  <c r="V222" i="11"/>
  <c r="Y222" i="11"/>
  <c r="V936" i="11"/>
  <c r="Y936" i="11"/>
  <c r="V848" i="11"/>
  <c r="Y848" i="11"/>
  <c r="V338" i="11"/>
  <c r="Y338" i="11"/>
  <c r="V542" i="11"/>
  <c r="Y542" i="11"/>
  <c r="V219" i="11"/>
  <c r="Y219" i="11"/>
  <c r="V3" i="11"/>
  <c r="Y3" i="11"/>
  <c r="V758" i="11"/>
  <c r="Y758" i="11"/>
  <c r="V127" i="11"/>
  <c r="Y127" i="11"/>
  <c r="V638" i="11"/>
  <c r="Y638" i="11"/>
  <c r="V793" i="11"/>
  <c r="Y793" i="11"/>
  <c r="V365" i="11"/>
  <c r="Y365" i="11"/>
  <c r="V550" i="11"/>
  <c r="Y550" i="11"/>
  <c r="V69" i="11"/>
  <c r="Y69" i="11"/>
  <c r="V175" i="11"/>
  <c r="Y175" i="11"/>
  <c r="V803" i="11"/>
  <c r="Y803" i="11"/>
  <c r="V898" i="11"/>
  <c r="Y898" i="11"/>
  <c r="V368" i="11"/>
  <c r="Y368" i="11"/>
  <c r="V712" i="11"/>
  <c r="Y712" i="11"/>
  <c r="V997" i="11"/>
  <c r="Y997" i="11"/>
  <c r="V43" i="11"/>
  <c r="Y43" i="11"/>
  <c r="V570" i="11"/>
  <c r="Y570" i="11"/>
  <c r="V426" i="11"/>
  <c r="Y426" i="11"/>
  <c r="V670" i="11"/>
  <c r="Y670" i="11"/>
  <c r="V591" i="11"/>
  <c r="Y591" i="11"/>
  <c r="V939" i="11"/>
  <c r="Y939" i="11"/>
  <c r="V386" i="11"/>
  <c r="Y386" i="11"/>
  <c r="V981" i="11"/>
  <c r="Y981" i="11"/>
  <c r="V949" i="11"/>
  <c r="Y949" i="11"/>
  <c r="V246" i="11"/>
  <c r="Y246" i="11"/>
  <c r="V572" i="11"/>
  <c r="Y572" i="11"/>
  <c r="V33" i="11"/>
  <c r="Y33" i="11"/>
  <c r="V568" i="11"/>
  <c r="Y568" i="11"/>
  <c r="V907" i="11"/>
  <c r="Y907" i="11"/>
  <c r="V659" i="11"/>
  <c r="Y659" i="11"/>
  <c r="V61" i="11"/>
  <c r="Y61" i="11"/>
  <c r="V7" i="11"/>
  <c r="Y7" i="11"/>
  <c r="V527" i="11"/>
  <c r="Y527" i="11"/>
  <c r="V571" i="11"/>
  <c r="Y571" i="11"/>
  <c r="V224" i="11"/>
  <c r="Y224" i="11"/>
  <c r="V137" i="11"/>
  <c r="Y137" i="11"/>
  <c r="V379" i="11"/>
  <c r="Y379" i="11"/>
  <c r="V762" i="11"/>
  <c r="Y762" i="11"/>
  <c r="V277" i="11"/>
  <c r="Y277" i="11"/>
  <c r="V478" i="11"/>
  <c r="Y478" i="11"/>
  <c r="V996" i="11"/>
  <c r="Y996" i="11"/>
  <c r="V430" i="11"/>
  <c r="Y430" i="11"/>
  <c r="V381" i="11"/>
  <c r="Y381" i="11"/>
  <c r="V776" i="11"/>
  <c r="Y776" i="11"/>
  <c r="V970" i="11"/>
  <c r="Y970" i="11"/>
  <c r="V806" i="11"/>
  <c r="Y806" i="11"/>
  <c r="V915" i="11"/>
  <c r="Y915" i="11"/>
  <c r="V613" i="11"/>
  <c r="Y613" i="11"/>
  <c r="V126" i="11"/>
  <c r="Y126" i="11"/>
  <c r="V497" i="11"/>
  <c r="Y497" i="11"/>
  <c r="V926" i="11"/>
  <c r="Y926" i="11"/>
  <c r="V483" i="11"/>
  <c r="Y483" i="11"/>
  <c r="V103" i="11"/>
  <c r="Y103" i="11"/>
  <c r="V83" i="11"/>
  <c r="Y83" i="11"/>
  <c r="V169" i="11"/>
  <c r="Y169" i="11"/>
  <c r="V340" i="11"/>
  <c r="Y340" i="11"/>
  <c r="V353" i="11"/>
  <c r="Y353" i="11"/>
  <c r="V49" i="11"/>
  <c r="Y49" i="11"/>
  <c r="V995" i="11"/>
  <c r="Y995" i="11"/>
  <c r="V872" i="11"/>
  <c r="Y872" i="11"/>
  <c r="V637" i="11"/>
  <c r="Y637" i="11"/>
  <c r="V838" i="11"/>
  <c r="Y838" i="11"/>
  <c r="V578" i="11"/>
  <c r="Y578" i="11"/>
  <c r="V339" i="11"/>
  <c r="Y339" i="11"/>
  <c r="V990" i="11"/>
  <c r="Y990" i="11"/>
  <c r="V138" i="11"/>
  <c r="Y138" i="11"/>
  <c r="V890" i="11"/>
  <c r="Y890" i="11"/>
  <c r="V780" i="11"/>
  <c r="Y780" i="11"/>
  <c r="V696" i="11"/>
  <c r="Y696" i="11"/>
  <c r="V760" i="11"/>
  <c r="Y760" i="11"/>
  <c r="V662" i="11"/>
  <c r="Y662" i="11"/>
  <c r="V118" i="11"/>
  <c r="Y118" i="11"/>
  <c r="V640" i="11"/>
  <c r="Y640" i="11"/>
  <c r="V765" i="11"/>
  <c r="Y765" i="11"/>
  <c r="V782" i="11"/>
  <c r="Y782" i="11"/>
  <c r="V159" i="11"/>
  <c r="Y159" i="11"/>
  <c r="V562" i="11"/>
  <c r="Y562" i="11"/>
  <c r="V706" i="11"/>
  <c r="Y706" i="11"/>
  <c r="V764" i="11"/>
  <c r="Y764" i="11"/>
  <c r="V955" i="11"/>
  <c r="Y955" i="11"/>
  <c r="V21" i="11"/>
  <c r="Y21" i="11"/>
  <c r="V253" i="11"/>
  <c r="Y253" i="11"/>
  <c r="V508" i="11"/>
  <c r="Y508" i="11"/>
  <c r="V394" i="11"/>
  <c r="Y394" i="11"/>
  <c r="V797" i="11"/>
  <c r="Y797" i="11"/>
  <c r="V336" i="11"/>
  <c r="Y336" i="11"/>
  <c r="V504" i="11"/>
  <c r="Y504" i="11"/>
  <c r="V110" i="11"/>
  <c r="Y110" i="11"/>
  <c r="V740" i="11"/>
  <c r="Y740" i="11"/>
  <c r="V149" i="11"/>
  <c r="Y149" i="11"/>
  <c r="V41" i="11"/>
  <c r="Y41" i="11"/>
  <c r="V588" i="11"/>
  <c r="Y588" i="11"/>
  <c r="V206" i="11"/>
  <c r="Y206" i="11"/>
  <c r="V431" i="11"/>
  <c r="Y431" i="11"/>
  <c r="V418" i="11"/>
  <c r="Y418" i="11"/>
  <c r="V304" i="11"/>
  <c r="Y304" i="11"/>
  <c r="V100" i="11"/>
  <c r="Y100" i="11"/>
  <c r="V687" i="11"/>
  <c r="Y687" i="11"/>
  <c r="V215" i="11"/>
  <c r="Y215" i="11"/>
  <c r="V396" i="11"/>
  <c r="Y396" i="11"/>
  <c r="V730" i="11"/>
  <c r="Y730" i="11"/>
  <c r="V119" i="11"/>
  <c r="Y119" i="11"/>
  <c r="V607" i="11"/>
  <c r="Y607" i="11"/>
  <c r="V128" i="11"/>
  <c r="Y128" i="11"/>
  <c r="V237" i="11"/>
  <c r="Y237" i="11"/>
  <c r="V954" i="11"/>
  <c r="Y954" i="11"/>
  <c r="V323" i="11"/>
  <c r="Y323" i="11"/>
  <c r="V451" i="11"/>
  <c r="Y451" i="11"/>
  <c r="V481" i="11"/>
  <c r="Y481" i="11"/>
  <c r="V382" i="11"/>
  <c r="Y382" i="11"/>
  <c r="V308" i="11"/>
  <c r="Y308" i="11"/>
  <c r="V251" i="11"/>
  <c r="Y251" i="11"/>
  <c r="V223" i="11"/>
  <c r="Y223" i="11"/>
  <c r="V711" i="11"/>
  <c r="Y711" i="11"/>
  <c r="V130" i="11"/>
  <c r="Y130" i="11"/>
  <c r="V929" i="11"/>
  <c r="Y929" i="11"/>
  <c r="V698" i="11"/>
  <c r="Y698" i="11"/>
  <c r="V787" i="11"/>
  <c r="Y787" i="11"/>
  <c r="V295" i="11"/>
  <c r="Y295" i="11"/>
  <c r="V906" i="11"/>
  <c r="Y906" i="11"/>
  <c r="V556" i="11"/>
  <c r="Y556" i="11"/>
  <c r="V361" i="11"/>
  <c r="Y361" i="11"/>
  <c r="V288" i="11"/>
  <c r="Y288" i="11"/>
  <c r="V181" i="11"/>
  <c r="Y181" i="11"/>
  <c r="V894" i="11"/>
  <c r="Y894" i="11"/>
  <c r="V493" i="11"/>
  <c r="Y493" i="11"/>
  <c r="V822" i="11"/>
  <c r="Y822" i="11"/>
  <c r="V735" i="11"/>
  <c r="Y735" i="11"/>
  <c r="V168" i="11"/>
  <c r="Y168" i="11"/>
  <c r="V457" i="11"/>
  <c r="Y457" i="11"/>
  <c r="V853" i="11"/>
  <c r="Y853" i="11"/>
  <c r="V139" i="11"/>
  <c r="Y139" i="11"/>
  <c r="V510" i="11"/>
  <c r="Y510" i="11"/>
  <c r="V366" i="11"/>
  <c r="Y366" i="11"/>
  <c r="V486" i="11"/>
  <c r="Y486" i="11"/>
  <c r="V660" i="11"/>
  <c r="Y660" i="11"/>
  <c r="V774" i="11"/>
  <c r="Y774" i="11"/>
  <c r="V600" i="11"/>
  <c r="Y600" i="11"/>
  <c r="V429" i="11"/>
  <c r="Y429" i="11"/>
  <c r="V770" i="11"/>
  <c r="Y770" i="11"/>
  <c r="V819" i="11"/>
  <c r="Y819" i="11"/>
  <c r="V425" i="11"/>
  <c r="Y425" i="11"/>
  <c r="V85" i="11"/>
  <c r="Y85" i="11"/>
  <c r="V807" i="11"/>
  <c r="Y807" i="11"/>
  <c r="V399" i="11"/>
  <c r="Y399" i="11"/>
  <c r="V498" i="11"/>
  <c r="Y498" i="11"/>
  <c r="V500" i="11"/>
  <c r="Y500" i="11"/>
  <c r="V190" i="11"/>
  <c r="Y190" i="11"/>
  <c r="V427" i="11"/>
  <c r="Y427" i="11"/>
  <c r="V436" i="11"/>
  <c r="Y436" i="11"/>
  <c r="V152" i="11"/>
  <c r="Y152" i="11"/>
  <c r="V531" i="11"/>
  <c r="Y531" i="11"/>
  <c r="V897" i="11"/>
  <c r="Y897" i="11"/>
  <c r="V889" i="11"/>
  <c r="Y889" i="11"/>
  <c r="V799" i="11"/>
  <c r="Y799" i="11"/>
  <c r="V742" i="11"/>
  <c r="Y742" i="11"/>
  <c r="V916" i="11"/>
  <c r="Y916" i="11"/>
  <c r="V886" i="11"/>
  <c r="Y886" i="11"/>
  <c r="V752" i="11"/>
  <c r="Y752" i="11"/>
  <c r="V737" i="11"/>
  <c r="Y737" i="11"/>
  <c r="V74" i="11"/>
  <c r="Y74" i="11"/>
  <c r="V882" i="11"/>
  <c r="Y882" i="11"/>
  <c r="V700" i="11"/>
  <c r="Y700" i="11"/>
  <c r="V472" i="11"/>
  <c r="Y472" i="11"/>
  <c r="V911" i="11"/>
  <c r="Y911" i="11"/>
  <c r="V71" i="11"/>
  <c r="Y71" i="11"/>
  <c r="V851" i="11"/>
  <c r="Y851" i="11"/>
  <c r="V639" i="11"/>
  <c r="Y639" i="11"/>
  <c r="V198" i="11"/>
  <c r="Y198" i="11"/>
  <c r="V863" i="11"/>
  <c r="Y863" i="11"/>
  <c r="V534" i="11"/>
  <c r="Y534" i="11"/>
  <c r="V599" i="11"/>
  <c r="Y599" i="11"/>
  <c r="V856" i="11"/>
  <c r="Y856" i="11"/>
  <c r="V751" i="11"/>
  <c r="Y751" i="11"/>
  <c r="V29" i="11"/>
  <c r="Y29" i="11"/>
  <c r="V813" i="11"/>
  <c r="Y813" i="11"/>
  <c r="V609" i="11"/>
  <c r="Y609" i="11"/>
  <c r="V408" i="11"/>
  <c r="Y408" i="11"/>
  <c r="V13" i="11"/>
  <c r="Y13" i="11"/>
  <c r="V468" i="11"/>
  <c r="Y468" i="11"/>
  <c r="V870" i="11"/>
  <c r="Y870" i="11"/>
  <c r="V193" i="11"/>
  <c r="Y193" i="11"/>
  <c r="V249" i="11"/>
  <c r="Y249" i="11"/>
  <c r="V356" i="11"/>
  <c r="Y356" i="11"/>
  <c r="V131" i="11"/>
  <c r="Y131" i="11"/>
  <c r="V885" i="11"/>
  <c r="Y885" i="11"/>
  <c r="V535" i="11"/>
  <c r="Y535" i="11"/>
  <c r="V731" i="11"/>
  <c r="Y731" i="11"/>
  <c r="V729" i="11"/>
  <c r="Y729" i="11"/>
  <c r="V455" i="11"/>
  <c r="Y455" i="11"/>
  <c r="V933" i="11"/>
  <c r="Y933" i="11"/>
  <c r="V475" i="11"/>
  <c r="Y475" i="11"/>
  <c r="V539" i="11"/>
  <c r="Y539" i="11"/>
  <c r="V826" i="11"/>
  <c r="Y826" i="11"/>
  <c r="V946" i="11"/>
  <c r="Y946" i="11"/>
  <c r="V144" i="11"/>
  <c r="Y144" i="11"/>
  <c r="V178" i="11"/>
  <c r="Y178" i="11"/>
  <c r="V714" i="11"/>
  <c r="Y714" i="11"/>
  <c r="V267" i="11"/>
  <c r="Y267" i="11"/>
  <c r="V405" i="11"/>
  <c r="Y405" i="11"/>
  <c r="V448" i="11"/>
  <c r="Y448" i="11"/>
  <c r="V754" i="11"/>
  <c r="Y754" i="11"/>
  <c r="V241" i="11"/>
  <c r="Y241" i="11"/>
  <c r="V859" i="11"/>
  <c r="Y859" i="11"/>
  <c r="V953" i="11"/>
  <c r="Y953" i="11"/>
  <c r="V499" i="11"/>
  <c r="Y499" i="11"/>
  <c r="V188" i="11"/>
  <c r="Y188" i="11"/>
  <c r="V177" i="11"/>
  <c r="Y177" i="11"/>
  <c r="V688" i="11"/>
  <c r="Y688" i="11"/>
  <c r="V913" i="11"/>
  <c r="Y913" i="11"/>
  <c r="V603" i="11"/>
  <c r="Y603" i="11"/>
  <c r="V682" i="11"/>
  <c r="Y682" i="11"/>
  <c r="V608" i="11"/>
  <c r="Y608" i="11"/>
  <c r="V544" i="11"/>
  <c r="Y544" i="11"/>
  <c r="V55" i="11"/>
  <c r="Y55" i="11"/>
  <c r="V674" i="11"/>
  <c r="Y674" i="11"/>
  <c r="V634" i="11"/>
  <c r="Y634" i="11"/>
  <c r="V362" i="11"/>
  <c r="Y362" i="11"/>
  <c r="V635" i="11"/>
  <c r="Y635" i="11"/>
  <c r="V416" i="11"/>
  <c r="Y416" i="11"/>
  <c r="V122" i="11"/>
  <c r="Y122" i="11"/>
  <c r="V389" i="11"/>
  <c r="Y389" i="11"/>
  <c r="V768" i="11"/>
  <c r="Y768" i="11"/>
  <c r="V302" i="11"/>
  <c r="Y302" i="11"/>
  <c r="V622" i="11"/>
  <c r="Y622" i="11"/>
  <c r="V187" i="11"/>
  <c r="Y187" i="11"/>
  <c r="V261" i="11"/>
  <c r="Y261" i="11"/>
  <c r="V702" i="11"/>
  <c r="Y702" i="11"/>
  <c r="V6" i="11"/>
  <c r="Y6" i="11"/>
  <c r="V746" i="11"/>
  <c r="Y746" i="11"/>
  <c r="V888" i="11"/>
  <c r="Y888" i="11"/>
  <c r="V371" i="11"/>
  <c r="Y371" i="11"/>
  <c r="V910" i="11"/>
  <c r="Y910" i="11"/>
  <c r="V466" i="11"/>
  <c r="Y466" i="11"/>
  <c r="V833" i="11"/>
  <c r="Y833" i="11"/>
  <c r="V528" i="11"/>
  <c r="Y528" i="11"/>
  <c r="V444" i="11"/>
  <c r="Y444" i="11"/>
  <c r="V115" i="11"/>
  <c r="Y115" i="11"/>
  <c r="V164" i="11"/>
  <c r="Y164" i="11"/>
  <c r="V445" i="11"/>
  <c r="Y445" i="11"/>
  <c r="V900" i="11"/>
  <c r="Y900" i="11"/>
  <c r="V289" i="11"/>
  <c r="Y289" i="11"/>
  <c r="V442" i="11"/>
  <c r="Y442" i="11"/>
  <c r="V91" i="11"/>
  <c r="Y91" i="11"/>
  <c r="V283" i="11"/>
  <c r="Y283" i="11"/>
  <c r="V721" i="11"/>
  <c r="Y721" i="11"/>
  <c r="V290" i="11"/>
  <c r="Y290" i="11"/>
  <c r="V855" i="11"/>
  <c r="Y855" i="11"/>
  <c r="V39" i="11"/>
  <c r="Y39" i="11"/>
  <c r="V75" i="11"/>
  <c r="Y75" i="11"/>
  <c r="V778" i="11"/>
  <c r="Y778" i="11"/>
  <c r="V857" i="11"/>
  <c r="Y857" i="11"/>
  <c r="V355" i="11"/>
  <c r="Y355" i="11"/>
  <c r="V506" i="11"/>
  <c r="Y506" i="11"/>
  <c r="V256" i="11"/>
  <c r="Y256" i="11"/>
  <c r="V273" i="11"/>
  <c r="Y273" i="11"/>
  <c r="V656" i="11"/>
  <c r="Y656" i="11"/>
  <c r="V145" i="11"/>
  <c r="Y145" i="11"/>
  <c r="V680" i="11"/>
  <c r="Y680" i="11"/>
  <c r="V988" i="11"/>
  <c r="Y988" i="11"/>
  <c r="V843" i="11"/>
  <c r="Y843" i="11"/>
  <c r="V37" i="11"/>
  <c r="Y37" i="11"/>
  <c r="V19" i="11"/>
  <c r="Y19" i="11"/>
  <c r="V105" i="11"/>
  <c r="Y105" i="11"/>
  <c r="V766" i="11"/>
  <c r="Y766" i="11"/>
  <c r="V354" i="11"/>
  <c r="Y354" i="11"/>
  <c r="V845" i="11"/>
  <c r="Y845" i="11"/>
  <c r="V266" i="11"/>
  <c r="Y266" i="11"/>
  <c r="V658" i="11"/>
  <c r="Y658" i="11"/>
  <c r="V89" i="11"/>
  <c r="Y89" i="11"/>
  <c r="V335" i="11"/>
  <c r="Y335" i="11"/>
  <c r="V781" i="11"/>
  <c r="Y781" i="11"/>
  <c r="V876" i="11"/>
  <c r="Y876" i="11"/>
  <c r="V595" i="11"/>
  <c r="Y595" i="11"/>
  <c r="V334" i="11"/>
  <c r="Y334" i="11"/>
  <c r="V87" i="11"/>
  <c r="Y87" i="11"/>
  <c r="V469" i="11"/>
  <c r="Y469" i="11"/>
  <c r="V492" i="11"/>
  <c r="Y492" i="11"/>
  <c r="V709" i="11"/>
  <c r="Y709" i="11"/>
  <c r="V743" i="11"/>
  <c r="Y743" i="11"/>
  <c r="V42" i="11"/>
  <c r="Y42" i="11"/>
  <c r="V846" i="11"/>
  <c r="Y846" i="11"/>
  <c r="V602" i="11"/>
  <c r="Y602" i="11"/>
  <c r="V829" i="11"/>
  <c r="Y829" i="11"/>
  <c r="V242" i="11"/>
  <c r="Y242" i="11"/>
  <c r="V333" i="11"/>
  <c r="Y333" i="11"/>
  <c r="V99" i="11"/>
  <c r="Y99" i="11"/>
  <c r="V617" i="11"/>
  <c r="Y617" i="11"/>
  <c r="V533" i="11"/>
  <c r="Y533" i="11"/>
  <c r="V521" i="11"/>
  <c r="Y521" i="11"/>
  <c r="V940" i="11"/>
  <c r="Y940" i="11"/>
  <c r="V456" i="11"/>
  <c r="Y456" i="11"/>
  <c r="V380" i="11"/>
  <c r="Y380" i="11"/>
  <c r="V745" i="11"/>
  <c r="Y745" i="11"/>
  <c r="V895" i="11"/>
  <c r="Y895" i="11"/>
  <c r="V216" i="11"/>
  <c r="Y216" i="11"/>
  <c r="V312" i="11"/>
  <c r="Y312" i="11"/>
  <c r="V363" i="11"/>
  <c r="Y363" i="11"/>
  <c r="V749" i="11"/>
  <c r="Y749" i="11"/>
  <c r="V134" i="11"/>
  <c r="Y134" i="11"/>
  <c r="V669" i="11"/>
  <c r="Y669" i="11"/>
  <c r="V332" i="11"/>
  <c r="Y332" i="11"/>
  <c r="V238" i="11"/>
  <c r="Y238" i="11"/>
  <c r="V286" i="11"/>
  <c r="Y286" i="11"/>
  <c r="V419" i="11"/>
  <c r="Y419" i="11"/>
  <c r="V300" i="11"/>
  <c r="Y300" i="11"/>
  <c r="V471" i="11"/>
  <c r="Y471" i="11"/>
  <c r="V392" i="11"/>
  <c r="Y392" i="11"/>
  <c r="V950" i="11"/>
  <c r="Y950" i="11"/>
  <c r="V450" i="11"/>
  <c r="Y450" i="11"/>
  <c r="V540" i="11"/>
  <c r="Y540" i="11"/>
  <c r="V375" i="11"/>
  <c r="Y375" i="11"/>
  <c r="V488" i="11"/>
  <c r="Y488" i="11"/>
  <c r="V496" i="11"/>
  <c r="Y496" i="11"/>
  <c r="V437" i="11"/>
  <c r="Y437" i="11"/>
  <c r="V967" i="11"/>
  <c r="Y967" i="11"/>
  <c r="V404" i="11"/>
  <c r="Y404" i="11"/>
  <c r="V884" i="11"/>
  <c r="Y884" i="11"/>
  <c r="V199" i="11"/>
  <c r="Y199" i="11"/>
  <c r="V812" i="11"/>
  <c r="Y812" i="11"/>
  <c r="V360" i="11"/>
  <c r="Y360" i="11"/>
  <c r="V821" i="11"/>
  <c r="Y821" i="11"/>
  <c r="V559" i="11"/>
  <c r="Y559" i="11"/>
  <c r="V547" i="11"/>
  <c r="Y547" i="11"/>
  <c r="V212" i="11"/>
  <c r="Y212" i="11"/>
  <c r="V153" i="11"/>
  <c r="Y153" i="11"/>
  <c r="V171" i="11"/>
  <c r="Y171" i="11"/>
  <c r="V798" i="11"/>
  <c r="Y798" i="11"/>
  <c r="V586" i="11"/>
  <c r="Y586" i="11"/>
  <c r="V231" i="11"/>
  <c r="Y231" i="11"/>
  <c r="V208" i="11"/>
  <c r="Y208" i="11"/>
  <c r="V230" i="11"/>
  <c r="Y230" i="11"/>
  <c r="V186" i="11"/>
  <c r="Y186" i="11"/>
  <c r="V605" i="11"/>
  <c r="Y605" i="11"/>
  <c r="V233" i="11"/>
  <c r="Y233" i="11"/>
  <c r="V247" i="11"/>
  <c r="Y247" i="11"/>
  <c r="V686" i="11"/>
  <c r="Y686" i="11"/>
  <c r="V791" i="11"/>
  <c r="Y791" i="11"/>
  <c r="V693" i="11"/>
  <c r="Y693" i="11"/>
  <c r="V741" i="11"/>
  <c r="Y741" i="11"/>
  <c r="V207" i="11"/>
  <c r="Y207" i="11"/>
  <c r="V728" i="11"/>
  <c r="Y728" i="11"/>
  <c r="V909" i="11"/>
  <c r="Y909" i="11"/>
  <c r="V513" i="11"/>
  <c r="Y513" i="11"/>
  <c r="V975" i="11"/>
  <c r="Y975" i="11"/>
  <c r="V259" i="11"/>
  <c r="Y259" i="11"/>
  <c r="V630" i="11"/>
  <c r="Y630" i="11"/>
  <c r="V717" i="11"/>
  <c r="Y717" i="11"/>
  <c r="V657" i="11"/>
  <c r="Y657" i="11"/>
  <c r="V831" i="11"/>
  <c r="Y831" i="11"/>
  <c r="V166" i="11"/>
  <c r="Y166" i="11"/>
  <c r="V38" i="11"/>
  <c r="Y38" i="11"/>
  <c r="V148" i="11"/>
  <c r="Y148" i="11"/>
  <c r="V274" i="11"/>
  <c r="Y274" i="11"/>
  <c r="V123" i="11"/>
  <c r="Y123" i="11"/>
  <c r="V862" i="11"/>
  <c r="Y862" i="11"/>
  <c r="V818" i="11"/>
  <c r="Y818" i="11"/>
  <c r="V942" i="11"/>
  <c r="Y942" i="11"/>
  <c r="V225" i="11"/>
  <c r="Y225" i="11"/>
  <c r="V593" i="11"/>
  <c r="Y593" i="11"/>
  <c r="V397" i="11"/>
  <c r="Y397" i="11"/>
  <c r="V76" i="11"/>
  <c r="Y76" i="11"/>
  <c r="V561" i="11"/>
  <c r="Y561" i="11"/>
  <c r="V133" i="11"/>
  <c r="Y133" i="11"/>
  <c r="V747" i="11"/>
  <c r="Y747" i="11"/>
  <c r="V502" i="11"/>
  <c r="Y502" i="11"/>
  <c r="V341" i="11"/>
  <c r="Y341" i="11"/>
  <c r="V932" i="11"/>
  <c r="Y932" i="11"/>
  <c r="V196" i="11"/>
  <c r="Y196" i="11"/>
  <c r="V195" i="11"/>
  <c r="Y195" i="11"/>
  <c r="V232" i="11"/>
  <c r="Y232" i="11"/>
  <c r="V117" i="11"/>
  <c r="Y117" i="11"/>
  <c r="V352" i="11"/>
  <c r="Y352" i="11"/>
  <c r="V64" i="11"/>
  <c r="Y64" i="11"/>
  <c r="V922" i="11"/>
  <c r="Y922" i="11"/>
  <c r="V465" i="11"/>
  <c r="Y465" i="11"/>
  <c r="V802" i="11"/>
  <c r="Y802" i="11"/>
  <c r="V307" i="11"/>
  <c r="Y307" i="11"/>
  <c r="V112" i="11"/>
  <c r="Y112" i="11"/>
  <c r="V651" i="11"/>
  <c r="Y651" i="11"/>
  <c r="V625" i="11"/>
  <c r="Y625" i="11"/>
  <c r="V314" i="11"/>
  <c r="Y314" i="11"/>
  <c r="V320" i="11"/>
  <c r="Y320" i="11"/>
  <c r="V390" i="11"/>
  <c r="Y390" i="11"/>
  <c r="V661" i="11"/>
  <c r="Y661" i="11"/>
  <c r="V458" i="11"/>
  <c r="Y458" i="11"/>
  <c r="V697" i="11"/>
  <c r="Y697" i="11"/>
  <c r="V395" i="11"/>
  <c r="Y395" i="11"/>
  <c r="V357" i="11"/>
  <c r="Y357" i="11"/>
  <c r="V16" i="11"/>
  <c r="Y16" i="11"/>
  <c r="V95" i="11"/>
  <c r="Y95" i="11"/>
  <c r="V48" i="11"/>
  <c r="Y48" i="11"/>
  <c r="V348" i="11"/>
  <c r="Y348" i="11"/>
  <c r="V262" i="11"/>
  <c r="Y262" i="11"/>
  <c r="V155" i="11"/>
  <c r="Y155" i="11"/>
  <c r="V501" i="11"/>
  <c r="Y501" i="11"/>
  <c r="V31" i="11"/>
  <c r="Y31" i="11"/>
  <c r="V327" i="11"/>
  <c r="Y327" i="11"/>
  <c r="V293" i="11"/>
  <c r="Y293" i="11"/>
  <c r="V495" i="11"/>
  <c r="Y495" i="11"/>
  <c r="V485" i="11"/>
  <c r="Y485" i="11"/>
  <c r="V914" i="11"/>
  <c r="Y914" i="11"/>
  <c r="V209" i="11"/>
  <c r="Y209" i="11"/>
  <c r="V920" i="11"/>
  <c r="Y920" i="11"/>
  <c r="V25" i="11"/>
  <c r="Y25" i="11"/>
  <c r="V40" i="11"/>
  <c r="Y40" i="11"/>
  <c r="V555" i="11"/>
  <c r="Y555" i="11"/>
  <c r="V854" i="11"/>
  <c r="Y854" i="11"/>
  <c r="V415" i="11"/>
  <c r="Y415" i="11"/>
  <c r="V460" i="11"/>
  <c r="Y460" i="11"/>
  <c r="V388" i="11"/>
  <c r="Y388" i="11"/>
  <c r="V773" i="11"/>
  <c r="Y773" i="11"/>
  <c r="V569" i="11"/>
  <c r="Y569" i="11"/>
  <c r="V268" i="11"/>
  <c r="Y268" i="11"/>
  <c r="V927" i="11"/>
  <c r="Y927" i="11"/>
  <c r="V106" i="11"/>
  <c r="Y106" i="11"/>
  <c r="V663" i="11"/>
  <c r="Y663" i="11"/>
  <c r="V947" i="11"/>
  <c r="Y947" i="11"/>
  <c r="V407" i="11"/>
  <c r="Y407" i="11"/>
  <c r="V761" i="11"/>
  <c r="Y761" i="11"/>
  <c r="V511" i="11"/>
  <c r="Y511" i="11"/>
  <c r="V523" i="11"/>
  <c r="Y523" i="11"/>
  <c r="V546" i="11"/>
  <c r="Y546" i="11"/>
  <c r="V596" i="11"/>
  <c r="Y596" i="11"/>
  <c r="V239" i="11"/>
  <c r="Y239" i="11"/>
  <c r="V965" i="11"/>
  <c r="Y965" i="11"/>
  <c r="V792" i="11"/>
  <c r="Y792" i="11"/>
  <c r="V816" i="11"/>
  <c r="Y816" i="11"/>
  <c r="V966" i="11"/>
  <c r="Y966" i="11"/>
  <c r="V650" i="11"/>
  <c r="Y650" i="11"/>
  <c r="V736" i="11"/>
  <c r="Y736" i="11"/>
  <c r="V424" i="11"/>
  <c r="Y424" i="11"/>
  <c r="V786" i="11"/>
  <c r="Y786" i="11"/>
  <c r="V692" i="11"/>
  <c r="Y692" i="11"/>
  <c r="V606" i="11"/>
  <c r="Y606" i="11"/>
  <c r="V518" i="11"/>
  <c r="Y518" i="11"/>
  <c r="V464" i="11"/>
  <c r="Y464" i="11"/>
  <c r="V604" i="11"/>
  <c r="Y604" i="11"/>
  <c r="V192" i="11"/>
  <c r="Y192" i="11"/>
  <c r="V875" i="11"/>
  <c r="Y875" i="11"/>
  <c r="V908" i="11"/>
  <c r="Y908" i="11"/>
  <c r="V685" i="11"/>
  <c r="Y685" i="11"/>
  <c r="V28" i="11"/>
  <c r="Y28" i="11"/>
  <c r="V26" i="11"/>
  <c r="Y26" i="11"/>
  <c r="V403" i="11"/>
  <c r="Y403" i="11"/>
  <c r="V930" i="11"/>
  <c r="Y930" i="11"/>
  <c r="V903" i="11"/>
  <c r="Y903" i="11"/>
  <c r="V795" i="11"/>
  <c r="Y795" i="11"/>
  <c r="V1002" i="11"/>
  <c r="Y1002" i="11"/>
  <c r="V785" i="11"/>
  <c r="Y785" i="11"/>
  <c r="V517" i="11"/>
  <c r="Y517" i="11"/>
  <c r="V734" i="11"/>
  <c r="Y734" i="11"/>
  <c r="V628" i="11"/>
  <c r="Y628" i="11"/>
  <c r="V244" i="11"/>
  <c r="Y244" i="11"/>
  <c r="V36" i="11"/>
  <c r="Y36" i="11"/>
  <c r="V877" i="11"/>
  <c r="Y877" i="11"/>
  <c r="V928" i="11"/>
  <c r="Y928" i="11"/>
  <c r="V313" i="11"/>
  <c r="Y313" i="11"/>
  <c r="V901" i="11"/>
  <c r="Y901" i="11"/>
  <c r="V558" i="11"/>
  <c r="Y558" i="11"/>
  <c r="V1001" i="11"/>
  <c r="Y1001" i="11"/>
  <c r="V143" i="11"/>
  <c r="Y143" i="11"/>
  <c r="V93" i="11"/>
  <c r="Y93" i="11"/>
  <c r="V724" i="11"/>
  <c r="Y724" i="11"/>
  <c r="V221" i="11"/>
  <c r="Y221" i="11"/>
  <c r="V248" i="11"/>
  <c r="Y248" i="11"/>
  <c r="V984" i="11"/>
  <c r="Y984" i="11"/>
  <c r="V549" i="11"/>
  <c r="Y549" i="11"/>
  <c r="V704" i="11"/>
  <c r="Y704" i="11"/>
  <c r="V732" i="11"/>
  <c r="Y732" i="11"/>
  <c r="V516" i="11"/>
  <c r="Y516" i="11"/>
  <c r="V624" i="11"/>
  <c r="Y624" i="11"/>
  <c r="V951" i="11"/>
  <c r="Y951" i="11"/>
  <c r="V565" i="11"/>
  <c r="Y565" i="11"/>
  <c r="V938" i="11"/>
  <c r="Y938" i="11"/>
  <c r="V976" i="11"/>
  <c r="Y976" i="11"/>
  <c r="V257" i="11"/>
  <c r="Y257" i="11"/>
  <c r="V614" i="11"/>
  <c r="Y614" i="11"/>
  <c r="V767" i="11"/>
  <c r="Y767" i="11"/>
  <c r="V644" i="11"/>
  <c r="Y644" i="11"/>
  <c r="V585" i="11"/>
  <c r="Y585" i="11"/>
  <c r="V150" i="11"/>
  <c r="Y150" i="11"/>
  <c r="V505" i="11"/>
  <c r="Y505" i="11"/>
  <c r="V677" i="11"/>
  <c r="Y677" i="11"/>
  <c r="V59" i="11"/>
  <c r="Y59" i="11"/>
  <c r="V125" i="11"/>
  <c r="Y125" i="11"/>
  <c r="V850" i="11"/>
  <c r="Y850" i="11"/>
  <c r="V202" i="11"/>
  <c r="Y202" i="11"/>
  <c r="V359" i="11"/>
  <c r="Y359" i="11"/>
  <c r="V830" i="11"/>
  <c r="Y830" i="11"/>
  <c r="V401" i="11"/>
  <c r="Y401" i="11"/>
  <c r="V893" i="11"/>
  <c r="Y893" i="11"/>
  <c r="V453" i="11"/>
  <c r="Y453" i="11"/>
  <c r="V67" i="11"/>
  <c r="Y67" i="11"/>
  <c r="V868" i="11"/>
  <c r="Y868" i="11"/>
  <c r="V834" i="11"/>
  <c r="Y834" i="11"/>
  <c r="V992" i="11"/>
  <c r="Y992" i="11"/>
  <c r="V62" i="11"/>
  <c r="Y62" i="11"/>
  <c r="V864" i="11"/>
  <c r="Y864" i="11"/>
  <c r="V871" i="11"/>
  <c r="Y871" i="11"/>
  <c r="V664" i="11"/>
  <c r="Y664" i="11"/>
  <c r="V811" i="11"/>
  <c r="Y811" i="11"/>
  <c r="V73" i="11"/>
  <c r="Y73" i="11"/>
  <c r="V695" i="11"/>
  <c r="Y695" i="11"/>
  <c r="V796" i="11"/>
  <c r="Y796" i="11"/>
  <c r="V280" i="11"/>
  <c r="Y280" i="11"/>
  <c r="V629" i="11"/>
  <c r="Y629" i="11"/>
  <c r="V463" i="11"/>
  <c r="Y463" i="11"/>
  <c r="V494" i="11"/>
  <c r="Y494" i="11"/>
  <c r="V678" i="11"/>
  <c r="Y678" i="11"/>
  <c r="V292" i="11"/>
  <c r="Y292" i="11"/>
  <c r="V151" i="11"/>
  <c r="Y151" i="11"/>
  <c r="V983" i="11"/>
  <c r="Y983" i="11"/>
  <c r="V411" i="11"/>
  <c r="Y411" i="11"/>
  <c r="V584" i="11"/>
  <c r="Y584" i="11"/>
  <c r="V763" i="11"/>
  <c r="Y763" i="11"/>
  <c r="V701" i="11"/>
  <c r="Y701" i="11"/>
  <c r="V924" i="11"/>
  <c r="Y924" i="11"/>
  <c r="V325" i="11"/>
  <c r="Y325" i="11"/>
  <c r="V135" i="11"/>
  <c r="Y135" i="11"/>
  <c r="V941" i="11"/>
  <c r="Y941" i="11"/>
  <c r="V434" i="11"/>
  <c r="Y434" i="11"/>
  <c r="V790" i="11"/>
  <c r="Y790" i="11"/>
  <c r="V699" i="11"/>
  <c r="Y699" i="11"/>
  <c r="V474" i="11"/>
  <c r="Y474" i="11"/>
  <c r="V58" i="11"/>
  <c r="Y58" i="11"/>
  <c r="V563" i="11"/>
  <c r="Y563" i="11"/>
  <c r="V213" i="11"/>
  <c r="Y213" i="11"/>
  <c r="V861" i="11"/>
  <c r="Y861" i="11"/>
  <c r="V598" i="11"/>
  <c r="Y598" i="11"/>
  <c r="V655" i="11"/>
  <c r="Y655" i="11"/>
  <c r="V671" i="11"/>
  <c r="Y671" i="11"/>
  <c r="V443" i="11"/>
  <c r="Y443" i="11"/>
  <c r="V367" i="11"/>
  <c r="Y367" i="11"/>
  <c r="V461" i="11"/>
  <c r="Y461" i="11"/>
  <c r="V977" i="11"/>
  <c r="Y977" i="11"/>
  <c r="V439" i="11"/>
  <c r="Y439" i="11"/>
  <c r="V329" i="11"/>
  <c r="Y329" i="11"/>
  <c r="V993" i="11"/>
  <c r="Y993" i="11"/>
  <c r="V377" i="11"/>
  <c r="Y377" i="11"/>
  <c r="V592" i="11"/>
  <c r="Y592" i="11"/>
  <c r="V147" i="11"/>
  <c r="Y147" i="11"/>
  <c r="V385" i="11"/>
  <c r="Y385" i="11"/>
  <c r="K5" i="12"/>
  <c r="M5" i="12"/>
  <c r="K987" i="12"/>
  <c r="M987" i="12"/>
  <c r="K979" i="12"/>
  <c r="M979" i="12"/>
  <c r="K963" i="12"/>
  <c r="M963" i="12"/>
  <c r="K875" i="12"/>
  <c r="M875" i="12"/>
  <c r="K859" i="12"/>
  <c r="M859" i="12"/>
  <c r="K779" i="12"/>
  <c r="M779" i="12"/>
  <c r="M771" i="12"/>
  <c r="K771" i="12"/>
  <c r="K739" i="12"/>
  <c r="M739" i="12"/>
  <c r="K667" i="12"/>
  <c r="M667" i="12"/>
  <c r="K595" i="12"/>
  <c r="M595" i="12"/>
  <c r="M587" i="12"/>
  <c r="K587" i="12"/>
  <c r="Q1017" i="12"/>
  <c r="S969" i="12"/>
  <c r="N937" i="12"/>
  <c r="T897" i="12"/>
  <c r="S865" i="12"/>
  <c r="K825" i="12"/>
  <c r="K793" i="12"/>
  <c r="K713" i="12"/>
  <c r="S5" i="12"/>
  <c r="O1023" i="12"/>
  <c r="S1019" i="12"/>
  <c r="S1011" i="12"/>
  <c r="S1003" i="12"/>
  <c r="P998" i="12"/>
  <c r="S995" i="12"/>
  <c r="P990" i="12"/>
  <c r="S987" i="12"/>
  <c r="M986" i="12"/>
  <c r="K986" i="12"/>
  <c r="O983" i="12"/>
  <c r="S979" i="12"/>
  <c r="Q973" i="12"/>
  <c r="T970" i="12"/>
  <c r="O967" i="12"/>
  <c r="R964" i="12"/>
  <c r="K962" i="12"/>
  <c r="M962" i="12"/>
  <c r="O959" i="12"/>
  <c r="R956" i="12"/>
  <c r="P950" i="12"/>
  <c r="T946" i="12"/>
  <c r="O943" i="12"/>
  <c r="R940" i="12"/>
  <c r="K938" i="12"/>
  <c r="M938" i="12"/>
  <c r="O935" i="12"/>
  <c r="R932" i="12"/>
  <c r="P926" i="12"/>
  <c r="T922" i="12"/>
  <c r="R916" i="12"/>
  <c r="M914" i="12"/>
  <c r="K914" i="12"/>
  <c r="P910" i="12"/>
  <c r="S907" i="12"/>
  <c r="O903" i="12"/>
  <c r="R900" i="12"/>
  <c r="M898" i="12"/>
  <c r="K898" i="12"/>
  <c r="P894" i="12"/>
  <c r="T890" i="12"/>
  <c r="R884" i="12"/>
  <c r="K882" i="12"/>
  <c r="M882" i="12"/>
  <c r="P878" i="12"/>
  <c r="T874" i="12"/>
  <c r="N872" i="12"/>
  <c r="R868" i="12"/>
  <c r="O863" i="12"/>
  <c r="R860" i="12"/>
  <c r="K858" i="12"/>
  <c r="M858" i="12"/>
  <c r="P854" i="12"/>
  <c r="S851" i="12"/>
  <c r="M850" i="12"/>
  <c r="K850" i="12"/>
  <c r="P846" i="12"/>
  <c r="S843" i="12"/>
  <c r="O839" i="12"/>
  <c r="R836" i="12"/>
  <c r="O831" i="12"/>
  <c r="R828" i="12"/>
  <c r="P822" i="12"/>
  <c r="T818" i="12"/>
  <c r="O815" i="12"/>
  <c r="R812" i="12"/>
  <c r="P806" i="12"/>
  <c r="S803" i="12"/>
  <c r="K802" i="12"/>
  <c r="M802" i="12"/>
  <c r="R796" i="12"/>
  <c r="L793" i="12"/>
  <c r="Q789" i="12"/>
  <c r="T786" i="12"/>
  <c r="O783" i="12"/>
  <c r="R780" i="12"/>
  <c r="K778" i="12"/>
  <c r="M778" i="12"/>
  <c r="P774" i="12"/>
  <c r="S771" i="12"/>
  <c r="P766" i="12"/>
  <c r="T762" i="12"/>
  <c r="O759" i="12"/>
  <c r="R756" i="12"/>
  <c r="K754" i="12"/>
  <c r="M754" i="12"/>
  <c r="P750" i="12"/>
  <c r="S747" i="12"/>
  <c r="P742" i="12"/>
  <c r="S739" i="12"/>
  <c r="R732" i="12"/>
  <c r="L729" i="12"/>
  <c r="P726" i="12"/>
  <c r="S723" i="12"/>
  <c r="P718" i="12"/>
  <c r="T714" i="12"/>
  <c r="O711" i="12"/>
  <c r="R708" i="12"/>
  <c r="K706" i="12"/>
  <c r="M706" i="12"/>
  <c r="O703" i="12"/>
  <c r="S699" i="12"/>
  <c r="P694" i="12"/>
  <c r="T690" i="12"/>
  <c r="Q685" i="12"/>
  <c r="T682" i="12"/>
  <c r="O679" i="12"/>
  <c r="R676" i="12"/>
  <c r="P670" i="12"/>
  <c r="S667" i="12"/>
  <c r="K666" i="12"/>
  <c r="M666" i="12"/>
  <c r="P662" i="12"/>
  <c r="S659" i="12"/>
  <c r="K658" i="12"/>
  <c r="M658" i="12"/>
  <c r="P654" i="12"/>
  <c r="S651" i="12"/>
  <c r="P646" i="12"/>
  <c r="T642" i="12"/>
  <c r="O639" i="12"/>
  <c r="R636" i="12"/>
  <c r="M634" i="12"/>
  <c r="K634" i="12"/>
  <c r="O631" i="12"/>
  <c r="R628" i="12"/>
  <c r="M626" i="12"/>
  <c r="K626" i="12"/>
  <c r="O623" i="12"/>
  <c r="S619" i="12"/>
  <c r="P614" i="12"/>
  <c r="T610" i="12"/>
  <c r="Q605" i="12"/>
  <c r="T602" i="12"/>
  <c r="O599" i="12"/>
  <c r="R596" i="12"/>
  <c r="P590" i="12"/>
  <c r="S587" i="12"/>
  <c r="Q581" i="12"/>
  <c r="T578" i="12"/>
  <c r="O575" i="12"/>
  <c r="R572" i="12"/>
  <c r="Q565" i="12"/>
  <c r="T562" i="12"/>
  <c r="O559" i="12"/>
  <c r="R556" i="12"/>
  <c r="K554" i="12"/>
  <c r="M554" i="12"/>
  <c r="O551" i="12"/>
  <c r="R548" i="12"/>
  <c r="L545" i="12"/>
  <c r="P542" i="12"/>
  <c r="T538" i="12"/>
  <c r="Q533" i="12"/>
  <c r="S531" i="12"/>
  <c r="K530" i="12"/>
  <c r="M530" i="12"/>
  <c r="O527" i="12"/>
  <c r="Q525" i="12"/>
  <c r="S523" i="12"/>
  <c r="O519" i="12"/>
  <c r="Q517" i="12"/>
  <c r="S515" i="12"/>
  <c r="M514" i="12"/>
  <c r="K514" i="12"/>
  <c r="N512" i="12"/>
  <c r="P510" i="12"/>
  <c r="R508" i="12"/>
  <c r="S507" i="12"/>
  <c r="K506" i="12"/>
  <c r="M506" i="12"/>
  <c r="L505" i="12"/>
  <c r="O503" i="12"/>
  <c r="P502" i="12"/>
  <c r="Q501" i="12"/>
  <c r="R500" i="12"/>
  <c r="S499" i="12"/>
  <c r="T498" i="12"/>
  <c r="K498" i="12"/>
  <c r="M498" i="12"/>
  <c r="O495" i="12"/>
  <c r="P494" i="12"/>
  <c r="Q493" i="12"/>
  <c r="R492" i="12"/>
  <c r="S491" i="12"/>
  <c r="T490" i="12"/>
  <c r="K490" i="12"/>
  <c r="M490" i="12"/>
  <c r="O487" i="12"/>
  <c r="P486" i="12"/>
  <c r="Q485" i="12"/>
  <c r="R484" i="12"/>
  <c r="S483" i="12"/>
  <c r="T482" i="12"/>
  <c r="K482" i="12"/>
  <c r="M482" i="12"/>
  <c r="O479" i="12"/>
  <c r="P478" i="12"/>
  <c r="Q477" i="12"/>
  <c r="R476" i="12"/>
  <c r="S475" i="12"/>
  <c r="T474" i="12"/>
  <c r="K474" i="12"/>
  <c r="M474" i="12"/>
  <c r="O471" i="12"/>
  <c r="P470" i="12"/>
  <c r="Q469" i="12"/>
  <c r="S467" i="12"/>
  <c r="T466" i="12"/>
  <c r="K466" i="12"/>
  <c r="M466" i="12"/>
  <c r="O463" i="12"/>
  <c r="P462" i="12"/>
  <c r="Q461" i="12"/>
  <c r="R460" i="12"/>
  <c r="S459" i="12"/>
  <c r="T458" i="12"/>
  <c r="K458" i="12"/>
  <c r="M458" i="12"/>
  <c r="P454" i="12"/>
  <c r="Q453" i="12"/>
  <c r="R452" i="12"/>
  <c r="S451" i="12"/>
  <c r="T450" i="12"/>
  <c r="K450" i="12"/>
  <c r="M450" i="12"/>
  <c r="O447" i="12"/>
  <c r="P446" i="12"/>
  <c r="Q445" i="12"/>
  <c r="M442" i="12"/>
  <c r="K442" i="12"/>
  <c r="K434" i="12"/>
  <c r="M434" i="12"/>
  <c r="K426" i="12"/>
  <c r="M426" i="12"/>
  <c r="O966" i="12"/>
  <c r="S890" i="12"/>
  <c r="O958" i="12"/>
  <c r="P892" i="12"/>
  <c r="R890" i="12"/>
  <c r="L887" i="12"/>
  <c r="O885" i="12"/>
  <c r="Q883" i="12"/>
  <c r="R882" i="12"/>
  <c r="L879" i="12"/>
  <c r="N878" i="12"/>
  <c r="O877" i="12"/>
  <c r="P876" i="12"/>
  <c r="Q875" i="12"/>
  <c r="R874" i="12"/>
  <c r="T872" i="12"/>
  <c r="L871" i="12"/>
  <c r="N870" i="12"/>
  <c r="O869" i="12"/>
  <c r="P868" i="12"/>
  <c r="Q867" i="12"/>
  <c r="R866" i="12"/>
  <c r="L863" i="12"/>
  <c r="O861" i="12"/>
  <c r="P860" i="12"/>
  <c r="Q859" i="12"/>
  <c r="R858" i="12"/>
  <c r="L855" i="12"/>
  <c r="N854" i="12"/>
  <c r="O853" i="12"/>
  <c r="Q851" i="12"/>
  <c r="R850" i="12"/>
  <c r="L847" i="12"/>
  <c r="N846" i="12"/>
  <c r="O845" i="12"/>
  <c r="P844" i="12"/>
  <c r="Q843" i="12"/>
  <c r="R842" i="12"/>
  <c r="S841" i="12"/>
  <c r="L839" i="12"/>
  <c r="N838" i="12"/>
  <c r="O837" i="12"/>
  <c r="P836" i="12"/>
  <c r="Q835" i="12"/>
  <c r="R834" i="12"/>
  <c r="T832" i="12"/>
  <c r="L831" i="12"/>
  <c r="N830" i="12"/>
  <c r="O829" i="12"/>
  <c r="P828" i="12"/>
  <c r="Q827" i="12"/>
  <c r="R826" i="12"/>
  <c r="L823" i="12"/>
  <c r="N822" i="12"/>
  <c r="O821" i="12"/>
  <c r="P820" i="12"/>
  <c r="Q819" i="12"/>
  <c r="R818" i="12"/>
  <c r="L815" i="12"/>
  <c r="N814" i="12"/>
  <c r="O813" i="12"/>
  <c r="P812" i="12"/>
  <c r="Q811" i="12"/>
  <c r="R810" i="12"/>
  <c r="T808" i="12"/>
  <c r="L807" i="12"/>
  <c r="N806" i="12"/>
  <c r="O805" i="12"/>
  <c r="P804" i="12"/>
  <c r="Q803" i="12"/>
  <c r="R802" i="12"/>
  <c r="L799" i="12"/>
  <c r="N798" i="12"/>
  <c r="O797" i="12"/>
  <c r="P796" i="12"/>
  <c r="Q795" i="12"/>
  <c r="R794" i="12"/>
  <c r="L791" i="12"/>
  <c r="N790" i="12"/>
  <c r="O789" i="12"/>
  <c r="P788" i="12"/>
  <c r="Q787" i="12"/>
  <c r="R786" i="12"/>
  <c r="M784" i="12"/>
  <c r="R610" i="12"/>
  <c r="K1019" i="12"/>
  <c r="M1019" i="12"/>
  <c r="K1011" i="12"/>
  <c r="M1011" i="12"/>
  <c r="K947" i="12"/>
  <c r="M947" i="12"/>
  <c r="M931" i="12"/>
  <c r="K931" i="12"/>
  <c r="M907" i="12"/>
  <c r="K907" i="12"/>
  <c r="M899" i="12"/>
  <c r="K899" i="12"/>
  <c r="K867" i="12"/>
  <c r="M867" i="12"/>
  <c r="K811" i="12"/>
  <c r="M811" i="12"/>
  <c r="M795" i="12"/>
  <c r="K795" i="12"/>
  <c r="K787" i="12"/>
  <c r="M787" i="12"/>
  <c r="K763" i="12"/>
  <c r="M763" i="12"/>
  <c r="K755" i="12"/>
  <c r="M755" i="12"/>
  <c r="K723" i="12"/>
  <c r="M723" i="12"/>
  <c r="K699" i="12"/>
  <c r="M699" i="12"/>
  <c r="K683" i="12"/>
  <c r="M683" i="12"/>
  <c r="K659" i="12"/>
  <c r="M659" i="12"/>
  <c r="K627" i="12"/>
  <c r="M627" i="12"/>
  <c r="K611" i="12"/>
  <c r="M611" i="12"/>
  <c r="K571" i="12"/>
  <c r="M571" i="12"/>
  <c r="M563" i="12"/>
  <c r="K563" i="12"/>
  <c r="K547" i="12"/>
  <c r="M547" i="12"/>
  <c r="K539" i="12"/>
  <c r="M539" i="12"/>
  <c r="K531" i="12"/>
  <c r="M531" i="12"/>
  <c r="M523" i="12"/>
  <c r="K523" i="12"/>
  <c r="M475" i="12"/>
  <c r="K475" i="12"/>
  <c r="M467" i="12"/>
  <c r="K467" i="12"/>
  <c r="K2" i="12"/>
  <c r="Q993" i="12"/>
  <c r="L929" i="12"/>
  <c r="L905" i="12"/>
  <c r="T873" i="12"/>
  <c r="R809" i="12"/>
  <c r="K777" i="12"/>
  <c r="L745" i="12"/>
  <c r="K689" i="12"/>
  <c r="T665" i="12"/>
  <c r="Q649" i="12"/>
  <c r="O617" i="12"/>
  <c r="T585" i="12"/>
  <c r="M569" i="12"/>
  <c r="N553" i="12"/>
  <c r="N505" i="12"/>
  <c r="L489" i="12"/>
  <c r="O473" i="12"/>
  <c r="S289" i="12"/>
  <c r="M289" i="12"/>
  <c r="N1" i="12"/>
  <c r="K4" i="12"/>
  <c r="M4" i="12"/>
  <c r="P1022" i="12"/>
  <c r="T1018" i="12"/>
  <c r="Q1013" i="12"/>
  <c r="K1010" i="12"/>
  <c r="M1010" i="12"/>
  <c r="P1006" i="12"/>
  <c r="T1002" i="12"/>
  <c r="Q997" i="12"/>
  <c r="T994" i="12"/>
  <c r="M994" i="12"/>
  <c r="K994" i="12"/>
  <c r="Q989" i="12"/>
  <c r="T986" i="12"/>
  <c r="Q981" i="12"/>
  <c r="R980" i="12"/>
  <c r="M978" i="12"/>
  <c r="K978" i="12"/>
  <c r="P974" i="12"/>
  <c r="S971" i="12"/>
  <c r="K970" i="12"/>
  <c r="M970" i="12"/>
  <c r="Q965" i="12"/>
  <c r="T962" i="12"/>
  <c r="N960" i="12"/>
  <c r="P958" i="12"/>
  <c r="S955" i="12"/>
  <c r="K954" i="12"/>
  <c r="M954" i="12"/>
  <c r="Q949" i="12"/>
  <c r="S947" i="12"/>
  <c r="Q941" i="12"/>
  <c r="T938" i="12"/>
  <c r="N936" i="12"/>
  <c r="Q933" i="12"/>
  <c r="T930" i="12"/>
  <c r="O927" i="12"/>
  <c r="Q925" i="12"/>
  <c r="S923" i="12"/>
  <c r="L921" i="12"/>
  <c r="O919" i="12"/>
  <c r="T914" i="12"/>
  <c r="O911" i="12"/>
  <c r="Q909" i="12"/>
  <c r="T906" i="12"/>
  <c r="Q901" i="12"/>
  <c r="T898" i="12"/>
  <c r="Q893" i="12"/>
  <c r="S891" i="12"/>
  <c r="M890" i="12"/>
  <c r="K890" i="12"/>
  <c r="O887" i="12"/>
  <c r="Q885" i="12"/>
  <c r="S883" i="12"/>
  <c r="O879" i="12"/>
  <c r="Q877" i="12"/>
  <c r="S875" i="12"/>
  <c r="M874" i="12"/>
  <c r="K874" i="12"/>
  <c r="O871" i="12"/>
  <c r="Q869" i="12"/>
  <c r="T866" i="12"/>
  <c r="K866" i="12"/>
  <c r="M866" i="12"/>
  <c r="P862" i="12"/>
  <c r="S859" i="12"/>
  <c r="L857" i="12"/>
  <c r="Q853" i="12"/>
  <c r="T850" i="12"/>
  <c r="N848" i="12"/>
  <c r="O847" i="12"/>
  <c r="R844" i="12"/>
  <c r="T842" i="12"/>
  <c r="Q837" i="12"/>
  <c r="T834" i="12"/>
  <c r="K834" i="12"/>
  <c r="M834" i="12"/>
  <c r="P830" i="12"/>
  <c r="S827" i="12"/>
  <c r="K826" i="12"/>
  <c r="M826" i="12"/>
  <c r="Q821" i="12"/>
  <c r="S819" i="12"/>
  <c r="Q813" i="12"/>
  <c r="T810" i="12"/>
  <c r="N808" i="12"/>
  <c r="Q805" i="12"/>
  <c r="T802" i="12"/>
  <c r="O799" i="12"/>
  <c r="Q797" i="12"/>
  <c r="T794" i="12"/>
  <c r="O791" i="12"/>
  <c r="R788" i="12"/>
  <c r="K786" i="12"/>
  <c r="M786" i="12"/>
  <c r="N784" i="12"/>
  <c r="Q781" i="12"/>
  <c r="T778" i="12"/>
  <c r="Q773" i="12"/>
  <c r="T770" i="12"/>
  <c r="Q765" i="12"/>
  <c r="S763" i="12"/>
  <c r="M762" i="12"/>
  <c r="K762" i="12"/>
  <c r="Q757" i="12"/>
  <c r="S755" i="12"/>
  <c r="Q749" i="12"/>
  <c r="T746" i="12"/>
  <c r="N744" i="12"/>
  <c r="Q741" i="12"/>
  <c r="T738" i="12"/>
  <c r="O735" i="12"/>
  <c r="P734" i="12"/>
  <c r="S731" i="12"/>
  <c r="K730" i="12"/>
  <c r="M730" i="12"/>
  <c r="Q725" i="12"/>
  <c r="T722" i="12"/>
  <c r="N720" i="12"/>
  <c r="Q717" i="12"/>
  <c r="S715" i="12"/>
  <c r="K714" i="12"/>
  <c r="M714" i="12"/>
  <c r="Q709" i="12"/>
  <c r="T706" i="12"/>
  <c r="P702" i="12"/>
  <c r="R700" i="12"/>
  <c r="K698" i="12"/>
  <c r="M698" i="12"/>
  <c r="Q693" i="12"/>
  <c r="S691" i="12"/>
  <c r="P686" i="12"/>
  <c r="R684" i="12"/>
  <c r="K682" i="12"/>
  <c r="M682" i="12"/>
  <c r="P678" i="12"/>
  <c r="S675" i="12"/>
  <c r="M674" i="12"/>
  <c r="K674" i="12"/>
  <c r="O671" i="12"/>
  <c r="R668" i="12"/>
  <c r="L665" i="12"/>
  <c r="Q661" i="12"/>
  <c r="T658" i="12"/>
  <c r="O655" i="12"/>
  <c r="R652" i="12"/>
  <c r="K650" i="12"/>
  <c r="M650" i="12"/>
  <c r="Q645" i="12"/>
  <c r="S643" i="12"/>
  <c r="K642" i="12"/>
  <c r="M642" i="12"/>
  <c r="Q637" i="12"/>
  <c r="T634" i="12"/>
  <c r="N632" i="12"/>
  <c r="Q629" i="12"/>
  <c r="T626" i="12"/>
  <c r="P622" i="12"/>
  <c r="R620" i="12"/>
  <c r="K618" i="12"/>
  <c r="M618" i="12"/>
  <c r="Q613" i="12"/>
  <c r="S611" i="12"/>
  <c r="P606" i="12"/>
  <c r="R604" i="12"/>
  <c r="K602" i="12"/>
  <c r="M602" i="12"/>
  <c r="P602" i="12"/>
  <c r="Q597" i="12"/>
  <c r="T594" i="12"/>
  <c r="K594" i="12"/>
  <c r="M594" i="12"/>
  <c r="O591" i="12"/>
  <c r="R588" i="12"/>
  <c r="M586" i="12"/>
  <c r="K586" i="12"/>
  <c r="P582" i="12"/>
  <c r="S579" i="12"/>
  <c r="Q573" i="12"/>
  <c r="T570" i="12"/>
  <c r="O567" i="12"/>
  <c r="R564" i="12"/>
  <c r="K562" i="12"/>
  <c r="M562" i="12"/>
  <c r="Q557" i="12"/>
  <c r="T554" i="12"/>
  <c r="N552" i="12"/>
  <c r="P550" i="12"/>
  <c r="S547" i="12"/>
  <c r="K546" i="12"/>
  <c r="M546" i="12"/>
  <c r="Q541" i="12"/>
  <c r="S539" i="12"/>
  <c r="O535" i="12"/>
  <c r="R532" i="12"/>
  <c r="T530" i="12"/>
  <c r="P526" i="12"/>
  <c r="R524" i="12"/>
  <c r="T522" i="12"/>
  <c r="K522" i="12"/>
  <c r="M522" i="12"/>
  <c r="N520" i="12"/>
  <c r="P518" i="12"/>
  <c r="R516" i="12"/>
  <c r="T514" i="12"/>
  <c r="O511" i="12"/>
  <c r="Q509" i="12"/>
  <c r="T506" i="12"/>
  <c r="O455" i="12"/>
  <c r="P1" i="12"/>
  <c r="R4" i="12"/>
  <c r="T2" i="12"/>
  <c r="N1022" i="12"/>
  <c r="P1020" i="12"/>
  <c r="R1018" i="12"/>
  <c r="N1014" i="12"/>
  <c r="P1012" i="12"/>
  <c r="R1010" i="12"/>
  <c r="N1006" i="12"/>
  <c r="P1004" i="12"/>
  <c r="R1002" i="12"/>
  <c r="L999" i="12"/>
  <c r="O997" i="12"/>
  <c r="Q995" i="12"/>
  <c r="N990" i="12"/>
  <c r="O989" i="12"/>
  <c r="Q987" i="12"/>
  <c r="N982" i="12"/>
  <c r="O981" i="12"/>
  <c r="Q979" i="12"/>
  <c r="N974" i="12"/>
  <c r="P972" i="12"/>
  <c r="R970" i="12"/>
  <c r="K968" i="12"/>
  <c r="N966" i="12"/>
  <c r="P964" i="12"/>
  <c r="R962" i="12"/>
  <c r="L959" i="12"/>
  <c r="P956" i="12"/>
  <c r="R954" i="12"/>
  <c r="N950" i="12"/>
  <c r="P948" i="12"/>
  <c r="R946" i="12"/>
  <c r="T944" i="12"/>
  <c r="N942" i="12"/>
  <c r="P940" i="12"/>
  <c r="R938" i="12"/>
  <c r="N934" i="12"/>
  <c r="P932" i="12"/>
  <c r="R930" i="12"/>
  <c r="N926" i="12"/>
  <c r="P924" i="12"/>
  <c r="R922" i="12"/>
  <c r="N918" i="12"/>
  <c r="Q915" i="12"/>
  <c r="L911" i="12"/>
  <c r="O909" i="12"/>
  <c r="Q907" i="12"/>
  <c r="S905" i="12"/>
  <c r="N902" i="12"/>
  <c r="Q899" i="12"/>
  <c r="N862" i="12"/>
  <c r="K1015" i="12"/>
  <c r="K1007" i="12"/>
  <c r="T927" i="12"/>
  <c r="T871" i="12"/>
  <c r="N797" i="12"/>
  <c r="M1003" i="12"/>
  <c r="K1003" i="12"/>
  <c r="K939" i="12"/>
  <c r="M939" i="12"/>
  <c r="M851" i="12"/>
  <c r="K851" i="12"/>
  <c r="K819" i="12"/>
  <c r="M819" i="12"/>
  <c r="M675" i="12"/>
  <c r="K675" i="12"/>
  <c r="K619" i="12"/>
  <c r="M619" i="12"/>
  <c r="K603" i="12"/>
  <c r="M603" i="12"/>
  <c r="K555" i="12"/>
  <c r="M555" i="12"/>
  <c r="K515" i="12"/>
  <c r="M515" i="12"/>
  <c r="M507" i="12"/>
  <c r="K507" i="12"/>
  <c r="M491" i="12"/>
  <c r="K491" i="12"/>
  <c r="M451" i="12"/>
  <c r="K451" i="12"/>
  <c r="Q1009" i="12"/>
  <c r="Q977" i="12"/>
  <c r="L945" i="12"/>
  <c r="K857" i="12"/>
  <c r="K785" i="12"/>
  <c r="K737" i="12"/>
  <c r="R705" i="12"/>
  <c r="M633" i="12"/>
  <c r="L3" i="12"/>
  <c r="R1020" i="12"/>
  <c r="O1015" i="12"/>
  <c r="R1012" i="12"/>
  <c r="R1004" i="12"/>
  <c r="O999" i="12"/>
  <c r="R996" i="12"/>
  <c r="O991" i="12"/>
  <c r="R988" i="12"/>
  <c r="P982" i="12"/>
  <c r="T978" i="12"/>
  <c r="O975" i="12"/>
  <c r="R972" i="12"/>
  <c r="L969" i="12"/>
  <c r="P966" i="12"/>
  <c r="S963" i="12"/>
  <c r="Q957" i="12"/>
  <c r="T954" i="12"/>
  <c r="O951" i="12"/>
  <c r="R948" i="12"/>
  <c r="M946" i="12"/>
  <c r="K946" i="12"/>
  <c r="P942" i="12"/>
  <c r="S939" i="12"/>
  <c r="P934" i="12"/>
  <c r="S931" i="12"/>
  <c r="R924" i="12"/>
  <c r="K922" i="12"/>
  <c r="M922" i="12"/>
  <c r="P918" i="12"/>
  <c r="S915" i="12"/>
  <c r="N912" i="12"/>
  <c r="R908" i="12"/>
  <c r="K906" i="12"/>
  <c r="M906" i="12"/>
  <c r="P902" i="12"/>
  <c r="S899" i="12"/>
  <c r="O895" i="12"/>
  <c r="R892" i="12"/>
  <c r="P886" i="12"/>
  <c r="T882" i="12"/>
  <c r="R876" i="12"/>
  <c r="P870" i="12"/>
  <c r="S867" i="12"/>
  <c r="Q861" i="12"/>
  <c r="T858" i="12"/>
  <c r="O855" i="12"/>
  <c r="R852" i="12"/>
  <c r="Q845" i="12"/>
  <c r="M842" i="12"/>
  <c r="P838" i="12"/>
  <c r="S835" i="12"/>
  <c r="Q829" i="12"/>
  <c r="T826" i="12"/>
  <c r="O823" i="12"/>
  <c r="R820" i="12"/>
  <c r="M818" i="12"/>
  <c r="K818" i="12"/>
  <c r="P814" i="12"/>
  <c r="S811" i="12"/>
  <c r="K810" i="12"/>
  <c r="M810" i="12"/>
  <c r="O807" i="12"/>
  <c r="R804" i="12"/>
  <c r="P798" i="12"/>
  <c r="S795" i="12"/>
  <c r="K794" i="12"/>
  <c r="M794" i="12"/>
  <c r="P790" i="12"/>
  <c r="S787" i="12"/>
  <c r="P782" i="12"/>
  <c r="S779" i="12"/>
  <c r="O775" i="12"/>
  <c r="R772" i="12"/>
  <c r="K770" i="12"/>
  <c r="M770" i="12"/>
  <c r="O767" i="12"/>
  <c r="R764" i="12"/>
  <c r="P758" i="12"/>
  <c r="T754" i="12"/>
  <c r="O751" i="12"/>
  <c r="R748" i="12"/>
  <c r="K746" i="12"/>
  <c r="M746" i="12"/>
  <c r="O743" i="12"/>
  <c r="R740" i="12"/>
  <c r="M738" i="12"/>
  <c r="K738" i="12"/>
  <c r="Q733" i="12"/>
  <c r="T730" i="12"/>
  <c r="O727" i="12"/>
  <c r="R724" i="12"/>
  <c r="K722" i="12"/>
  <c r="M722" i="12"/>
  <c r="O719" i="12"/>
  <c r="R716" i="12"/>
  <c r="P710" i="12"/>
  <c r="S707" i="12"/>
  <c r="Q701" i="12"/>
  <c r="T698" i="12"/>
  <c r="O695" i="12"/>
  <c r="R692" i="12"/>
  <c r="K690" i="12"/>
  <c r="M690" i="12"/>
  <c r="O687" i="12"/>
  <c r="S683" i="12"/>
  <c r="N680" i="12"/>
  <c r="Q677" i="12"/>
  <c r="T674" i="12"/>
  <c r="Q669" i="12"/>
  <c r="T666" i="12"/>
  <c r="O663" i="12"/>
  <c r="R660" i="12"/>
  <c r="N656" i="12"/>
  <c r="Q653" i="12"/>
  <c r="T650" i="12"/>
  <c r="O647" i="12"/>
  <c r="R644" i="12"/>
  <c r="P638" i="12"/>
  <c r="S635" i="12"/>
  <c r="P630" i="12"/>
  <c r="S627" i="12"/>
  <c r="Q621" i="12"/>
  <c r="T618" i="12"/>
  <c r="O615" i="12"/>
  <c r="R612" i="12"/>
  <c r="M610" i="12"/>
  <c r="K610" i="12"/>
  <c r="O607" i="12"/>
  <c r="S603" i="12"/>
  <c r="P598" i="12"/>
  <c r="S595" i="12"/>
  <c r="Q589" i="12"/>
  <c r="T586" i="12"/>
  <c r="O583" i="12"/>
  <c r="R580" i="12"/>
  <c r="K578" i="12"/>
  <c r="M578" i="12"/>
  <c r="P574" i="12"/>
  <c r="S571" i="12"/>
  <c r="K570" i="12"/>
  <c r="M570" i="12"/>
  <c r="P566" i="12"/>
  <c r="S563" i="12"/>
  <c r="P558" i="12"/>
  <c r="S555" i="12"/>
  <c r="Q549" i="12"/>
  <c r="T546" i="12"/>
  <c r="O543" i="12"/>
  <c r="R540" i="12"/>
  <c r="M538" i="12"/>
  <c r="K538" i="12"/>
  <c r="P534" i="12"/>
  <c r="R468" i="12"/>
  <c r="Q5" i="12"/>
  <c r="S3" i="12"/>
  <c r="M2" i="12"/>
  <c r="O1021" i="12"/>
  <c r="Q1019" i="12"/>
  <c r="L1015" i="12"/>
  <c r="O1013" i="12"/>
  <c r="Q1011" i="12"/>
  <c r="L1007" i="12"/>
  <c r="O1005" i="12"/>
  <c r="Q1003" i="12"/>
  <c r="N998" i="12"/>
  <c r="P996" i="12"/>
  <c r="R994" i="12"/>
  <c r="L991" i="12"/>
  <c r="P988" i="12"/>
  <c r="R986" i="12"/>
  <c r="L983" i="12"/>
  <c r="P980" i="12"/>
  <c r="R978" i="12"/>
  <c r="L975" i="12"/>
  <c r="O973" i="12"/>
  <c r="Q971" i="12"/>
  <c r="L967" i="12"/>
  <c r="O965" i="12"/>
  <c r="Q963" i="12"/>
  <c r="M960" i="12"/>
  <c r="O957" i="12"/>
  <c r="Q955" i="12"/>
  <c r="L951" i="12"/>
  <c r="O949" i="12"/>
  <c r="Q947" i="12"/>
  <c r="L943" i="12"/>
  <c r="O941" i="12"/>
  <c r="Q939" i="12"/>
  <c r="L935" i="12"/>
  <c r="O933" i="12"/>
  <c r="Q931" i="12"/>
  <c r="L927" i="12"/>
  <c r="O925" i="12"/>
  <c r="Q923" i="12"/>
  <c r="L919" i="12"/>
  <c r="P916" i="12"/>
  <c r="R914" i="12"/>
  <c r="M912" i="12"/>
  <c r="N910" i="12"/>
  <c r="P908" i="12"/>
  <c r="R906" i="12"/>
  <c r="L903" i="12"/>
  <c r="O901" i="12"/>
  <c r="P900" i="12"/>
  <c r="R898" i="12"/>
  <c r="T896" i="12"/>
  <c r="L895" i="12"/>
  <c r="N894" i="12"/>
  <c r="O893" i="12"/>
  <c r="Q891" i="12"/>
  <c r="N886" i="12"/>
  <c r="P884" i="12"/>
  <c r="P852" i="12"/>
  <c r="T1006" i="12"/>
  <c r="T998" i="12"/>
  <c r="M950" i="12"/>
  <c r="S927" i="12"/>
  <c r="M718" i="12"/>
  <c r="M995" i="12"/>
  <c r="K995" i="12"/>
  <c r="K971" i="12"/>
  <c r="M971" i="12"/>
  <c r="K955" i="12"/>
  <c r="M955" i="12"/>
  <c r="M923" i="12"/>
  <c r="K923" i="12"/>
  <c r="K843" i="12"/>
  <c r="M843" i="12"/>
  <c r="K835" i="12"/>
  <c r="M835" i="12"/>
  <c r="M827" i="12"/>
  <c r="K827" i="12"/>
  <c r="K731" i="12"/>
  <c r="M731" i="12"/>
  <c r="M715" i="12"/>
  <c r="K715" i="12"/>
  <c r="K707" i="12"/>
  <c r="M707" i="12"/>
  <c r="M651" i="12"/>
  <c r="K651" i="12"/>
  <c r="K643" i="12"/>
  <c r="M643" i="12"/>
  <c r="M635" i="12"/>
  <c r="K635" i="12"/>
  <c r="K579" i="12"/>
  <c r="M579" i="12"/>
  <c r="M499" i="12"/>
  <c r="K499" i="12"/>
  <c r="M483" i="12"/>
  <c r="K483" i="12"/>
  <c r="M459" i="12"/>
  <c r="K459" i="12"/>
  <c r="S990" i="12"/>
  <c r="Q1001" i="12"/>
  <c r="Q985" i="12"/>
  <c r="L953" i="12"/>
  <c r="L913" i="12"/>
  <c r="L881" i="12"/>
  <c r="L849" i="12"/>
  <c r="K817" i="12"/>
  <c r="S769" i="12"/>
  <c r="T729" i="12"/>
  <c r="K697" i="12"/>
  <c r="L673" i="12"/>
  <c r="K657" i="12"/>
  <c r="S609" i="12"/>
  <c r="L593" i="12"/>
  <c r="P561" i="12"/>
  <c r="T545" i="12"/>
  <c r="N529" i="12"/>
  <c r="M513" i="12"/>
  <c r="T481" i="12"/>
  <c r="L465" i="12"/>
  <c r="T4" i="12"/>
  <c r="N2" i="12"/>
  <c r="Q1021" i="12"/>
  <c r="K1018" i="12"/>
  <c r="M1018" i="12"/>
  <c r="P1014" i="12"/>
  <c r="T1010" i="12"/>
  <c r="O1007" i="12"/>
  <c r="Q1005" i="12"/>
  <c r="K1002" i="12"/>
  <c r="M1002" i="12"/>
  <c r="K930" i="12"/>
  <c r="M930" i="12"/>
  <c r="S1" i="12"/>
  <c r="N5" i="12"/>
  <c r="O4" i="12"/>
  <c r="P3" i="12"/>
  <c r="Q2" i="12"/>
  <c r="R1023" i="12"/>
  <c r="S1022" i="12"/>
  <c r="T1021" i="12"/>
  <c r="K1021" i="12"/>
  <c r="M1021" i="12"/>
  <c r="L1020" i="12"/>
  <c r="N1019" i="12"/>
  <c r="O1018" i="12"/>
  <c r="P1017" i="12"/>
  <c r="Q1016" i="12"/>
  <c r="R1015" i="12"/>
  <c r="S1014" i="12"/>
  <c r="T1013" i="12"/>
  <c r="K1013" i="12"/>
  <c r="M1013" i="12"/>
  <c r="L1012" i="12"/>
  <c r="N1011" i="12"/>
  <c r="O1010" i="12"/>
  <c r="P1009" i="12"/>
  <c r="Q1008" i="12"/>
  <c r="R1007" i="12"/>
  <c r="S1006" i="12"/>
  <c r="T1005" i="12"/>
  <c r="K1005" i="12"/>
  <c r="M1005" i="12"/>
  <c r="L1004" i="12"/>
  <c r="N1003" i="12"/>
  <c r="O1002" i="12"/>
  <c r="P1001" i="12"/>
  <c r="Q1000" i="12"/>
  <c r="R999" i="12"/>
  <c r="S998" i="12"/>
  <c r="T997" i="12"/>
  <c r="K997" i="12"/>
  <c r="M997" i="12"/>
  <c r="L996" i="12"/>
  <c r="N995" i="12"/>
  <c r="O994" i="12"/>
  <c r="P993" i="12"/>
  <c r="Q992" i="12"/>
  <c r="R991" i="12"/>
  <c r="T989" i="12"/>
  <c r="K989" i="12"/>
  <c r="M989" i="12"/>
  <c r="L988" i="12"/>
  <c r="N987" i="12"/>
  <c r="O986" i="12"/>
  <c r="P985" i="12"/>
  <c r="Q984" i="12"/>
  <c r="R983" i="12"/>
  <c r="S982" i="12"/>
  <c r="T981" i="12"/>
  <c r="M981" i="12"/>
  <c r="K981" i="12"/>
  <c r="L980" i="12"/>
  <c r="N979" i="12"/>
  <c r="O978" i="12"/>
  <c r="P977" i="12"/>
  <c r="R975" i="12"/>
  <c r="S974" i="12"/>
  <c r="T973" i="12"/>
  <c r="M973" i="12"/>
  <c r="K973" i="12"/>
  <c r="L972" i="12"/>
  <c r="N971" i="12"/>
  <c r="O970" i="12"/>
  <c r="R967" i="12"/>
  <c r="S966" i="12"/>
  <c r="T965" i="12"/>
  <c r="M965" i="12"/>
  <c r="K965" i="12"/>
  <c r="L964" i="12"/>
  <c r="N963" i="12"/>
  <c r="O962" i="12"/>
  <c r="R959" i="12"/>
  <c r="S958" i="12"/>
  <c r="T957" i="12"/>
  <c r="K957" i="12"/>
  <c r="M957" i="12"/>
  <c r="L956" i="12"/>
  <c r="N955" i="12"/>
  <c r="O954" i="12"/>
  <c r="R951" i="12"/>
  <c r="S950" i="12"/>
  <c r="T949" i="12"/>
  <c r="K949" i="12"/>
  <c r="M949" i="12"/>
  <c r="L948" i="12"/>
  <c r="N947" i="12"/>
  <c r="O946" i="12"/>
  <c r="R943" i="12"/>
  <c r="S942" i="12"/>
  <c r="T941" i="12"/>
  <c r="M941" i="12"/>
  <c r="K941" i="12"/>
  <c r="L940" i="12"/>
  <c r="N939" i="12"/>
  <c r="O938" i="12"/>
  <c r="R935" i="12"/>
  <c r="S934" i="12"/>
  <c r="T933" i="12"/>
  <c r="K933" i="12"/>
  <c r="M933" i="12"/>
  <c r="L932" i="12"/>
  <c r="N931" i="12"/>
  <c r="O930" i="12"/>
  <c r="R927" i="12"/>
  <c r="S926" i="12"/>
  <c r="T925" i="12"/>
  <c r="K925" i="12"/>
  <c r="M925" i="12"/>
  <c r="L924" i="12"/>
  <c r="N923" i="12"/>
  <c r="O922" i="12"/>
  <c r="R919" i="12"/>
  <c r="S918" i="12"/>
  <c r="T917" i="12"/>
  <c r="K917" i="12"/>
  <c r="M917" i="12"/>
  <c r="L916" i="12"/>
  <c r="N915" i="12"/>
  <c r="O914" i="12"/>
  <c r="R911" i="12"/>
  <c r="S910" i="12"/>
  <c r="T909" i="12"/>
  <c r="M909" i="12"/>
  <c r="K909" i="12"/>
  <c r="L908" i="12"/>
  <c r="N907" i="12"/>
  <c r="O906" i="12"/>
  <c r="R903" i="12"/>
  <c r="S902" i="12"/>
  <c r="T901" i="12"/>
  <c r="K901" i="12"/>
  <c r="M901" i="12"/>
  <c r="L900" i="12"/>
  <c r="N899" i="12"/>
  <c r="O898" i="12"/>
  <c r="R895" i="12"/>
  <c r="S894" i="12"/>
  <c r="T893" i="12"/>
  <c r="K893" i="12"/>
  <c r="M893" i="12"/>
  <c r="L892" i="12"/>
  <c r="N891" i="12"/>
  <c r="O890" i="12"/>
  <c r="R887" i="12"/>
  <c r="S886" i="12"/>
  <c r="T885" i="12"/>
  <c r="K885" i="12"/>
  <c r="M885" i="12"/>
  <c r="L884" i="12"/>
  <c r="N883" i="12"/>
  <c r="O882" i="12"/>
  <c r="R879" i="12"/>
  <c r="S878" i="12"/>
  <c r="T877" i="12"/>
  <c r="M877" i="12"/>
  <c r="K877" i="12"/>
  <c r="L876" i="12"/>
  <c r="N875" i="12"/>
  <c r="O874" i="12"/>
  <c r="R871" i="12"/>
  <c r="S870" i="12"/>
  <c r="T869" i="12"/>
  <c r="M869" i="12"/>
  <c r="K869" i="12"/>
  <c r="L868" i="12"/>
  <c r="N867" i="12"/>
  <c r="O866" i="12"/>
  <c r="R863" i="12"/>
  <c r="S862" i="12"/>
  <c r="T861" i="12"/>
  <c r="K861" i="12"/>
  <c r="M861" i="12"/>
  <c r="L860" i="12"/>
  <c r="N859" i="12"/>
  <c r="O858" i="12"/>
  <c r="R855" i="12"/>
  <c r="S854" i="12"/>
  <c r="T853" i="12"/>
  <c r="K853" i="12"/>
  <c r="M853" i="12"/>
  <c r="L852" i="12"/>
  <c r="N851" i="12"/>
  <c r="O850" i="12"/>
  <c r="R847" i="12"/>
  <c r="S846" i="12"/>
  <c r="T845" i="12"/>
  <c r="K845" i="12"/>
  <c r="M845" i="12"/>
  <c r="L844" i="12"/>
  <c r="O842" i="12"/>
  <c r="R839" i="12"/>
  <c r="S838" i="12"/>
  <c r="T837" i="12"/>
  <c r="K837" i="12"/>
  <c r="M837" i="12"/>
  <c r="L836" i="12"/>
  <c r="N835" i="12"/>
  <c r="O834" i="12"/>
  <c r="R831" i="12"/>
  <c r="S830" i="12"/>
  <c r="T829" i="12"/>
  <c r="K829" i="12"/>
  <c r="M829" i="12"/>
  <c r="L828" i="12"/>
  <c r="N827" i="12"/>
  <c r="O826" i="12"/>
  <c r="R823" i="12"/>
  <c r="S822" i="12"/>
  <c r="T821" i="12"/>
  <c r="K821" i="12"/>
  <c r="M821" i="12"/>
  <c r="L820" i="12"/>
  <c r="N819" i="12"/>
  <c r="O818" i="12"/>
  <c r="R815" i="12"/>
  <c r="S814" i="12"/>
  <c r="T813" i="12"/>
  <c r="M813" i="12"/>
  <c r="K813" i="12"/>
  <c r="L812" i="12"/>
  <c r="N811" i="12"/>
  <c r="O810" i="12"/>
  <c r="R807" i="12"/>
  <c r="S806" i="12"/>
  <c r="T805" i="12"/>
  <c r="K805" i="12"/>
  <c r="M805" i="12"/>
  <c r="L804" i="12"/>
  <c r="N803" i="12"/>
  <c r="O802" i="12"/>
  <c r="R799" i="12"/>
  <c r="S798" i="12"/>
  <c r="T797" i="12"/>
  <c r="K797" i="12"/>
  <c r="M797" i="12"/>
  <c r="L796" i="12"/>
  <c r="N795" i="12"/>
  <c r="O794" i="12"/>
  <c r="R791" i="12"/>
  <c r="S790" i="12"/>
  <c r="T789" i="12"/>
  <c r="M789" i="12"/>
  <c r="K789" i="12"/>
  <c r="L788" i="12"/>
  <c r="N787" i="12"/>
  <c r="O786" i="12"/>
  <c r="R783" i="12"/>
  <c r="S782" i="12"/>
  <c r="T781" i="12"/>
  <c r="K781" i="12"/>
  <c r="M781" i="12"/>
  <c r="L780" i="12"/>
  <c r="N779" i="12"/>
  <c r="O778" i="12"/>
  <c r="R775" i="12"/>
  <c r="S774" i="12"/>
  <c r="T773" i="12"/>
  <c r="K773" i="12"/>
  <c r="M773" i="12"/>
  <c r="L772" i="12"/>
  <c r="N771" i="12"/>
  <c r="O770" i="12"/>
  <c r="R767" i="12"/>
  <c r="S766" i="12"/>
  <c r="T765" i="12"/>
  <c r="K765" i="12"/>
  <c r="M765" i="12"/>
  <c r="L764" i="12"/>
  <c r="N763" i="12"/>
  <c r="O762" i="12"/>
  <c r="R759" i="12"/>
  <c r="S758" i="12"/>
  <c r="T757" i="12"/>
  <c r="M757" i="12"/>
  <c r="K757" i="12"/>
  <c r="L756" i="12"/>
  <c r="N755" i="12"/>
  <c r="O754" i="12"/>
  <c r="R751" i="12"/>
  <c r="S750" i="12"/>
  <c r="T749" i="12"/>
  <c r="K749" i="12"/>
  <c r="M749" i="12"/>
  <c r="L748" i="12"/>
  <c r="N747" i="12"/>
  <c r="O746" i="12"/>
  <c r="R743" i="12"/>
  <c r="S742" i="12"/>
  <c r="T741" i="12"/>
  <c r="K741" i="12"/>
  <c r="M741" i="12"/>
  <c r="L740" i="12"/>
  <c r="N739" i="12"/>
  <c r="O738" i="12"/>
  <c r="R735" i="12"/>
  <c r="S734" i="12"/>
  <c r="T733" i="12"/>
  <c r="M733" i="12"/>
  <c r="K733" i="12"/>
  <c r="L732" i="12"/>
  <c r="N731" i="12"/>
  <c r="O730" i="12"/>
  <c r="R727" i="12"/>
  <c r="S726" i="12"/>
  <c r="T725" i="12"/>
  <c r="K725" i="12"/>
  <c r="M725" i="12"/>
  <c r="L724" i="12"/>
  <c r="N723" i="12"/>
  <c r="O722" i="12"/>
  <c r="R719" i="12"/>
  <c r="S718" i="12"/>
  <c r="T717" i="12"/>
  <c r="K717" i="12"/>
  <c r="M717" i="12"/>
  <c r="L716" i="12"/>
  <c r="N715" i="12"/>
  <c r="O714" i="12"/>
  <c r="R711" i="12"/>
  <c r="S710" i="12"/>
  <c r="T709" i="12"/>
  <c r="M709" i="12"/>
  <c r="K709" i="12"/>
  <c r="L708" i="12"/>
  <c r="N707" i="12"/>
  <c r="O706" i="12"/>
  <c r="R703" i="12"/>
  <c r="S702" i="12"/>
  <c r="T701" i="12"/>
  <c r="K701" i="12"/>
  <c r="M701" i="12"/>
  <c r="L700" i="12"/>
  <c r="N699" i="12"/>
  <c r="O698" i="12"/>
  <c r="R695" i="12"/>
  <c r="S694" i="12"/>
  <c r="T693" i="12"/>
  <c r="M693" i="12"/>
  <c r="K693" i="12"/>
  <c r="L692" i="12"/>
  <c r="N691" i="12"/>
  <c r="O690" i="12"/>
  <c r="R687" i="12"/>
  <c r="S686" i="12"/>
  <c r="T685" i="12"/>
  <c r="M685" i="12"/>
  <c r="K685" i="12"/>
  <c r="L684" i="12"/>
  <c r="N683" i="12"/>
  <c r="O682" i="12"/>
  <c r="R679" i="12"/>
  <c r="S678" i="12"/>
  <c r="T677" i="12"/>
  <c r="K677" i="12"/>
  <c r="M677" i="12"/>
  <c r="L676" i="12"/>
  <c r="N675" i="12"/>
  <c r="O674" i="12"/>
  <c r="R671" i="12"/>
  <c r="S670" i="12"/>
  <c r="T669" i="12"/>
  <c r="K669" i="12"/>
  <c r="M669" i="12"/>
  <c r="L668" i="12"/>
  <c r="N667" i="12"/>
  <c r="O666" i="12"/>
  <c r="R663" i="12"/>
  <c r="S662" i="12"/>
  <c r="T661" i="12"/>
  <c r="K661" i="12"/>
  <c r="M661" i="12"/>
  <c r="L660" i="12"/>
  <c r="N659" i="12"/>
  <c r="O658" i="12"/>
  <c r="R655" i="12"/>
  <c r="S654" i="12"/>
  <c r="T653" i="12"/>
  <c r="M653" i="12"/>
  <c r="K653" i="12"/>
  <c r="L652" i="12"/>
  <c r="N651" i="12"/>
  <c r="O650" i="12"/>
  <c r="R647" i="12"/>
  <c r="S646" i="12"/>
  <c r="T645" i="12"/>
  <c r="K645" i="12"/>
  <c r="M645" i="12"/>
  <c r="L644" i="12"/>
  <c r="N643" i="12"/>
  <c r="O642" i="12"/>
  <c r="R639" i="12"/>
  <c r="S638" i="12"/>
  <c r="T637" i="12"/>
  <c r="K637" i="12"/>
  <c r="M637" i="12"/>
  <c r="L636" i="12"/>
  <c r="N635" i="12"/>
  <c r="O634" i="12"/>
  <c r="R631" i="12"/>
  <c r="S630" i="12"/>
  <c r="T629" i="12"/>
  <c r="M629" i="12"/>
  <c r="K629" i="12"/>
  <c r="L628" i="12"/>
  <c r="N627" i="12"/>
  <c r="O626" i="12"/>
  <c r="R623" i="12"/>
  <c r="S622" i="12"/>
  <c r="T621" i="12"/>
  <c r="K621" i="12"/>
  <c r="M621" i="12"/>
  <c r="L620" i="12"/>
  <c r="N619" i="12"/>
  <c r="O618" i="12"/>
  <c r="R615" i="12"/>
  <c r="S614" i="12"/>
  <c r="T613" i="12"/>
  <c r="K613" i="12"/>
  <c r="M613" i="12"/>
  <c r="L612" i="12"/>
  <c r="N611" i="12"/>
  <c r="O610" i="12"/>
  <c r="R607" i="12"/>
  <c r="S606" i="12"/>
  <c r="T605" i="12"/>
  <c r="M605" i="12"/>
  <c r="K605" i="12"/>
  <c r="L604" i="12"/>
  <c r="N603" i="12"/>
  <c r="O602" i="12"/>
  <c r="R599" i="12"/>
  <c r="S598" i="12"/>
  <c r="T597" i="12"/>
  <c r="K597" i="12"/>
  <c r="M597" i="12"/>
  <c r="L596" i="12"/>
  <c r="N595" i="12"/>
  <c r="O594" i="12"/>
  <c r="R591" i="12"/>
  <c r="S590" i="12"/>
  <c r="T589" i="12"/>
  <c r="K589" i="12"/>
  <c r="M589" i="12"/>
  <c r="L588" i="12"/>
  <c r="N587" i="12"/>
  <c r="O586" i="12"/>
  <c r="R583" i="12"/>
  <c r="S582" i="12"/>
  <c r="T581" i="12"/>
  <c r="M581" i="12"/>
  <c r="K581" i="12"/>
  <c r="L580" i="12"/>
  <c r="N579" i="12"/>
  <c r="O578" i="12"/>
  <c r="Q576" i="12"/>
  <c r="R575" i="12"/>
  <c r="S574" i="12"/>
  <c r="T573" i="12"/>
  <c r="K573" i="12"/>
  <c r="M573" i="12"/>
  <c r="L572" i="12"/>
  <c r="N571" i="12"/>
  <c r="O570" i="12"/>
  <c r="R567" i="12"/>
  <c r="S566" i="12"/>
  <c r="T565" i="12"/>
  <c r="K565" i="12"/>
  <c r="M565" i="12"/>
  <c r="L564" i="12"/>
  <c r="N563" i="12"/>
  <c r="O562" i="12"/>
  <c r="R559" i="12"/>
  <c r="S558" i="12"/>
  <c r="T557" i="12"/>
  <c r="M557" i="12"/>
  <c r="K557" i="12"/>
  <c r="L556" i="12"/>
  <c r="N555" i="12"/>
  <c r="O554" i="12"/>
  <c r="R551" i="12"/>
  <c r="S550" i="12"/>
  <c r="T549" i="12"/>
  <c r="K549" i="12"/>
  <c r="M549" i="12"/>
  <c r="L548" i="12"/>
  <c r="N547" i="12"/>
  <c r="O546" i="12"/>
  <c r="R543" i="12"/>
  <c r="S542" i="12"/>
  <c r="T541" i="12"/>
  <c r="K541" i="12"/>
  <c r="M541" i="12"/>
  <c r="L540" i="12"/>
  <c r="N539" i="12"/>
  <c r="O538" i="12"/>
  <c r="R535" i="12"/>
  <c r="S534" i="12"/>
  <c r="T533" i="12"/>
  <c r="K533" i="12"/>
  <c r="M533" i="12"/>
  <c r="L532" i="12"/>
  <c r="N531" i="12"/>
  <c r="O530" i="12"/>
  <c r="R527" i="12"/>
  <c r="S526" i="12"/>
  <c r="T525" i="12"/>
  <c r="K525" i="12"/>
  <c r="M525" i="12"/>
  <c r="L524" i="12"/>
  <c r="N523" i="12"/>
  <c r="O522" i="12"/>
  <c r="R519" i="12"/>
  <c r="M1023" i="12"/>
  <c r="K915" i="12"/>
  <c r="M915" i="12"/>
  <c r="M891" i="12"/>
  <c r="K891" i="12"/>
  <c r="K883" i="12"/>
  <c r="M883" i="12"/>
  <c r="T819" i="12"/>
  <c r="K803" i="12"/>
  <c r="M803" i="12"/>
  <c r="M747" i="12"/>
  <c r="K747" i="12"/>
  <c r="K691" i="12"/>
  <c r="M691" i="12"/>
  <c r="K1" i="12"/>
  <c r="M1" i="12"/>
  <c r="T1" i="12"/>
  <c r="L5" i="12"/>
  <c r="N4" i="12"/>
  <c r="O3" i="12"/>
  <c r="P2" i="12"/>
  <c r="Q1023" i="12"/>
  <c r="R1022" i="12"/>
  <c r="S1021" i="12"/>
  <c r="T1020" i="12"/>
  <c r="M1020" i="12"/>
  <c r="K1020" i="12"/>
  <c r="L1019" i="12"/>
  <c r="N1018" i="12"/>
  <c r="Q1015" i="12"/>
  <c r="R1014" i="12"/>
  <c r="S1013" i="12"/>
  <c r="T1012" i="12"/>
  <c r="M1012" i="12"/>
  <c r="K1012" i="12"/>
  <c r="L1011" i="12"/>
  <c r="N1010" i="12"/>
  <c r="Q1007" i="12"/>
  <c r="R1006" i="12"/>
  <c r="S1005" i="12"/>
  <c r="T1004" i="12"/>
  <c r="K1004" i="12"/>
  <c r="M1004" i="12"/>
  <c r="L1003" i="12"/>
  <c r="N1002" i="12"/>
  <c r="Q999" i="12"/>
  <c r="R998" i="12"/>
  <c r="S997" i="12"/>
  <c r="T996" i="12"/>
  <c r="K996" i="12"/>
  <c r="M996" i="12"/>
  <c r="L995" i="12"/>
  <c r="N994" i="12"/>
  <c r="Q991" i="12"/>
  <c r="S989" i="12"/>
  <c r="T988" i="12"/>
  <c r="K988" i="12"/>
  <c r="M988" i="12"/>
  <c r="L987" i="12"/>
  <c r="N986" i="12"/>
  <c r="Q983" i="12"/>
  <c r="R982" i="12"/>
  <c r="S981" i="12"/>
  <c r="T980" i="12"/>
  <c r="K980" i="12"/>
  <c r="M980" i="12"/>
  <c r="L979" i="12"/>
  <c r="N978" i="12"/>
  <c r="P976" i="12"/>
  <c r="Q975" i="12"/>
  <c r="R974" i="12"/>
  <c r="S973" i="12"/>
  <c r="T972" i="12"/>
  <c r="K972" i="12"/>
  <c r="M972" i="12"/>
  <c r="L971" i="12"/>
  <c r="N970" i="12"/>
  <c r="Q967" i="12"/>
  <c r="R966" i="12"/>
  <c r="S965" i="12"/>
  <c r="T964" i="12"/>
  <c r="K964" i="12"/>
  <c r="M964" i="12"/>
  <c r="L963" i="12"/>
  <c r="N962" i="12"/>
  <c r="Q959" i="12"/>
  <c r="R958" i="12"/>
  <c r="S957" i="12"/>
  <c r="T956" i="12"/>
  <c r="M956" i="12"/>
  <c r="K956" i="12"/>
  <c r="L955" i="12"/>
  <c r="N954" i="12"/>
  <c r="P952" i="12"/>
  <c r="Q951" i="12"/>
  <c r="R950" i="12"/>
  <c r="S949" i="12"/>
  <c r="T948" i="12"/>
  <c r="K948" i="12"/>
  <c r="M948" i="12"/>
  <c r="L947" i="12"/>
  <c r="N946" i="12"/>
  <c r="P944" i="12"/>
  <c r="Q943" i="12"/>
  <c r="R942" i="12"/>
  <c r="S941" i="12"/>
  <c r="T940" i="12"/>
  <c r="M940" i="12"/>
  <c r="K940" i="12"/>
  <c r="L939" i="12"/>
  <c r="N938" i="12"/>
  <c r="P936" i="12"/>
  <c r="Q935" i="12"/>
  <c r="R934" i="12"/>
  <c r="S933" i="12"/>
  <c r="T932" i="12"/>
  <c r="M932" i="12"/>
  <c r="K932" i="12"/>
  <c r="L931" i="12"/>
  <c r="N930" i="12"/>
  <c r="Q927" i="12"/>
  <c r="R926" i="12"/>
  <c r="S925" i="12"/>
  <c r="T924" i="12"/>
  <c r="K924" i="12"/>
  <c r="M924" i="12"/>
  <c r="L923" i="12"/>
  <c r="N922" i="12"/>
  <c r="Q919" i="12"/>
  <c r="R918" i="12"/>
  <c r="S917" i="12"/>
  <c r="T916" i="12"/>
  <c r="K916" i="12"/>
  <c r="M916" i="12"/>
  <c r="L915" i="12"/>
  <c r="N914" i="12"/>
  <c r="Q911" i="12"/>
  <c r="R910" i="12"/>
  <c r="S909" i="12"/>
  <c r="T908" i="12"/>
  <c r="M908" i="12"/>
  <c r="K908" i="12"/>
  <c r="L907" i="12"/>
  <c r="N906" i="12"/>
  <c r="Q903" i="12"/>
  <c r="R902" i="12"/>
  <c r="S901" i="12"/>
  <c r="T900" i="12"/>
  <c r="K900" i="12"/>
  <c r="M900" i="12"/>
  <c r="L899" i="12"/>
  <c r="N898" i="12"/>
  <c r="Q895" i="12"/>
  <c r="R894" i="12"/>
  <c r="S893" i="12"/>
  <c r="T892" i="12"/>
  <c r="K892" i="12"/>
  <c r="M892" i="12"/>
  <c r="L891" i="12"/>
  <c r="N890" i="12"/>
  <c r="Q887" i="12"/>
  <c r="R886" i="12"/>
  <c r="S885" i="12"/>
  <c r="T884" i="12"/>
  <c r="K884" i="12"/>
  <c r="M884" i="12"/>
  <c r="L883" i="12"/>
  <c r="N882" i="12"/>
  <c r="Q879" i="12"/>
  <c r="R878" i="12"/>
  <c r="S877" i="12"/>
  <c r="T876" i="12"/>
  <c r="K876" i="12"/>
  <c r="M876" i="12"/>
  <c r="L875" i="12"/>
  <c r="N874" i="12"/>
  <c r="Q871" i="12"/>
  <c r="R870" i="12"/>
  <c r="S869" i="12"/>
  <c r="T868" i="12"/>
  <c r="K868" i="12"/>
  <c r="M868" i="12"/>
  <c r="L867" i="12"/>
  <c r="N866" i="12"/>
  <c r="Q863" i="12"/>
  <c r="R862" i="12"/>
  <c r="S861" i="12"/>
  <c r="T860" i="12"/>
  <c r="M860" i="12"/>
  <c r="K860" i="12"/>
  <c r="L859" i="12"/>
  <c r="N858" i="12"/>
  <c r="Q855" i="12"/>
  <c r="R854" i="12"/>
  <c r="S853" i="12"/>
  <c r="T852" i="12"/>
  <c r="M852" i="12"/>
  <c r="K852" i="12"/>
  <c r="L851" i="12"/>
  <c r="N850" i="12"/>
  <c r="Q847" i="12"/>
  <c r="R846" i="12"/>
  <c r="S845" i="12"/>
  <c r="T844" i="12"/>
  <c r="K844" i="12"/>
  <c r="M844" i="12"/>
  <c r="L843" i="12"/>
  <c r="N842" i="12"/>
  <c r="Q839" i="12"/>
  <c r="R838" i="12"/>
  <c r="S837" i="12"/>
  <c r="T836" i="12"/>
  <c r="M836" i="12"/>
  <c r="K836" i="12"/>
  <c r="L835" i="12"/>
  <c r="N834" i="12"/>
  <c r="Q831" i="12"/>
  <c r="R830" i="12"/>
  <c r="S829" i="12"/>
  <c r="T828" i="12"/>
  <c r="K828" i="12"/>
  <c r="M828" i="12"/>
  <c r="L827" i="12"/>
  <c r="N826" i="12"/>
  <c r="Q823" i="12"/>
  <c r="R822" i="12"/>
  <c r="S821" i="12"/>
  <c r="T820" i="12"/>
  <c r="K820" i="12"/>
  <c r="M820" i="12"/>
  <c r="L819" i="12"/>
  <c r="N818" i="12"/>
  <c r="Q815" i="12"/>
  <c r="R814" i="12"/>
  <c r="S813" i="12"/>
  <c r="T812" i="12"/>
  <c r="K812" i="12"/>
  <c r="M812" i="12"/>
  <c r="L811" i="12"/>
  <c r="N810" i="12"/>
  <c r="Q807" i="12"/>
  <c r="R806" i="12"/>
  <c r="S805" i="12"/>
  <c r="T804" i="12"/>
  <c r="M804" i="12"/>
  <c r="K804" i="12"/>
  <c r="L803" i="12"/>
  <c r="N802" i="12"/>
  <c r="Q799" i="12"/>
  <c r="R798" i="12"/>
  <c r="S797" i="12"/>
  <c r="T796" i="12"/>
  <c r="K796" i="12"/>
  <c r="M796" i="12"/>
  <c r="L795" i="12"/>
  <c r="N794" i="12"/>
  <c r="Q791" i="12"/>
  <c r="R790" i="12"/>
  <c r="S789" i="12"/>
  <c r="T788" i="12"/>
  <c r="K788" i="12"/>
  <c r="M788" i="12"/>
  <c r="L787" i="12"/>
  <c r="N786" i="12"/>
  <c r="Q783" i="12"/>
  <c r="R782" i="12"/>
  <c r="S781" i="12"/>
  <c r="T780" i="12"/>
  <c r="M780" i="12"/>
  <c r="K780" i="12"/>
  <c r="L779" i="12"/>
  <c r="N778" i="12"/>
  <c r="Q775" i="12"/>
  <c r="R774" i="12"/>
  <c r="S773" i="12"/>
  <c r="T772" i="12"/>
  <c r="K772" i="12"/>
  <c r="M772" i="12"/>
  <c r="L771" i="12"/>
  <c r="N770" i="12"/>
  <c r="Q767" i="12"/>
  <c r="R766" i="12"/>
  <c r="S765" i="12"/>
  <c r="T764" i="12"/>
  <c r="K764" i="12"/>
  <c r="M764" i="12"/>
  <c r="L763" i="12"/>
  <c r="N762" i="12"/>
  <c r="Q759" i="12"/>
  <c r="R758" i="12"/>
  <c r="S757" i="12"/>
  <c r="T756" i="12"/>
  <c r="K756" i="12"/>
  <c r="M756" i="12"/>
  <c r="L755" i="12"/>
  <c r="N754" i="12"/>
  <c r="Q751" i="12"/>
  <c r="R750" i="12"/>
  <c r="S749" i="12"/>
  <c r="T748" i="12"/>
  <c r="K748" i="12"/>
  <c r="M748" i="12"/>
  <c r="L747" i="12"/>
  <c r="N746" i="12"/>
  <c r="Q743" i="12"/>
  <c r="R742" i="12"/>
  <c r="S741" i="12"/>
  <c r="T740" i="12"/>
  <c r="K740" i="12"/>
  <c r="M740" i="12"/>
  <c r="L739" i="12"/>
  <c r="N738" i="12"/>
  <c r="Q735" i="12"/>
  <c r="R734" i="12"/>
  <c r="S733" i="12"/>
  <c r="T732" i="12"/>
  <c r="K732" i="12"/>
  <c r="M732" i="12"/>
  <c r="L731" i="12"/>
  <c r="N730" i="12"/>
  <c r="Q727" i="12"/>
  <c r="R726" i="12"/>
  <c r="S725" i="12"/>
  <c r="T724" i="12"/>
  <c r="M724" i="12"/>
  <c r="K724" i="12"/>
  <c r="L723" i="12"/>
  <c r="N722" i="12"/>
  <c r="Q719" i="12"/>
  <c r="R718" i="12"/>
  <c r="S717" i="12"/>
  <c r="T716" i="12"/>
  <c r="K716" i="12"/>
  <c r="M716" i="12"/>
  <c r="L715" i="12"/>
  <c r="N714" i="12"/>
  <c r="Q711" i="12"/>
  <c r="R710" i="12"/>
  <c r="S709" i="12"/>
  <c r="T708" i="12"/>
  <c r="K708" i="12"/>
  <c r="M708" i="12"/>
  <c r="L707" i="12"/>
  <c r="N706" i="12"/>
  <c r="Q703" i="12"/>
  <c r="R702" i="12"/>
  <c r="S701" i="12"/>
  <c r="T700" i="12"/>
  <c r="M700" i="12"/>
  <c r="K700" i="12"/>
  <c r="L699" i="12"/>
  <c r="N698" i="12"/>
  <c r="Q695" i="12"/>
  <c r="R694" i="12"/>
  <c r="S693" i="12"/>
  <c r="T692" i="12"/>
  <c r="K692" i="12"/>
  <c r="M692" i="12"/>
  <c r="L691" i="12"/>
  <c r="N690" i="12"/>
  <c r="Q687" i="12"/>
  <c r="R686" i="12"/>
  <c r="S685" i="12"/>
  <c r="T684" i="12"/>
  <c r="K684" i="12"/>
  <c r="M684" i="12"/>
  <c r="L683" i="12"/>
  <c r="N682" i="12"/>
  <c r="Q679" i="12"/>
  <c r="R678" i="12"/>
  <c r="S677" i="12"/>
  <c r="T676" i="12"/>
  <c r="M676" i="12"/>
  <c r="K676" i="12"/>
  <c r="L675" i="12"/>
  <c r="N674" i="12"/>
  <c r="Q671" i="12"/>
  <c r="R670" i="12"/>
  <c r="S669" i="12"/>
  <c r="T668" i="12"/>
  <c r="K668" i="12"/>
  <c r="M668" i="12"/>
  <c r="L667" i="12"/>
  <c r="N666" i="12"/>
  <c r="Q663" i="12"/>
  <c r="R662" i="12"/>
  <c r="S661" i="12"/>
  <c r="T660" i="12"/>
  <c r="M660" i="12"/>
  <c r="K660" i="12"/>
  <c r="L659" i="12"/>
  <c r="N658" i="12"/>
  <c r="Q655" i="12"/>
  <c r="R654" i="12"/>
  <c r="S653" i="12"/>
  <c r="T652" i="12"/>
  <c r="K652" i="12"/>
  <c r="M652" i="12"/>
  <c r="L651" i="12"/>
  <c r="N650" i="12"/>
  <c r="Q647" i="12"/>
  <c r="R646" i="12"/>
  <c r="S645" i="12"/>
  <c r="T644" i="12"/>
  <c r="K644" i="12"/>
  <c r="M644" i="12"/>
  <c r="L643" i="12"/>
  <c r="N642" i="12"/>
  <c r="Q639" i="12"/>
  <c r="R638" i="12"/>
  <c r="S637" i="12"/>
  <c r="T636" i="12"/>
  <c r="K636" i="12"/>
  <c r="M636" i="12"/>
  <c r="L635" i="12"/>
  <c r="N634" i="12"/>
  <c r="Q631" i="12"/>
  <c r="R630" i="12"/>
  <c r="S629" i="12"/>
  <c r="T628" i="12"/>
  <c r="K628" i="12"/>
  <c r="M628" i="12"/>
  <c r="L627" i="12"/>
  <c r="N626" i="12"/>
  <c r="Q623" i="12"/>
  <c r="R622" i="12"/>
  <c r="S621" i="12"/>
  <c r="T620" i="12"/>
  <c r="M620" i="12"/>
  <c r="K620" i="12"/>
  <c r="L619" i="12"/>
  <c r="N618" i="12"/>
  <c r="Q615" i="12"/>
  <c r="R614" i="12"/>
  <c r="S613" i="12"/>
  <c r="T612" i="12"/>
  <c r="K612" i="12"/>
  <c r="M612" i="12"/>
  <c r="L611" i="12"/>
  <c r="N610" i="12"/>
  <c r="Q607" i="12"/>
  <c r="R606" i="12"/>
  <c r="S605" i="12"/>
  <c r="T604" i="12"/>
  <c r="K604" i="12"/>
  <c r="M604" i="12"/>
  <c r="L603" i="12"/>
  <c r="N602" i="12"/>
  <c r="O601" i="12"/>
  <c r="Q599" i="12"/>
  <c r="R598" i="12"/>
  <c r="S597" i="12"/>
  <c r="T596" i="12"/>
  <c r="M596" i="12"/>
  <c r="K596" i="12"/>
  <c r="L595" i="12"/>
  <c r="N594" i="12"/>
  <c r="Q591" i="12"/>
  <c r="R590" i="12"/>
  <c r="S589" i="12"/>
  <c r="T588" i="12"/>
  <c r="K588" i="12"/>
  <c r="M588" i="12"/>
  <c r="L587" i="12"/>
  <c r="N586" i="12"/>
  <c r="Q583" i="12"/>
  <c r="R582" i="12"/>
  <c r="S581" i="12"/>
  <c r="T580" i="12"/>
  <c r="K580" i="12"/>
  <c r="M580" i="12"/>
  <c r="L579" i="12"/>
  <c r="N578" i="12"/>
  <c r="P576" i="12"/>
  <c r="Q575" i="12"/>
  <c r="R574" i="12"/>
  <c r="S573" i="12"/>
  <c r="T572" i="12"/>
  <c r="M572" i="12"/>
  <c r="K572" i="12"/>
  <c r="L571" i="12"/>
  <c r="N570" i="12"/>
  <c r="Q567" i="12"/>
  <c r="R566" i="12"/>
  <c r="S565" i="12"/>
  <c r="T564" i="12"/>
  <c r="K564" i="12"/>
  <c r="M564" i="12"/>
  <c r="L563" i="12"/>
  <c r="N562" i="12"/>
  <c r="Q559" i="12"/>
  <c r="R558" i="12"/>
  <c r="S557" i="12"/>
  <c r="T556" i="12"/>
  <c r="M556" i="12"/>
  <c r="K556" i="12"/>
  <c r="L555" i="12"/>
  <c r="N554" i="12"/>
  <c r="Q551" i="12"/>
  <c r="R550" i="12"/>
  <c r="S549" i="12"/>
  <c r="T548" i="12"/>
  <c r="M548" i="12"/>
  <c r="K548" i="12"/>
  <c r="L547" i="12"/>
  <c r="N546" i="12"/>
  <c r="Q543" i="12"/>
  <c r="R542" i="12"/>
  <c r="S541" i="12"/>
  <c r="T540" i="12"/>
  <c r="K540" i="12"/>
  <c r="M540" i="12"/>
  <c r="L539" i="12"/>
  <c r="N538" i="12"/>
  <c r="Q535" i="12"/>
  <c r="R534" i="12"/>
  <c r="S533" i="12"/>
  <c r="T532" i="12"/>
  <c r="M532" i="12"/>
  <c r="K532" i="12"/>
  <c r="L531" i="12"/>
  <c r="N530" i="12"/>
  <c r="Q527" i="12"/>
  <c r="R526" i="12"/>
  <c r="S525" i="12"/>
  <c r="T524" i="12"/>
  <c r="K524" i="12"/>
  <c r="M524" i="12"/>
  <c r="L523" i="12"/>
  <c r="N522" i="12"/>
  <c r="Q519" i="12"/>
  <c r="R518" i="12"/>
  <c r="S517" i="12"/>
  <c r="T516" i="12"/>
  <c r="K516" i="12"/>
  <c r="M516" i="12"/>
  <c r="L515" i="12"/>
  <c r="N514" i="12"/>
  <c r="Q511" i="12"/>
  <c r="R510" i="12"/>
  <c r="S509" i="12"/>
  <c r="T508" i="12"/>
  <c r="K508" i="12"/>
  <c r="M508" i="12"/>
  <c r="L507" i="12"/>
  <c r="N506" i="12"/>
  <c r="Q503" i="12"/>
  <c r="R502" i="12"/>
  <c r="S501" i="12"/>
  <c r="T500" i="12"/>
  <c r="K500" i="12"/>
  <c r="M500" i="12"/>
  <c r="L499" i="12"/>
  <c r="N498" i="12"/>
  <c r="Q495" i="12"/>
  <c r="R494" i="12"/>
  <c r="S493" i="12"/>
  <c r="T492" i="12"/>
  <c r="K492" i="12"/>
  <c r="M492" i="12"/>
  <c r="L491" i="12"/>
  <c r="N490" i="12"/>
  <c r="Q487" i="12"/>
  <c r="R486" i="12"/>
  <c r="S485" i="12"/>
  <c r="T484" i="12"/>
  <c r="K484" i="12"/>
  <c r="M484" i="12"/>
  <c r="L483" i="12"/>
  <c r="N482" i="12"/>
  <c r="Q479" i="12"/>
  <c r="R478" i="12"/>
  <c r="S477" i="12"/>
  <c r="T476" i="12"/>
  <c r="K476" i="12"/>
  <c r="M476" i="12"/>
  <c r="L475" i="12"/>
  <c r="N474" i="12"/>
  <c r="Q471" i="12"/>
  <c r="R470" i="12"/>
  <c r="S469" i="12"/>
  <c r="T468" i="12"/>
  <c r="K468" i="12"/>
  <c r="M468" i="12"/>
  <c r="L467" i="12"/>
  <c r="N466" i="12"/>
  <c r="Q463" i="12"/>
  <c r="R462" i="12"/>
  <c r="S461" i="12"/>
  <c r="T460" i="12"/>
  <c r="K460" i="12"/>
  <c r="M460" i="12"/>
  <c r="L459" i="12"/>
  <c r="N458" i="12"/>
  <c r="Q455" i="12"/>
  <c r="R454" i="12"/>
  <c r="S453" i="12"/>
  <c r="T452" i="12"/>
  <c r="K452" i="12"/>
  <c r="M452" i="12"/>
  <c r="L451" i="12"/>
  <c r="N450" i="12"/>
  <c r="Q447" i="12"/>
  <c r="R446" i="12"/>
  <c r="S445" i="12"/>
  <c r="T444" i="12"/>
  <c r="K444" i="12"/>
  <c r="M444" i="12"/>
  <c r="L443" i="12"/>
  <c r="N442" i="12"/>
  <c r="Q439" i="12"/>
  <c r="R438" i="12"/>
  <c r="S437" i="12"/>
  <c r="T436" i="12"/>
  <c r="K436" i="12"/>
  <c r="M436" i="12"/>
  <c r="L435" i="12"/>
  <c r="N434" i="12"/>
  <c r="P432" i="12"/>
  <c r="Q431" i="12"/>
  <c r="R430" i="12"/>
  <c r="S429" i="12"/>
  <c r="T428" i="12"/>
  <c r="M428" i="12"/>
  <c r="K428" i="12"/>
  <c r="L427" i="12"/>
  <c r="N426" i="12"/>
  <c r="K842" i="12"/>
  <c r="S444" i="12"/>
  <c r="T443" i="12"/>
  <c r="M443" i="12"/>
  <c r="K443" i="12"/>
  <c r="L442" i="12"/>
  <c r="P439" i="12"/>
  <c r="Q438" i="12"/>
  <c r="R437" i="12"/>
  <c r="S436" i="12"/>
  <c r="T435" i="12"/>
  <c r="K435" i="12"/>
  <c r="M435" i="12"/>
  <c r="L434" i="12"/>
  <c r="P431" i="12"/>
  <c r="Q430" i="12"/>
  <c r="R429" i="12"/>
  <c r="S428" i="12"/>
  <c r="T427" i="12"/>
  <c r="M427" i="12"/>
  <c r="K427" i="12"/>
  <c r="L426" i="12"/>
  <c r="N425" i="12"/>
  <c r="P423" i="12"/>
  <c r="M419" i="12"/>
  <c r="K419" i="12"/>
  <c r="K411" i="12"/>
  <c r="M411" i="12"/>
  <c r="M403" i="12"/>
  <c r="K403" i="12"/>
  <c r="K395" i="12"/>
  <c r="M395" i="12"/>
  <c r="K387" i="12"/>
  <c r="M387" i="12"/>
  <c r="K379" i="12"/>
  <c r="M379" i="12"/>
  <c r="K371" i="12"/>
  <c r="M371" i="12"/>
  <c r="M363" i="12"/>
  <c r="K363" i="12"/>
  <c r="K355" i="12"/>
  <c r="M355" i="12"/>
  <c r="M347" i="12"/>
  <c r="K347" i="12"/>
  <c r="M339" i="12"/>
  <c r="K339" i="12"/>
  <c r="M331" i="12"/>
  <c r="K331" i="12"/>
  <c r="K323" i="12"/>
  <c r="M323" i="12"/>
  <c r="K315" i="12"/>
  <c r="M315" i="12"/>
  <c r="K307" i="12"/>
  <c r="M307" i="12"/>
  <c r="M299" i="12"/>
  <c r="K299" i="12"/>
  <c r="M291" i="12"/>
  <c r="K291" i="12"/>
  <c r="K283" i="12"/>
  <c r="M283" i="12"/>
  <c r="M275" i="12"/>
  <c r="K275" i="12"/>
  <c r="K267" i="12"/>
  <c r="M267" i="12"/>
  <c r="K259" i="12"/>
  <c r="M259" i="12"/>
  <c r="K251" i="12"/>
  <c r="M251" i="12"/>
  <c r="K243" i="12"/>
  <c r="M243" i="12"/>
  <c r="K235" i="12"/>
  <c r="M235" i="12"/>
  <c r="K227" i="12"/>
  <c r="M227" i="12"/>
  <c r="K219" i="12"/>
  <c r="M219" i="12"/>
  <c r="M211" i="12"/>
  <c r="K211" i="12"/>
  <c r="M203" i="12"/>
  <c r="K203" i="12"/>
  <c r="M195" i="12"/>
  <c r="K195" i="12"/>
  <c r="K187" i="12"/>
  <c r="M187" i="12"/>
  <c r="M179" i="12"/>
  <c r="K179" i="12"/>
  <c r="M171" i="12"/>
  <c r="K171" i="12"/>
  <c r="M163" i="12"/>
  <c r="K163" i="12"/>
  <c r="M155" i="12"/>
  <c r="K155" i="12"/>
  <c r="M147" i="12"/>
  <c r="K147" i="12"/>
  <c r="M139" i="12"/>
  <c r="K139" i="12"/>
  <c r="M131" i="12"/>
  <c r="K131" i="12"/>
  <c r="M123" i="12"/>
  <c r="K123" i="12"/>
  <c r="K115" i="12"/>
  <c r="M115" i="12"/>
  <c r="K107" i="12"/>
  <c r="M107" i="12"/>
  <c r="K99" i="12"/>
  <c r="M99" i="12"/>
  <c r="K91" i="12"/>
  <c r="M91" i="12"/>
  <c r="M83" i="12"/>
  <c r="K83" i="12"/>
  <c r="M75" i="12"/>
  <c r="K75" i="12"/>
  <c r="M67" i="12"/>
  <c r="K67" i="12"/>
  <c r="K59" i="12"/>
  <c r="M59" i="12"/>
  <c r="M51" i="12"/>
  <c r="K51" i="12"/>
  <c r="K43" i="12"/>
  <c r="M43" i="12"/>
  <c r="M35" i="12"/>
  <c r="K35" i="12"/>
  <c r="K27" i="12"/>
  <c r="M27" i="12"/>
  <c r="M19" i="12"/>
  <c r="K19" i="12"/>
  <c r="K11" i="12"/>
  <c r="M11" i="12"/>
  <c r="O423" i="12"/>
  <c r="P422" i="12"/>
  <c r="Q421" i="12"/>
  <c r="R420" i="12"/>
  <c r="S419" i="12"/>
  <c r="T418" i="12"/>
  <c r="M418" i="12"/>
  <c r="K418" i="12"/>
  <c r="O415" i="12"/>
  <c r="P414" i="12"/>
  <c r="Q413" i="12"/>
  <c r="R412" i="12"/>
  <c r="S411" i="12"/>
  <c r="T410" i="12"/>
  <c r="M410" i="12"/>
  <c r="K410" i="12"/>
  <c r="O407" i="12"/>
  <c r="P406" i="12"/>
  <c r="Q405" i="12"/>
  <c r="R404" i="12"/>
  <c r="S403" i="12"/>
  <c r="T402" i="12"/>
  <c r="K402" i="12"/>
  <c r="M402" i="12"/>
  <c r="O399" i="12"/>
  <c r="P398" i="12"/>
  <c r="Q397" i="12"/>
  <c r="R396" i="12"/>
  <c r="S395" i="12"/>
  <c r="T394" i="12"/>
  <c r="M394" i="12"/>
  <c r="K394" i="12"/>
  <c r="O391" i="12"/>
  <c r="P390" i="12"/>
  <c r="Q389" i="12"/>
  <c r="R388" i="12"/>
  <c r="S387" i="12"/>
  <c r="T386" i="12"/>
  <c r="K386" i="12"/>
  <c r="M386" i="12"/>
  <c r="O383" i="12"/>
  <c r="P382" i="12"/>
  <c r="Q381" i="12"/>
  <c r="R380" i="12"/>
  <c r="S379" i="12"/>
  <c r="T378" i="12"/>
  <c r="M378" i="12"/>
  <c r="K378" i="12"/>
  <c r="O375" i="12"/>
  <c r="P374" i="12"/>
  <c r="Q373" i="12"/>
  <c r="R372" i="12"/>
  <c r="S371" i="12"/>
  <c r="T370" i="12"/>
  <c r="K370" i="12"/>
  <c r="M370" i="12"/>
  <c r="O367" i="12"/>
  <c r="P366" i="12"/>
  <c r="Q365" i="12"/>
  <c r="R364" i="12"/>
  <c r="S363" i="12"/>
  <c r="T362" i="12"/>
  <c r="K362" i="12"/>
  <c r="M362" i="12"/>
  <c r="O359" i="12"/>
  <c r="P358" i="12"/>
  <c r="Q357" i="12"/>
  <c r="R356" i="12"/>
  <c r="S355" i="12"/>
  <c r="T354" i="12"/>
  <c r="K354" i="12"/>
  <c r="M354" i="12"/>
  <c r="O351" i="12"/>
  <c r="P350" i="12"/>
  <c r="Q349" i="12"/>
  <c r="R348" i="12"/>
  <c r="S347" i="12"/>
  <c r="T346" i="12"/>
  <c r="M346" i="12"/>
  <c r="K346" i="12"/>
  <c r="O343" i="12"/>
  <c r="P342" i="12"/>
  <c r="Q341" i="12"/>
  <c r="R340" i="12"/>
  <c r="S339" i="12"/>
  <c r="T338" i="12"/>
  <c r="K338" i="12"/>
  <c r="M338" i="12"/>
  <c r="O335" i="12"/>
  <c r="P334" i="12"/>
  <c r="Q333" i="12"/>
  <c r="R332" i="12"/>
  <c r="S331" i="12"/>
  <c r="T330" i="12"/>
  <c r="K330" i="12"/>
  <c r="M330" i="12"/>
  <c r="O327" i="12"/>
  <c r="P326" i="12"/>
  <c r="Q325" i="12"/>
  <c r="R324" i="12"/>
  <c r="S323" i="12"/>
  <c r="T322" i="12"/>
  <c r="M322" i="12"/>
  <c r="K322" i="12"/>
  <c r="O319" i="12"/>
  <c r="P318" i="12"/>
  <c r="Q317" i="12"/>
  <c r="R316" i="12"/>
  <c r="S315" i="12"/>
  <c r="T314" i="12"/>
  <c r="O1" i="12"/>
  <c r="R5" i="12"/>
  <c r="S4" i="12"/>
  <c r="T3" i="12"/>
  <c r="M3" i="12"/>
  <c r="K3" i="12"/>
  <c r="L2" i="12"/>
  <c r="N1023" i="12"/>
  <c r="O1022" i="12"/>
  <c r="P1021" i="12"/>
  <c r="Q1020" i="12"/>
  <c r="R1019" i="12"/>
  <c r="S1018" i="12"/>
  <c r="N1015" i="12"/>
  <c r="O1014" i="12"/>
  <c r="P1013" i="12"/>
  <c r="Q1012" i="12"/>
  <c r="R1011" i="12"/>
  <c r="S1010" i="12"/>
  <c r="N1007" i="12"/>
  <c r="O1006" i="12"/>
  <c r="P1005" i="12"/>
  <c r="Q1004" i="12"/>
  <c r="R1003" i="12"/>
  <c r="S1002" i="12"/>
  <c r="N999" i="12"/>
  <c r="O998" i="12"/>
  <c r="P997" i="12"/>
  <c r="Q996" i="12"/>
  <c r="R995" i="12"/>
  <c r="S994" i="12"/>
  <c r="N991" i="12"/>
  <c r="O990" i="12"/>
  <c r="P989" i="12"/>
  <c r="Q988" i="12"/>
  <c r="R987" i="12"/>
  <c r="S986" i="12"/>
  <c r="N983" i="12"/>
  <c r="O982" i="12"/>
  <c r="P981" i="12"/>
  <c r="Q980" i="12"/>
  <c r="R979" i="12"/>
  <c r="S978" i="12"/>
  <c r="N975" i="12"/>
  <c r="O974" i="12"/>
  <c r="P973" i="12"/>
  <c r="Q972" i="12"/>
  <c r="R971" i="12"/>
  <c r="S970" i="12"/>
  <c r="L968" i="12"/>
  <c r="N967" i="12"/>
  <c r="P965" i="12"/>
  <c r="Q964" i="12"/>
  <c r="R963" i="12"/>
  <c r="S962" i="12"/>
  <c r="N959" i="12"/>
  <c r="P957" i="12"/>
  <c r="Q956" i="12"/>
  <c r="R955" i="12"/>
  <c r="S954" i="12"/>
  <c r="T953" i="12"/>
  <c r="N951" i="12"/>
  <c r="O950" i="12"/>
  <c r="P949" i="12"/>
  <c r="Q948" i="12"/>
  <c r="R947" i="12"/>
  <c r="S946" i="12"/>
  <c r="N943" i="12"/>
  <c r="O942" i="12"/>
  <c r="P941" i="12"/>
  <c r="Q940" i="12"/>
  <c r="R939" i="12"/>
  <c r="S938" i="12"/>
  <c r="N935" i="12"/>
  <c r="O934" i="12"/>
  <c r="P933" i="12"/>
  <c r="Q932" i="12"/>
  <c r="R931" i="12"/>
  <c r="S930" i="12"/>
  <c r="T929" i="12"/>
  <c r="L928" i="12"/>
  <c r="N927" i="12"/>
  <c r="O926" i="12"/>
  <c r="P925" i="12"/>
  <c r="Q924" i="12"/>
  <c r="R923" i="12"/>
  <c r="S922" i="12"/>
  <c r="N919" i="12"/>
  <c r="O918" i="12"/>
  <c r="P917" i="12"/>
  <c r="Q916" i="12"/>
  <c r="R915" i="12"/>
  <c r="S914" i="12"/>
  <c r="N911" i="12"/>
  <c r="O910" i="12"/>
  <c r="P909" i="12"/>
  <c r="Q908" i="12"/>
  <c r="R907" i="12"/>
  <c r="S906" i="12"/>
  <c r="N903" i="12"/>
  <c r="O902" i="12"/>
  <c r="P901" i="12"/>
  <c r="Q900" i="12"/>
  <c r="R899" i="12"/>
  <c r="S898" i="12"/>
  <c r="K897" i="12"/>
  <c r="N895" i="12"/>
  <c r="O894" i="12"/>
  <c r="P893" i="12"/>
  <c r="Q892" i="12"/>
  <c r="R891" i="12"/>
  <c r="L888" i="12"/>
  <c r="N887" i="12"/>
  <c r="O886" i="12"/>
  <c r="P885" i="12"/>
  <c r="Q884" i="12"/>
  <c r="R883" i="12"/>
  <c r="S882" i="12"/>
  <c r="N879" i="12"/>
  <c r="O878" i="12"/>
  <c r="P877" i="12"/>
  <c r="Q876" i="12"/>
  <c r="R875" i="12"/>
  <c r="S874" i="12"/>
  <c r="N871" i="12"/>
  <c r="O870" i="12"/>
  <c r="P869" i="12"/>
  <c r="Q868" i="12"/>
  <c r="R867" i="12"/>
  <c r="S866" i="12"/>
  <c r="T865" i="12"/>
  <c r="L864" i="12"/>
  <c r="N863" i="12"/>
  <c r="O862" i="12"/>
  <c r="P861" i="12"/>
  <c r="Q860" i="12"/>
  <c r="R859" i="12"/>
  <c r="S858" i="12"/>
  <c r="N855" i="12"/>
  <c r="O854" i="12"/>
  <c r="P853" i="12"/>
  <c r="Q852" i="12"/>
  <c r="R851" i="12"/>
  <c r="S850" i="12"/>
  <c r="N847" i="12"/>
  <c r="O846" i="12"/>
  <c r="P845" i="12"/>
  <c r="Q844" i="12"/>
  <c r="R843" i="12"/>
  <c r="S842" i="12"/>
  <c r="N839" i="12"/>
  <c r="O838" i="12"/>
  <c r="P837" i="12"/>
  <c r="Q836" i="12"/>
  <c r="R835" i="12"/>
  <c r="S834" i="12"/>
  <c r="K833" i="12"/>
  <c r="N831" i="12"/>
  <c r="O830" i="12"/>
  <c r="P829" i="12"/>
  <c r="Q828" i="12"/>
  <c r="R827" i="12"/>
  <c r="S826" i="12"/>
  <c r="L824" i="12"/>
  <c r="N823" i="12"/>
  <c r="O822" i="12"/>
  <c r="P821" i="12"/>
  <c r="Q820" i="12"/>
  <c r="R819" i="12"/>
  <c r="S818" i="12"/>
  <c r="N815" i="12"/>
  <c r="O814" i="12"/>
  <c r="P813" i="12"/>
  <c r="Q812" i="12"/>
  <c r="R811" i="12"/>
  <c r="S810" i="12"/>
  <c r="N807" i="12"/>
  <c r="O806" i="12"/>
  <c r="P805" i="12"/>
  <c r="Q804" i="12"/>
  <c r="R803" i="12"/>
  <c r="S802" i="12"/>
  <c r="T801" i="12"/>
  <c r="L800" i="12"/>
  <c r="N799" i="12"/>
  <c r="O798" i="12"/>
  <c r="P797" i="12"/>
  <c r="Q796" i="12"/>
  <c r="R795" i="12"/>
  <c r="S794" i="12"/>
  <c r="N791" i="12"/>
  <c r="O790" i="12"/>
  <c r="P789" i="12"/>
  <c r="Q788" i="12"/>
  <c r="R787" i="12"/>
  <c r="S786" i="12"/>
  <c r="N783" i="12"/>
  <c r="O782" i="12"/>
  <c r="P781" i="12"/>
  <c r="Q780" i="12"/>
  <c r="R779" i="12"/>
  <c r="S778" i="12"/>
  <c r="N775" i="12"/>
  <c r="O774" i="12"/>
  <c r="P773" i="12"/>
  <c r="Q772" i="12"/>
  <c r="R771" i="12"/>
  <c r="S770" i="12"/>
  <c r="K769" i="12"/>
  <c r="N767" i="12"/>
  <c r="O766" i="12"/>
  <c r="P765" i="12"/>
  <c r="Q764" i="12"/>
  <c r="R763" i="12"/>
  <c r="S762" i="12"/>
  <c r="L760" i="12"/>
  <c r="N759" i="12"/>
  <c r="O758" i="12"/>
  <c r="P757" i="12"/>
  <c r="Q756" i="12"/>
  <c r="R755" i="12"/>
  <c r="S754" i="12"/>
  <c r="N751" i="12"/>
  <c r="O750" i="12"/>
  <c r="P749" i="12"/>
  <c r="Q748" i="12"/>
  <c r="R747" i="12"/>
  <c r="S746" i="12"/>
  <c r="N743" i="12"/>
  <c r="O742" i="12"/>
  <c r="P741" i="12"/>
  <c r="Q740" i="12"/>
  <c r="R739" i="12"/>
  <c r="S738" i="12"/>
  <c r="T737" i="12"/>
  <c r="L736" i="12"/>
  <c r="N735" i="12"/>
  <c r="O734" i="12"/>
  <c r="P733" i="12"/>
  <c r="Q732" i="12"/>
  <c r="R731" i="12"/>
  <c r="S730" i="12"/>
  <c r="N727" i="12"/>
  <c r="O726" i="12"/>
  <c r="P725" i="12"/>
  <c r="Q724" i="12"/>
  <c r="R723" i="12"/>
  <c r="S722" i="12"/>
  <c r="N719" i="12"/>
  <c r="O718" i="12"/>
  <c r="P717" i="12"/>
  <c r="Q716" i="12"/>
  <c r="R715" i="12"/>
  <c r="S714" i="12"/>
  <c r="N711" i="12"/>
  <c r="O710" i="12"/>
  <c r="P709" i="12"/>
  <c r="Q708" i="12"/>
  <c r="R707" i="12"/>
  <c r="S706" i="12"/>
  <c r="K705" i="12"/>
  <c r="N703" i="12"/>
  <c r="O702" i="12"/>
  <c r="P701" i="12"/>
  <c r="Q700" i="12"/>
  <c r="R699" i="12"/>
  <c r="S698" i="12"/>
  <c r="L696" i="12"/>
  <c r="N695" i="12"/>
  <c r="O694" i="12"/>
  <c r="P693" i="12"/>
  <c r="Q692" i="12"/>
  <c r="R691" i="12"/>
  <c r="S690" i="12"/>
  <c r="N687" i="12"/>
  <c r="O686" i="12"/>
  <c r="P685" i="12"/>
  <c r="Q684" i="12"/>
  <c r="R683" i="12"/>
  <c r="S682" i="12"/>
  <c r="N679" i="12"/>
  <c r="O678" i="12"/>
  <c r="P677" i="12"/>
  <c r="Q676" i="12"/>
  <c r="R675" i="12"/>
  <c r="S674" i="12"/>
  <c r="T673" i="12"/>
  <c r="L672" i="12"/>
  <c r="N671" i="12"/>
  <c r="O670" i="12"/>
  <c r="P669" i="12"/>
  <c r="Q668" i="12"/>
  <c r="R667" i="12"/>
  <c r="S666" i="12"/>
  <c r="N663" i="12"/>
  <c r="L783" i="12"/>
  <c r="N782" i="12"/>
  <c r="O781" i="12"/>
  <c r="P780" i="12"/>
  <c r="Q779" i="12"/>
  <c r="R778" i="12"/>
  <c r="S777" i="12"/>
  <c r="L775" i="12"/>
  <c r="N774" i="12"/>
  <c r="O773" i="12"/>
  <c r="P772" i="12"/>
  <c r="Q771" i="12"/>
  <c r="R770" i="12"/>
  <c r="T768" i="12"/>
  <c r="L767" i="12"/>
  <c r="N766" i="12"/>
  <c r="O765" i="12"/>
  <c r="P764" i="12"/>
  <c r="Q763" i="12"/>
  <c r="R762" i="12"/>
  <c r="L759" i="12"/>
  <c r="N758" i="12"/>
  <c r="O757" i="12"/>
  <c r="P756" i="12"/>
  <c r="Q755" i="12"/>
  <c r="R754" i="12"/>
  <c r="L751" i="12"/>
  <c r="N750" i="12"/>
  <c r="O749" i="12"/>
  <c r="P748" i="12"/>
  <c r="Q747" i="12"/>
  <c r="R746" i="12"/>
  <c r="T744" i="12"/>
  <c r="L743" i="12"/>
  <c r="N742" i="12"/>
  <c r="O741" i="12"/>
  <c r="P740" i="12"/>
  <c r="Q739" i="12"/>
  <c r="R738" i="12"/>
  <c r="L735" i="12"/>
  <c r="N734" i="12"/>
  <c r="O733" i="12"/>
  <c r="P732" i="12"/>
  <c r="Q731" i="12"/>
  <c r="R730" i="12"/>
  <c r="L727" i="12"/>
  <c r="N726" i="12"/>
  <c r="O725" i="12"/>
  <c r="P724" i="12"/>
  <c r="Q723" i="12"/>
  <c r="R722" i="12"/>
  <c r="L719" i="12"/>
  <c r="N718" i="12"/>
  <c r="O717" i="12"/>
  <c r="P716" i="12"/>
  <c r="Q715" i="12"/>
  <c r="R714" i="12"/>
  <c r="S713" i="12"/>
  <c r="L711" i="12"/>
  <c r="N710" i="12"/>
  <c r="O709" i="12"/>
  <c r="P708" i="12"/>
  <c r="Q707" i="12"/>
  <c r="R706" i="12"/>
  <c r="T704" i="12"/>
  <c r="L703" i="12"/>
  <c r="N702" i="12"/>
  <c r="O701" i="12"/>
  <c r="P700" i="12"/>
  <c r="Q699" i="12"/>
  <c r="R698" i="12"/>
  <c r="L695" i="12"/>
  <c r="N694" i="12"/>
  <c r="O693" i="12"/>
  <c r="P692" i="12"/>
  <c r="Q691" i="12"/>
  <c r="R690" i="12"/>
  <c r="L687" i="12"/>
  <c r="N686" i="12"/>
  <c r="O685" i="12"/>
  <c r="P684" i="12"/>
  <c r="Q683" i="12"/>
  <c r="R682" i="12"/>
  <c r="T680" i="12"/>
  <c r="L679" i="12"/>
  <c r="N678" i="12"/>
  <c r="O677" i="12"/>
  <c r="P676" i="12"/>
  <c r="Q675" i="12"/>
  <c r="R674" i="12"/>
  <c r="L671" i="12"/>
  <c r="N670" i="12"/>
  <c r="O669" i="12"/>
  <c r="P668" i="12"/>
  <c r="Q667" i="12"/>
  <c r="R666" i="12"/>
  <c r="L663" i="12"/>
  <c r="N662" i="12"/>
  <c r="O661" i="12"/>
  <c r="P660" i="12"/>
  <c r="Q659" i="12"/>
  <c r="R658" i="12"/>
  <c r="L655" i="12"/>
  <c r="N654" i="12"/>
  <c r="O653" i="12"/>
  <c r="P652" i="12"/>
  <c r="Q651" i="12"/>
  <c r="R650" i="12"/>
  <c r="S649" i="12"/>
  <c r="L647" i="12"/>
  <c r="N646" i="12"/>
  <c r="O645" i="12"/>
  <c r="P644" i="12"/>
  <c r="Q643" i="12"/>
  <c r="R642" i="12"/>
  <c r="L639" i="12"/>
  <c r="N638" i="12"/>
  <c r="O637" i="12"/>
  <c r="P636" i="12"/>
  <c r="Q635" i="12"/>
  <c r="R634" i="12"/>
  <c r="L631" i="12"/>
  <c r="N630" i="12"/>
  <c r="O629" i="12"/>
  <c r="P628" i="12"/>
  <c r="Q627" i="12"/>
  <c r="R626" i="12"/>
  <c r="L623" i="12"/>
  <c r="N622" i="12"/>
  <c r="O621" i="12"/>
  <c r="P620" i="12"/>
  <c r="Q619" i="12"/>
  <c r="R618" i="12"/>
  <c r="L615" i="12"/>
  <c r="N614" i="12"/>
  <c r="O613" i="12"/>
  <c r="P612" i="12"/>
  <c r="Q611" i="12"/>
  <c r="K608" i="12"/>
  <c r="L607" i="12"/>
  <c r="N606" i="12"/>
  <c r="O605" i="12"/>
  <c r="P604" i="12"/>
  <c r="Q603" i="12"/>
  <c r="R602" i="12"/>
  <c r="L599" i="12"/>
  <c r="N598" i="12"/>
  <c r="O597" i="12"/>
  <c r="P596" i="12"/>
  <c r="Q595" i="12"/>
  <c r="R594" i="12"/>
  <c r="L591" i="12"/>
  <c r="N590" i="12"/>
  <c r="O589" i="12"/>
  <c r="P588" i="12"/>
  <c r="Q587" i="12"/>
  <c r="R586" i="12"/>
  <c r="K584" i="12"/>
  <c r="L583" i="12"/>
  <c r="N582" i="12"/>
  <c r="O581" i="12"/>
  <c r="P580" i="12"/>
  <c r="Q579" i="12"/>
  <c r="R578" i="12"/>
  <c r="L575" i="12"/>
  <c r="N574" i="12"/>
  <c r="O573" i="12"/>
  <c r="P572" i="12"/>
  <c r="Q571" i="12"/>
  <c r="R570" i="12"/>
  <c r="L567" i="12"/>
  <c r="N566" i="12"/>
  <c r="O565" i="12"/>
  <c r="P564" i="12"/>
  <c r="Q563" i="12"/>
  <c r="R562" i="12"/>
  <c r="L559" i="12"/>
  <c r="N558" i="12"/>
  <c r="O557" i="12"/>
  <c r="P556" i="12"/>
  <c r="Q555" i="12"/>
  <c r="R554" i="12"/>
  <c r="L551" i="12"/>
  <c r="N550" i="12"/>
  <c r="O549" i="12"/>
  <c r="P548" i="12"/>
  <c r="Q547" i="12"/>
  <c r="R546" i="12"/>
  <c r="L543" i="12"/>
  <c r="N542" i="12"/>
  <c r="O541" i="12"/>
  <c r="P540" i="12"/>
  <c r="Q539" i="12"/>
  <c r="R538" i="12"/>
  <c r="L535" i="12"/>
  <c r="N534" i="12"/>
  <c r="O533" i="12"/>
  <c r="P532" i="12"/>
  <c r="Q531" i="12"/>
  <c r="R530" i="12"/>
  <c r="L527" i="12"/>
  <c r="N526" i="12"/>
  <c r="O525" i="12"/>
  <c r="P524" i="12"/>
  <c r="Q523" i="12"/>
  <c r="R522" i="12"/>
  <c r="L519" i="12"/>
  <c r="N518" i="12"/>
  <c r="O517" i="12"/>
  <c r="P516" i="12"/>
  <c r="Q515" i="12"/>
  <c r="R514" i="12"/>
  <c r="L511" i="12"/>
  <c r="N510" i="12"/>
  <c r="O509" i="12"/>
  <c r="P508" i="12"/>
  <c r="Q507" i="12"/>
  <c r="R506" i="12"/>
  <c r="L503" i="12"/>
  <c r="N502" i="12"/>
  <c r="O501" i="12"/>
  <c r="P500" i="12"/>
  <c r="Q499" i="12"/>
  <c r="R498" i="12"/>
  <c r="L495" i="12"/>
  <c r="N494" i="12"/>
  <c r="O493" i="12"/>
  <c r="P492" i="12"/>
  <c r="Q491" i="12"/>
  <c r="R490" i="12"/>
  <c r="L487" i="12"/>
  <c r="N486" i="12"/>
  <c r="O485" i="12"/>
  <c r="P484" i="12"/>
  <c r="Q483" i="12"/>
  <c r="R482" i="12"/>
  <c r="L479" i="12"/>
  <c r="N478" i="12"/>
  <c r="O477" i="12"/>
  <c r="P476" i="12"/>
  <c r="Q475" i="12"/>
  <c r="R474" i="12"/>
  <c r="L471" i="12"/>
  <c r="N470" i="12"/>
  <c r="O469" i="12"/>
  <c r="P468" i="12"/>
  <c r="Q467" i="12"/>
  <c r="R466" i="12"/>
  <c r="L463" i="12"/>
  <c r="N462" i="12"/>
  <c r="O461" i="12"/>
  <c r="P460" i="12"/>
  <c r="Q459" i="12"/>
  <c r="R458" i="12"/>
  <c r="L455" i="12"/>
  <c r="N454" i="12"/>
  <c r="O453" i="12"/>
  <c r="P452" i="12"/>
  <c r="Q451" i="12"/>
  <c r="R450" i="12"/>
  <c r="L447" i="12"/>
  <c r="N446" i="12"/>
  <c r="O445" i="12"/>
  <c r="P444" i="12"/>
  <c r="Q443" i="12"/>
  <c r="R442" i="12"/>
  <c r="L439" i="12"/>
  <c r="N438" i="12"/>
  <c r="O437" i="12"/>
  <c r="P436" i="12"/>
  <c r="Q435" i="12"/>
  <c r="R434" i="12"/>
  <c r="L431" i="12"/>
  <c r="N430" i="12"/>
  <c r="O429" i="12"/>
  <c r="P428" i="12"/>
  <c r="Q427" i="12"/>
  <c r="R426" i="12"/>
  <c r="L423" i="12"/>
  <c r="N422" i="12"/>
  <c r="O421" i="12"/>
  <c r="P420" i="12"/>
  <c r="Q419" i="12"/>
  <c r="R418" i="12"/>
  <c r="L415" i="12"/>
  <c r="N414" i="12"/>
  <c r="O413" i="12"/>
  <c r="P412" i="12"/>
  <c r="Q411" i="12"/>
  <c r="R410" i="12"/>
  <c r="L407" i="12"/>
  <c r="N406" i="12"/>
  <c r="O405" i="12"/>
  <c r="P404" i="12"/>
  <c r="Q403" i="12"/>
  <c r="R402" i="12"/>
  <c r="L399" i="12"/>
  <c r="N398" i="12"/>
  <c r="O397" i="12"/>
  <c r="P396" i="12"/>
  <c r="Q395" i="12"/>
  <c r="R394" i="12"/>
  <c r="L391" i="12"/>
  <c r="N390" i="12"/>
  <c r="O389" i="12"/>
  <c r="P388" i="12"/>
  <c r="Q387" i="12"/>
  <c r="R386" i="12"/>
  <c r="L383" i="12"/>
  <c r="N382" i="12"/>
  <c r="O381" i="12"/>
  <c r="P380" i="12"/>
  <c r="Q379" i="12"/>
  <c r="R378" i="12"/>
  <c r="L375" i="12"/>
  <c r="N374" i="12"/>
  <c r="O373" i="12"/>
  <c r="P372" i="12"/>
  <c r="Q371" i="12"/>
  <c r="R370" i="12"/>
  <c r="L367" i="12"/>
  <c r="N366" i="12"/>
  <c r="O365" i="12"/>
  <c r="P364" i="12"/>
  <c r="Q363" i="12"/>
  <c r="R362" i="12"/>
  <c r="L359" i="12"/>
  <c r="N358" i="12"/>
  <c r="O357" i="12"/>
  <c r="P356" i="12"/>
  <c r="Q355" i="12"/>
  <c r="R354" i="12"/>
  <c r="L351" i="12"/>
  <c r="N350" i="12"/>
  <c r="O349" i="12"/>
  <c r="P348" i="12"/>
  <c r="Q1" i="12"/>
  <c r="P5" i="12"/>
  <c r="Q4" i="12"/>
  <c r="R3" i="12"/>
  <c r="S2" i="12"/>
  <c r="T1023" i="12"/>
  <c r="K1023" i="12"/>
  <c r="L1022" i="12"/>
  <c r="N1021" i="12"/>
  <c r="O1020" i="12"/>
  <c r="P1019" i="12"/>
  <c r="Q1018" i="12"/>
  <c r="T1015" i="12"/>
  <c r="M1015" i="12"/>
  <c r="L1014" i="12"/>
  <c r="N1013" i="12"/>
  <c r="O1012" i="12"/>
  <c r="P1011" i="12"/>
  <c r="Q1010" i="12"/>
  <c r="T1007" i="12"/>
  <c r="M1007" i="12"/>
  <c r="L1006" i="12"/>
  <c r="N1005" i="12"/>
  <c r="O1004" i="12"/>
  <c r="P1003" i="12"/>
  <c r="Q1002" i="12"/>
  <c r="T999" i="12"/>
  <c r="M999" i="12"/>
  <c r="K999" i="12"/>
  <c r="L998" i="12"/>
  <c r="N997" i="12"/>
  <c r="O996" i="12"/>
  <c r="P995" i="12"/>
  <c r="Q994" i="12"/>
  <c r="T991" i="12"/>
  <c r="K991" i="12"/>
  <c r="M991" i="12"/>
  <c r="L990" i="12"/>
  <c r="N989" i="12"/>
  <c r="O988" i="12"/>
  <c r="P987" i="12"/>
  <c r="Q986" i="12"/>
  <c r="T983" i="12"/>
  <c r="K983" i="12"/>
  <c r="M983" i="12"/>
  <c r="L982" i="12"/>
  <c r="N981" i="12"/>
  <c r="O980" i="12"/>
  <c r="P979" i="12"/>
  <c r="Q978" i="12"/>
  <c r="T975" i="12"/>
  <c r="K975" i="12"/>
  <c r="M975" i="12"/>
  <c r="L974" i="12"/>
  <c r="N973" i="12"/>
  <c r="O972" i="12"/>
  <c r="P971" i="12"/>
  <c r="Q970" i="12"/>
  <c r="T967" i="12"/>
  <c r="K967" i="12"/>
  <c r="M967" i="12"/>
  <c r="L966" i="12"/>
  <c r="N965" i="12"/>
  <c r="O964" i="12"/>
  <c r="P963" i="12"/>
  <c r="Q962" i="12"/>
  <c r="R961" i="12"/>
  <c r="T959" i="12"/>
  <c r="K959" i="12"/>
  <c r="M959" i="12"/>
  <c r="L958" i="12"/>
  <c r="N957" i="12"/>
  <c r="O956" i="12"/>
  <c r="P955" i="12"/>
  <c r="Q954" i="12"/>
  <c r="S952" i="12"/>
  <c r="T951" i="12"/>
  <c r="K951" i="12"/>
  <c r="M951" i="12"/>
  <c r="L950" i="12"/>
  <c r="N949" i="12"/>
  <c r="O948" i="12"/>
  <c r="P947" i="12"/>
  <c r="Q946" i="12"/>
  <c r="T943" i="12"/>
  <c r="K943" i="12"/>
  <c r="M943" i="12"/>
  <c r="L942" i="12"/>
  <c r="N941" i="12"/>
  <c r="O940" i="12"/>
  <c r="P939" i="12"/>
  <c r="Q938" i="12"/>
  <c r="T935" i="12"/>
  <c r="K935" i="12"/>
  <c r="M935" i="12"/>
  <c r="L934" i="12"/>
  <c r="N933" i="12"/>
  <c r="O932" i="12"/>
  <c r="P931" i="12"/>
  <c r="Q930" i="12"/>
  <c r="M927" i="12"/>
  <c r="K927" i="12"/>
  <c r="L926" i="12"/>
  <c r="N925" i="12"/>
  <c r="O924" i="12"/>
  <c r="P923" i="12"/>
  <c r="Q922" i="12"/>
  <c r="T919" i="12"/>
  <c r="K919" i="12"/>
  <c r="M919" i="12"/>
  <c r="L918" i="12"/>
  <c r="N917" i="12"/>
  <c r="O916" i="12"/>
  <c r="P915" i="12"/>
  <c r="Q914" i="12"/>
  <c r="T911" i="12"/>
  <c r="M911" i="12"/>
  <c r="K911" i="12"/>
  <c r="L910" i="12"/>
  <c r="N909" i="12"/>
  <c r="O908" i="12"/>
  <c r="P907" i="12"/>
  <c r="Q906" i="12"/>
  <c r="T903" i="12"/>
  <c r="M903" i="12"/>
  <c r="K903" i="12"/>
  <c r="L902" i="12"/>
  <c r="N901" i="12"/>
  <c r="O900" i="12"/>
  <c r="P899" i="12"/>
  <c r="Q898" i="12"/>
  <c r="T895" i="12"/>
  <c r="K895" i="12"/>
  <c r="M895" i="12"/>
  <c r="L894" i="12"/>
  <c r="N893" i="12"/>
  <c r="O892" i="12"/>
  <c r="P891" i="12"/>
  <c r="Q890" i="12"/>
  <c r="T887" i="12"/>
  <c r="K887" i="12"/>
  <c r="M887" i="12"/>
  <c r="L886" i="12"/>
  <c r="N885" i="12"/>
  <c r="O884" i="12"/>
  <c r="P883" i="12"/>
  <c r="Q882" i="12"/>
  <c r="R881" i="12"/>
  <c r="T879" i="12"/>
  <c r="K879" i="12"/>
  <c r="M879" i="12"/>
  <c r="L878" i="12"/>
  <c r="N877" i="12"/>
  <c r="O876" i="12"/>
  <c r="P875" i="12"/>
  <c r="Q874" i="12"/>
  <c r="K871" i="12"/>
  <c r="M871" i="12"/>
  <c r="L870" i="12"/>
  <c r="N869" i="12"/>
  <c r="O868" i="12"/>
  <c r="P867" i="12"/>
  <c r="Q866" i="12"/>
  <c r="T863" i="12"/>
  <c r="K863" i="12"/>
  <c r="M863" i="12"/>
  <c r="L862" i="12"/>
  <c r="N861" i="12"/>
  <c r="O860" i="12"/>
  <c r="P859" i="12"/>
  <c r="Q858" i="12"/>
  <c r="T855" i="12"/>
  <c r="K855" i="12"/>
  <c r="M855" i="12"/>
  <c r="L854" i="12"/>
  <c r="N853" i="12"/>
  <c r="O852" i="12"/>
  <c r="P851" i="12"/>
  <c r="Q850" i="12"/>
  <c r="T847" i="12"/>
  <c r="K847" i="12"/>
  <c r="M847" i="12"/>
  <c r="L846" i="12"/>
  <c r="N845" i="12"/>
  <c r="O844" i="12"/>
  <c r="P843" i="12"/>
  <c r="Q842" i="12"/>
  <c r="T839" i="12"/>
  <c r="K839" i="12"/>
  <c r="M839" i="12"/>
  <c r="L838" i="12"/>
  <c r="N837" i="12"/>
  <c r="O836" i="12"/>
  <c r="P835" i="12"/>
  <c r="Q834" i="12"/>
  <c r="T831" i="12"/>
  <c r="M831" i="12"/>
  <c r="K831" i="12"/>
  <c r="L830" i="12"/>
  <c r="N829" i="12"/>
  <c r="O828" i="12"/>
  <c r="P827" i="12"/>
  <c r="Q826" i="12"/>
  <c r="T823" i="12"/>
  <c r="K823" i="12"/>
  <c r="M823" i="12"/>
  <c r="L822" i="12"/>
  <c r="N821" i="12"/>
  <c r="O820" i="12"/>
  <c r="P819" i="12"/>
  <c r="Q818" i="12"/>
  <c r="R817" i="12"/>
  <c r="T815" i="12"/>
  <c r="K815" i="12"/>
  <c r="M815" i="12"/>
  <c r="L814" i="12"/>
  <c r="N813" i="12"/>
  <c r="O812" i="12"/>
  <c r="P811" i="12"/>
  <c r="Q810" i="12"/>
  <c r="T807" i="12"/>
  <c r="K807" i="12"/>
  <c r="M807" i="12"/>
  <c r="L806" i="12"/>
  <c r="N805" i="12"/>
  <c r="O804" i="12"/>
  <c r="P803" i="12"/>
  <c r="Q802" i="12"/>
  <c r="T799" i="12"/>
  <c r="M799" i="12"/>
  <c r="K799" i="12"/>
  <c r="L798" i="12"/>
  <c r="O796" i="12"/>
  <c r="P795" i="12"/>
  <c r="Q794" i="12"/>
  <c r="T791" i="12"/>
  <c r="K791" i="12"/>
  <c r="M791" i="12"/>
  <c r="L790" i="12"/>
  <c r="N789" i="12"/>
  <c r="O788" i="12"/>
  <c r="P787" i="12"/>
  <c r="Q786" i="12"/>
  <c r="T783" i="12"/>
  <c r="K783" i="12"/>
  <c r="M783" i="12"/>
  <c r="L782" i="12"/>
  <c r="N781" i="12"/>
  <c r="O780" i="12"/>
  <c r="P779" i="12"/>
  <c r="Q778" i="12"/>
  <c r="T775" i="12"/>
  <c r="M775" i="12"/>
  <c r="K775" i="12"/>
  <c r="L774" i="12"/>
  <c r="N773" i="12"/>
  <c r="O772" i="12"/>
  <c r="P771" i="12"/>
  <c r="Q770" i="12"/>
  <c r="T767" i="12"/>
  <c r="K767" i="12"/>
  <c r="M767" i="12"/>
  <c r="L766" i="12"/>
  <c r="N765" i="12"/>
  <c r="O764" i="12"/>
  <c r="P763" i="12"/>
  <c r="Q762" i="12"/>
  <c r="T759" i="12"/>
  <c r="K759" i="12"/>
  <c r="M759" i="12"/>
  <c r="L758" i="12"/>
  <c r="N757" i="12"/>
  <c r="O756" i="12"/>
  <c r="P755" i="12"/>
  <c r="Q754" i="12"/>
  <c r="R753" i="12"/>
  <c r="T751" i="12"/>
  <c r="M751" i="12"/>
  <c r="K751" i="12"/>
  <c r="L750" i="12"/>
  <c r="N749" i="12"/>
  <c r="O748" i="12"/>
  <c r="P747" i="12"/>
  <c r="Q746" i="12"/>
  <c r="T743" i="12"/>
  <c r="K743" i="12"/>
  <c r="M743" i="12"/>
  <c r="L742" i="12"/>
  <c r="N741" i="12"/>
  <c r="O740" i="12"/>
  <c r="P739" i="12"/>
  <c r="Q738" i="12"/>
  <c r="T735" i="12"/>
  <c r="K735" i="12"/>
  <c r="M735" i="12"/>
  <c r="L734" i="12"/>
  <c r="N733" i="12"/>
  <c r="O732" i="12"/>
  <c r="P731" i="12"/>
  <c r="Q730" i="12"/>
  <c r="T727" i="12"/>
  <c r="K727" i="12"/>
  <c r="M727" i="12"/>
  <c r="L726" i="12"/>
  <c r="N725" i="12"/>
  <c r="O724" i="12"/>
  <c r="P723" i="12"/>
  <c r="Q722" i="12"/>
  <c r="T719" i="12"/>
  <c r="M719" i="12"/>
  <c r="K719" i="12"/>
  <c r="L718" i="12"/>
  <c r="N717" i="12"/>
  <c r="O716" i="12"/>
  <c r="P715" i="12"/>
  <c r="Q714" i="12"/>
  <c r="T711" i="12"/>
  <c r="K711" i="12"/>
  <c r="M711" i="12"/>
  <c r="L710" i="12"/>
  <c r="N709" i="12"/>
  <c r="O708" i="12"/>
  <c r="P707" i="12"/>
  <c r="Q706" i="12"/>
  <c r="T703" i="12"/>
  <c r="K703" i="12"/>
  <c r="M703" i="12"/>
  <c r="L702" i="12"/>
  <c r="N701" i="12"/>
  <c r="O700" i="12"/>
  <c r="P699" i="12"/>
  <c r="Q698" i="12"/>
  <c r="T695" i="12"/>
  <c r="M695" i="12"/>
  <c r="K695" i="12"/>
  <c r="L694" i="12"/>
  <c r="N693" i="12"/>
  <c r="O692" i="12"/>
  <c r="P691" i="12"/>
  <c r="Q690" i="12"/>
  <c r="R689" i="12"/>
  <c r="T687" i="12"/>
  <c r="K687" i="12"/>
  <c r="M687" i="12"/>
  <c r="L686" i="12"/>
  <c r="N685" i="12"/>
  <c r="O684" i="12"/>
  <c r="P683" i="12"/>
  <c r="Q682" i="12"/>
  <c r="T679" i="12"/>
  <c r="K679" i="12"/>
  <c r="M679" i="12"/>
  <c r="L678" i="12"/>
  <c r="N677" i="12"/>
  <c r="O676" i="12"/>
  <c r="P675" i="12"/>
  <c r="Q674" i="12"/>
  <c r="T671" i="12"/>
  <c r="K671" i="12"/>
  <c r="M671" i="12"/>
  <c r="L670" i="12"/>
  <c r="N669" i="12"/>
  <c r="O668" i="12"/>
  <c r="P667" i="12"/>
  <c r="Q666" i="12"/>
  <c r="T663" i="12"/>
  <c r="M663" i="12"/>
  <c r="K663" i="12"/>
  <c r="L662" i="12"/>
  <c r="N661" i="12"/>
  <c r="M559" i="12"/>
  <c r="R1" i="12"/>
  <c r="O5" i="12"/>
  <c r="P4" i="12"/>
  <c r="Q3" i="12"/>
  <c r="R2" i="12"/>
  <c r="S1023" i="12"/>
  <c r="T1022" i="12"/>
  <c r="K1022" i="12"/>
  <c r="M1022" i="12"/>
  <c r="L1021" i="12"/>
  <c r="N1020" i="12"/>
  <c r="O1019" i="12"/>
  <c r="P1018" i="12"/>
  <c r="R1016" i="12"/>
  <c r="S1015" i="12"/>
  <c r="T1014" i="12"/>
  <c r="K1014" i="12"/>
  <c r="M1014" i="12"/>
  <c r="L1013" i="12"/>
  <c r="N1012" i="12"/>
  <c r="O1011" i="12"/>
  <c r="P1010" i="12"/>
  <c r="R1008" i="12"/>
  <c r="S1007" i="12"/>
  <c r="K1006" i="12"/>
  <c r="M1006" i="12"/>
  <c r="L1005" i="12"/>
  <c r="N1004" i="12"/>
  <c r="O1003" i="12"/>
  <c r="P1002" i="12"/>
  <c r="R1000" i="12"/>
  <c r="S999" i="12"/>
  <c r="K998" i="12"/>
  <c r="M998" i="12"/>
  <c r="L997" i="12"/>
  <c r="N996" i="12"/>
  <c r="O995" i="12"/>
  <c r="P994" i="12"/>
  <c r="R992" i="12"/>
  <c r="S991" i="12"/>
  <c r="T990" i="12"/>
  <c r="M990" i="12"/>
  <c r="K990" i="12"/>
  <c r="L989" i="12"/>
  <c r="N988" i="12"/>
  <c r="O987" i="12"/>
  <c r="P986" i="12"/>
  <c r="R984" i="12"/>
  <c r="S983" i="12"/>
  <c r="T982" i="12"/>
  <c r="M982" i="12"/>
  <c r="K982" i="12"/>
  <c r="L981" i="12"/>
  <c r="N980" i="12"/>
  <c r="O979" i="12"/>
  <c r="P978" i="12"/>
  <c r="S975" i="12"/>
  <c r="T974" i="12"/>
  <c r="K974" i="12"/>
  <c r="M974" i="12"/>
  <c r="L973" i="12"/>
  <c r="N972" i="12"/>
  <c r="O971" i="12"/>
  <c r="P970" i="12"/>
  <c r="S967" i="12"/>
  <c r="T966" i="12"/>
  <c r="K966" i="12"/>
  <c r="M966" i="12"/>
  <c r="L965" i="12"/>
  <c r="N964" i="12"/>
  <c r="O963" i="12"/>
  <c r="P962" i="12"/>
  <c r="S959" i="12"/>
  <c r="T958" i="12"/>
  <c r="K958" i="12"/>
  <c r="M958" i="12"/>
  <c r="L957" i="12"/>
  <c r="N956" i="12"/>
  <c r="O955" i="12"/>
  <c r="P954" i="12"/>
  <c r="S951" i="12"/>
  <c r="T950" i="12"/>
  <c r="K950" i="12"/>
  <c r="L949" i="12"/>
  <c r="N948" i="12"/>
  <c r="O947" i="12"/>
  <c r="P946" i="12"/>
  <c r="S943" i="12"/>
  <c r="T942" i="12"/>
  <c r="K942" i="12"/>
  <c r="M942" i="12"/>
  <c r="L941" i="12"/>
  <c r="N940" i="12"/>
  <c r="O939" i="12"/>
  <c r="P938" i="12"/>
  <c r="S935" i="12"/>
  <c r="T934" i="12"/>
  <c r="K934" i="12"/>
  <c r="M934" i="12"/>
  <c r="L933" i="12"/>
  <c r="N932" i="12"/>
  <c r="O931" i="12"/>
  <c r="P930" i="12"/>
  <c r="T926" i="12"/>
  <c r="M926" i="12"/>
  <c r="K926" i="12"/>
  <c r="L925" i="12"/>
  <c r="N924" i="12"/>
  <c r="O923" i="12"/>
  <c r="P922" i="12"/>
  <c r="S919" i="12"/>
  <c r="T918" i="12"/>
  <c r="K918" i="12"/>
  <c r="M918" i="12"/>
  <c r="L917" i="12"/>
  <c r="N916" i="12"/>
  <c r="O915" i="12"/>
  <c r="P914" i="12"/>
  <c r="S911" i="12"/>
  <c r="T910" i="12"/>
  <c r="K910" i="12"/>
  <c r="M910" i="12"/>
  <c r="L909" i="12"/>
  <c r="N908" i="12"/>
  <c r="O907" i="12"/>
  <c r="P906" i="12"/>
  <c r="S903" i="12"/>
  <c r="T902" i="12"/>
  <c r="K902" i="12"/>
  <c r="M902" i="12"/>
  <c r="L901" i="12"/>
  <c r="N900" i="12"/>
  <c r="O899" i="12"/>
  <c r="P898" i="12"/>
  <c r="S895" i="12"/>
  <c r="T894" i="12"/>
  <c r="K894" i="12"/>
  <c r="M894" i="12"/>
  <c r="L893" i="12"/>
  <c r="N892" i="12"/>
  <c r="O891" i="12"/>
  <c r="P890" i="12"/>
  <c r="S887" i="12"/>
  <c r="T886" i="12"/>
  <c r="K886" i="12"/>
  <c r="M886" i="12"/>
  <c r="L885" i="12"/>
  <c r="N884" i="12"/>
  <c r="O883" i="12"/>
  <c r="P882" i="12"/>
  <c r="S879" i="12"/>
  <c r="T878" i="12"/>
  <c r="M878" i="12"/>
  <c r="K878" i="12"/>
  <c r="L877" i="12"/>
  <c r="N876" i="12"/>
  <c r="O875" i="12"/>
  <c r="P874" i="12"/>
  <c r="S871" i="12"/>
  <c r="T870" i="12"/>
  <c r="K870" i="12"/>
  <c r="M870" i="12"/>
  <c r="L869" i="12"/>
  <c r="N868" i="12"/>
  <c r="O867" i="12"/>
  <c r="P866" i="12"/>
  <c r="S863" i="12"/>
  <c r="T862" i="12"/>
  <c r="K862" i="12"/>
  <c r="M862" i="12"/>
  <c r="L861" i="12"/>
  <c r="N860" i="12"/>
  <c r="O859" i="12"/>
  <c r="P858" i="12"/>
  <c r="S855" i="12"/>
  <c r="T854" i="12"/>
  <c r="K854" i="12"/>
  <c r="M854" i="12"/>
  <c r="L853" i="12"/>
  <c r="N852" i="12"/>
  <c r="O851" i="12"/>
  <c r="P850" i="12"/>
  <c r="S847" i="12"/>
  <c r="T846" i="12"/>
  <c r="M846" i="12"/>
  <c r="K846" i="12"/>
  <c r="L845" i="12"/>
  <c r="N844" i="12"/>
  <c r="O843" i="12"/>
  <c r="P842" i="12"/>
  <c r="S839" i="12"/>
  <c r="T838" i="12"/>
  <c r="K838" i="12"/>
  <c r="M838" i="12"/>
  <c r="L837" i="12"/>
  <c r="N836" i="12"/>
  <c r="O835" i="12"/>
  <c r="P834" i="12"/>
  <c r="S831" i="12"/>
  <c r="T830" i="12"/>
  <c r="K830" i="12"/>
  <c r="M830" i="12"/>
  <c r="L829" i="12"/>
  <c r="N828" i="12"/>
  <c r="O827" i="12"/>
  <c r="P826" i="12"/>
  <c r="S823" i="12"/>
  <c r="T822" i="12"/>
  <c r="M822" i="12"/>
  <c r="K822" i="12"/>
  <c r="L821" i="12"/>
  <c r="N820" i="12"/>
  <c r="O819" i="12"/>
  <c r="P818" i="12"/>
  <c r="S815" i="12"/>
  <c r="T814" i="12"/>
  <c r="K814" i="12"/>
  <c r="M814" i="12"/>
  <c r="L813" i="12"/>
  <c r="N812" i="12"/>
  <c r="O811" i="12"/>
  <c r="P810" i="12"/>
  <c r="S807" i="12"/>
  <c r="T806" i="12"/>
  <c r="K806" i="12"/>
  <c r="M806" i="12"/>
  <c r="L805" i="12"/>
  <c r="N804" i="12"/>
  <c r="O803" i="12"/>
  <c r="P802" i="12"/>
  <c r="S799" i="12"/>
  <c r="T798" i="12"/>
  <c r="K798" i="12"/>
  <c r="M798" i="12"/>
  <c r="L797" i="12"/>
  <c r="N796" i="12"/>
  <c r="O795" i="12"/>
  <c r="P794" i="12"/>
  <c r="S791" i="12"/>
  <c r="T790" i="12"/>
  <c r="K790" i="12"/>
  <c r="M790" i="12"/>
  <c r="L789" i="12"/>
  <c r="N788" i="12"/>
  <c r="O787" i="12"/>
  <c r="P786" i="12"/>
  <c r="S783" i="12"/>
  <c r="T782" i="12"/>
  <c r="K782" i="12"/>
  <c r="M782" i="12"/>
  <c r="L781" i="12"/>
  <c r="N780" i="12"/>
  <c r="O779" i="12"/>
  <c r="P778" i="12"/>
  <c r="S775" i="12"/>
  <c r="T774" i="12"/>
  <c r="K774" i="12"/>
  <c r="M774" i="12"/>
  <c r="L773" i="12"/>
  <c r="N772" i="12"/>
  <c r="O771" i="12"/>
  <c r="P770" i="12"/>
  <c r="S767" i="12"/>
  <c r="T766" i="12"/>
  <c r="M766" i="12"/>
  <c r="K766" i="12"/>
  <c r="L765" i="12"/>
  <c r="N764" i="12"/>
  <c r="O763" i="12"/>
  <c r="P762" i="12"/>
  <c r="S759" i="12"/>
  <c r="T758" i="12"/>
  <c r="K758" i="12"/>
  <c r="M758" i="12"/>
  <c r="L757" i="12"/>
  <c r="N756" i="12"/>
  <c r="O755" i="12"/>
  <c r="P754" i="12"/>
  <c r="S751" i="12"/>
  <c r="T750" i="12"/>
  <c r="K750" i="12"/>
  <c r="M750" i="12"/>
  <c r="L749" i="12"/>
  <c r="N748" i="12"/>
  <c r="O747" i="12"/>
  <c r="P746" i="12"/>
  <c r="S743" i="12"/>
  <c r="T742" i="12"/>
  <c r="M742" i="12"/>
  <c r="K742" i="12"/>
  <c r="L741" i="12"/>
  <c r="N740" i="12"/>
  <c r="O739" i="12"/>
  <c r="P738" i="12"/>
  <c r="S735" i="12"/>
  <c r="T734" i="12"/>
  <c r="K734" i="12"/>
  <c r="M734" i="12"/>
  <c r="L733" i="12"/>
  <c r="N732" i="12"/>
  <c r="O731" i="12"/>
  <c r="P730" i="12"/>
  <c r="S727" i="12"/>
  <c r="T726" i="12"/>
  <c r="K726" i="12"/>
  <c r="M726" i="12"/>
  <c r="L725" i="12"/>
  <c r="N724" i="12"/>
  <c r="O723" i="12"/>
  <c r="P722" i="12"/>
  <c r="S719" i="12"/>
  <c r="T718" i="12"/>
  <c r="K718" i="12"/>
  <c r="L717" i="12"/>
  <c r="N716" i="12"/>
  <c r="O715" i="12"/>
  <c r="P714" i="12"/>
  <c r="S711" i="12"/>
  <c r="T710" i="12"/>
  <c r="K710" i="12"/>
  <c r="M710" i="12"/>
  <c r="L709" i="12"/>
  <c r="N708" i="12"/>
  <c r="O707" i="12"/>
  <c r="P706" i="12"/>
  <c r="S703" i="12"/>
  <c r="T702" i="12"/>
  <c r="K702" i="12"/>
  <c r="M702" i="12"/>
  <c r="L701" i="12"/>
  <c r="N700" i="12"/>
  <c r="O699" i="12"/>
  <c r="P698" i="12"/>
  <c r="S695" i="12"/>
  <c r="T694" i="12"/>
  <c r="K694" i="12"/>
  <c r="M694" i="12"/>
  <c r="L693" i="12"/>
  <c r="N692" i="12"/>
  <c r="O691" i="12"/>
  <c r="P690" i="12"/>
  <c r="S687" i="12"/>
  <c r="T686" i="12"/>
  <c r="M686" i="12"/>
  <c r="K686" i="12"/>
  <c r="L685" i="12"/>
  <c r="N684" i="12"/>
  <c r="O683" i="12"/>
  <c r="P682" i="12"/>
  <c r="S679" i="12"/>
  <c r="T678" i="12"/>
  <c r="K678" i="12"/>
  <c r="M678" i="12"/>
  <c r="L677" i="12"/>
  <c r="N676" i="12"/>
  <c r="O675" i="12"/>
  <c r="P674" i="12"/>
  <c r="S671" i="12"/>
  <c r="T670" i="12"/>
  <c r="K670" i="12"/>
  <c r="M670" i="12"/>
  <c r="L669" i="12"/>
  <c r="N668" i="12"/>
  <c r="O667" i="12"/>
  <c r="P666" i="12"/>
  <c r="S663" i="12"/>
  <c r="T662" i="12"/>
  <c r="K662" i="12"/>
  <c r="M662" i="12"/>
  <c r="L661" i="12"/>
  <c r="N660" i="12"/>
  <c r="O659" i="12"/>
  <c r="P658" i="12"/>
  <c r="S655" i="12"/>
  <c r="T654" i="12"/>
  <c r="M654" i="12"/>
  <c r="K654" i="12"/>
  <c r="L653" i="12"/>
  <c r="N652" i="12"/>
  <c r="O651" i="12"/>
  <c r="P650" i="12"/>
  <c r="S647" i="12"/>
  <c r="T646" i="12"/>
  <c r="K646" i="12"/>
  <c r="M646" i="12"/>
  <c r="L645" i="12"/>
  <c r="N644" i="12"/>
  <c r="O643" i="12"/>
  <c r="P642" i="12"/>
  <c r="S639" i="12"/>
  <c r="T638" i="12"/>
  <c r="K638" i="12"/>
  <c r="M638" i="12"/>
  <c r="L637" i="12"/>
  <c r="N636" i="12"/>
  <c r="O635" i="12"/>
  <c r="P634" i="12"/>
  <c r="S631" i="12"/>
  <c r="T630" i="12"/>
  <c r="M630" i="12"/>
  <c r="K630" i="12"/>
  <c r="L629" i="12"/>
  <c r="N628" i="12"/>
  <c r="O627" i="12"/>
  <c r="O662" i="12"/>
  <c r="P661" i="12"/>
  <c r="Q660" i="12"/>
  <c r="R659" i="12"/>
  <c r="S658" i="12"/>
  <c r="N655" i="12"/>
  <c r="O654" i="12"/>
  <c r="P653" i="12"/>
  <c r="Q652" i="12"/>
  <c r="R651" i="12"/>
  <c r="S650" i="12"/>
  <c r="N647" i="12"/>
  <c r="O646" i="12"/>
  <c r="P645" i="12"/>
  <c r="Q644" i="12"/>
  <c r="R643" i="12"/>
  <c r="S642" i="12"/>
  <c r="N639" i="12"/>
  <c r="O638" i="12"/>
  <c r="P637" i="12"/>
  <c r="Q636" i="12"/>
  <c r="R635" i="12"/>
  <c r="S634" i="12"/>
  <c r="N631" i="12"/>
  <c r="O630" i="12"/>
  <c r="P629" i="12"/>
  <c r="Q628" i="12"/>
  <c r="R627" i="12"/>
  <c r="S626" i="12"/>
  <c r="N623" i="12"/>
  <c r="O622" i="12"/>
  <c r="P621" i="12"/>
  <c r="Q620" i="12"/>
  <c r="R619" i="12"/>
  <c r="S618" i="12"/>
  <c r="N615" i="12"/>
  <c r="O614" i="12"/>
  <c r="P613" i="12"/>
  <c r="Q612" i="12"/>
  <c r="R611" i="12"/>
  <c r="S610" i="12"/>
  <c r="N607" i="12"/>
  <c r="O606" i="12"/>
  <c r="P605" i="12"/>
  <c r="Q604" i="12"/>
  <c r="R603" i="12"/>
  <c r="S602" i="12"/>
  <c r="N599" i="12"/>
  <c r="O598" i="12"/>
  <c r="P597" i="12"/>
  <c r="Q596" i="12"/>
  <c r="R595" i="12"/>
  <c r="S594" i="12"/>
  <c r="N591" i="12"/>
  <c r="O590" i="12"/>
  <c r="P589" i="12"/>
  <c r="Q588" i="12"/>
  <c r="R587" i="12"/>
  <c r="S586" i="12"/>
  <c r="N583" i="12"/>
  <c r="O582" i="12"/>
  <c r="P581" i="12"/>
  <c r="Q580" i="12"/>
  <c r="R579" i="12"/>
  <c r="S578" i="12"/>
  <c r="N575" i="12"/>
  <c r="O574" i="12"/>
  <c r="P573" i="12"/>
  <c r="Q572" i="12"/>
  <c r="R571" i="12"/>
  <c r="S570" i="12"/>
  <c r="N567" i="12"/>
  <c r="O566" i="12"/>
  <c r="P565" i="12"/>
  <c r="Q564" i="12"/>
  <c r="R563" i="12"/>
  <c r="S562" i="12"/>
  <c r="N559" i="12"/>
  <c r="O558" i="12"/>
  <c r="P557" i="12"/>
  <c r="Q556" i="12"/>
  <c r="R555" i="12"/>
  <c r="S554" i="12"/>
  <c r="N551" i="12"/>
  <c r="O550" i="12"/>
  <c r="P549" i="12"/>
  <c r="Q548" i="12"/>
  <c r="R547" i="12"/>
  <c r="S546" i="12"/>
  <c r="N543" i="12"/>
  <c r="O542" i="12"/>
  <c r="P541" i="12"/>
  <c r="Q540" i="12"/>
  <c r="R539" i="12"/>
  <c r="S538" i="12"/>
  <c r="N535" i="12"/>
  <c r="O534" i="12"/>
  <c r="P533" i="12"/>
  <c r="Q532" i="12"/>
  <c r="R531" i="12"/>
  <c r="S530" i="12"/>
  <c r="N527" i="12"/>
  <c r="O526" i="12"/>
  <c r="P525" i="12"/>
  <c r="Q524" i="12"/>
  <c r="R523" i="12"/>
  <c r="S522" i="12"/>
  <c r="N519" i="12"/>
  <c r="O518" i="12"/>
  <c r="P517" i="12"/>
  <c r="Q516" i="12"/>
  <c r="R515" i="12"/>
  <c r="S514" i="12"/>
  <c r="N511" i="12"/>
  <c r="O510" i="12"/>
  <c r="P509" i="12"/>
  <c r="Q508" i="12"/>
  <c r="R507" i="12"/>
  <c r="S506" i="12"/>
  <c r="N503" i="12"/>
  <c r="O502" i="12"/>
  <c r="P501" i="12"/>
  <c r="Q500" i="12"/>
  <c r="R499" i="12"/>
  <c r="S498" i="12"/>
  <c r="N495" i="12"/>
  <c r="O494" i="12"/>
  <c r="P493" i="12"/>
  <c r="Q492" i="12"/>
  <c r="R491" i="12"/>
  <c r="S490" i="12"/>
  <c r="N487" i="12"/>
  <c r="O486" i="12"/>
  <c r="P485" i="12"/>
  <c r="Q484" i="12"/>
  <c r="R483" i="12"/>
  <c r="S482" i="12"/>
  <c r="N479" i="12"/>
  <c r="O478" i="12"/>
  <c r="P477" i="12"/>
  <c r="Q476" i="12"/>
  <c r="R475" i="12"/>
  <c r="S474" i="12"/>
  <c r="N471" i="12"/>
  <c r="O470" i="12"/>
  <c r="P469" i="12"/>
  <c r="Q468" i="12"/>
  <c r="R467" i="12"/>
  <c r="S466" i="12"/>
  <c r="N463" i="12"/>
  <c r="O462" i="12"/>
  <c r="P461" i="12"/>
  <c r="Q460" i="12"/>
  <c r="R459" i="12"/>
  <c r="S458" i="12"/>
  <c r="N455" i="12"/>
  <c r="O454" i="12"/>
  <c r="P453" i="12"/>
  <c r="Q452" i="12"/>
  <c r="R451" i="12"/>
  <c r="S450" i="12"/>
  <c r="N447" i="12"/>
  <c r="O446" i="12"/>
  <c r="P445" i="12"/>
  <c r="Q444" i="12"/>
  <c r="R443" i="12"/>
  <c r="S442" i="12"/>
  <c r="N439" i="12"/>
  <c r="O438" i="12"/>
  <c r="P437" i="12"/>
  <c r="Q436" i="12"/>
  <c r="R435" i="12"/>
  <c r="S434" i="12"/>
  <c r="T433" i="12"/>
  <c r="N431" i="12"/>
  <c r="O430" i="12"/>
  <c r="P429" i="12"/>
  <c r="Q428" i="12"/>
  <c r="R427" i="12"/>
  <c r="S426" i="12"/>
  <c r="N423" i="12"/>
  <c r="O422" i="12"/>
  <c r="P421" i="12"/>
  <c r="Q420" i="12"/>
  <c r="R419" i="12"/>
  <c r="S418" i="12"/>
  <c r="L416" i="12"/>
  <c r="N415" i="12"/>
  <c r="O414" i="12"/>
  <c r="P413" i="12"/>
  <c r="Q412" i="12"/>
  <c r="R411" i="12"/>
  <c r="S410" i="12"/>
  <c r="L408" i="12"/>
  <c r="N407" i="12"/>
  <c r="O406" i="12"/>
  <c r="P405" i="12"/>
  <c r="Q404" i="12"/>
  <c r="R403" i="12"/>
  <c r="S402" i="12"/>
  <c r="N399" i="12"/>
  <c r="O398" i="12"/>
  <c r="P397" i="12"/>
  <c r="Q396" i="12"/>
  <c r="R395" i="12"/>
  <c r="S394" i="12"/>
  <c r="N391" i="12"/>
  <c r="O390" i="12"/>
  <c r="P389" i="12"/>
  <c r="Q388" i="12"/>
  <c r="R387" i="12"/>
  <c r="S386" i="12"/>
  <c r="N383" i="12"/>
  <c r="O382" i="12"/>
  <c r="P381" i="12"/>
  <c r="Q380" i="12"/>
  <c r="R379" i="12"/>
  <c r="S378" i="12"/>
  <c r="N375" i="12"/>
  <c r="O374" i="12"/>
  <c r="P373" i="12"/>
  <c r="Q372" i="12"/>
  <c r="R371" i="12"/>
  <c r="S370" i="12"/>
  <c r="N367" i="12"/>
  <c r="O366" i="12"/>
  <c r="P365" i="12"/>
  <c r="Q364" i="12"/>
  <c r="R363" i="12"/>
  <c r="S362" i="12"/>
  <c r="N359" i="12"/>
  <c r="O358" i="12"/>
  <c r="P357" i="12"/>
  <c r="Q356" i="12"/>
  <c r="R355" i="12"/>
  <c r="S354" i="12"/>
  <c r="N351" i="12"/>
  <c r="O350" i="12"/>
  <c r="P349" i="12"/>
  <c r="Q348" i="12"/>
  <c r="R347" i="12"/>
  <c r="S346" i="12"/>
  <c r="N343" i="12"/>
  <c r="O342" i="12"/>
  <c r="P341" i="12"/>
  <c r="Q340" i="12"/>
  <c r="R339" i="12"/>
  <c r="S338" i="12"/>
  <c r="N335" i="12"/>
  <c r="O334" i="12"/>
  <c r="P333" i="12"/>
  <c r="Q332" i="12"/>
  <c r="R331" i="12"/>
  <c r="S330" i="12"/>
  <c r="N327" i="12"/>
  <c r="O326" i="12"/>
  <c r="P325" i="12"/>
  <c r="Q324" i="12"/>
  <c r="R323" i="12"/>
  <c r="S322" i="12"/>
  <c r="N319" i="12"/>
  <c r="O318" i="12"/>
  <c r="P317" i="12"/>
  <c r="Q316" i="12"/>
  <c r="R315" i="12"/>
  <c r="S314" i="12"/>
  <c r="N311" i="12"/>
  <c r="O310" i="12"/>
  <c r="P309" i="12"/>
  <c r="Q308" i="12"/>
  <c r="R307" i="12"/>
  <c r="S306" i="12"/>
  <c r="N303" i="12"/>
  <c r="O302" i="12"/>
  <c r="P301" i="12"/>
  <c r="Q300" i="12"/>
  <c r="R299" i="12"/>
  <c r="S298" i="12"/>
  <c r="N295" i="12"/>
  <c r="O294" i="12"/>
  <c r="P293" i="12"/>
  <c r="Q292" i="12"/>
  <c r="R291" i="12"/>
  <c r="S290" i="12"/>
  <c r="N287" i="12"/>
  <c r="O286" i="12"/>
  <c r="P285" i="12"/>
  <c r="Q284" i="12"/>
  <c r="R283" i="12"/>
  <c r="S282" i="12"/>
  <c r="N279" i="12"/>
  <c r="O278" i="12"/>
  <c r="P277" i="12"/>
  <c r="Q276" i="12"/>
  <c r="R275" i="12"/>
  <c r="S274" i="12"/>
  <c r="N271" i="12"/>
  <c r="O270" i="12"/>
  <c r="P269" i="12"/>
  <c r="Q268" i="12"/>
  <c r="R267" i="12"/>
  <c r="S266" i="12"/>
  <c r="N263" i="12"/>
  <c r="O262" i="12"/>
  <c r="P261" i="12"/>
  <c r="Q260" i="12"/>
  <c r="R259" i="12"/>
  <c r="S258" i="12"/>
  <c r="N255" i="12"/>
  <c r="O254" i="12"/>
  <c r="P253" i="12"/>
  <c r="Q252" i="12"/>
  <c r="R251" i="12"/>
  <c r="S250" i="12"/>
  <c r="N247" i="12"/>
  <c r="Q347" i="12"/>
  <c r="R346" i="12"/>
  <c r="L343" i="12"/>
  <c r="N342" i="12"/>
  <c r="O341" i="12"/>
  <c r="P340" i="12"/>
  <c r="Q339" i="12"/>
  <c r="R338" i="12"/>
  <c r="L335" i="12"/>
  <c r="N334" i="12"/>
  <c r="O333" i="12"/>
  <c r="P332" i="12"/>
  <c r="Q331" i="12"/>
  <c r="R330" i="12"/>
  <c r="L327" i="12"/>
  <c r="N326" i="12"/>
  <c r="O325" i="12"/>
  <c r="P324" i="12"/>
  <c r="Q323" i="12"/>
  <c r="R322" i="12"/>
  <c r="L319" i="12"/>
  <c r="N318" i="12"/>
  <c r="O317" i="12"/>
  <c r="P316" i="12"/>
  <c r="Q315" i="12"/>
  <c r="R314" i="12"/>
  <c r="L311" i="12"/>
  <c r="N310" i="12"/>
  <c r="O309" i="12"/>
  <c r="P308" i="12"/>
  <c r="Q307" i="12"/>
  <c r="R306" i="12"/>
  <c r="L303" i="12"/>
  <c r="N302" i="12"/>
  <c r="O301" i="12"/>
  <c r="P300" i="12"/>
  <c r="Q299" i="12"/>
  <c r="R298" i="12"/>
  <c r="L295" i="12"/>
  <c r="N294" i="12"/>
  <c r="O293" i="12"/>
  <c r="P292" i="12"/>
  <c r="Q291" i="12"/>
  <c r="R290" i="12"/>
  <c r="L287" i="12"/>
  <c r="N286" i="12"/>
  <c r="O285" i="12"/>
  <c r="P284" i="12"/>
  <c r="Q283" i="12"/>
  <c r="R282" i="12"/>
  <c r="L279" i="12"/>
  <c r="N278" i="12"/>
  <c r="O277" i="12"/>
  <c r="P276" i="12"/>
  <c r="Q275" i="12"/>
  <c r="R274" i="12"/>
  <c r="L271" i="12"/>
  <c r="N270" i="12"/>
  <c r="O269" i="12"/>
  <c r="P268" i="12"/>
  <c r="Q267" i="12"/>
  <c r="R266" i="12"/>
  <c r="L263" i="12"/>
  <c r="N262" i="12"/>
  <c r="O261" i="12"/>
  <c r="P260" i="12"/>
  <c r="Q259" i="12"/>
  <c r="R258" i="12"/>
  <c r="L255" i="12"/>
  <c r="N254" i="12"/>
  <c r="O253" i="12"/>
  <c r="P252" i="12"/>
  <c r="Q251" i="12"/>
  <c r="R250" i="12"/>
  <c r="L247" i="12"/>
  <c r="N246" i="12"/>
  <c r="O245" i="12"/>
  <c r="P244" i="12"/>
  <c r="Q243" i="12"/>
  <c r="R242" i="12"/>
  <c r="L239" i="12"/>
  <c r="N238" i="12"/>
  <c r="O237" i="12"/>
  <c r="P236" i="12"/>
  <c r="Q235" i="12"/>
  <c r="R234" i="12"/>
  <c r="L231" i="12"/>
  <c r="N230" i="12"/>
  <c r="O229" i="12"/>
  <c r="P228" i="12"/>
  <c r="Q227" i="12"/>
  <c r="R226" i="12"/>
  <c r="L223" i="12"/>
  <c r="N222" i="12"/>
  <c r="O221" i="12"/>
  <c r="P220" i="12"/>
  <c r="Q219" i="12"/>
  <c r="R218" i="12"/>
  <c r="T216" i="12"/>
  <c r="L215" i="12"/>
  <c r="N214" i="12"/>
  <c r="O213" i="12"/>
  <c r="P212" i="12"/>
  <c r="Q211" i="12"/>
  <c r="R210" i="12"/>
  <c r="O660" i="12"/>
  <c r="P659" i="12"/>
  <c r="Q658" i="12"/>
  <c r="T655" i="12"/>
  <c r="M655" i="12"/>
  <c r="K655" i="12"/>
  <c r="L654" i="12"/>
  <c r="N653" i="12"/>
  <c r="O652" i="12"/>
  <c r="P651" i="12"/>
  <c r="Q650" i="12"/>
  <c r="T647" i="12"/>
  <c r="K647" i="12"/>
  <c r="M647" i="12"/>
  <c r="L646" i="12"/>
  <c r="N645" i="12"/>
  <c r="O644" i="12"/>
  <c r="P643" i="12"/>
  <c r="Q642" i="12"/>
  <c r="T639" i="12"/>
  <c r="M639" i="12"/>
  <c r="K639" i="12"/>
  <c r="L638" i="12"/>
  <c r="N637" i="12"/>
  <c r="O636" i="12"/>
  <c r="P635" i="12"/>
  <c r="Q634" i="12"/>
  <c r="T631" i="12"/>
  <c r="K631" i="12"/>
  <c r="M631" i="12"/>
  <c r="L630" i="12"/>
  <c r="N629" i="12"/>
  <c r="O628" i="12"/>
  <c r="P627" i="12"/>
  <c r="Q626" i="12"/>
  <c r="T623" i="12"/>
  <c r="K623" i="12"/>
  <c r="M623" i="12"/>
  <c r="L622" i="12"/>
  <c r="N621" i="12"/>
  <c r="O620" i="12"/>
  <c r="P619" i="12"/>
  <c r="Q618" i="12"/>
  <c r="T615" i="12"/>
  <c r="K615" i="12"/>
  <c r="M615" i="12"/>
  <c r="L614" i="12"/>
  <c r="N613" i="12"/>
  <c r="O612" i="12"/>
  <c r="P611" i="12"/>
  <c r="Q610" i="12"/>
  <c r="T607" i="12"/>
  <c r="K607" i="12"/>
  <c r="M607" i="12"/>
  <c r="L606" i="12"/>
  <c r="N605" i="12"/>
  <c r="O604" i="12"/>
  <c r="P603" i="12"/>
  <c r="Q602" i="12"/>
  <c r="T599" i="12"/>
  <c r="K599" i="12"/>
  <c r="M599" i="12"/>
  <c r="L598" i="12"/>
  <c r="N597" i="12"/>
  <c r="O596" i="12"/>
  <c r="P595" i="12"/>
  <c r="Q594" i="12"/>
  <c r="T591" i="12"/>
  <c r="M591" i="12"/>
  <c r="K591" i="12"/>
  <c r="L590" i="12"/>
  <c r="N589" i="12"/>
  <c r="O588" i="12"/>
  <c r="P587" i="12"/>
  <c r="Q586" i="12"/>
  <c r="T583" i="12"/>
  <c r="K583" i="12"/>
  <c r="M583" i="12"/>
  <c r="L582" i="12"/>
  <c r="N581" i="12"/>
  <c r="O580" i="12"/>
  <c r="P579" i="12"/>
  <c r="Q578" i="12"/>
  <c r="T575" i="12"/>
  <c r="K575" i="12"/>
  <c r="M575" i="12"/>
  <c r="L574" i="12"/>
  <c r="N573" i="12"/>
  <c r="O572" i="12"/>
  <c r="P571" i="12"/>
  <c r="Q570" i="12"/>
  <c r="T567" i="12"/>
  <c r="M567" i="12"/>
  <c r="K567" i="12"/>
  <c r="L566" i="12"/>
  <c r="N565" i="12"/>
  <c r="O564" i="12"/>
  <c r="P563" i="12"/>
  <c r="Q562" i="12"/>
  <c r="T559" i="12"/>
  <c r="K559" i="12"/>
  <c r="L558" i="12"/>
  <c r="N557" i="12"/>
  <c r="O556" i="12"/>
  <c r="P555" i="12"/>
  <c r="Q554" i="12"/>
  <c r="T551" i="12"/>
  <c r="M551" i="12"/>
  <c r="K551" i="12"/>
  <c r="L550" i="12"/>
  <c r="N549" i="12"/>
  <c r="O548" i="12"/>
  <c r="P547" i="12"/>
  <c r="Q546" i="12"/>
  <c r="T543" i="12"/>
  <c r="K543" i="12"/>
  <c r="M543" i="12"/>
  <c r="L542" i="12"/>
  <c r="N541" i="12"/>
  <c r="O540" i="12"/>
  <c r="P539" i="12"/>
  <c r="Q538" i="12"/>
  <c r="T535" i="12"/>
  <c r="K535" i="12"/>
  <c r="M535" i="12"/>
  <c r="L534" i="12"/>
  <c r="N533" i="12"/>
  <c r="O532" i="12"/>
  <c r="P531" i="12"/>
  <c r="Q530" i="12"/>
  <c r="T527" i="12"/>
  <c r="M527" i="12"/>
  <c r="K527" i="12"/>
  <c r="L526" i="12"/>
  <c r="N525" i="12"/>
  <c r="O524" i="12"/>
  <c r="P523" i="12"/>
  <c r="Q522" i="12"/>
  <c r="T519" i="12"/>
  <c r="K519" i="12"/>
  <c r="M519" i="12"/>
  <c r="L518" i="12"/>
  <c r="N517" i="12"/>
  <c r="O516" i="12"/>
  <c r="P515" i="12"/>
  <c r="Q514" i="12"/>
  <c r="T511" i="12"/>
  <c r="K511" i="12"/>
  <c r="M511" i="12"/>
  <c r="L510" i="12"/>
  <c r="N509" i="12"/>
  <c r="O508" i="12"/>
  <c r="P507" i="12"/>
  <c r="Q506" i="12"/>
  <c r="T503" i="12"/>
  <c r="K503" i="12"/>
  <c r="L502" i="12"/>
  <c r="N501" i="12"/>
  <c r="O500" i="12"/>
  <c r="P499" i="12"/>
  <c r="Q498" i="12"/>
  <c r="T495" i="12"/>
  <c r="K495" i="12"/>
  <c r="L494" i="12"/>
  <c r="N493" i="12"/>
  <c r="O492" i="12"/>
  <c r="P491" i="12"/>
  <c r="Q490" i="12"/>
  <c r="T487" i="12"/>
  <c r="M487" i="12"/>
  <c r="K487" i="12"/>
  <c r="L486" i="12"/>
  <c r="N485" i="12"/>
  <c r="O484" i="12"/>
  <c r="P483" i="12"/>
  <c r="Q482" i="12"/>
  <c r="T479" i="12"/>
  <c r="M479" i="12"/>
  <c r="K479" i="12"/>
  <c r="L478" i="12"/>
  <c r="N477" i="12"/>
  <c r="O476" i="12"/>
  <c r="P475" i="12"/>
  <c r="Q474" i="12"/>
  <c r="T471" i="12"/>
  <c r="M471" i="12"/>
  <c r="K471" i="12"/>
  <c r="L470" i="12"/>
  <c r="N469" i="12"/>
  <c r="O468" i="12"/>
  <c r="P467" i="12"/>
  <c r="Q466" i="12"/>
  <c r="T463" i="12"/>
  <c r="M463" i="12"/>
  <c r="K463" i="12"/>
  <c r="L462" i="12"/>
  <c r="N461" i="12"/>
  <c r="O460" i="12"/>
  <c r="P459" i="12"/>
  <c r="Q458" i="12"/>
  <c r="T455" i="12"/>
  <c r="M455" i="12"/>
  <c r="K455" i="12"/>
  <c r="L454" i="12"/>
  <c r="N453" i="12"/>
  <c r="O452" i="12"/>
  <c r="P451" i="12"/>
  <c r="Q450" i="12"/>
  <c r="T447" i="12"/>
  <c r="M447" i="12"/>
  <c r="K447" i="12"/>
  <c r="L446" i="12"/>
  <c r="N445" i="12"/>
  <c r="O444" i="12"/>
  <c r="P443" i="12"/>
  <c r="Q442" i="12"/>
  <c r="T439" i="12"/>
  <c r="K439" i="12"/>
  <c r="M439" i="12"/>
  <c r="L438" i="12"/>
  <c r="N437" i="12"/>
  <c r="O436" i="12"/>
  <c r="P435" i="12"/>
  <c r="Q434" i="12"/>
  <c r="T431" i="12"/>
  <c r="K431" i="12"/>
  <c r="M431" i="12"/>
  <c r="L430" i="12"/>
  <c r="N429" i="12"/>
  <c r="O428" i="12"/>
  <c r="P427" i="12"/>
  <c r="Q426" i="12"/>
  <c r="T423" i="12"/>
  <c r="M423" i="12"/>
  <c r="K423" i="12"/>
  <c r="L422" i="12"/>
  <c r="N421" i="12"/>
  <c r="O420" i="12"/>
  <c r="P419" i="12"/>
  <c r="Q418" i="12"/>
  <c r="T415" i="12"/>
  <c r="K415" i="12"/>
  <c r="M415" i="12"/>
  <c r="L414" i="12"/>
  <c r="N413" i="12"/>
  <c r="O412" i="12"/>
  <c r="P411" i="12"/>
  <c r="Q410" i="12"/>
  <c r="T407" i="12"/>
  <c r="K407" i="12"/>
  <c r="M407" i="12"/>
  <c r="L406" i="12"/>
  <c r="N405" i="12"/>
  <c r="O404" i="12"/>
  <c r="P403" i="12"/>
  <c r="Q402" i="12"/>
  <c r="T399" i="12"/>
  <c r="K399" i="12"/>
  <c r="M399" i="12"/>
  <c r="L398" i="12"/>
  <c r="N397" i="12"/>
  <c r="O396" i="12"/>
  <c r="P395" i="12"/>
  <c r="Q394" i="12"/>
  <c r="T391" i="12"/>
  <c r="K391" i="12"/>
  <c r="M391" i="12"/>
  <c r="L390" i="12"/>
  <c r="N389" i="12"/>
  <c r="O388" i="12"/>
  <c r="P387" i="12"/>
  <c r="Q386" i="12"/>
  <c r="T383" i="12"/>
  <c r="K383" i="12"/>
  <c r="M383" i="12"/>
  <c r="L382" i="12"/>
  <c r="N381" i="12"/>
  <c r="O380" i="12"/>
  <c r="P379" i="12"/>
  <c r="Q378" i="12"/>
  <c r="T375" i="12"/>
  <c r="M375" i="12"/>
  <c r="K375" i="12"/>
  <c r="L374" i="12"/>
  <c r="N373" i="12"/>
  <c r="O372" i="12"/>
  <c r="P371" i="12"/>
  <c r="Q370" i="12"/>
  <c r="T367" i="12"/>
  <c r="M367" i="12"/>
  <c r="K367" i="12"/>
  <c r="L366" i="12"/>
  <c r="N365" i="12"/>
  <c r="O364" i="12"/>
  <c r="P363" i="12"/>
  <c r="Q362" i="12"/>
  <c r="T359" i="12"/>
  <c r="M359" i="12"/>
  <c r="K359" i="12"/>
  <c r="L358" i="12"/>
  <c r="N357" i="12"/>
  <c r="O356" i="12"/>
  <c r="P355" i="12"/>
  <c r="Q354" i="12"/>
  <c r="T351" i="12"/>
  <c r="M351" i="12"/>
  <c r="K351" i="12"/>
  <c r="L350" i="12"/>
  <c r="N349" i="12"/>
  <c r="O348" i="12"/>
  <c r="P347" i="12"/>
  <c r="Q346" i="12"/>
  <c r="T343" i="12"/>
  <c r="M343" i="12"/>
  <c r="K343" i="12"/>
  <c r="L342" i="12"/>
  <c r="N341" i="12"/>
  <c r="O340" i="12"/>
  <c r="P339" i="12"/>
  <c r="Q338" i="12"/>
  <c r="T335" i="12"/>
  <c r="M335" i="12"/>
  <c r="K335" i="12"/>
  <c r="L334" i="12"/>
  <c r="N333" i="12"/>
  <c r="O332" i="12"/>
  <c r="P331" i="12"/>
  <c r="Q330" i="12"/>
  <c r="T327" i="12"/>
  <c r="K327" i="12"/>
  <c r="M327" i="12"/>
  <c r="L326" i="12"/>
  <c r="N325" i="12"/>
  <c r="O324" i="12"/>
  <c r="P323" i="12"/>
  <c r="Q322" i="12"/>
  <c r="T319" i="12"/>
  <c r="K319" i="12"/>
  <c r="M319" i="12"/>
  <c r="L318" i="12"/>
  <c r="N317" i="12"/>
  <c r="O316" i="12"/>
  <c r="P315" i="12"/>
  <c r="Q314" i="12"/>
  <c r="T311" i="12"/>
  <c r="K311" i="12"/>
  <c r="M311" i="12"/>
  <c r="L310" i="12"/>
  <c r="N309" i="12"/>
  <c r="O308" i="12"/>
  <c r="P307" i="12"/>
  <c r="Q306" i="12"/>
  <c r="T303" i="12"/>
  <c r="K303" i="12"/>
  <c r="M303" i="12"/>
  <c r="L302" i="12"/>
  <c r="N301" i="12"/>
  <c r="O300" i="12"/>
  <c r="P299" i="12"/>
  <c r="Q298" i="12"/>
  <c r="T295" i="12"/>
  <c r="K295" i="12"/>
  <c r="M295" i="12"/>
  <c r="L294" i="12"/>
  <c r="N293" i="12"/>
  <c r="O292" i="12"/>
  <c r="P291" i="12"/>
  <c r="Q290" i="12"/>
  <c r="T287" i="12"/>
  <c r="K287" i="12"/>
  <c r="M287" i="12"/>
  <c r="L286" i="12"/>
  <c r="N285" i="12"/>
  <c r="O284" i="12"/>
  <c r="P283" i="12"/>
  <c r="Q282" i="12"/>
  <c r="T279" i="12"/>
  <c r="M279" i="12"/>
  <c r="K279" i="12"/>
  <c r="L278" i="12"/>
  <c r="N277" i="12"/>
  <c r="O276" i="12"/>
  <c r="P275" i="12"/>
  <c r="Q274" i="12"/>
  <c r="T271" i="12"/>
  <c r="K271" i="12"/>
  <c r="M271" i="12"/>
  <c r="L270" i="12"/>
  <c r="N269" i="12"/>
  <c r="O268" i="12"/>
  <c r="P267" i="12"/>
  <c r="Q266" i="12"/>
  <c r="T263" i="12"/>
  <c r="M263" i="12"/>
  <c r="K263" i="12"/>
  <c r="L262" i="12"/>
  <c r="N261" i="12"/>
  <c r="O260" i="12"/>
  <c r="P259" i="12"/>
  <c r="P626" i="12"/>
  <c r="Q625" i="12"/>
  <c r="S623" i="12"/>
  <c r="T622" i="12"/>
  <c r="K622" i="12"/>
  <c r="M622" i="12"/>
  <c r="L621" i="12"/>
  <c r="N620" i="12"/>
  <c r="O619" i="12"/>
  <c r="P618" i="12"/>
  <c r="S615" i="12"/>
  <c r="T614" i="12"/>
  <c r="M614" i="12"/>
  <c r="K614" i="12"/>
  <c r="L613" i="12"/>
  <c r="N612" i="12"/>
  <c r="O611" i="12"/>
  <c r="P610" i="12"/>
  <c r="S607" i="12"/>
  <c r="T606" i="12"/>
  <c r="K606" i="12"/>
  <c r="M606" i="12"/>
  <c r="L605" i="12"/>
  <c r="N604" i="12"/>
  <c r="O603" i="12"/>
  <c r="R600" i="12"/>
  <c r="S599" i="12"/>
  <c r="T598" i="12"/>
  <c r="K598" i="12"/>
  <c r="M598" i="12"/>
  <c r="L597" i="12"/>
  <c r="N596" i="12"/>
  <c r="O595" i="12"/>
  <c r="P594" i="12"/>
  <c r="S591" i="12"/>
  <c r="T590" i="12"/>
  <c r="K590" i="12"/>
  <c r="M590" i="12"/>
  <c r="L589" i="12"/>
  <c r="N588" i="12"/>
  <c r="O587" i="12"/>
  <c r="P586" i="12"/>
  <c r="S583" i="12"/>
  <c r="T582" i="12"/>
  <c r="K582" i="12"/>
  <c r="M582" i="12"/>
  <c r="L581" i="12"/>
  <c r="N580" i="12"/>
  <c r="O579" i="12"/>
  <c r="P578" i="12"/>
  <c r="S575" i="12"/>
  <c r="T574" i="12"/>
  <c r="K574" i="12"/>
  <c r="M574" i="12"/>
  <c r="L573" i="12"/>
  <c r="N572" i="12"/>
  <c r="O571" i="12"/>
  <c r="P570" i="12"/>
  <c r="S567" i="12"/>
  <c r="T566" i="12"/>
  <c r="M566" i="12"/>
  <c r="K566" i="12"/>
  <c r="L565" i="12"/>
  <c r="N564" i="12"/>
  <c r="O563" i="12"/>
  <c r="P562" i="12"/>
  <c r="S559" i="12"/>
  <c r="T558" i="12"/>
  <c r="K558" i="12"/>
  <c r="M558" i="12"/>
  <c r="L557" i="12"/>
  <c r="N556" i="12"/>
  <c r="O555" i="12"/>
  <c r="P554" i="12"/>
  <c r="S551" i="12"/>
  <c r="T550" i="12"/>
  <c r="K550" i="12"/>
  <c r="M550" i="12"/>
  <c r="L549" i="12"/>
  <c r="N548" i="12"/>
  <c r="O547" i="12"/>
  <c r="P546" i="12"/>
  <c r="S543" i="12"/>
  <c r="T542" i="12"/>
  <c r="M542" i="12"/>
  <c r="K542" i="12"/>
  <c r="L541" i="12"/>
  <c r="N540" i="12"/>
  <c r="O539" i="12"/>
  <c r="P538" i="12"/>
  <c r="S535" i="12"/>
  <c r="T534" i="12"/>
  <c r="K534" i="12"/>
  <c r="M534" i="12"/>
  <c r="L533" i="12"/>
  <c r="N532" i="12"/>
  <c r="O531" i="12"/>
  <c r="P530" i="12"/>
  <c r="S527" i="12"/>
  <c r="T526" i="12"/>
  <c r="M526" i="12"/>
  <c r="K526" i="12"/>
  <c r="L525" i="12"/>
  <c r="N524" i="12"/>
  <c r="O523" i="12"/>
  <c r="P522" i="12"/>
  <c r="S519" i="12"/>
  <c r="T518" i="12"/>
  <c r="M518" i="12"/>
  <c r="K518" i="12"/>
  <c r="L517" i="12"/>
  <c r="N516" i="12"/>
  <c r="O515" i="12"/>
  <c r="P514" i="12"/>
  <c r="S511" i="12"/>
  <c r="T510" i="12"/>
  <c r="K510" i="12"/>
  <c r="M510" i="12"/>
  <c r="L509" i="12"/>
  <c r="N508" i="12"/>
  <c r="O507" i="12"/>
  <c r="P506" i="12"/>
  <c r="S503" i="12"/>
  <c r="T502" i="12"/>
  <c r="K502" i="12"/>
  <c r="M502" i="12"/>
  <c r="L501" i="12"/>
  <c r="N500" i="12"/>
  <c r="O499" i="12"/>
  <c r="P498" i="12"/>
  <c r="S495" i="12"/>
  <c r="T494" i="12"/>
  <c r="K494" i="12"/>
  <c r="M494" i="12"/>
  <c r="L493" i="12"/>
  <c r="N492" i="12"/>
  <c r="O491" i="12"/>
  <c r="P490" i="12"/>
  <c r="S487" i="12"/>
  <c r="T486" i="12"/>
  <c r="K486" i="12"/>
  <c r="M486" i="12"/>
  <c r="L485" i="12"/>
  <c r="N484" i="12"/>
  <c r="O483" i="12"/>
  <c r="P482" i="12"/>
  <c r="S479" i="12"/>
  <c r="T478" i="12"/>
  <c r="K478" i="12"/>
  <c r="M478" i="12"/>
  <c r="L477" i="12"/>
  <c r="N476" i="12"/>
  <c r="O475" i="12"/>
  <c r="P474" i="12"/>
  <c r="S471" i="12"/>
  <c r="T470" i="12"/>
  <c r="K470" i="12"/>
  <c r="M470" i="12"/>
  <c r="L469" i="12"/>
  <c r="N468" i="12"/>
  <c r="O467" i="12"/>
  <c r="P466" i="12"/>
  <c r="S463" i="12"/>
  <c r="T462" i="12"/>
  <c r="K462" i="12"/>
  <c r="M462" i="12"/>
  <c r="L461" i="12"/>
  <c r="N460" i="12"/>
  <c r="O459" i="12"/>
  <c r="P458" i="12"/>
  <c r="S455" i="12"/>
  <c r="T454" i="12"/>
  <c r="K454" i="12"/>
  <c r="M454" i="12"/>
  <c r="L453" i="12"/>
  <c r="N452" i="12"/>
  <c r="O451" i="12"/>
  <c r="P450" i="12"/>
  <c r="S447" i="12"/>
  <c r="T446" i="12"/>
  <c r="K446" i="12"/>
  <c r="M446" i="12"/>
  <c r="L445" i="12"/>
  <c r="N444" i="12"/>
  <c r="O443" i="12"/>
  <c r="P442" i="12"/>
  <c r="S439" i="12"/>
  <c r="T438" i="12"/>
  <c r="K438" i="12"/>
  <c r="M438" i="12"/>
  <c r="L437" i="12"/>
  <c r="N436" i="12"/>
  <c r="O435" i="12"/>
  <c r="P434" i="12"/>
  <c r="S431" i="12"/>
  <c r="T430" i="12"/>
  <c r="K430" i="12"/>
  <c r="M430" i="12"/>
  <c r="L429" i="12"/>
  <c r="N428" i="12"/>
  <c r="O427" i="12"/>
  <c r="P426" i="12"/>
  <c r="S423" i="12"/>
  <c r="T422" i="12"/>
  <c r="K422" i="12"/>
  <c r="M422" i="12"/>
  <c r="L421" i="12"/>
  <c r="N420" i="12"/>
  <c r="O419" i="12"/>
  <c r="P418" i="12"/>
  <c r="S415" i="12"/>
  <c r="T414" i="12"/>
  <c r="M414" i="12"/>
  <c r="K414" i="12"/>
  <c r="L413" i="12"/>
  <c r="N412" i="12"/>
  <c r="O411" i="12"/>
  <c r="P410" i="12"/>
  <c r="S407" i="12"/>
  <c r="T406" i="12"/>
  <c r="K406" i="12"/>
  <c r="M406" i="12"/>
  <c r="L405" i="12"/>
  <c r="N404" i="12"/>
  <c r="O403" i="12"/>
  <c r="P402" i="12"/>
  <c r="S399" i="12"/>
  <c r="T398" i="12"/>
  <c r="M398" i="12"/>
  <c r="K398" i="12"/>
  <c r="L397" i="12"/>
  <c r="N396" i="12"/>
  <c r="O395" i="12"/>
  <c r="P394" i="12"/>
  <c r="S518" i="12"/>
  <c r="T517" i="12"/>
  <c r="K517" i="12"/>
  <c r="M517" i="12"/>
  <c r="L516" i="12"/>
  <c r="N515" i="12"/>
  <c r="O514" i="12"/>
  <c r="R511" i="12"/>
  <c r="S510" i="12"/>
  <c r="T509" i="12"/>
  <c r="M509" i="12"/>
  <c r="K509" i="12"/>
  <c r="L508" i="12"/>
  <c r="N507" i="12"/>
  <c r="O506" i="12"/>
  <c r="R503" i="12"/>
  <c r="S502" i="12"/>
  <c r="T501" i="12"/>
  <c r="M501" i="12"/>
  <c r="K501" i="12"/>
  <c r="L500" i="12"/>
  <c r="N499" i="12"/>
  <c r="O498" i="12"/>
  <c r="R495" i="12"/>
  <c r="S494" i="12"/>
  <c r="T493" i="12"/>
  <c r="M493" i="12"/>
  <c r="K493" i="12"/>
  <c r="L492" i="12"/>
  <c r="N491" i="12"/>
  <c r="O490" i="12"/>
  <c r="R487" i="12"/>
  <c r="S486" i="12"/>
  <c r="T485" i="12"/>
  <c r="M485" i="12"/>
  <c r="K485" i="12"/>
  <c r="L484" i="12"/>
  <c r="N483" i="12"/>
  <c r="O482" i="12"/>
  <c r="R479" i="12"/>
  <c r="S478" i="12"/>
  <c r="T477" i="12"/>
  <c r="M477" i="12"/>
  <c r="K477" i="12"/>
  <c r="L476" i="12"/>
  <c r="N475" i="12"/>
  <c r="O474" i="12"/>
  <c r="R471" i="12"/>
  <c r="S470" i="12"/>
  <c r="T469" i="12"/>
  <c r="M469" i="12"/>
  <c r="K469" i="12"/>
  <c r="L468" i="12"/>
  <c r="N467" i="12"/>
  <c r="O466" i="12"/>
  <c r="R463" i="12"/>
  <c r="S462" i="12"/>
  <c r="T461" i="12"/>
  <c r="M461" i="12"/>
  <c r="K461" i="12"/>
  <c r="L460" i="12"/>
  <c r="N459" i="12"/>
  <c r="O458" i="12"/>
  <c r="R455" i="12"/>
  <c r="S454" i="12"/>
  <c r="T453" i="12"/>
  <c r="M453" i="12"/>
  <c r="K453" i="12"/>
  <c r="L452" i="12"/>
  <c r="N451" i="12"/>
  <c r="O450" i="12"/>
  <c r="R447" i="12"/>
  <c r="S446" i="12"/>
  <c r="T445" i="12"/>
  <c r="M445" i="12"/>
  <c r="K445" i="12"/>
  <c r="L444" i="12"/>
  <c r="N443" i="12"/>
  <c r="O442" i="12"/>
  <c r="R439" i="12"/>
  <c r="S438" i="12"/>
  <c r="T437" i="12"/>
  <c r="M437" i="12"/>
  <c r="K437" i="12"/>
  <c r="L436" i="12"/>
  <c r="N435" i="12"/>
  <c r="O434" i="12"/>
  <c r="R431" i="12"/>
  <c r="S430" i="12"/>
  <c r="T429" i="12"/>
  <c r="K429" i="12"/>
  <c r="M429" i="12"/>
  <c r="L428" i="12"/>
  <c r="N427" i="12"/>
  <c r="O426" i="12"/>
  <c r="R423" i="12"/>
  <c r="S422" i="12"/>
  <c r="T421" i="12"/>
  <c r="K421" i="12"/>
  <c r="M421" i="12"/>
  <c r="L420" i="12"/>
  <c r="N419" i="12"/>
  <c r="O418" i="12"/>
  <c r="R415" i="12"/>
  <c r="S414" i="12"/>
  <c r="T413" i="12"/>
  <c r="M413" i="12"/>
  <c r="K413" i="12"/>
  <c r="L412" i="12"/>
  <c r="N411" i="12"/>
  <c r="O410" i="12"/>
  <c r="R407" i="12"/>
  <c r="S406" i="12"/>
  <c r="T405" i="12"/>
  <c r="K405" i="12"/>
  <c r="M405" i="12"/>
  <c r="L404" i="12"/>
  <c r="N403" i="12"/>
  <c r="O402" i="12"/>
  <c r="R399" i="12"/>
  <c r="S398" i="12"/>
  <c r="T397" i="12"/>
  <c r="M397" i="12"/>
  <c r="K397" i="12"/>
  <c r="L396" i="12"/>
  <c r="N395" i="12"/>
  <c r="O394" i="12"/>
  <c r="R391" i="12"/>
  <c r="S390" i="12"/>
  <c r="T389" i="12"/>
  <c r="K389" i="12"/>
  <c r="M389" i="12"/>
  <c r="L388" i="12"/>
  <c r="N387" i="12"/>
  <c r="O386" i="12"/>
  <c r="R383" i="12"/>
  <c r="S382" i="12"/>
  <c r="T381" i="12"/>
  <c r="M381" i="12"/>
  <c r="K381" i="12"/>
  <c r="L380" i="12"/>
  <c r="N379" i="12"/>
  <c r="O378" i="12"/>
  <c r="R375" i="12"/>
  <c r="S374" i="12"/>
  <c r="T373" i="12"/>
  <c r="K373" i="12"/>
  <c r="M373" i="12"/>
  <c r="L372" i="12"/>
  <c r="N371" i="12"/>
  <c r="O370" i="12"/>
  <c r="R367" i="12"/>
  <c r="S366" i="12"/>
  <c r="T365" i="12"/>
  <c r="K365" i="12"/>
  <c r="M365" i="12"/>
  <c r="L364" i="12"/>
  <c r="N363" i="12"/>
  <c r="O362" i="12"/>
  <c r="R359" i="12"/>
  <c r="S358" i="12"/>
  <c r="T357" i="12"/>
  <c r="M357" i="12"/>
  <c r="K357" i="12"/>
  <c r="L356" i="12"/>
  <c r="N355" i="12"/>
  <c r="O354" i="12"/>
  <c r="R351" i="12"/>
  <c r="S350" i="12"/>
  <c r="T349" i="12"/>
  <c r="K349" i="12"/>
  <c r="M349" i="12"/>
  <c r="L348" i="12"/>
  <c r="N347" i="12"/>
  <c r="O346" i="12"/>
  <c r="R343" i="12"/>
  <c r="S342" i="12"/>
  <c r="T341" i="12"/>
  <c r="M341" i="12"/>
  <c r="K341" i="12"/>
  <c r="L340" i="12"/>
  <c r="N339" i="12"/>
  <c r="O338" i="12"/>
  <c r="R335" i="12"/>
  <c r="S334" i="12"/>
  <c r="T333" i="12"/>
  <c r="K333" i="12"/>
  <c r="M333" i="12"/>
  <c r="L332" i="12"/>
  <c r="N331" i="12"/>
  <c r="O330" i="12"/>
  <c r="R327" i="12"/>
  <c r="S326" i="12"/>
  <c r="T325" i="12"/>
  <c r="M325" i="12"/>
  <c r="K325" i="12"/>
  <c r="L324" i="12"/>
  <c r="N323" i="12"/>
  <c r="O322" i="12"/>
  <c r="R319" i="12"/>
  <c r="S318" i="12"/>
  <c r="R422" i="12"/>
  <c r="S421" i="12"/>
  <c r="T420" i="12"/>
  <c r="K420" i="12"/>
  <c r="M420" i="12"/>
  <c r="L419" i="12"/>
  <c r="N418" i="12"/>
  <c r="Q415" i="12"/>
  <c r="R414" i="12"/>
  <c r="S413" i="12"/>
  <c r="T412" i="12"/>
  <c r="M412" i="12"/>
  <c r="K412" i="12"/>
  <c r="L411" i="12"/>
  <c r="N410" i="12"/>
  <c r="Q407" i="12"/>
  <c r="R406" i="12"/>
  <c r="S405" i="12"/>
  <c r="T404" i="12"/>
  <c r="M404" i="12"/>
  <c r="K404" i="12"/>
  <c r="L403" i="12"/>
  <c r="N402" i="12"/>
  <c r="Q399" i="12"/>
  <c r="R398" i="12"/>
  <c r="S397" i="12"/>
  <c r="T396" i="12"/>
  <c r="K396" i="12"/>
  <c r="M396" i="12"/>
  <c r="L395" i="12"/>
  <c r="N394" i="12"/>
  <c r="Q391" i="12"/>
  <c r="R390" i="12"/>
  <c r="S389" i="12"/>
  <c r="T388" i="12"/>
  <c r="M388" i="12"/>
  <c r="K388" i="12"/>
  <c r="L387" i="12"/>
  <c r="N386" i="12"/>
  <c r="Q383" i="12"/>
  <c r="R382" i="12"/>
  <c r="S381" i="12"/>
  <c r="T380" i="12"/>
  <c r="K380" i="12"/>
  <c r="M380" i="12"/>
  <c r="L379" i="12"/>
  <c r="N378" i="12"/>
  <c r="Q375" i="12"/>
  <c r="R374" i="12"/>
  <c r="S373" i="12"/>
  <c r="T372" i="12"/>
  <c r="M372" i="12"/>
  <c r="K372" i="12"/>
  <c r="L371" i="12"/>
  <c r="N370" i="12"/>
  <c r="Q367" i="12"/>
  <c r="R366" i="12"/>
  <c r="S365" i="12"/>
  <c r="T364" i="12"/>
  <c r="K364" i="12"/>
  <c r="M364" i="12"/>
  <c r="L363" i="12"/>
  <c r="N362" i="12"/>
  <c r="Q359" i="12"/>
  <c r="R358" i="12"/>
  <c r="S357" i="12"/>
  <c r="T356" i="12"/>
  <c r="K356" i="12"/>
  <c r="M356" i="12"/>
  <c r="L355" i="12"/>
  <c r="N354" i="12"/>
  <c r="Q351" i="12"/>
  <c r="R350" i="12"/>
  <c r="S349" i="12"/>
  <c r="T348" i="12"/>
  <c r="K348" i="12"/>
  <c r="M348" i="12"/>
  <c r="L347" i="12"/>
  <c r="N346" i="12"/>
  <c r="Q343" i="12"/>
  <c r="R342" i="12"/>
  <c r="S341" i="12"/>
  <c r="T340" i="12"/>
  <c r="M340" i="12"/>
  <c r="K340" i="12"/>
  <c r="L339" i="12"/>
  <c r="N338" i="12"/>
  <c r="Q335" i="12"/>
  <c r="R334" i="12"/>
  <c r="S333" i="12"/>
  <c r="T332" i="12"/>
  <c r="K332" i="12"/>
  <c r="M332" i="12"/>
  <c r="L331" i="12"/>
  <c r="N330" i="12"/>
  <c r="Q327" i="12"/>
  <c r="R326" i="12"/>
  <c r="S325" i="12"/>
  <c r="T324" i="12"/>
  <c r="K324" i="12"/>
  <c r="M324" i="12"/>
  <c r="L323" i="12"/>
  <c r="N322" i="12"/>
  <c r="Q319" i="12"/>
  <c r="R318" i="12"/>
  <c r="S317" i="12"/>
  <c r="T316" i="12"/>
  <c r="M316" i="12"/>
  <c r="K316" i="12"/>
  <c r="L315" i="12"/>
  <c r="N314" i="12"/>
  <c r="Q311" i="12"/>
  <c r="R310" i="12"/>
  <c r="S309" i="12"/>
  <c r="T308" i="12"/>
  <c r="K308" i="12"/>
  <c r="M308" i="12"/>
  <c r="L307" i="12"/>
  <c r="N306" i="12"/>
  <c r="Q303" i="12"/>
  <c r="R302" i="12"/>
  <c r="S301" i="12"/>
  <c r="T300" i="12"/>
  <c r="M300" i="12"/>
  <c r="K300" i="12"/>
  <c r="L299" i="12"/>
  <c r="N298" i="12"/>
  <c r="Q295" i="12"/>
  <c r="R294" i="12"/>
  <c r="S293" i="12"/>
  <c r="T292" i="12"/>
  <c r="K292" i="12"/>
  <c r="M292" i="12"/>
  <c r="L291" i="12"/>
  <c r="N290" i="12"/>
  <c r="Q287" i="12"/>
  <c r="R286" i="12"/>
  <c r="S285" i="12"/>
  <c r="T284" i="12"/>
  <c r="K284" i="12"/>
  <c r="M284" i="12"/>
  <c r="L283" i="12"/>
  <c r="N282" i="12"/>
  <c r="Q279" i="12"/>
  <c r="R278" i="12"/>
  <c r="S277" i="12"/>
  <c r="T276" i="12"/>
  <c r="K276" i="12"/>
  <c r="M276" i="12"/>
  <c r="L275" i="12"/>
  <c r="N274" i="12"/>
  <c r="Q271" i="12"/>
  <c r="R270" i="12"/>
  <c r="S269" i="12"/>
  <c r="T268" i="12"/>
  <c r="K268" i="12"/>
  <c r="M268" i="12"/>
  <c r="L267" i="12"/>
  <c r="N266" i="12"/>
  <c r="Q263" i="12"/>
  <c r="R262" i="12"/>
  <c r="S261" i="12"/>
  <c r="T260" i="12"/>
  <c r="K260" i="12"/>
  <c r="M260" i="12"/>
  <c r="L259" i="12"/>
  <c r="N258" i="12"/>
  <c r="P256" i="12"/>
  <c r="Q255" i="12"/>
  <c r="R254" i="12"/>
  <c r="S253" i="12"/>
  <c r="T252" i="12"/>
  <c r="K252" i="12"/>
  <c r="M252" i="12"/>
  <c r="L251" i="12"/>
  <c r="N250" i="12"/>
  <c r="Q247" i="12"/>
  <c r="R246" i="12"/>
  <c r="S245" i="12"/>
  <c r="T244" i="12"/>
  <c r="K244" i="12"/>
  <c r="M244" i="12"/>
  <c r="L243" i="12"/>
  <c r="N242" i="12"/>
  <c r="Q239" i="12"/>
  <c r="R238" i="12"/>
  <c r="S237" i="12"/>
  <c r="T236" i="12"/>
  <c r="M236" i="12"/>
  <c r="K236" i="12"/>
  <c r="L235" i="12"/>
  <c r="N234" i="12"/>
  <c r="Q231" i="12"/>
  <c r="R230" i="12"/>
  <c r="S229" i="12"/>
  <c r="T228" i="12"/>
  <c r="K228" i="12"/>
  <c r="M228" i="12"/>
  <c r="L227" i="12"/>
  <c r="N226" i="12"/>
  <c r="Q223" i="12"/>
  <c r="R222" i="12"/>
  <c r="S221" i="12"/>
  <c r="T220" i="12"/>
  <c r="M220" i="12"/>
  <c r="K220" i="12"/>
  <c r="L219" i="12"/>
  <c r="N218" i="12"/>
  <c r="Q215" i="12"/>
  <c r="R214" i="12"/>
  <c r="S213" i="12"/>
  <c r="T212" i="12"/>
  <c r="M212" i="12"/>
  <c r="K212" i="12"/>
  <c r="L211" i="12"/>
  <c r="N210" i="12"/>
  <c r="Q207" i="12"/>
  <c r="R206" i="12"/>
  <c r="S205" i="12"/>
  <c r="T204" i="12"/>
  <c r="M204" i="12"/>
  <c r="K204" i="12"/>
  <c r="L203" i="12"/>
  <c r="N202" i="12"/>
  <c r="Q199" i="12"/>
  <c r="R198" i="12"/>
  <c r="S197" i="12"/>
  <c r="T196" i="12"/>
  <c r="K196" i="12"/>
  <c r="M196" i="12"/>
  <c r="L195" i="12"/>
  <c r="N194" i="12"/>
  <c r="Q191" i="12"/>
  <c r="R190" i="12"/>
  <c r="S189" i="12"/>
  <c r="T188" i="12"/>
  <c r="K188" i="12"/>
  <c r="M188" i="12"/>
  <c r="L187" i="12"/>
  <c r="N186" i="12"/>
  <c r="Q183" i="12"/>
  <c r="R182" i="12"/>
  <c r="S181" i="12"/>
  <c r="T180" i="12"/>
  <c r="K180" i="12"/>
  <c r="M180" i="12"/>
  <c r="L179" i="12"/>
  <c r="N178" i="12"/>
  <c r="Q175" i="12"/>
  <c r="R174" i="12"/>
  <c r="S173" i="12"/>
  <c r="T172" i="12"/>
  <c r="K172" i="12"/>
  <c r="M172" i="12"/>
  <c r="L171" i="12"/>
  <c r="N170" i="12"/>
  <c r="Q167" i="12"/>
  <c r="R166" i="12"/>
  <c r="S165" i="12"/>
  <c r="T164" i="12"/>
  <c r="K164" i="12"/>
  <c r="M164" i="12"/>
  <c r="L163" i="12"/>
  <c r="N162" i="12"/>
  <c r="Q159" i="12"/>
  <c r="R158" i="12"/>
  <c r="S157" i="12"/>
  <c r="T156" i="12"/>
  <c r="M156" i="12"/>
  <c r="K156" i="12"/>
  <c r="L155" i="12"/>
  <c r="N154" i="12"/>
  <c r="Q151" i="12"/>
  <c r="R150" i="12"/>
  <c r="S149" i="12"/>
  <c r="T148" i="12"/>
  <c r="K148" i="12"/>
  <c r="M148" i="12"/>
  <c r="L147" i="12"/>
  <c r="N146" i="12"/>
  <c r="Q143" i="12"/>
  <c r="R142" i="12"/>
  <c r="S141" i="12"/>
  <c r="T140" i="12"/>
  <c r="M140" i="12"/>
  <c r="K140" i="12"/>
  <c r="L139" i="12"/>
  <c r="N138" i="12"/>
  <c r="Q135" i="12"/>
  <c r="R134" i="12"/>
  <c r="S133" i="12"/>
  <c r="T132" i="12"/>
  <c r="K132" i="12"/>
  <c r="M132" i="12"/>
  <c r="L131" i="12"/>
  <c r="N130" i="12"/>
  <c r="Q127" i="12"/>
  <c r="R126" i="12"/>
  <c r="S125" i="12"/>
  <c r="T124" i="12"/>
  <c r="M124" i="12"/>
  <c r="K124" i="12"/>
  <c r="L123" i="12"/>
  <c r="N122" i="12"/>
  <c r="P120" i="12"/>
  <c r="Q119" i="12"/>
  <c r="R118" i="12"/>
  <c r="S117" i="12"/>
  <c r="T116" i="12"/>
  <c r="M116" i="12"/>
  <c r="K116" i="12"/>
  <c r="L115" i="12"/>
  <c r="N114" i="12"/>
  <c r="Q111" i="12"/>
  <c r="R110" i="12"/>
  <c r="S109" i="12"/>
  <c r="T108" i="12"/>
  <c r="K108" i="12"/>
  <c r="M108" i="12"/>
  <c r="L107" i="12"/>
  <c r="N106" i="12"/>
  <c r="Q103" i="12"/>
  <c r="R102" i="12"/>
  <c r="S101" i="12"/>
  <c r="T100" i="12"/>
  <c r="M100" i="12"/>
  <c r="K100" i="12"/>
  <c r="L99" i="12"/>
  <c r="N98" i="12"/>
  <c r="Q95" i="12"/>
  <c r="R94" i="12"/>
  <c r="S93" i="12"/>
  <c r="T92" i="12"/>
  <c r="M92" i="12"/>
  <c r="K92" i="12"/>
  <c r="L91" i="12"/>
  <c r="N90" i="12"/>
  <c r="Q87" i="12"/>
  <c r="R86" i="12"/>
  <c r="S85" i="12"/>
  <c r="T84" i="12"/>
  <c r="M84" i="12"/>
  <c r="K84" i="12"/>
  <c r="L83" i="12"/>
  <c r="N82" i="12"/>
  <c r="Q79" i="12"/>
  <c r="R78" i="12"/>
  <c r="S77" i="12"/>
  <c r="T76" i="12"/>
  <c r="K76" i="12"/>
  <c r="M76" i="12"/>
  <c r="L75" i="12"/>
  <c r="N74" i="12"/>
  <c r="Q71" i="12"/>
  <c r="R70" i="12"/>
  <c r="S69" i="12"/>
  <c r="T68" i="12"/>
  <c r="K68" i="12"/>
  <c r="M68" i="12"/>
  <c r="L67" i="12"/>
  <c r="N66" i="12"/>
  <c r="Q63" i="12"/>
  <c r="R62" i="12"/>
  <c r="S61" i="12"/>
  <c r="T60" i="12"/>
  <c r="K60" i="12"/>
  <c r="M60" i="12"/>
  <c r="L59" i="12"/>
  <c r="N58" i="12"/>
  <c r="Q55" i="12"/>
  <c r="R54" i="12"/>
  <c r="S53" i="12"/>
  <c r="T52" i="12"/>
  <c r="K52" i="12"/>
  <c r="M52" i="12"/>
  <c r="L51" i="12"/>
  <c r="N50" i="12"/>
  <c r="Q47" i="12"/>
  <c r="R46" i="12"/>
  <c r="S45" i="12"/>
  <c r="T44" i="12"/>
  <c r="M44" i="12"/>
  <c r="K44" i="12"/>
  <c r="L43" i="12"/>
  <c r="N42" i="12"/>
  <c r="Q39" i="12"/>
  <c r="R38" i="12"/>
  <c r="S37" i="12"/>
  <c r="T36" i="12"/>
  <c r="K36" i="12"/>
  <c r="M36" i="12"/>
  <c r="L35" i="12"/>
  <c r="N34" i="12"/>
  <c r="Q31" i="12"/>
  <c r="R30" i="12"/>
  <c r="S29" i="12"/>
  <c r="T28" i="12"/>
  <c r="K28" i="12"/>
  <c r="M28" i="12"/>
  <c r="L27" i="12"/>
  <c r="N26" i="12"/>
  <c r="Q23" i="12"/>
  <c r="R22" i="12"/>
  <c r="S21" i="12"/>
  <c r="T20" i="12"/>
  <c r="K20" i="12"/>
  <c r="M20" i="12"/>
  <c r="L19" i="12"/>
  <c r="N18" i="12"/>
  <c r="Q15" i="12"/>
  <c r="R14" i="12"/>
  <c r="S13" i="12"/>
  <c r="T12" i="12"/>
  <c r="K12" i="12"/>
  <c r="M12" i="12"/>
  <c r="L11" i="12"/>
  <c r="N10" i="12"/>
  <c r="Q7" i="12"/>
  <c r="R6" i="12"/>
  <c r="M314" i="12"/>
  <c r="K314" i="12"/>
  <c r="O311" i="12"/>
  <c r="P310" i="12"/>
  <c r="Q309" i="12"/>
  <c r="R308" i="12"/>
  <c r="S307" i="12"/>
  <c r="T306" i="12"/>
  <c r="M306" i="12"/>
  <c r="K306" i="12"/>
  <c r="N304" i="12"/>
  <c r="O303" i="12"/>
  <c r="P302" i="12"/>
  <c r="Q301" i="12"/>
  <c r="R300" i="12"/>
  <c r="S299" i="12"/>
  <c r="T298" i="12"/>
  <c r="K298" i="12"/>
  <c r="M298" i="12"/>
  <c r="N296" i="12"/>
  <c r="O295" i="12"/>
  <c r="P294" i="12"/>
  <c r="Q293" i="12"/>
  <c r="R292" i="12"/>
  <c r="S291" i="12"/>
  <c r="T290" i="12"/>
  <c r="K290" i="12"/>
  <c r="M290" i="12"/>
  <c r="O287" i="12"/>
  <c r="P286" i="12"/>
  <c r="Q285" i="12"/>
  <c r="R284" i="12"/>
  <c r="S283" i="12"/>
  <c r="T282" i="12"/>
  <c r="K282" i="12"/>
  <c r="M282" i="12"/>
  <c r="O279" i="12"/>
  <c r="P278" i="12"/>
  <c r="Q277" i="12"/>
  <c r="R276" i="12"/>
  <c r="S275" i="12"/>
  <c r="T274" i="12"/>
  <c r="K274" i="12"/>
  <c r="M274" i="12"/>
  <c r="O271" i="12"/>
  <c r="P270" i="12"/>
  <c r="Q269" i="12"/>
  <c r="R268" i="12"/>
  <c r="S267" i="12"/>
  <c r="T266" i="12"/>
  <c r="K266" i="12"/>
  <c r="M266" i="12"/>
  <c r="O263" i="12"/>
  <c r="P262" i="12"/>
  <c r="Q261" i="12"/>
  <c r="R260" i="12"/>
  <c r="S259" i="12"/>
  <c r="T258" i="12"/>
  <c r="K258" i="12"/>
  <c r="M258" i="12"/>
  <c r="O255" i="12"/>
  <c r="P254" i="12"/>
  <c r="Q253" i="12"/>
  <c r="R252" i="12"/>
  <c r="S251" i="12"/>
  <c r="T250" i="12"/>
  <c r="K250" i="12"/>
  <c r="M250" i="12"/>
  <c r="O247" i="12"/>
  <c r="P246" i="12"/>
  <c r="Q245" i="12"/>
  <c r="R244" i="12"/>
  <c r="S243" i="12"/>
  <c r="T242" i="12"/>
  <c r="K242" i="12"/>
  <c r="M242" i="12"/>
  <c r="O239" i="12"/>
  <c r="P238" i="12"/>
  <c r="Q237" i="12"/>
  <c r="R236" i="12"/>
  <c r="S235" i="12"/>
  <c r="T234" i="12"/>
  <c r="M234" i="12"/>
  <c r="K234" i="12"/>
  <c r="O231" i="12"/>
  <c r="P230" i="12"/>
  <c r="Q229" i="12"/>
  <c r="R228" i="12"/>
  <c r="S227" i="12"/>
  <c r="T226" i="12"/>
  <c r="K226" i="12"/>
  <c r="M226" i="12"/>
  <c r="O223" i="12"/>
  <c r="P222" i="12"/>
  <c r="Q221" i="12"/>
  <c r="R220" i="12"/>
  <c r="S219" i="12"/>
  <c r="T218" i="12"/>
  <c r="M218" i="12"/>
  <c r="K218" i="12"/>
  <c r="O215" i="12"/>
  <c r="P214" i="12"/>
  <c r="Q213" i="12"/>
  <c r="R212" i="12"/>
  <c r="S211" i="12"/>
  <c r="T210" i="12"/>
  <c r="K210" i="12"/>
  <c r="M210" i="12"/>
  <c r="O207" i="12"/>
  <c r="P206" i="12"/>
  <c r="Q205" i="12"/>
  <c r="R204" i="12"/>
  <c r="S203" i="12"/>
  <c r="T202" i="12"/>
  <c r="K202" i="12"/>
  <c r="M202" i="12"/>
  <c r="O199" i="12"/>
  <c r="P198" i="12"/>
  <c r="Q197" i="12"/>
  <c r="R196" i="12"/>
  <c r="S195" i="12"/>
  <c r="T194" i="12"/>
  <c r="K194" i="12"/>
  <c r="M194" i="12"/>
  <c r="O191" i="12"/>
  <c r="P190" i="12"/>
  <c r="Q189" i="12"/>
  <c r="R188" i="12"/>
  <c r="S187" i="12"/>
  <c r="T186" i="12"/>
  <c r="K186" i="12"/>
  <c r="M186" i="12"/>
  <c r="O183" i="12"/>
  <c r="P182" i="12"/>
  <c r="Q181" i="12"/>
  <c r="R180" i="12"/>
  <c r="S179" i="12"/>
  <c r="T178" i="12"/>
  <c r="M178" i="12"/>
  <c r="K178" i="12"/>
  <c r="O175" i="12"/>
  <c r="P174" i="12"/>
  <c r="Q173" i="12"/>
  <c r="R172" i="12"/>
  <c r="S171" i="12"/>
  <c r="T170" i="12"/>
  <c r="K170" i="12"/>
  <c r="M170" i="12"/>
  <c r="O167" i="12"/>
  <c r="P166" i="12"/>
  <c r="Q165" i="12"/>
  <c r="R164" i="12"/>
  <c r="S163" i="12"/>
  <c r="T162" i="12"/>
  <c r="M162" i="12"/>
  <c r="K162" i="12"/>
  <c r="O159" i="12"/>
  <c r="P158" i="12"/>
  <c r="Q157" i="12"/>
  <c r="R156" i="12"/>
  <c r="S155" i="12"/>
  <c r="T154" i="12"/>
  <c r="K154" i="12"/>
  <c r="M154" i="12"/>
  <c r="O151" i="12"/>
  <c r="P150" i="12"/>
  <c r="Q149" i="12"/>
  <c r="R148" i="12"/>
  <c r="S147" i="12"/>
  <c r="T146" i="12"/>
  <c r="K146" i="12"/>
  <c r="M146" i="12"/>
  <c r="O143" i="12"/>
  <c r="P142" i="12"/>
  <c r="Q141" i="12"/>
  <c r="R140" i="12"/>
  <c r="S139" i="12"/>
  <c r="T138" i="12"/>
  <c r="K138" i="12"/>
  <c r="M138" i="12"/>
  <c r="O135" i="12"/>
  <c r="P134" i="12"/>
  <c r="Q133" i="12"/>
  <c r="R132" i="12"/>
  <c r="S131" i="12"/>
  <c r="T130" i="12"/>
  <c r="K130" i="12"/>
  <c r="M130" i="12"/>
  <c r="O127" i="12"/>
  <c r="P126" i="12"/>
  <c r="Q125" i="12"/>
  <c r="R124" i="12"/>
  <c r="S123" i="12"/>
  <c r="T122" i="12"/>
  <c r="K122" i="12"/>
  <c r="M122" i="12"/>
  <c r="O119" i="12"/>
  <c r="P118" i="12"/>
  <c r="Q117" i="12"/>
  <c r="R116" i="12"/>
  <c r="S115" i="12"/>
  <c r="T114" i="12"/>
  <c r="M114" i="12"/>
  <c r="K114" i="12"/>
  <c r="O111" i="12"/>
  <c r="P110" i="12"/>
  <c r="Q109" i="12"/>
  <c r="R108" i="12"/>
  <c r="S107" i="12"/>
  <c r="T106" i="12"/>
  <c r="M106" i="12"/>
  <c r="K106" i="12"/>
  <c r="O103" i="12"/>
  <c r="P102" i="12"/>
  <c r="Q101" i="12"/>
  <c r="R100" i="12"/>
  <c r="S99" i="12"/>
  <c r="T98" i="12"/>
  <c r="M98" i="12"/>
  <c r="K98" i="12"/>
  <c r="O95" i="12"/>
  <c r="P94" i="12"/>
  <c r="Q93" i="12"/>
  <c r="R92" i="12"/>
  <c r="S91" i="12"/>
  <c r="T90" i="12"/>
  <c r="K90" i="12"/>
  <c r="M90" i="12"/>
  <c r="O87" i="12"/>
  <c r="P86" i="12"/>
  <c r="Q85" i="12"/>
  <c r="R84" i="12"/>
  <c r="S83" i="12"/>
  <c r="T82" i="12"/>
  <c r="M82" i="12"/>
  <c r="K82" i="12"/>
  <c r="O79" i="12"/>
  <c r="P78" i="12"/>
  <c r="Q77" i="12"/>
  <c r="R76" i="12"/>
  <c r="S75" i="12"/>
  <c r="T74" i="12"/>
  <c r="K74" i="12"/>
  <c r="M74" i="12"/>
  <c r="O71" i="12"/>
  <c r="P70" i="12"/>
  <c r="Q69" i="12"/>
  <c r="R68" i="12"/>
  <c r="S67" i="12"/>
  <c r="T66" i="12"/>
  <c r="K66" i="12"/>
  <c r="M66" i="12"/>
  <c r="O63" i="12"/>
  <c r="P62" i="12"/>
  <c r="Q61" i="12"/>
  <c r="R60" i="12"/>
  <c r="S59" i="12"/>
  <c r="T58" i="12"/>
  <c r="K58" i="12"/>
  <c r="M58" i="12"/>
  <c r="O246" i="12"/>
  <c r="P245" i="12"/>
  <c r="Q244" i="12"/>
  <c r="R243" i="12"/>
  <c r="S242" i="12"/>
  <c r="N239" i="12"/>
  <c r="O238" i="12"/>
  <c r="P237" i="12"/>
  <c r="Q236" i="12"/>
  <c r="R235" i="12"/>
  <c r="S234" i="12"/>
  <c r="N231" i="12"/>
  <c r="O230" i="12"/>
  <c r="P229" i="12"/>
  <c r="Q228" i="12"/>
  <c r="R227" i="12"/>
  <c r="S226" i="12"/>
  <c r="N223" i="12"/>
  <c r="O222" i="12"/>
  <c r="P221" i="12"/>
  <c r="Q220" i="12"/>
  <c r="R219" i="12"/>
  <c r="S218" i="12"/>
  <c r="L216" i="12"/>
  <c r="N215" i="12"/>
  <c r="O214" i="12"/>
  <c r="P213" i="12"/>
  <c r="Q212" i="12"/>
  <c r="R211" i="12"/>
  <c r="S210" i="12"/>
  <c r="K209" i="12"/>
  <c r="N207" i="12"/>
  <c r="O206" i="12"/>
  <c r="P205" i="12"/>
  <c r="Q204" i="12"/>
  <c r="R203" i="12"/>
  <c r="S202" i="12"/>
  <c r="N199" i="12"/>
  <c r="O198" i="12"/>
  <c r="P197" i="12"/>
  <c r="Q196" i="12"/>
  <c r="R195" i="12"/>
  <c r="S194" i="12"/>
  <c r="N191" i="12"/>
  <c r="O190" i="12"/>
  <c r="P189" i="12"/>
  <c r="Q188" i="12"/>
  <c r="R187" i="12"/>
  <c r="S186" i="12"/>
  <c r="N183" i="12"/>
  <c r="O182" i="12"/>
  <c r="P181" i="12"/>
  <c r="Q180" i="12"/>
  <c r="R179" i="12"/>
  <c r="S178" i="12"/>
  <c r="N175" i="12"/>
  <c r="O174" i="12"/>
  <c r="P173" i="12"/>
  <c r="Q172" i="12"/>
  <c r="R171" i="12"/>
  <c r="S170" i="12"/>
  <c r="N167" i="12"/>
  <c r="O166" i="12"/>
  <c r="P165" i="12"/>
  <c r="Q164" i="12"/>
  <c r="R163" i="12"/>
  <c r="S162" i="12"/>
  <c r="N159" i="12"/>
  <c r="O158" i="12"/>
  <c r="P157" i="12"/>
  <c r="Q156" i="12"/>
  <c r="R155" i="12"/>
  <c r="S154" i="12"/>
  <c r="N151" i="12"/>
  <c r="O150" i="12"/>
  <c r="P149" i="12"/>
  <c r="Q148" i="12"/>
  <c r="R147" i="12"/>
  <c r="S146" i="12"/>
  <c r="N143" i="12"/>
  <c r="O142" i="12"/>
  <c r="P141" i="12"/>
  <c r="Q140" i="12"/>
  <c r="R139" i="12"/>
  <c r="S138" i="12"/>
  <c r="N135" i="12"/>
  <c r="O134" i="12"/>
  <c r="P133" i="12"/>
  <c r="Q132" i="12"/>
  <c r="R131" i="12"/>
  <c r="S130" i="12"/>
  <c r="N127" i="12"/>
  <c r="O126" i="12"/>
  <c r="P125" i="12"/>
  <c r="Q124" i="12"/>
  <c r="R123" i="12"/>
  <c r="S122" i="12"/>
  <c r="N119" i="12"/>
  <c r="O118" i="12"/>
  <c r="P117" i="12"/>
  <c r="Q116" i="12"/>
  <c r="R115" i="12"/>
  <c r="S114" i="12"/>
  <c r="N111" i="12"/>
  <c r="O110" i="12"/>
  <c r="P109" i="12"/>
  <c r="Q108" i="12"/>
  <c r="R107" i="12"/>
  <c r="S106" i="12"/>
  <c r="N103" i="12"/>
  <c r="O102" i="12"/>
  <c r="P101" i="12"/>
  <c r="Q100" i="12"/>
  <c r="R99" i="12"/>
  <c r="S98" i="12"/>
  <c r="N95" i="12"/>
  <c r="O94" i="12"/>
  <c r="P93" i="12"/>
  <c r="Q92" i="12"/>
  <c r="R91" i="12"/>
  <c r="S90" i="12"/>
  <c r="N87" i="12"/>
  <c r="O86" i="12"/>
  <c r="P85" i="12"/>
  <c r="Q84" i="12"/>
  <c r="R83" i="12"/>
  <c r="S82" i="12"/>
  <c r="N79" i="12"/>
  <c r="O78" i="12"/>
  <c r="P77" i="12"/>
  <c r="Q76" i="12"/>
  <c r="R75" i="12"/>
  <c r="S74" i="12"/>
  <c r="N71" i="12"/>
  <c r="O70" i="12"/>
  <c r="P69" i="12"/>
  <c r="Q68" i="12"/>
  <c r="R67" i="12"/>
  <c r="S66" i="12"/>
  <c r="N63" i="12"/>
  <c r="O62" i="12"/>
  <c r="P61" i="12"/>
  <c r="Q60" i="12"/>
  <c r="R59" i="12"/>
  <c r="S58" i="12"/>
  <c r="N55" i="12"/>
  <c r="O54" i="12"/>
  <c r="P53" i="12"/>
  <c r="Q52" i="12"/>
  <c r="R51" i="12"/>
  <c r="S50" i="12"/>
  <c r="N47" i="12"/>
  <c r="O46" i="12"/>
  <c r="P45" i="12"/>
  <c r="Q44" i="12"/>
  <c r="R43" i="12"/>
  <c r="S42" i="12"/>
  <c r="N39" i="12"/>
  <c r="O38" i="12"/>
  <c r="P37" i="12"/>
  <c r="Q36" i="12"/>
  <c r="R35" i="12"/>
  <c r="S34" i="12"/>
  <c r="N31" i="12"/>
  <c r="O30" i="12"/>
  <c r="P29" i="12"/>
  <c r="Q28" i="12"/>
  <c r="R27" i="12"/>
  <c r="S26" i="12"/>
  <c r="N23" i="12"/>
  <c r="O22" i="12"/>
  <c r="P21" i="12"/>
  <c r="Q20" i="12"/>
  <c r="R19" i="12"/>
  <c r="S18" i="12"/>
  <c r="N15" i="12"/>
  <c r="O14" i="12"/>
  <c r="P13" i="12"/>
  <c r="Q12" i="12"/>
  <c r="R11" i="12"/>
  <c r="S10" i="12"/>
  <c r="N7" i="12"/>
  <c r="O6" i="12"/>
  <c r="L207" i="12"/>
  <c r="N206" i="12"/>
  <c r="O205" i="12"/>
  <c r="P204" i="12"/>
  <c r="Q203" i="12"/>
  <c r="R202" i="12"/>
  <c r="L199" i="12"/>
  <c r="N198" i="12"/>
  <c r="O197" i="12"/>
  <c r="P196" i="12"/>
  <c r="Q195" i="12"/>
  <c r="R194" i="12"/>
  <c r="L191" i="12"/>
  <c r="N190" i="12"/>
  <c r="O189" i="12"/>
  <c r="P188" i="12"/>
  <c r="Q187" i="12"/>
  <c r="R186" i="12"/>
  <c r="L183" i="12"/>
  <c r="N182" i="12"/>
  <c r="O181" i="12"/>
  <c r="P180" i="12"/>
  <c r="Q179" i="12"/>
  <c r="R178" i="12"/>
  <c r="L175" i="12"/>
  <c r="N174" i="12"/>
  <c r="O173" i="12"/>
  <c r="P172" i="12"/>
  <c r="Q171" i="12"/>
  <c r="R170" i="12"/>
  <c r="L167" i="12"/>
  <c r="N166" i="12"/>
  <c r="O165" i="12"/>
  <c r="P164" i="12"/>
  <c r="Q163" i="12"/>
  <c r="R162" i="12"/>
  <c r="L159" i="12"/>
  <c r="N158" i="12"/>
  <c r="O157" i="12"/>
  <c r="P156" i="12"/>
  <c r="Q155" i="12"/>
  <c r="R154" i="12"/>
  <c r="L151" i="12"/>
  <c r="N150" i="12"/>
  <c r="O149" i="12"/>
  <c r="P148" i="12"/>
  <c r="Q147" i="12"/>
  <c r="R146" i="12"/>
  <c r="L143" i="12"/>
  <c r="N142" i="12"/>
  <c r="O141" i="12"/>
  <c r="P140" i="12"/>
  <c r="Q139" i="12"/>
  <c r="R138" i="12"/>
  <c r="L135" i="12"/>
  <c r="N134" i="12"/>
  <c r="O133" i="12"/>
  <c r="P132" i="12"/>
  <c r="Q131" i="12"/>
  <c r="R130" i="12"/>
  <c r="L127" i="12"/>
  <c r="N126" i="12"/>
  <c r="O125" i="12"/>
  <c r="P124" i="12"/>
  <c r="Q123" i="12"/>
  <c r="R122" i="12"/>
  <c r="K120" i="12"/>
  <c r="L119" i="12"/>
  <c r="N118" i="12"/>
  <c r="O117" i="12"/>
  <c r="P116" i="12"/>
  <c r="Q115" i="12"/>
  <c r="R114" i="12"/>
  <c r="L111" i="12"/>
  <c r="N110" i="12"/>
  <c r="O109" i="12"/>
  <c r="P108" i="12"/>
  <c r="Q107" i="12"/>
  <c r="R106" i="12"/>
  <c r="L103" i="12"/>
  <c r="N102" i="12"/>
  <c r="O101" i="12"/>
  <c r="P100" i="12"/>
  <c r="Q99" i="12"/>
  <c r="R98" i="12"/>
  <c r="L95" i="12"/>
  <c r="N94" i="12"/>
  <c r="O93" i="12"/>
  <c r="P92" i="12"/>
  <c r="Q91" i="12"/>
  <c r="R90" i="12"/>
  <c r="L87" i="12"/>
  <c r="N86" i="12"/>
  <c r="O85" i="12"/>
  <c r="P84" i="12"/>
  <c r="Q83" i="12"/>
  <c r="R82" i="12"/>
  <c r="L79" i="12"/>
  <c r="N78" i="12"/>
  <c r="O77" i="12"/>
  <c r="P76" i="12"/>
  <c r="Q75" i="12"/>
  <c r="R74" i="12"/>
  <c r="L71" i="12"/>
  <c r="N70" i="12"/>
  <c r="O69" i="12"/>
  <c r="P68" i="12"/>
  <c r="Q67" i="12"/>
  <c r="R66" i="12"/>
  <c r="L63" i="12"/>
  <c r="N62" i="12"/>
  <c r="O61" i="12"/>
  <c r="P60" i="12"/>
  <c r="Q59" i="12"/>
  <c r="R58" i="12"/>
  <c r="Q258" i="12"/>
  <c r="T255" i="12"/>
  <c r="M255" i="12"/>
  <c r="K255" i="12"/>
  <c r="L254" i="12"/>
  <c r="N253" i="12"/>
  <c r="O252" i="12"/>
  <c r="P251" i="12"/>
  <c r="Q250" i="12"/>
  <c r="T247" i="12"/>
  <c r="K247" i="12"/>
  <c r="M247" i="12"/>
  <c r="L246" i="12"/>
  <c r="N245" i="12"/>
  <c r="O244" i="12"/>
  <c r="P243" i="12"/>
  <c r="Q242" i="12"/>
  <c r="T239" i="12"/>
  <c r="K239" i="12"/>
  <c r="M239" i="12"/>
  <c r="L238" i="12"/>
  <c r="N237" i="12"/>
  <c r="O236" i="12"/>
  <c r="P235" i="12"/>
  <c r="Q234" i="12"/>
  <c r="T231" i="12"/>
  <c r="K231" i="12"/>
  <c r="M231" i="12"/>
  <c r="L230" i="12"/>
  <c r="N229" i="12"/>
  <c r="O228" i="12"/>
  <c r="P227" i="12"/>
  <c r="Q226" i="12"/>
  <c r="T223" i="12"/>
  <c r="K223" i="12"/>
  <c r="M223" i="12"/>
  <c r="L222" i="12"/>
  <c r="N221" i="12"/>
  <c r="O220" i="12"/>
  <c r="P219" i="12"/>
  <c r="Q218" i="12"/>
  <c r="T215" i="12"/>
  <c r="M215" i="12"/>
  <c r="K215" i="12"/>
  <c r="L214" i="12"/>
  <c r="N213" i="12"/>
  <c r="O212" i="12"/>
  <c r="P211" i="12"/>
  <c r="Q210" i="12"/>
  <c r="T207" i="12"/>
  <c r="K207" i="12"/>
  <c r="M207" i="12"/>
  <c r="L206" i="12"/>
  <c r="N205" i="12"/>
  <c r="O204" i="12"/>
  <c r="P203" i="12"/>
  <c r="Q202" i="12"/>
  <c r="T199" i="12"/>
  <c r="K199" i="12"/>
  <c r="M199" i="12"/>
  <c r="L198" i="12"/>
  <c r="N197" i="12"/>
  <c r="O196" i="12"/>
  <c r="P195" i="12"/>
  <c r="Q194" i="12"/>
  <c r="T191" i="12"/>
  <c r="M191" i="12"/>
  <c r="K191" i="12"/>
  <c r="L190" i="12"/>
  <c r="N189" i="12"/>
  <c r="O188" i="12"/>
  <c r="P187" i="12"/>
  <c r="Q186" i="12"/>
  <c r="T183" i="12"/>
  <c r="M183" i="12"/>
  <c r="K183" i="12"/>
  <c r="L182" i="12"/>
  <c r="N181" i="12"/>
  <c r="O180" i="12"/>
  <c r="P179" i="12"/>
  <c r="Q178" i="12"/>
  <c r="T175" i="12"/>
  <c r="K175" i="12"/>
  <c r="M175" i="12"/>
  <c r="L174" i="12"/>
  <c r="N173" i="12"/>
  <c r="O172" i="12"/>
  <c r="P171" i="12"/>
  <c r="Q170" i="12"/>
  <c r="T167" i="12"/>
  <c r="M167" i="12"/>
  <c r="K167" i="12"/>
  <c r="L166" i="12"/>
  <c r="N165" i="12"/>
  <c r="O164" i="12"/>
  <c r="P163" i="12"/>
  <c r="Q162" i="12"/>
  <c r="T159" i="12"/>
  <c r="K159" i="12"/>
  <c r="M159" i="12"/>
  <c r="L158" i="12"/>
  <c r="N157" i="12"/>
  <c r="O156" i="12"/>
  <c r="P155" i="12"/>
  <c r="Q154" i="12"/>
  <c r="T151" i="12"/>
  <c r="M151" i="12"/>
  <c r="K151" i="12"/>
  <c r="L150" i="12"/>
  <c r="N149" i="12"/>
  <c r="O148" i="12"/>
  <c r="P147" i="12"/>
  <c r="Q146" i="12"/>
  <c r="T143" i="12"/>
  <c r="K143" i="12"/>
  <c r="M143" i="12"/>
  <c r="L142" i="12"/>
  <c r="N141" i="12"/>
  <c r="O140" i="12"/>
  <c r="P139" i="12"/>
  <c r="Q138" i="12"/>
  <c r="T135" i="12"/>
  <c r="M135" i="12"/>
  <c r="K135" i="12"/>
  <c r="L134" i="12"/>
  <c r="N133" i="12"/>
  <c r="O132" i="12"/>
  <c r="P131" i="12"/>
  <c r="Q130" i="12"/>
  <c r="T127" i="12"/>
  <c r="M127" i="12"/>
  <c r="K127" i="12"/>
  <c r="L126" i="12"/>
  <c r="N125" i="12"/>
  <c r="O124" i="12"/>
  <c r="P123" i="12"/>
  <c r="Q122" i="12"/>
  <c r="T119" i="12"/>
  <c r="M119" i="12"/>
  <c r="K119" i="12"/>
  <c r="L118" i="12"/>
  <c r="N117" i="12"/>
  <c r="O116" i="12"/>
  <c r="P115" i="12"/>
  <c r="Q114" i="12"/>
  <c r="T111" i="12"/>
  <c r="K111" i="12"/>
  <c r="M111" i="12"/>
  <c r="L110" i="12"/>
  <c r="N109" i="12"/>
  <c r="O108" i="12"/>
  <c r="P107" i="12"/>
  <c r="Q106" i="12"/>
  <c r="T103" i="12"/>
  <c r="M103" i="12"/>
  <c r="K103" i="12"/>
  <c r="L102" i="12"/>
  <c r="N101" i="12"/>
  <c r="O100" i="12"/>
  <c r="P99" i="12"/>
  <c r="Q98" i="12"/>
  <c r="T95" i="12"/>
  <c r="K95" i="12"/>
  <c r="M95" i="12"/>
  <c r="L94" i="12"/>
  <c r="N93" i="12"/>
  <c r="O92" i="12"/>
  <c r="P91" i="12"/>
  <c r="Q90" i="12"/>
  <c r="T87" i="12"/>
  <c r="K87" i="12"/>
  <c r="M87" i="12"/>
  <c r="L86" i="12"/>
  <c r="N85" i="12"/>
  <c r="O84" i="12"/>
  <c r="P83" i="12"/>
  <c r="Q82" i="12"/>
  <c r="T79" i="12"/>
  <c r="K79" i="12"/>
  <c r="M79" i="12"/>
  <c r="L78" i="12"/>
  <c r="N77" i="12"/>
  <c r="O76" i="12"/>
  <c r="P75" i="12"/>
  <c r="Q74" i="12"/>
  <c r="T71" i="12"/>
  <c r="K71" i="12"/>
  <c r="L70" i="12"/>
  <c r="N69" i="12"/>
  <c r="O68" i="12"/>
  <c r="P67" i="12"/>
  <c r="Q66" i="12"/>
  <c r="T63" i="12"/>
  <c r="K63" i="12"/>
  <c r="M63" i="12"/>
  <c r="L62" i="12"/>
  <c r="N61" i="12"/>
  <c r="O60" i="12"/>
  <c r="P59" i="12"/>
  <c r="Q58" i="12"/>
  <c r="T55" i="12"/>
  <c r="K55" i="12"/>
  <c r="L54" i="12"/>
  <c r="N53" i="12"/>
  <c r="O52" i="12"/>
  <c r="P51" i="12"/>
  <c r="Q50" i="12"/>
  <c r="T47" i="12"/>
  <c r="K47" i="12"/>
  <c r="M47" i="12"/>
  <c r="L46" i="12"/>
  <c r="S391" i="12"/>
  <c r="T390" i="12"/>
  <c r="K390" i="12"/>
  <c r="M390" i="12"/>
  <c r="L389" i="12"/>
  <c r="N388" i="12"/>
  <c r="O387" i="12"/>
  <c r="P386" i="12"/>
  <c r="S383" i="12"/>
  <c r="T382" i="12"/>
  <c r="M382" i="12"/>
  <c r="K382" i="12"/>
  <c r="L381" i="12"/>
  <c r="N380" i="12"/>
  <c r="O379" i="12"/>
  <c r="P378" i="12"/>
  <c r="S375" i="12"/>
  <c r="T374" i="12"/>
  <c r="K374" i="12"/>
  <c r="M374" i="12"/>
  <c r="L373" i="12"/>
  <c r="N372" i="12"/>
  <c r="O371" i="12"/>
  <c r="P370" i="12"/>
  <c r="S367" i="12"/>
  <c r="T366" i="12"/>
  <c r="M366" i="12"/>
  <c r="K366" i="12"/>
  <c r="L365" i="12"/>
  <c r="N364" i="12"/>
  <c r="O363" i="12"/>
  <c r="P362" i="12"/>
  <c r="S359" i="12"/>
  <c r="T358" i="12"/>
  <c r="K358" i="12"/>
  <c r="M358" i="12"/>
  <c r="L357" i="12"/>
  <c r="N356" i="12"/>
  <c r="O355" i="12"/>
  <c r="P354" i="12"/>
  <c r="S351" i="12"/>
  <c r="T350" i="12"/>
  <c r="M350" i="12"/>
  <c r="K350" i="12"/>
  <c r="L349" i="12"/>
  <c r="N348" i="12"/>
  <c r="O347" i="12"/>
  <c r="P346" i="12"/>
  <c r="S343" i="12"/>
  <c r="T342" i="12"/>
  <c r="K342" i="12"/>
  <c r="M342" i="12"/>
  <c r="L341" i="12"/>
  <c r="N340" i="12"/>
  <c r="O339" i="12"/>
  <c r="P338" i="12"/>
  <c r="S335" i="12"/>
  <c r="T334" i="12"/>
  <c r="K334" i="12"/>
  <c r="M334" i="12"/>
  <c r="L333" i="12"/>
  <c r="N332" i="12"/>
  <c r="O331" i="12"/>
  <c r="P330" i="12"/>
  <c r="S327" i="12"/>
  <c r="T326" i="12"/>
  <c r="K326" i="12"/>
  <c r="M326" i="12"/>
  <c r="L325" i="12"/>
  <c r="N324" i="12"/>
  <c r="O323" i="12"/>
  <c r="P322" i="12"/>
  <c r="S319" i="12"/>
  <c r="T318" i="12"/>
  <c r="K318" i="12"/>
  <c r="M318" i="12"/>
  <c r="L317" i="12"/>
  <c r="N316" i="12"/>
  <c r="O315" i="12"/>
  <c r="P314" i="12"/>
  <c r="S311" i="12"/>
  <c r="T310" i="12"/>
  <c r="M310" i="12"/>
  <c r="K310" i="12"/>
  <c r="L309" i="12"/>
  <c r="N308" i="12"/>
  <c r="O307" i="12"/>
  <c r="P306" i="12"/>
  <c r="S303" i="12"/>
  <c r="T302" i="12"/>
  <c r="K302" i="12"/>
  <c r="M302" i="12"/>
  <c r="L301" i="12"/>
  <c r="N300" i="12"/>
  <c r="O299" i="12"/>
  <c r="P298" i="12"/>
  <c r="S295" i="12"/>
  <c r="T294" i="12"/>
  <c r="K294" i="12"/>
  <c r="M294" i="12"/>
  <c r="L293" i="12"/>
  <c r="N292" i="12"/>
  <c r="O291" i="12"/>
  <c r="P290" i="12"/>
  <c r="S287" i="12"/>
  <c r="T286" i="12"/>
  <c r="K286" i="12"/>
  <c r="M286" i="12"/>
  <c r="L285" i="12"/>
  <c r="N284" i="12"/>
  <c r="O283" i="12"/>
  <c r="P282" i="12"/>
  <c r="S279" i="12"/>
  <c r="T278" i="12"/>
  <c r="K278" i="12"/>
  <c r="M278" i="12"/>
  <c r="L277" i="12"/>
  <c r="N276" i="12"/>
  <c r="O275" i="12"/>
  <c r="P274" i="12"/>
  <c r="S271" i="12"/>
  <c r="T270" i="12"/>
  <c r="K270" i="12"/>
  <c r="M270" i="12"/>
  <c r="L269" i="12"/>
  <c r="N268" i="12"/>
  <c r="O267" i="12"/>
  <c r="P266" i="12"/>
  <c r="S263" i="12"/>
  <c r="T262" i="12"/>
  <c r="K262" i="12"/>
  <c r="M262" i="12"/>
  <c r="L261" i="12"/>
  <c r="N260" i="12"/>
  <c r="O259" i="12"/>
  <c r="P258" i="12"/>
  <c r="S255" i="12"/>
  <c r="T254" i="12"/>
  <c r="M254" i="12"/>
  <c r="K254" i="12"/>
  <c r="L253" i="12"/>
  <c r="N252" i="12"/>
  <c r="O251" i="12"/>
  <c r="P250" i="12"/>
  <c r="S247" i="12"/>
  <c r="T246" i="12"/>
  <c r="K246" i="12"/>
  <c r="M246" i="12"/>
  <c r="L245" i="12"/>
  <c r="N244" i="12"/>
  <c r="O243" i="12"/>
  <c r="P242" i="12"/>
  <c r="S239" i="12"/>
  <c r="T238" i="12"/>
  <c r="K238" i="12"/>
  <c r="M238" i="12"/>
  <c r="L237" i="12"/>
  <c r="N236" i="12"/>
  <c r="O235" i="12"/>
  <c r="P234" i="12"/>
  <c r="S231" i="12"/>
  <c r="T230" i="12"/>
  <c r="K230" i="12"/>
  <c r="M230" i="12"/>
  <c r="L229" i="12"/>
  <c r="N228" i="12"/>
  <c r="O227" i="12"/>
  <c r="P226" i="12"/>
  <c r="S223" i="12"/>
  <c r="T222" i="12"/>
  <c r="K222" i="12"/>
  <c r="M222" i="12"/>
  <c r="L221" i="12"/>
  <c r="N220" i="12"/>
  <c r="O219" i="12"/>
  <c r="P218" i="12"/>
  <c r="S215" i="12"/>
  <c r="T214" i="12"/>
  <c r="K214" i="12"/>
  <c r="M214" i="12"/>
  <c r="L213" i="12"/>
  <c r="N212" i="12"/>
  <c r="O211" i="12"/>
  <c r="P210" i="12"/>
  <c r="S207" i="12"/>
  <c r="T206" i="12"/>
  <c r="K206" i="12"/>
  <c r="M206" i="12"/>
  <c r="L205" i="12"/>
  <c r="N204" i="12"/>
  <c r="O203" i="12"/>
  <c r="P202" i="12"/>
  <c r="S199" i="12"/>
  <c r="T198" i="12"/>
  <c r="M198" i="12"/>
  <c r="K198" i="12"/>
  <c r="L197" i="12"/>
  <c r="N196" i="12"/>
  <c r="O195" i="12"/>
  <c r="P194" i="12"/>
  <c r="S191" i="12"/>
  <c r="T190" i="12"/>
  <c r="K190" i="12"/>
  <c r="M190" i="12"/>
  <c r="L189" i="12"/>
  <c r="N188" i="12"/>
  <c r="O187" i="12"/>
  <c r="P186" i="12"/>
  <c r="S183" i="12"/>
  <c r="T182" i="12"/>
  <c r="M182" i="12"/>
  <c r="K182" i="12"/>
  <c r="L181" i="12"/>
  <c r="N180" i="12"/>
  <c r="O179" i="12"/>
  <c r="P178" i="12"/>
  <c r="S175" i="12"/>
  <c r="T174" i="12"/>
  <c r="K174" i="12"/>
  <c r="M174" i="12"/>
  <c r="L173" i="12"/>
  <c r="N172" i="12"/>
  <c r="O171" i="12"/>
  <c r="P170" i="12"/>
  <c r="S167" i="12"/>
  <c r="T166" i="12"/>
  <c r="K166" i="12"/>
  <c r="M166" i="12"/>
  <c r="L165" i="12"/>
  <c r="N164" i="12"/>
  <c r="O163" i="12"/>
  <c r="P162" i="12"/>
  <c r="S159" i="12"/>
  <c r="T158" i="12"/>
  <c r="K158" i="12"/>
  <c r="M158" i="12"/>
  <c r="L157" i="12"/>
  <c r="N156" i="12"/>
  <c r="O155" i="12"/>
  <c r="P154" i="12"/>
  <c r="S151" i="12"/>
  <c r="T150" i="12"/>
  <c r="K150" i="12"/>
  <c r="M150" i="12"/>
  <c r="L149" i="12"/>
  <c r="N148" i="12"/>
  <c r="O147" i="12"/>
  <c r="P146" i="12"/>
  <c r="S143" i="12"/>
  <c r="T142" i="12"/>
  <c r="K142" i="12"/>
  <c r="M142" i="12"/>
  <c r="L141" i="12"/>
  <c r="N140" i="12"/>
  <c r="O139" i="12"/>
  <c r="P138" i="12"/>
  <c r="S135" i="12"/>
  <c r="T134" i="12"/>
  <c r="K134" i="12"/>
  <c r="M134" i="12"/>
  <c r="L133" i="12"/>
  <c r="N132" i="12"/>
  <c r="O131" i="12"/>
  <c r="P130" i="12"/>
  <c r="S127" i="12"/>
  <c r="T126" i="12"/>
  <c r="K126" i="12"/>
  <c r="M126" i="12"/>
  <c r="L125" i="12"/>
  <c r="N124" i="12"/>
  <c r="O123" i="12"/>
  <c r="P122" i="12"/>
  <c r="S119" i="12"/>
  <c r="T118" i="12"/>
  <c r="K118" i="12"/>
  <c r="M118" i="12"/>
  <c r="L117" i="12"/>
  <c r="N116" i="12"/>
  <c r="O115" i="12"/>
  <c r="P114" i="12"/>
  <c r="S111" i="12"/>
  <c r="T110" i="12"/>
  <c r="M110" i="12"/>
  <c r="K110" i="12"/>
  <c r="L109" i="12"/>
  <c r="N108" i="12"/>
  <c r="O107" i="12"/>
  <c r="P106" i="12"/>
  <c r="S103" i="12"/>
  <c r="T102" i="12"/>
  <c r="K102" i="12"/>
  <c r="M102" i="12"/>
  <c r="L101" i="12"/>
  <c r="N100" i="12"/>
  <c r="O99" i="12"/>
  <c r="P98" i="12"/>
  <c r="S95" i="12"/>
  <c r="T94" i="12"/>
  <c r="K94" i="12"/>
  <c r="M94" i="12"/>
  <c r="L93" i="12"/>
  <c r="N92" i="12"/>
  <c r="O91" i="12"/>
  <c r="P90" i="12"/>
  <c r="S87" i="12"/>
  <c r="T86" i="12"/>
  <c r="K86" i="12"/>
  <c r="M86" i="12"/>
  <c r="L85" i="12"/>
  <c r="N84" i="12"/>
  <c r="O83" i="12"/>
  <c r="P82" i="12"/>
  <c r="S79" i="12"/>
  <c r="T78" i="12"/>
  <c r="M78" i="12"/>
  <c r="K78" i="12"/>
  <c r="L77" i="12"/>
  <c r="N76" i="12"/>
  <c r="O75" i="12"/>
  <c r="P74" i="12"/>
  <c r="S71" i="12"/>
  <c r="T70" i="12"/>
  <c r="K70" i="12"/>
  <c r="M70" i="12"/>
  <c r="L69" i="12"/>
  <c r="N68" i="12"/>
  <c r="O67" i="12"/>
  <c r="P66" i="12"/>
  <c r="T317" i="12"/>
  <c r="K317" i="12"/>
  <c r="M317" i="12"/>
  <c r="L316" i="12"/>
  <c r="N315" i="12"/>
  <c r="O314" i="12"/>
  <c r="R311" i="12"/>
  <c r="S310" i="12"/>
  <c r="T309" i="12"/>
  <c r="M309" i="12"/>
  <c r="K309" i="12"/>
  <c r="L308" i="12"/>
  <c r="N307" i="12"/>
  <c r="O306" i="12"/>
  <c r="R303" i="12"/>
  <c r="S302" i="12"/>
  <c r="T301" i="12"/>
  <c r="K301" i="12"/>
  <c r="M301" i="12"/>
  <c r="L300" i="12"/>
  <c r="N299" i="12"/>
  <c r="O298" i="12"/>
  <c r="R295" i="12"/>
  <c r="S294" i="12"/>
  <c r="T293" i="12"/>
  <c r="K293" i="12"/>
  <c r="M293" i="12"/>
  <c r="L292" i="12"/>
  <c r="N291" i="12"/>
  <c r="O290" i="12"/>
  <c r="R287" i="12"/>
  <c r="S286" i="12"/>
  <c r="T285" i="12"/>
  <c r="M285" i="12"/>
  <c r="K285" i="12"/>
  <c r="L284" i="12"/>
  <c r="N283" i="12"/>
  <c r="O282" i="12"/>
  <c r="R279" i="12"/>
  <c r="S278" i="12"/>
  <c r="T277" i="12"/>
  <c r="K277" i="12"/>
  <c r="M277" i="12"/>
  <c r="L276" i="12"/>
  <c r="N275" i="12"/>
  <c r="O274" i="12"/>
  <c r="R271" i="12"/>
  <c r="S270" i="12"/>
  <c r="T269" i="12"/>
  <c r="M269" i="12"/>
  <c r="K269" i="12"/>
  <c r="L268" i="12"/>
  <c r="N267" i="12"/>
  <c r="O266" i="12"/>
  <c r="R263" i="12"/>
  <c r="S262" i="12"/>
  <c r="T261" i="12"/>
  <c r="K261" i="12"/>
  <c r="M261" i="12"/>
  <c r="L260" i="12"/>
  <c r="N259" i="12"/>
  <c r="O258" i="12"/>
  <c r="R255" i="12"/>
  <c r="S254" i="12"/>
  <c r="T253" i="12"/>
  <c r="K253" i="12"/>
  <c r="M253" i="12"/>
  <c r="L252" i="12"/>
  <c r="N251" i="12"/>
  <c r="O250" i="12"/>
  <c r="R247" i="12"/>
  <c r="S246" i="12"/>
  <c r="T245" i="12"/>
  <c r="K245" i="12"/>
  <c r="M245" i="12"/>
  <c r="L244" i="12"/>
  <c r="N243" i="12"/>
  <c r="O242" i="12"/>
  <c r="R239" i="12"/>
  <c r="S238" i="12"/>
  <c r="T237" i="12"/>
  <c r="M237" i="12"/>
  <c r="K237" i="12"/>
  <c r="L236" i="12"/>
  <c r="N235" i="12"/>
  <c r="O234" i="12"/>
  <c r="R231" i="12"/>
  <c r="S230" i="12"/>
  <c r="T229" i="12"/>
  <c r="K229" i="12"/>
  <c r="M229" i="12"/>
  <c r="L228" i="12"/>
  <c r="N227" i="12"/>
  <c r="O226" i="12"/>
  <c r="R223" i="12"/>
  <c r="S222" i="12"/>
  <c r="T221" i="12"/>
  <c r="M221" i="12"/>
  <c r="K221" i="12"/>
  <c r="L220" i="12"/>
  <c r="N219" i="12"/>
  <c r="O218" i="12"/>
  <c r="R215" i="12"/>
  <c r="S214" i="12"/>
  <c r="T213" i="12"/>
  <c r="M213" i="12"/>
  <c r="K213" i="12"/>
  <c r="L212" i="12"/>
  <c r="N211" i="12"/>
  <c r="O210" i="12"/>
  <c r="R207" i="12"/>
  <c r="S206" i="12"/>
  <c r="T205" i="12"/>
  <c r="K205" i="12"/>
  <c r="M205" i="12"/>
  <c r="L204" i="12"/>
  <c r="N203" i="12"/>
  <c r="O202" i="12"/>
  <c r="R199" i="12"/>
  <c r="S198" i="12"/>
  <c r="T197" i="12"/>
  <c r="M197" i="12"/>
  <c r="K197" i="12"/>
  <c r="L196" i="12"/>
  <c r="N195" i="12"/>
  <c r="O194" i="12"/>
  <c r="R191" i="12"/>
  <c r="S190" i="12"/>
  <c r="T189" i="12"/>
  <c r="M189" i="12"/>
  <c r="K189" i="12"/>
  <c r="L188" i="12"/>
  <c r="N187" i="12"/>
  <c r="O186" i="12"/>
  <c r="R183" i="12"/>
  <c r="S182" i="12"/>
  <c r="T181" i="12"/>
  <c r="K181" i="12"/>
  <c r="M181" i="12"/>
  <c r="L180" i="12"/>
  <c r="N179" i="12"/>
  <c r="O178" i="12"/>
  <c r="R175" i="12"/>
  <c r="S174" i="12"/>
  <c r="T173" i="12"/>
  <c r="M173" i="12"/>
  <c r="K173" i="12"/>
  <c r="L172" i="12"/>
  <c r="N171" i="12"/>
  <c r="O170" i="12"/>
  <c r="R167" i="12"/>
  <c r="S166" i="12"/>
  <c r="T165" i="12"/>
  <c r="K165" i="12"/>
  <c r="M165" i="12"/>
  <c r="L164" i="12"/>
  <c r="N163" i="12"/>
  <c r="O162" i="12"/>
  <c r="R159" i="12"/>
  <c r="S158" i="12"/>
  <c r="T157" i="12"/>
  <c r="M157" i="12"/>
  <c r="K157" i="12"/>
  <c r="L156" i="12"/>
  <c r="N155" i="12"/>
  <c r="O154" i="12"/>
  <c r="R151" i="12"/>
  <c r="S150" i="12"/>
  <c r="T149" i="12"/>
  <c r="K149" i="12"/>
  <c r="M149" i="12"/>
  <c r="L148" i="12"/>
  <c r="N147" i="12"/>
  <c r="O146" i="12"/>
  <c r="R143" i="12"/>
  <c r="S142" i="12"/>
  <c r="T141" i="12"/>
  <c r="M141" i="12"/>
  <c r="K141" i="12"/>
  <c r="L140" i="12"/>
  <c r="N139" i="12"/>
  <c r="O138" i="12"/>
  <c r="R135" i="12"/>
  <c r="S134" i="12"/>
  <c r="T133" i="12"/>
  <c r="K133" i="12"/>
  <c r="M133" i="12"/>
  <c r="L132" i="12"/>
  <c r="N131" i="12"/>
  <c r="O130" i="12"/>
  <c r="R127" i="12"/>
  <c r="S126" i="12"/>
  <c r="T125" i="12"/>
  <c r="M125" i="12"/>
  <c r="K125" i="12"/>
  <c r="L124" i="12"/>
  <c r="N123" i="12"/>
  <c r="O122" i="12"/>
  <c r="R119" i="12"/>
  <c r="S118" i="12"/>
  <c r="T117" i="12"/>
  <c r="K117" i="12"/>
  <c r="M117" i="12"/>
  <c r="L116" i="12"/>
  <c r="N115" i="12"/>
  <c r="O114" i="12"/>
  <c r="R111" i="12"/>
  <c r="S110" i="12"/>
  <c r="T109" i="12"/>
  <c r="K109" i="12"/>
  <c r="M109" i="12"/>
  <c r="L108" i="12"/>
  <c r="N107" i="12"/>
  <c r="O106" i="12"/>
  <c r="R103" i="12"/>
  <c r="S102" i="12"/>
  <c r="T101" i="12"/>
  <c r="K101" i="12"/>
  <c r="M101" i="12"/>
  <c r="L100" i="12"/>
  <c r="N99" i="12"/>
  <c r="O98" i="12"/>
  <c r="R95" i="12"/>
  <c r="S94" i="12"/>
  <c r="T93" i="12"/>
  <c r="M93" i="12"/>
  <c r="K93" i="12"/>
  <c r="L92" i="12"/>
  <c r="N91" i="12"/>
  <c r="O90" i="12"/>
  <c r="R87" i="12"/>
  <c r="S86" i="12"/>
  <c r="T85" i="12"/>
  <c r="K85" i="12"/>
  <c r="M85" i="12"/>
  <c r="L84" i="12"/>
  <c r="N83" i="12"/>
  <c r="O82" i="12"/>
  <c r="R79" i="12"/>
  <c r="S78" i="12"/>
  <c r="T77" i="12"/>
  <c r="K77" i="12"/>
  <c r="M77" i="12"/>
  <c r="L76" i="12"/>
  <c r="N75" i="12"/>
  <c r="O74" i="12"/>
  <c r="R71" i="12"/>
  <c r="S70" i="12"/>
  <c r="T69" i="12"/>
  <c r="M69" i="12"/>
  <c r="K69" i="12"/>
  <c r="L68" i="12"/>
  <c r="N67" i="12"/>
  <c r="O66" i="12"/>
  <c r="R63" i="12"/>
  <c r="S62" i="12"/>
  <c r="T61" i="12"/>
  <c r="M61" i="12"/>
  <c r="K61" i="12"/>
  <c r="L60" i="12"/>
  <c r="N59" i="12"/>
  <c r="O58" i="12"/>
  <c r="R55" i="12"/>
  <c r="S54" i="12"/>
  <c r="T53" i="12"/>
  <c r="K53" i="12"/>
  <c r="M53" i="12"/>
  <c r="L52" i="12"/>
  <c r="N51" i="12"/>
  <c r="O50" i="12"/>
  <c r="R47" i="12"/>
  <c r="S46" i="12"/>
  <c r="T45" i="12"/>
  <c r="M45" i="12"/>
  <c r="K45" i="12"/>
  <c r="L44" i="12"/>
  <c r="N43" i="12"/>
  <c r="O42" i="12"/>
  <c r="R39" i="12"/>
  <c r="S38" i="12"/>
  <c r="T37" i="12"/>
  <c r="M37" i="12"/>
  <c r="K37" i="12"/>
  <c r="L36" i="12"/>
  <c r="N35" i="12"/>
  <c r="O34" i="12"/>
  <c r="R31" i="12"/>
  <c r="S30" i="12"/>
  <c r="T29" i="12"/>
  <c r="M29" i="12"/>
  <c r="K29" i="12"/>
  <c r="L28" i="12"/>
  <c r="N27" i="12"/>
  <c r="O26" i="12"/>
  <c r="R23" i="12"/>
  <c r="S22" i="12"/>
  <c r="T21" i="12"/>
  <c r="K21" i="12"/>
  <c r="M21" i="12"/>
  <c r="L20" i="12"/>
  <c r="N19" i="12"/>
  <c r="O18" i="12"/>
  <c r="R15" i="12"/>
  <c r="S14" i="12"/>
  <c r="T13" i="12"/>
  <c r="M13" i="12"/>
  <c r="K13" i="12"/>
  <c r="L12" i="12"/>
  <c r="N11" i="12"/>
  <c r="O10" i="12"/>
  <c r="R7" i="12"/>
  <c r="S6" i="12"/>
  <c r="K1016" i="12"/>
  <c r="K1008" i="12"/>
  <c r="K1000" i="12"/>
  <c r="K992" i="12"/>
  <c r="K984" i="12"/>
  <c r="S968" i="12"/>
  <c r="S960" i="12"/>
  <c r="L952" i="12"/>
  <c r="L944" i="12"/>
  <c r="N928" i="12"/>
  <c r="L920" i="12"/>
  <c r="T904" i="12"/>
  <c r="T888" i="12"/>
  <c r="M888" i="12"/>
  <c r="M880" i="12"/>
  <c r="L872" i="12"/>
  <c r="M848" i="12"/>
  <c r="M840" i="12"/>
  <c r="M832" i="12"/>
  <c r="M824" i="12"/>
  <c r="M808" i="12"/>
  <c r="M792" i="12"/>
  <c r="M776" i="12"/>
  <c r="N768" i="12"/>
  <c r="M760" i="12"/>
  <c r="N752" i="12"/>
  <c r="M744" i="12"/>
  <c r="N736" i="12"/>
  <c r="M720" i="12"/>
  <c r="T712" i="12"/>
  <c r="N704" i="12"/>
  <c r="T696" i="12"/>
  <c r="M696" i="12"/>
  <c r="M680" i="12"/>
  <c r="N664" i="12"/>
  <c r="L656" i="12"/>
  <c r="M656" i="12"/>
  <c r="Q640" i="12"/>
  <c r="K632" i="12"/>
  <c r="M632" i="12"/>
  <c r="R624" i="12"/>
  <c r="N616" i="12"/>
  <c r="M608" i="12"/>
  <c r="P600" i="12"/>
  <c r="O592" i="12"/>
  <c r="O576" i="12"/>
  <c r="S560" i="12"/>
  <c r="K544" i="12"/>
  <c r="O528" i="12"/>
  <c r="M528" i="12"/>
  <c r="R488" i="12"/>
  <c r="P480" i="12"/>
  <c r="O456" i="12"/>
  <c r="Q440" i="12"/>
  <c r="N432" i="12"/>
  <c r="M416" i="12"/>
  <c r="T392" i="12"/>
  <c r="M368" i="12"/>
  <c r="M360" i="12"/>
  <c r="N312" i="12"/>
  <c r="M304" i="12"/>
  <c r="M296" i="12"/>
  <c r="S264" i="12"/>
  <c r="L240" i="12"/>
  <c r="R88" i="12"/>
  <c r="O55" i="12"/>
  <c r="P54" i="12"/>
  <c r="Q53" i="12"/>
  <c r="R52" i="12"/>
  <c r="S51" i="12"/>
  <c r="T50" i="12"/>
  <c r="K50" i="12"/>
  <c r="M50" i="12"/>
  <c r="O47" i="12"/>
  <c r="P46" i="12"/>
  <c r="Q45" i="12"/>
  <c r="R44" i="12"/>
  <c r="S43" i="12"/>
  <c r="T42" i="12"/>
  <c r="K42" i="12"/>
  <c r="M42" i="12"/>
  <c r="O39" i="12"/>
  <c r="P38" i="12"/>
  <c r="Q37" i="12"/>
  <c r="R36" i="12"/>
  <c r="S35" i="12"/>
  <c r="T34" i="12"/>
  <c r="K34" i="12"/>
  <c r="M34" i="12"/>
  <c r="O31" i="12"/>
  <c r="P30" i="12"/>
  <c r="Q29" i="12"/>
  <c r="R28" i="12"/>
  <c r="S27" i="12"/>
  <c r="T26" i="12"/>
  <c r="K26" i="12"/>
  <c r="M26" i="12"/>
  <c r="O23" i="12"/>
  <c r="P22" i="12"/>
  <c r="Q21" i="12"/>
  <c r="R20" i="12"/>
  <c r="S19" i="12"/>
  <c r="T18" i="12"/>
  <c r="K18" i="12"/>
  <c r="M18" i="12"/>
  <c r="O15" i="12"/>
  <c r="P14" i="12"/>
  <c r="Q13" i="12"/>
  <c r="R12" i="12"/>
  <c r="S11" i="12"/>
  <c r="T10" i="12"/>
  <c r="K10" i="12"/>
  <c r="M10" i="12"/>
  <c r="O7" i="12"/>
  <c r="P6" i="12"/>
  <c r="L55" i="12"/>
  <c r="N54" i="12"/>
  <c r="O53" i="12"/>
  <c r="P52" i="12"/>
  <c r="Q51" i="12"/>
  <c r="R50" i="12"/>
  <c r="L47" i="12"/>
  <c r="N46" i="12"/>
  <c r="O45" i="12"/>
  <c r="P44" i="12"/>
  <c r="Q43" i="12"/>
  <c r="R42" i="12"/>
  <c r="L39" i="12"/>
  <c r="N38" i="12"/>
  <c r="O37" i="12"/>
  <c r="P36" i="12"/>
  <c r="Q35" i="12"/>
  <c r="R34" i="12"/>
  <c r="L31" i="12"/>
  <c r="N30" i="12"/>
  <c r="O29" i="12"/>
  <c r="P28" i="12"/>
  <c r="Q27" i="12"/>
  <c r="R26" i="12"/>
  <c r="L23" i="12"/>
  <c r="N22" i="12"/>
  <c r="O21" i="12"/>
  <c r="P20" i="12"/>
  <c r="Q19" i="12"/>
  <c r="R18" i="12"/>
  <c r="L15" i="12"/>
  <c r="N14" i="12"/>
  <c r="O13" i="12"/>
  <c r="P12" i="12"/>
  <c r="Q11" i="12"/>
  <c r="R10" i="12"/>
  <c r="L7" i="12"/>
  <c r="N6" i="12"/>
  <c r="N45" i="12"/>
  <c r="O44" i="12"/>
  <c r="P43" i="12"/>
  <c r="Q42" i="12"/>
  <c r="T39" i="12"/>
  <c r="K39" i="12"/>
  <c r="L38" i="12"/>
  <c r="N37" i="12"/>
  <c r="O36" i="12"/>
  <c r="P35" i="12"/>
  <c r="Q34" i="12"/>
  <c r="T31" i="12"/>
  <c r="M31" i="12"/>
  <c r="K31" i="12"/>
  <c r="L30" i="12"/>
  <c r="N29" i="12"/>
  <c r="O28" i="12"/>
  <c r="P27" i="12"/>
  <c r="Q26" i="12"/>
  <c r="T23" i="12"/>
  <c r="K23" i="12"/>
  <c r="L22" i="12"/>
  <c r="N21" i="12"/>
  <c r="O20" i="12"/>
  <c r="P19" i="12"/>
  <c r="Q18" i="12"/>
  <c r="T15" i="12"/>
  <c r="K15" i="12"/>
  <c r="M15" i="12"/>
  <c r="L14" i="12"/>
  <c r="N13" i="12"/>
  <c r="O12" i="12"/>
  <c r="P11" i="12"/>
  <c r="Q10" i="12"/>
  <c r="T7" i="12"/>
  <c r="K7" i="12"/>
  <c r="L6" i="12"/>
  <c r="S63" i="12"/>
  <c r="T62" i="12"/>
  <c r="K62" i="12"/>
  <c r="M62" i="12"/>
  <c r="L61" i="12"/>
  <c r="N60" i="12"/>
  <c r="O59" i="12"/>
  <c r="P58" i="12"/>
  <c r="S55" i="12"/>
  <c r="T54" i="12"/>
  <c r="K54" i="12"/>
  <c r="M54" i="12"/>
  <c r="L53" i="12"/>
  <c r="N52" i="12"/>
  <c r="O51" i="12"/>
  <c r="P50" i="12"/>
  <c r="S47" i="12"/>
  <c r="T46" i="12"/>
  <c r="K46" i="12"/>
  <c r="M46" i="12"/>
  <c r="L45" i="12"/>
  <c r="N44" i="12"/>
  <c r="O43" i="12"/>
  <c r="P42" i="12"/>
  <c r="S39" i="12"/>
  <c r="T38" i="12"/>
  <c r="M38" i="12"/>
  <c r="K38" i="12"/>
  <c r="L37" i="12"/>
  <c r="N36" i="12"/>
  <c r="O35" i="12"/>
  <c r="P34" i="12"/>
  <c r="S31" i="12"/>
  <c r="T30" i="12"/>
  <c r="K30" i="12"/>
  <c r="M30" i="12"/>
  <c r="L29" i="12"/>
  <c r="N28" i="12"/>
  <c r="O27" i="12"/>
  <c r="P26" i="12"/>
  <c r="S23" i="12"/>
  <c r="T22" i="12"/>
  <c r="K22" i="12"/>
  <c r="M22" i="12"/>
  <c r="L21" i="12"/>
  <c r="N20" i="12"/>
  <c r="O19" i="12"/>
  <c r="P18" i="12"/>
  <c r="S15" i="12"/>
  <c r="T14" i="12"/>
  <c r="K14" i="12"/>
  <c r="M14" i="12"/>
  <c r="L13" i="12"/>
  <c r="N12" i="12"/>
  <c r="O11" i="12"/>
  <c r="P10" i="12"/>
  <c r="S7" i="12"/>
  <c r="T6" i="12"/>
  <c r="K6" i="12"/>
  <c r="M6" i="12"/>
  <c r="M503" i="12"/>
  <c r="M495" i="12"/>
  <c r="M71" i="12"/>
  <c r="M55" i="12"/>
  <c r="M39" i="12"/>
  <c r="M23" i="12"/>
  <c r="M7" i="12"/>
  <c r="M961" i="12"/>
  <c r="O961" i="12"/>
  <c r="P961" i="12"/>
  <c r="M921" i="12"/>
  <c r="N921" i="12"/>
  <c r="O921" i="12"/>
  <c r="P921" i="12"/>
  <c r="Q921" i="12"/>
  <c r="M889" i="12"/>
  <c r="N889" i="12"/>
  <c r="O889" i="12"/>
  <c r="P889" i="12"/>
  <c r="Q889" i="12"/>
  <c r="M841" i="12"/>
  <c r="N841" i="12"/>
  <c r="O841" i="12"/>
  <c r="P841" i="12"/>
  <c r="Q841" i="12"/>
  <c r="M801" i="12"/>
  <c r="N801" i="12"/>
  <c r="O801" i="12"/>
  <c r="P801" i="12"/>
  <c r="Q801" i="12"/>
  <c r="M761" i="12"/>
  <c r="N761" i="12"/>
  <c r="O761" i="12"/>
  <c r="P761" i="12"/>
  <c r="Q761" i="12"/>
  <c r="M721" i="12"/>
  <c r="N721" i="12"/>
  <c r="O721" i="12"/>
  <c r="P721" i="12"/>
  <c r="Q721" i="12"/>
  <c r="M681" i="12"/>
  <c r="N681" i="12"/>
  <c r="O681" i="12"/>
  <c r="P681" i="12"/>
  <c r="Q681" i="12"/>
  <c r="R641" i="12"/>
  <c r="Q641" i="12"/>
  <c r="S641" i="12"/>
  <c r="K641" i="12"/>
  <c r="T641" i="12"/>
  <c r="L641" i="12"/>
  <c r="M641" i="12"/>
  <c r="R601" i="12"/>
  <c r="S601" i="12"/>
  <c r="K601" i="12"/>
  <c r="T601" i="12"/>
  <c r="L601" i="12"/>
  <c r="M601" i="12"/>
  <c r="N601" i="12"/>
  <c r="R569" i="12"/>
  <c r="N569" i="12"/>
  <c r="O569" i="12"/>
  <c r="P569" i="12"/>
  <c r="Q569" i="12"/>
  <c r="S569" i="12"/>
  <c r="R537" i="12"/>
  <c r="S537" i="12"/>
  <c r="K537" i="12"/>
  <c r="T537" i="12"/>
  <c r="L537" i="12"/>
  <c r="M537" i="12"/>
  <c r="N537" i="12"/>
  <c r="Q497" i="12"/>
  <c r="R497" i="12"/>
  <c r="K497" i="12"/>
  <c r="S497" i="12"/>
  <c r="N497" i="12"/>
  <c r="O497" i="12"/>
  <c r="P497" i="12"/>
  <c r="T497" i="12"/>
  <c r="P449" i="12"/>
  <c r="Q449" i="12"/>
  <c r="R449" i="12"/>
  <c r="K449" i="12"/>
  <c r="S449" i="12"/>
  <c r="L449" i="12"/>
  <c r="M449" i="12"/>
  <c r="N409" i="12"/>
  <c r="O409" i="12"/>
  <c r="P409" i="12"/>
  <c r="Q409" i="12"/>
  <c r="S409" i="12"/>
  <c r="T409" i="12"/>
  <c r="K409" i="12"/>
  <c r="R409" i="12"/>
  <c r="N369" i="12"/>
  <c r="O369" i="12"/>
  <c r="P369" i="12"/>
  <c r="Q369" i="12"/>
  <c r="K369" i="12"/>
  <c r="L369" i="12"/>
  <c r="M369" i="12"/>
  <c r="R369" i="12"/>
  <c r="S369" i="12"/>
  <c r="T369" i="12"/>
  <c r="N329" i="12"/>
  <c r="O329" i="12"/>
  <c r="P329" i="12"/>
  <c r="Q329" i="12"/>
  <c r="M329" i="12"/>
  <c r="R329" i="12"/>
  <c r="S329" i="12"/>
  <c r="T329" i="12"/>
  <c r="L329" i="12"/>
  <c r="N297" i="12"/>
  <c r="O297" i="12"/>
  <c r="P297" i="12"/>
  <c r="Q297" i="12"/>
  <c r="K297" i="12"/>
  <c r="L297" i="12"/>
  <c r="M297" i="12"/>
  <c r="S297" i="12"/>
  <c r="T297" i="12"/>
  <c r="O257" i="12"/>
  <c r="S257" i="12"/>
  <c r="K257" i="12"/>
  <c r="T257" i="12"/>
  <c r="L257" i="12"/>
  <c r="M257" i="12"/>
  <c r="N257" i="12"/>
  <c r="P257" i="12"/>
  <c r="Q257" i="12"/>
  <c r="R257" i="12"/>
  <c r="L217" i="12"/>
  <c r="T217" i="12"/>
  <c r="M217" i="12"/>
  <c r="O217" i="12"/>
  <c r="Q217" i="12"/>
  <c r="R217" i="12"/>
  <c r="S217" i="12"/>
  <c r="K217" i="12"/>
  <c r="N217" i="12"/>
  <c r="P217" i="12"/>
  <c r="R177" i="12"/>
  <c r="K177" i="12"/>
  <c r="S177" i="12"/>
  <c r="L177" i="12"/>
  <c r="T177" i="12"/>
  <c r="M177" i="12"/>
  <c r="O177" i="12"/>
  <c r="Q177" i="12"/>
  <c r="N177" i="12"/>
  <c r="P177" i="12"/>
  <c r="R153" i="12"/>
  <c r="K153" i="12"/>
  <c r="S153" i="12"/>
  <c r="L153" i="12"/>
  <c r="T153" i="12"/>
  <c r="M153" i="12"/>
  <c r="O153" i="12"/>
  <c r="N153" i="12"/>
  <c r="P153" i="12"/>
  <c r="R113" i="12"/>
  <c r="K113" i="12"/>
  <c r="S113" i="12"/>
  <c r="L113" i="12"/>
  <c r="T113" i="12"/>
  <c r="M113" i="12"/>
  <c r="O113" i="12"/>
  <c r="Q113" i="12"/>
  <c r="P113" i="12"/>
  <c r="N113" i="12"/>
  <c r="M73" i="12"/>
  <c r="O73" i="12"/>
  <c r="L73" i="12"/>
  <c r="N73" i="12"/>
  <c r="P73" i="12"/>
  <c r="Q73" i="12"/>
  <c r="S73" i="12"/>
  <c r="K73" i="12"/>
  <c r="R73" i="12"/>
  <c r="T73" i="12"/>
  <c r="M33" i="12"/>
  <c r="N33" i="12"/>
  <c r="O33" i="12"/>
  <c r="P33" i="12"/>
  <c r="R33" i="12"/>
  <c r="S33" i="12"/>
  <c r="T33" i="12"/>
  <c r="K33" i="12"/>
  <c r="L33" i="12"/>
  <c r="Q33" i="12"/>
  <c r="O985" i="12"/>
  <c r="K969" i="12"/>
  <c r="T889" i="12"/>
  <c r="R713" i="12"/>
  <c r="S673" i="12"/>
  <c r="M593" i="12"/>
  <c r="Q537" i="12"/>
  <c r="Q976" i="12"/>
  <c r="R976" i="12"/>
  <c r="O936" i="12"/>
  <c r="Q936" i="12"/>
  <c r="R936" i="12"/>
  <c r="K936" i="12"/>
  <c r="S936" i="12"/>
  <c r="O896" i="12"/>
  <c r="P896" i="12"/>
  <c r="Q896" i="12"/>
  <c r="R896" i="12"/>
  <c r="K896" i="12"/>
  <c r="S896" i="12"/>
  <c r="O856" i="12"/>
  <c r="P856" i="12"/>
  <c r="Q856" i="12"/>
  <c r="R856" i="12"/>
  <c r="K856" i="12"/>
  <c r="S856" i="12"/>
  <c r="O816" i="12"/>
  <c r="P816" i="12"/>
  <c r="Q816" i="12"/>
  <c r="R816" i="12"/>
  <c r="K816" i="12"/>
  <c r="S816" i="12"/>
  <c r="O784" i="12"/>
  <c r="P784" i="12"/>
  <c r="Q784" i="12"/>
  <c r="R784" i="12"/>
  <c r="K784" i="12"/>
  <c r="S784" i="12"/>
  <c r="O728" i="12"/>
  <c r="P728" i="12"/>
  <c r="Q728" i="12"/>
  <c r="R728" i="12"/>
  <c r="K728" i="12"/>
  <c r="S728" i="12"/>
  <c r="O688" i="12"/>
  <c r="P688" i="12"/>
  <c r="Q688" i="12"/>
  <c r="R688" i="12"/>
  <c r="K688" i="12"/>
  <c r="S688" i="12"/>
  <c r="L648" i="12"/>
  <c r="T648" i="12"/>
  <c r="M648" i="12"/>
  <c r="N648" i="12"/>
  <c r="O648" i="12"/>
  <c r="P648" i="12"/>
  <c r="Q648" i="12"/>
  <c r="L608" i="12"/>
  <c r="T608" i="12"/>
  <c r="N608" i="12"/>
  <c r="O608" i="12"/>
  <c r="P608" i="12"/>
  <c r="Q608" i="12"/>
  <c r="R608" i="12"/>
  <c r="L568" i="12"/>
  <c r="T568" i="12"/>
  <c r="O568" i="12"/>
  <c r="P568" i="12"/>
  <c r="Q568" i="12"/>
  <c r="R568" i="12"/>
  <c r="S568" i="12"/>
  <c r="L536" i="12"/>
  <c r="T536" i="12"/>
  <c r="S536" i="12"/>
  <c r="K536" i="12"/>
  <c r="M536" i="12"/>
  <c r="N536" i="12"/>
  <c r="O536" i="12"/>
  <c r="K496" i="12"/>
  <c r="S496" i="12"/>
  <c r="L496" i="12"/>
  <c r="T496" i="12"/>
  <c r="M496" i="12"/>
  <c r="N496" i="12"/>
  <c r="O496" i="12"/>
  <c r="P496" i="12"/>
  <c r="Q496" i="12"/>
  <c r="R448" i="12"/>
  <c r="K448" i="12"/>
  <c r="S448" i="12"/>
  <c r="L448" i="12"/>
  <c r="T448" i="12"/>
  <c r="M448" i="12"/>
  <c r="O448" i="12"/>
  <c r="P448" i="12"/>
  <c r="Q448" i="12"/>
  <c r="P400" i="12"/>
  <c r="Q400" i="12"/>
  <c r="R400" i="12"/>
  <c r="K400" i="12"/>
  <c r="S400" i="12"/>
  <c r="L400" i="12"/>
  <c r="M400" i="12"/>
  <c r="N400" i="12"/>
  <c r="O400" i="12"/>
  <c r="T400" i="12"/>
  <c r="P368" i="12"/>
  <c r="Q368" i="12"/>
  <c r="R368" i="12"/>
  <c r="K368" i="12"/>
  <c r="S368" i="12"/>
  <c r="T368" i="12"/>
  <c r="L368" i="12"/>
  <c r="N368" i="12"/>
  <c r="O368" i="12"/>
  <c r="P328" i="12"/>
  <c r="Q328" i="12"/>
  <c r="R328" i="12"/>
  <c r="K328" i="12"/>
  <c r="S328" i="12"/>
  <c r="L328" i="12"/>
  <c r="M328" i="12"/>
  <c r="N328" i="12"/>
  <c r="O328" i="12"/>
  <c r="Q272" i="12"/>
  <c r="O272" i="12"/>
  <c r="P272" i="12"/>
  <c r="R272" i="12"/>
  <c r="S272" i="12"/>
  <c r="K272" i="12"/>
  <c r="L272" i="12"/>
  <c r="M272" i="12"/>
  <c r="N272" i="12"/>
  <c r="T272" i="12"/>
  <c r="O232" i="12"/>
  <c r="Q232" i="12"/>
  <c r="K232" i="12"/>
  <c r="L232" i="12"/>
  <c r="M232" i="12"/>
  <c r="N232" i="12"/>
  <c r="P232" i="12"/>
  <c r="R232" i="12"/>
  <c r="S232" i="12"/>
  <c r="T232" i="12"/>
  <c r="M192" i="12"/>
  <c r="N192" i="12"/>
  <c r="O192" i="12"/>
  <c r="Q192" i="12"/>
  <c r="K192" i="12"/>
  <c r="L192" i="12"/>
  <c r="P192" i="12"/>
  <c r="R192" i="12"/>
  <c r="S192" i="12"/>
  <c r="T192" i="12"/>
  <c r="L152" i="12"/>
  <c r="T152" i="12"/>
  <c r="M152" i="12"/>
  <c r="N152" i="12"/>
  <c r="O152" i="12"/>
  <c r="Q152" i="12"/>
  <c r="K152" i="12"/>
  <c r="P152" i="12"/>
  <c r="R152" i="12"/>
  <c r="S152" i="12"/>
  <c r="L112" i="12"/>
  <c r="T112" i="12"/>
  <c r="M112" i="12"/>
  <c r="N112" i="12"/>
  <c r="O112" i="12"/>
  <c r="Q112" i="12"/>
  <c r="K112" i="12"/>
  <c r="P112" i="12"/>
  <c r="S112" i="12"/>
  <c r="O72" i="12"/>
  <c r="Q72" i="12"/>
  <c r="L72" i="12"/>
  <c r="M72" i="12"/>
  <c r="N72" i="12"/>
  <c r="P72" i="12"/>
  <c r="S72" i="12"/>
  <c r="R72" i="12"/>
  <c r="T72" i="12"/>
  <c r="K72" i="12"/>
  <c r="O16" i="12"/>
  <c r="P16" i="12"/>
  <c r="Q16" i="12"/>
  <c r="R16" i="12"/>
  <c r="L16" i="12"/>
  <c r="M16" i="12"/>
  <c r="N16" i="12"/>
  <c r="S16" i="12"/>
  <c r="T16" i="12"/>
  <c r="K16" i="12"/>
  <c r="P1008" i="12"/>
  <c r="P1000" i="12"/>
  <c r="P992" i="12"/>
  <c r="N985" i="12"/>
  <c r="N977" i="12"/>
  <c r="T968" i="12"/>
  <c r="N952" i="12"/>
  <c r="M936" i="12"/>
  <c r="K881" i="12"/>
  <c r="R865" i="12"/>
  <c r="T856" i="12"/>
  <c r="L841" i="12"/>
  <c r="N832" i="12"/>
  <c r="L713" i="12"/>
  <c r="S697" i="12"/>
  <c r="R673" i="12"/>
  <c r="P641" i="12"/>
  <c r="N617" i="12"/>
  <c r="S544" i="12"/>
  <c r="Q456" i="12"/>
  <c r="L425" i="12"/>
  <c r="M337" i="12"/>
  <c r="M1017" i="12"/>
  <c r="O1016" i="12"/>
  <c r="M1009" i="12"/>
  <c r="O1008" i="12"/>
  <c r="M1001" i="12"/>
  <c r="O1000" i="12"/>
  <c r="M993" i="12"/>
  <c r="O992" i="12"/>
  <c r="M985" i="12"/>
  <c r="O984" i="12"/>
  <c r="M977" i="12"/>
  <c r="M976" i="12"/>
  <c r="L961" i="12"/>
  <c r="K960" i="12"/>
  <c r="Q953" i="12"/>
  <c r="M952" i="12"/>
  <c r="S945" i="12"/>
  <c r="M944" i="12"/>
  <c r="R937" i="12"/>
  <c r="L936" i="12"/>
  <c r="N920" i="12"/>
  <c r="S913" i="12"/>
  <c r="K905" i="12"/>
  <c r="M896" i="12"/>
  <c r="R889" i="12"/>
  <c r="T880" i="12"/>
  <c r="L865" i="12"/>
  <c r="N856" i="12"/>
  <c r="S849" i="12"/>
  <c r="K841" i="12"/>
  <c r="R825" i="12"/>
  <c r="T816" i="12"/>
  <c r="T809" i="12"/>
  <c r="L808" i="12"/>
  <c r="L801" i="12"/>
  <c r="N792" i="12"/>
  <c r="S785" i="12"/>
  <c r="M768" i="12"/>
  <c r="R761" i="12"/>
  <c r="T752" i="12"/>
  <c r="T745" i="12"/>
  <c r="L744" i="12"/>
  <c r="L737" i="12"/>
  <c r="N728" i="12"/>
  <c r="S721" i="12"/>
  <c r="M704" i="12"/>
  <c r="R697" i="12"/>
  <c r="T688" i="12"/>
  <c r="T681" i="12"/>
  <c r="L680" i="12"/>
  <c r="S657" i="12"/>
  <c r="S648" i="12"/>
  <c r="O641" i="12"/>
  <c r="M617" i="12"/>
  <c r="T609" i="12"/>
  <c r="S585" i="12"/>
  <c r="N568" i="12"/>
  <c r="Q561" i="12"/>
  <c r="M544" i="12"/>
  <c r="O537" i="12"/>
  <c r="T473" i="12"/>
  <c r="N465" i="12"/>
  <c r="P456" i="12"/>
  <c r="N449" i="12"/>
  <c r="R345" i="12"/>
  <c r="L337" i="12"/>
  <c r="P129" i="12"/>
  <c r="O969" i="12"/>
  <c r="P969" i="12"/>
  <c r="M929" i="12"/>
  <c r="N929" i="12"/>
  <c r="O929" i="12"/>
  <c r="P929" i="12"/>
  <c r="Q929" i="12"/>
  <c r="M873" i="12"/>
  <c r="N873" i="12"/>
  <c r="O873" i="12"/>
  <c r="P873" i="12"/>
  <c r="Q873" i="12"/>
  <c r="M833" i="12"/>
  <c r="N833" i="12"/>
  <c r="O833" i="12"/>
  <c r="P833" i="12"/>
  <c r="Q833" i="12"/>
  <c r="M793" i="12"/>
  <c r="N793" i="12"/>
  <c r="O793" i="12"/>
  <c r="P793" i="12"/>
  <c r="Q793" i="12"/>
  <c r="M753" i="12"/>
  <c r="N753" i="12"/>
  <c r="O753" i="12"/>
  <c r="P753" i="12"/>
  <c r="Q753" i="12"/>
  <c r="M713" i="12"/>
  <c r="N713" i="12"/>
  <c r="O713" i="12"/>
  <c r="P713" i="12"/>
  <c r="Q713" i="12"/>
  <c r="M673" i="12"/>
  <c r="N673" i="12"/>
  <c r="O673" i="12"/>
  <c r="P673" i="12"/>
  <c r="Q673" i="12"/>
  <c r="R625" i="12"/>
  <c r="K625" i="12"/>
  <c r="T625" i="12"/>
  <c r="L625" i="12"/>
  <c r="M625" i="12"/>
  <c r="N625" i="12"/>
  <c r="O625" i="12"/>
  <c r="R577" i="12"/>
  <c r="Q577" i="12"/>
  <c r="S577" i="12"/>
  <c r="K577" i="12"/>
  <c r="T577" i="12"/>
  <c r="L577" i="12"/>
  <c r="M577" i="12"/>
  <c r="R529" i="12"/>
  <c r="O529" i="12"/>
  <c r="P529" i="12"/>
  <c r="Q529" i="12"/>
  <c r="S529" i="12"/>
  <c r="K529" i="12"/>
  <c r="T529" i="12"/>
  <c r="Q481" i="12"/>
  <c r="R481" i="12"/>
  <c r="K481" i="12"/>
  <c r="S481" i="12"/>
  <c r="L481" i="12"/>
  <c r="M481" i="12"/>
  <c r="N481" i="12"/>
  <c r="O481" i="12"/>
  <c r="P481" i="12"/>
  <c r="P441" i="12"/>
  <c r="Q441" i="12"/>
  <c r="R441" i="12"/>
  <c r="K441" i="12"/>
  <c r="S441" i="12"/>
  <c r="N441" i="12"/>
  <c r="O441" i="12"/>
  <c r="T441" i="12"/>
  <c r="N401" i="12"/>
  <c r="O401" i="12"/>
  <c r="P401" i="12"/>
  <c r="Q401" i="12"/>
  <c r="R401" i="12"/>
  <c r="S401" i="12"/>
  <c r="T401" i="12"/>
  <c r="M401" i="12"/>
  <c r="N353" i="12"/>
  <c r="O353" i="12"/>
  <c r="P353" i="12"/>
  <c r="Q353" i="12"/>
  <c r="T353" i="12"/>
  <c r="K353" i="12"/>
  <c r="L353" i="12"/>
  <c r="S353" i="12"/>
  <c r="N313" i="12"/>
  <c r="O313" i="12"/>
  <c r="P313" i="12"/>
  <c r="Q313" i="12"/>
  <c r="K313" i="12"/>
  <c r="L313" i="12"/>
  <c r="M313" i="12"/>
  <c r="R313" i="12"/>
  <c r="S313" i="12"/>
  <c r="T313" i="12"/>
  <c r="N273" i="12"/>
  <c r="O273" i="12"/>
  <c r="P273" i="12"/>
  <c r="Q273" i="12"/>
  <c r="R273" i="12"/>
  <c r="S273" i="12"/>
  <c r="T273" i="12"/>
  <c r="K273" i="12"/>
  <c r="M233" i="12"/>
  <c r="O233" i="12"/>
  <c r="K233" i="12"/>
  <c r="L233" i="12"/>
  <c r="N233" i="12"/>
  <c r="P233" i="12"/>
  <c r="Q233" i="12"/>
  <c r="R233" i="12"/>
  <c r="S233" i="12"/>
  <c r="T233" i="12"/>
  <c r="K193" i="12"/>
  <c r="S193" i="12"/>
  <c r="L193" i="12"/>
  <c r="T193" i="12"/>
  <c r="M193" i="12"/>
  <c r="O193" i="12"/>
  <c r="P193" i="12"/>
  <c r="Q193" i="12"/>
  <c r="R193" i="12"/>
  <c r="N193" i="12"/>
  <c r="R145" i="12"/>
  <c r="K145" i="12"/>
  <c r="S145" i="12"/>
  <c r="L145" i="12"/>
  <c r="T145" i="12"/>
  <c r="M145" i="12"/>
  <c r="O145" i="12"/>
  <c r="N145" i="12"/>
  <c r="P145" i="12"/>
  <c r="Q145" i="12"/>
  <c r="R105" i="12"/>
  <c r="K105" i="12"/>
  <c r="S105" i="12"/>
  <c r="L105" i="12"/>
  <c r="T105" i="12"/>
  <c r="M105" i="12"/>
  <c r="O105" i="12"/>
  <c r="N105" i="12"/>
  <c r="Q105" i="12"/>
  <c r="P105" i="12"/>
  <c r="M65" i="12"/>
  <c r="N65" i="12"/>
  <c r="O65" i="12"/>
  <c r="P65" i="12"/>
  <c r="R65" i="12"/>
  <c r="S65" i="12"/>
  <c r="T65" i="12"/>
  <c r="K65" i="12"/>
  <c r="L65" i="12"/>
  <c r="Q65" i="12"/>
  <c r="M25" i="12"/>
  <c r="N25" i="12"/>
  <c r="O25" i="12"/>
  <c r="P25" i="12"/>
  <c r="R25" i="12"/>
  <c r="S25" i="12"/>
  <c r="T25" i="12"/>
  <c r="K25" i="12"/>
  <c r="L25" i="12"/>
  <c r="Q25" i="12"/>
  <c r="K921" i="12"/>
  <c r="R905" i="12"/>
  <c r="T825" i="12"/>
  <c r="T697" i="12"/>
  <c r="T449" i="12"/>
  <c r="K329" i="12"/>
  <c r="Q968" i="12"/>
  <c r="R968" i="12"/>
  <c r="O912" i="12"/>
  <c r="P912" i="12"/>
  <c r="Q912" i="12"/>
  <c r="R912" i="12"/>
  <c r="K912" i="12"/>
  <c r="S912" i="12"/>
  <c r="O872" i="12"/>
  <c r="P872" i="12"/>
  <c r="Q872" i="12"/>
  <c r="R872" i="12"/>
  <c r="K872" i="12"/>
  <c r="S872" i="12"/>
  <c r="O832" i="12"/>
  <c r="P832" i="12"/>
  <c r="Q832" i="12"/>
  <c r="R832" i="12"/>
  <c r="K832" i="12"/>
  <c r="S832" i="12"/>
  <c r="O800" i="12"/>
  <c r="P800" i="12"/>
  <c r="Q800" i="12"/>
  <c r="R800" i="12"/>
  <c r="K800" i="12"/>
  <c r="S800" i="12"/>
  <c r="O760" i="12"/>
  <c r="P760" i="12"/>
  <c r="Q760" i="12"/>
  <c r="R760" i="12"/>
  <c r="K760" i="12"/>
  <c r="S760" i="12"/>
  <c r="O720" i="12"/>
  <c r="P720" i="12"/>
  <c r="Q720" i="12"/>
  <c r="R720" i="12"/>
  <c r="K720" i="12"/>
  <c r="S720" i="12"/>
  <c r="O664" i="12"/>
  <c r="P664" i="12"/>
  <c r="Q664" i="12"/>
  <c r="R664" i="12"/>
  <c r="K664" i="12"/>
  <c r="S664" i="12"/>
  <c r="L624" i="12"/>
  <c r="T624" i="12"/>
  <c r="K624" i="12"/>
  <c r="M624" i="12"/>
  <c r="N624" i="12"/>
  <c r="O624" i="12"/>
  <c r="P624" i="12"/>
  <c r="L592" i="12"/>
  <c r="T592" i="12"/>
  <c r="P592" i="12"/>
  <c r="Q592" i="12"/>
  <c r="R592" i="12"/>
  <c r="S592" i="12"/>
  <c r="K592" i="12"/>
  <c r="L552" i="12"/>
  <c r="T552" i="12"/>
  <c r="Q552" i="12"/>
  <c r="R552" i="12"/>
  <c r="S552" i="12"/>
  <c r="K552" i="12"/>
  <c r="M552" i="12"/>
  <c r="K512" i="12"/>
  <c r="S512" i="12"/>
  <c r="L512" i="12"/>
  <c r="T512" i="12"/>
  <c r="M512" i="12"/>
  <c r="O512" i="12"/>
  <c r="P512" i="12"/>
  <c r="Q512" i="12"/>
  <c r="R512" i="12"/>
  <c r="R464" i="12"/>
  <c r="K464" i="12"/>
  <c r="S464" i="12"/>
  <c r="L464" i="12"/>
  <c r="T464" i="12"/>
  <c r="M464" i="12"/>
  <c r="N464" i="12"/>
  <c r="O464" i="12"/>
  <c r="P464" i="12"/>
  <c r="Q464" i="12"/>
  <c r="K424" i="12"/>
  <c r="S424" i="12"/>
  <c r="P424" i="12"/>
  <c r="Q424" i="12"/>
  <c r="R424" i="12"/>
  <c r="T424" i="12"/>
  <c r="L424" i="12"/>
  <c r="M424" i="12"/>
  <c r="N424" i="12"/>
  <c r="O424" i="12"/>
  <c r="P376" i="12"/>
  <c r="Q376" i="12"/>
  <c r="R376" i="12"/>
  <c r="K376" i="12"/>
  <c r="S376" i="12"/>
  <c r="L376" i="12"/>
  <c r="M376" i="12"/>
  <c r="N376" i="12"/>
  <c r="O376" i="12"/>
  <c r="T376" i="12"/>
  <c r="P336" i="12"/>
  <c r="Q336" i="12"/>
  <c r="R336" i="12"/>
  <c r="K336" i="12"/>
  <c r="S336" i="12"/>
  <c r="L336" i="12"/>
  <c r="M336" i="12"/>
  <c r="N336" i="12"/>
  <c r="O336" i="12"/>
  <c r="T336" i="12"/>
  <c r="P296" i="12"/>
  <c r="Q296" i="12"/>
  <c r="R296" i="12"/>
  <c r="K296" i="12"/>
  <c r="S296" i="12"/>
  <c r="O296" i="12"/>
  <c r="T296" i="12"/>
  <c r="L296" i="12"/>
  <c r="Q256" i="12"/>
  <c r="K256" i="12"/>
  <c r="T256" i="12"/>
  <c r="L256" i="12"/>
  <c r="M256" i="12"/>
  <c r="N256" i="12"/>
  <c r="R256" i="12"/>
  <c r="S256" i="12"/>
  <c r="N216" i="12"/>
  <c r="O216" i="12"/>
  <c r="Q216" i="12"/>
  <c r="M216" i="12"/>
  <c r="P216" i="12"/>
  <c r="R216" i="12"/>
  <c r="S216" i="12"/>
  <c r="K216" i="12"/>
  <c r="L176" i="12"/>
  <c r="T176" i="12"/>
  <c r="M176" i="12"/>
  <c r="N176" i="12"/>
  <c r="O176" i="12"/>
  <c r="Q176" i="12"/>
  <c r="K176" i="12"/>
  <c r="P176" i="12"/>
  <c r="R176" i="12"/>
  <c r="S176" i="12"/>
  <c r="L128" i="12"/>
  <c r="T128" i="12"/>
  <c r="M128" i="12"/>
  <c r="N128" i="12"/>
  <c r="O128" i="12"/>
  <c r="Q128" i="12"/>
  <c r="K128" i="12"/>
  <c r="P128" i="12"/>
  <c r="R128" i="12"/>
  <c r="S128" i="12"/>
  <c r="O96" i="12"/>
  <c r="Q96" i="12"/>
  <c r="R96" i="12"/>
  <c r="S96" i="12"/>
  <c r="T96" i="12"/>
  <c r="K96" i="12"/>
  <c r="M96" i="12"/>
  <c r="N96" i="12"/>
  <c r="P96" i="12"/>
  <c r="L96" i="12"/>
  <c r="O56" i="12"/>
  <c r="P56" i="12"/>
  <c r="Q56" i="12"/>
  <c r="R56" i="12"/>
  <c r="L56" i="12"/>
  <c r="M56" i="12"/>
  <c r="N56" i="12"/>
  <c r="S56" i="12"/>
  <c r="T56" i="12"/>
  <c r="K56" i="12"/>
  <c r="O40" i="12"/>
  <c r="P40" i="12"/>
  <c r="Q40" i="12"/>
  <c r="R40" i="12"/>
  <c r="L40" i="12"/>
  <c r="M40" i="12"/>
  <c r="N40" i="12"/>
  <c r="S40" i="12"/>
  <c r="T40" i="12"/>
  <c r="N1001" i="12"/>
  <c r="N993" i="12"/>
  <c r="P984" i="12"/>
  <c r="N976" i="12"/>
  <c r="L960" i="12"/>
  <c r="T920" i="12"/>
  <c r="S889" i="12"/>
  <c r="S761" i="12"/>
  <c r="S561" i="12"/>
  <c r="T1017" i="12"/>
  <c r="L1017" i="12"/>
  <c r="N1016" i="12"/>
  <c r="T1009" i="12"/>
  <c r="L1009" i="12"/>
  <c r="N1008" i="12"/>
  <c r="T1001" i="12"/>
  <c r="L1001" i="12"/>
  <c r="N1000" i="12"/>
  <c r="T993" i="12"/>
  <c r="L993" i="12"/>
  <c r="N992" i="12"/>
  <c r="T985" i="12"/>
  <c r="L985" i="12"/>
  <c r="N984" i="12"/>
  <c r="T977" i="12"/>
  <c r="L977" i="12"/>
  <c r="L976" i="12"/>
  <c r="R969" i="12"/>
  <c r="P968" i="12"/>
  <c r="K961" i="12"/>
  <c r="N953" i="12"/>
  <c r="R945" i="12"/>
  <c r="K929" i="12"/>
  <c r="M920" i="12"/>
  <c r="R913" i="12"/>
  <c r="L896" i="12"/>
  <c r="L889" i="12"/>
  <c r="N880" i="12"/>
  <c r="S873" i="12"/>
  <c r="K865" i="12"/>
  <c r="M856" i="12"/>
  <c r="R849" i="12"/>
  <c r="T840" i="12"/>
  <c r="T833" i="12"/>
  <c r="L832" i="12"/>
  <c r="L825" i="12"/>
  <c r="N816" i="12"/>
  <c r="S809" i="12"/>
  <c r="K801" i="12"/>
  <c r="R785" i="12"/>
  <c r="T776" i="12"/>
  <c r="T769" i="12"/>
  <c r="L768" i="12"/>
  <c r="L761" i="12"/>
  <c r="S745" i="12"/>
  <c r="M728" i="12"/>
  <c r="R721" i="12"/>
  <c r="T705" i="12"/>
  <c r="L704" i="12"/>
  <c r="L697" i="12"/>
  <c r="N688" i="12"/>
  <c r="S681" i="12"/>
  <c r="K673" i="12"/>
  <c r="M664" i="12"/>
  <c r="R657" i="12"/>
  <c r="R648" i="12"/>
  <c r="N641" i="12"/>
  <c r="T633" i="12"/>
  <c r="Q624" i="12"/>
  <c r="P616" i="12"/>
  <c r="N592" i="12"/>
  <c r="Q585" i="12"/>
  <c r="M568" i="12"/>
  <c r="O553" i="12"/>
  <c r="R536" i="12"/>
  <c r="M529" i="12"/>
  <c r="R480" i="12"/>
  <c r="M465" i="12"/>
  <c r="N448" i="12"/>
  <c r="R353" i="12"/>
  <c r="L273" i="12"/>
  <c r="K40" i="12"/>
  <c r="M937" i="12"/>
  <c r="O937" i="12"/>
  <c r="P937" i="12"/>
  <c r="Q937" i="12"/>
  <c r="M897" i="12"/>
  <c r="N897" i="12"/>
  <c r="O897" i="12"/>
  <c r="P897" i="12"/>
  <c r="Q897" i="12"/>
  <c r="M857" i="12"/>
  <c r="N857" i="12"/>
  <c r="O857" i="12"/>
  <c r="P857" i="12"/>
  <c r="Q857" i="12"/>
  <c r="M817" i="12"/>
  <c r="N817" i="12"/>
  <c r="O817" i="12"/>
  <c r="P817" i="12"/>
  <c r="Q817" i="12"/>
  <c r="M777" i="12"/>
  <c r="N777" i="12"/>
  <c r="O777" i="12"/>
  <c r="P777" i="12"/>
  <c r="Q777" i="12"/>
  <c r="M737" i="12"/>
  <c r="N737" i="12"/>
  <c r="O737" i="12"/>
  <c r="P737" i="12"/>
  <c r="Q737" i="12"/>
  <c r="M689" i="12"/>
  <c r="N689" i="12"/>
  <c r="O689" i="12"/>
  <c r="P689" i="12"/>
  <c r="Q689" i="12"/>
  <c r="R649" i="12"/>
  <c r="L649" i="12"/>
  <c r="M649" i="12"/>
  <c r="N649" i="12"/>
  <c r="O649" i="12"/>
  <c r="P649" i="12"/>
  <c r="R609" i="12"/>
  <c r="M609" i="12"/>
  <c r="N609" i="12"/>
  <c r="O609" i="12"/>
  <c r="P609" i="12"/>
  <c r="Q609" i="12"/>
  <c r="R561" i="12"/>
  <c r="K561" i="12"/>
  <c r="T561" i="12"/>
  <c r="L561" i="12"/>
  <c r="M561" i="12"/>
  <c r="N561" i="12"/>
  <c r="O561" i="12"/>
  <c r="Q521" i="12"/>
  <c r="R521" i="12"/>
  <c r="K521" i="12"/>
  <c r="S521" i="12"/>
  <c r="T521" i="12"/>
  <c r="L521" i="12"/>
  <c r="M521" i="12"/>
  <c r="P473" i="12"/>
  <c r="Q473" i="12"/>
  <c r="R473" i="12"/>
  <c r="K473" i="12"/>
  <c r="S473" i="12"/>
  <c r="L473" i="12"/>
  <c r="M473" i="12"/>
  <c r="N473" i="12"/>
  <c r="P433" i="12"/>
  <c r="Q433" i="12"/>
  <c r="R433" i="12"/>
  <c r="K433" i="12"/>
  <c r="S433" i="12"/>
  <c r="L433" i="12"/>
  <c r="M433" i="12"/>
  <c r="N433" i="12"/>
  <c r="O433" i="12"/>
  <c r="N393" i="12"/>
  <c r="O393" i="12"/>
  <c r="P393" i="12"/>
  <c r="Q393" i="12"/>
  <c r="M393" i="12"/>
  <c r="R393" i="12"/>
  <c r="S393" i="12"/>
  <c r="T393" i="12"/>
  <c r="K393" i="12"/>
  <c r="L393" i="12"/>
  <c r="N345" i="12"/>
  <c r="O345" i="12"/>
  <c r="P345" i="12"/>
  <c r="Q345" i="12"/>
  <c r="S345" i="12"/>
  <c r="T345" i="12"/>
  <c r="K345" i="12"/>
  <c r="N305" i="12"/>
  <c r="O305" i="12"/>
  <c r="P305" i="12"/>
  <c r="Q305" i="12"/>
  <c r="K305" i="12"/>
  <c r="L305" i="12"/>
  <c r="M305" i="12"/>
  <c r="R305" i="12"/>
  <c r="S305" i="12"/>
  <c r="T305" i="12"/>
  <c r="O265" i="12"/>
  <c r="L265" i="12"/>
  <c r="M265" i="12"/>
  <c r="N265" i="12"/>
  <c r="P265" i="12"/>
  <c r="Q265" i="12"/>
  <c r="R265" i="12"/>
  <c r="S265" i="12"/>
  <c r="T265" i="12"/>
  <c r="L225" i="12"/>
  <c r="T225" i="12"/>
  <c r="M225" i="12"/>
  <c r="O225" i="12"/>
  <c r="P225" i="12"/>
  <c r="Q225" i="12"/>
  <c r="R225" i="12"/>
  <c r="S225" i="12"/>
  <c r="K225" i="12"/>
  <c r="N225" i="12"/>
  <c r="K185" i="12"/>
  <c r="S185" i="12"/>
  <c r="L185" i="12"/>
  <c r="T185" i="12"/>
  <c r="M185" i="12"/>
  <c r="O185" i="12"/>
  <c r="N185" i="12"/>
  <c r="P185" i="12"/>
  <c r="Q185" i="12"/>
  <c r="R185" i="12"/>
  <c r="R137" i="12"/>
  <c r="K137" i="12"/>
  <c r="S137" i="12"/>
  <c r="L137" i="12"/>
  <c r="T137" i="12"/>
  <c r="M137" i="12"/>
  <c r="O137" i="12"/>
  <c r="P137" i="12"/>
  <c r="Q137" i="12"/>
  <c r="N137" i="12"/>
  <c r="M97" i="12"/>
  <c r="O97" i="12"/>
  <c r="R97" i="12"/>
  <c r="S97" i="12"/>
  <c r="T97" i="12"/>
  <c r="K97" i="12"/>
  <c r="N97" i="12"/>
  <c r="L97" i="12"/>
  <c r="P97" i="12"/>
  <c r="Q97" i="12"/>
  <c r="M49" i="12"/>
  <c r="N49" i="12"/>
  <c r="O49" i="12"/>
  <c r="P49" i="12"/>
  <c r="R49" i="12"/>
  <c r="S49" i="12"/>
  <c r="T49" i="12"/>
  <c r="K49" i="12"/>
  <c r="L49" i="12"/>
  <c r="Q49" i="12"/>
  <c r="M17" i="12"/>
  <c r="N17" i="12"/>
  <c r="O17" i="12"/>
  <c r="P17" i="12"/>
  <c r="R17" i="12"/>
  <c r="S17" i="12"/>
  <c r="T17" i="12"/>
  <c r="K17" i="12"/>
  <c r="L17" i="12"/>
  <c r="Q17" i="12"/>
  <c r="T937" i="12"/>
  <c r="S929" i="12"/>
  <c r="R841" i="12"/>
  <c r="L817" i="12"/>
  <c r="S801" i="12"/>
  <c r="R777" i="12"/>
  <c r="T761" i="12"/>
  <c r="L689" i="12"/>
  <c r="K545" i="12"/>
  <c r="O952" i="12"/>
  <c r="Q952" i="12"/>
  <c r="R952" i="12"/>
  <c r="O904" i="12"/>
  <c r="P904" i="12"/>
  <c r="Q904" i="12"/>
  <c r="R904" i="12"/>
  <c r="K904" i="12"/>
  <c r="S904" i="12"/>
  <c r="O864" i="12"/>
  <c r="P864" i="12"/>
  <c r="Q864" i="12"/>
  <c r="R864" i="12"/>
  <c r="K864" i="12"/>
  <c r="S864" i="12"/>
  <c r="O824" i="12"/>
  <c r="P824" i="12"/>
  <c r="Q824" i="12"/>
  <c r="R824" i="12"/>
  <c r="K824" i="12"/>
  <c r="S824" i="12"/>
  <c r="O792" i="12"/>
  <c r="P792" i="12"/>
  <c r="Q792" i="12"/>
  <c r="R792" i="12"/>
  <c r="K792" i="12"/>
  <c r="S792" i="12"/>
  <c r="O752" i="12"/>
  <c r="P752" i="12"/>
  <c r="Q752" i="12"/>
  <c r="R752" i="12"/>
  <c r="K752" i="12"/>
  <c r="S752" i="12"/>
  <c r="O712" i="12"/>
  <c r="P712" i="12"/>
  <c r="Q712" i="12"/>
  <c r="R712" i="12"/>
  <c r="K712" i="12"/>
  <c r="S712" i="12"/>
  <c r="O672" i="12"/>
  <c r="P672" i="12"/>
  <c r="Q672" i="12"/>
  <c r="R672" i="12"/>
  <c r="K672" i="12"/>
  <c r="S672" i="12"/>
  <c r="L632" i="12"/>
  <c r="T632" i="12"/>
  <c r="O632" i="12"/>
  <c r="P632" i="12"/>
  <c r="Q632" i="12"/>
  <c r="R632" i="12"/>
  <c r="S632" i="12"/>
  <c r="L584" i="12"/>
  <c r="T584" i="12"/>
  <c r="M584" i="12"/>
  <c r="N584" i="12"/>
  <c r="O584" i="12"/>
  <c r="P584" i="12"/>
  <c r="Q584" i="12"/>
  <c r="L544" i="12"/>
  <c r="T544" i="12"/>
  <c r="N544" i="12"/>
  <c r="O544" i="12"/>
  <c r="P544" i="12"/>
  <c r="Q544" i="12"/>
  <c r="R544" i="12"/>
  <c r="K504" i="12"/>
  <c r="S504" i="12"/>
  <c r="L504" i="12"/>
  <c r="T504" i="12"/>
  <c r="M504" i="12"/>
  <c r="N504" i="12"/>
  <c r="O504" i="12"/>
  <c r="P504" i="12"/>
  <c r="Q504" i="12"/>
  <c r="R504" i="12"/>
  <c r="R472" i="12"/>
  <c r="K472" i="12"/>
  <c r="S472" i="12"/>
  <c r="L472" i="12"/>
  <c r="T472" i="12"/>
  <c r="M472" i="12"/>
  <c r="P472" i="12"/>
  <c r="Q472" i="12"/>
  <c r="P416" i="12"/>
  <c r="Q416" i="12"/>
  <c r="R416" i="12"/>
  <c r="K416" i="12"/>
  <c r="S416" i="12"/>
  <c r="O416" i="12"/>
  <c r="T416" i="12"/>
  <c r="P384" i="12"/>
  <c r="Q384" i="12"/>
  <c r="R384" i="12"/>
  <c r="K384" i="12"/>
  <c r="S384" i="12"/>
  <c r="L384" i="12"/>
  <c r="M384" i="12"/>
  <c r="N384" i="12"/>
  <c r="O384" i="12"/>
  <c r="T384" i="12"/>
  <c r="P344" i="12"/>
  <c r="Q344" i="12"/>
  <c r="R344" i="12"/>
  <c r="K344" i="12"/>
  <c r="S344" i="12"/>
  <c r="M344" i="12"/>
  <c r="N344" i="12"/>
  <c r="O344" i="12"/>
  <c r="T344" i="12"/>
  <c r="L344" i="12"/>
  <c r="P304" i="12"/>
  <c r="Q304" i="12"/>
  <c r="R304" i="12"/>
  <c r="K304" i="12"/>
  <c r="S304" i="12"/>
  <c r="T304" i="12"/>
  <c r="L304" i="12"/>
  <c r="O304" i="12"/>
  <c r="Q264" i="12"/>
  <c r="M264" i="12"/>
  <c r="N264" i="12"/>
  <c r="O264" i="12"/>
  <c r="P264" i="12"/>
  <c r="K264" i="12"/>
  <c r="L264" i="12"/>
  <c r="R264" i="12"/>
  <c r="N224" i="12"/>
  <c r="O224" i="12"/>
  <c r="Q224" i="12"/>
  <c r="L224" i="12"/>
  <c r="M224" i="12"/>
  <c r="P224" i="12"/>
  <c r="R224" i="12"/>
  <c r="S224" i="12"/>
  <c r="T224" i="12"/>
  <c r="K224" i="12"/>
  <c r="L184" i="12"/>
  <c r="T184" i="12"/>
  <c r="M184" i="12"/>
  <c r="N184" i="12"/>
  <c r="O184" i="12"/>
  <c r="Q184" i="12"/>
  <c r="S184" i="12"/>
  <c r="K184" i="12"/>
  <c r="P184" i="12"/>
  <c r="R184" i="12"/>
  <c r="L144" i="12"/>
  <c r="T144" i="12"/>
  <c r="M144" i="12"/>
  <c r="N144" i="12"/>
  <c r="O144" i="12"/>
  <c r="Q144" i="12"/>
  <c r="R144" i="12"/>
  <c r="S144" i="12"/>
  <c r="K144" i="12"/>
  <c r="P144" i="12"/>
  <c r="O88" i="12"/>
  <c r="Q88" i="12"/>
  <c r="L88" i="12"/>
  <c r="M88" i="12"/>
  <c r="N88" i="12"/>
  <c r="P88" i="12"/>
  <c r="S88" i="12"/>
  <c r="K88" i="12"/>
  <c r="T88" i="12"/>
  <c r="O48" i="12"/>
  <c r="P48" i="12"/>
  <c r="Q48" i="12"/>
  <c r="R48" i="12"/>
  <c r="L48" i="12"/>
  <c r="M48" i="12"/>
  <c r="N48" i="12"/>
  <c r="S48" i="12"/>
  <c r="T48" i="12"/>
  <c r="K48" i="12"/>
  <c r="O32" i="12"/>
  <c r="P32" i="12"/>
  <c r="Q32" i="12"/>
  <c r="R32" i="12"/>
  <c r="L32" i="12"/>
  <c r="M32" i="12"/>
  <c r="N32" i="12"/>
  <c r="S32" i="12"/>
  <c r="T32" i="12"/>
  <c r="K32" i="12"/>
  <c r="P1016" i="12"/>
  <c r="L912" i="12"/>
  <c r="N896" i="12"/>
  <c r="T792" i="12"/>
  <c r="L777" i="12"/>
  <c r="T721" i="12"/>
  <c r="T657" i="12"/>
  <c r="T264" i="12"/>
  <c r="S1017" i="12"/>
  <c r="K1017" i="12"/>
  <c r="M1016" i="12"/>
  <c r="S1009" i="12"/>
  <c r="K1009" i="12"/>
  <c r="M1008" i="12"/>
  <c r="S1001" i="12"/>
  <c r="K1001" i="12"/>
  <c r="M1000" i="12"/>
  <c r="S993" i="12"/>
  <c r="K993" i="12"/>
  <c r="M992" i="12"/>
  <c r="S985" i="12"/>
  <c r="K985" i="12"/>
  <c r="M984" i="12"/>
  <c r="S977" i="12"/>
  <c r="K977" i="12"/>
  <c r="K976" i="12"/>
  <c r="Q969" i="12"/>
  <c r="O968" i="12"/>
  <c r="T960" i="12"/>
  <c r="K952" i="12"/>
  <c r="N945" i="12"/>
  <c r="L937" i="12"/>
  <c r="T928" i="12"/>
  <c r="T921" i="12"/>
  <c r="N904" i="12"/>
  <c r="S897" i="12"/>
  <c r="K889" i="12"/>
  <c r="R873" i="12"/>
  <c r="T864" i="12"/>
  <c r="T857" i="12"/>
  <c r="L856" i="12"/>
  <c r="N840" i="12"/>
  <c r="S833" i="12"/>
  <c r="M816" i="12"/>
  <c r="T800" i="12"/>
  <c r="T793" i="12"/>
  <c r="L792" i="12"/>
  <c r="L785" i="12"/>
  <c r="N776" i="12"/>
  <c r="K761" i="12"/>
  <c r="M752" i="12"/>
  <c r="R745" i="12"/>
  <c r="T736" i="12"/>
  <c r="L728" i="12"/>
  <c r="L721" i="12"/>
  <c r="N712" i="12"/>
  <c r="S705" i="12"/>
  <c r="M688" i="12"/>
  <c r="R681" i="12"/>
  <c r="T672" i="12"/>
  <c r="L664" i="12"/>
  <c r="L657" i="12"/>
  <c r="K648" i="12"/>
  <c r="O616" i="12"/>
  <c r="L609" i="12"/>
  <c r="M592" i="12"/>
  <c r="K585" i="12"/>
  <c r="P577" i="12"/>
  <c r="K568" i="12"/>
  <c r="Q536" i="12"/>
  <c r="L529" i="12"/>
  <c r="P521" i="12"/>
  <c r="M497" i="12"/>
  <c r="Q480" i="12"/>
  <c r="O472" i="12"/>
  <c r="L401" i="12"/>
  <c r="N360" i="12"/>
  <c r="M353" i="12"/>
  <c r="L345" i="12"/>
  <c r="Q153" i="12"/>
  <c r="M953" i="12"/>
  <c r="O953" i="12"/>
  <c r="P953" i="12"/>
  <c r="M913" i="12"/>
  <c r="N913" i="12"/>
  <c r="O913" i="12"/>
  <c r="P913" i="12"/>
  <c r="Q913" i="12"/>
  <c r="M881" i="12"/>
  <c r="N881" i="12"/>
  <c r="O881" i="12"/>
  <c r="P881" i="12"/>
  <c r="Q881" i="12"/>
  <c r="M849" i="12"/>
  <c r="N849" i="12"/>
  <c r="O849" i="12"/>
  <c r="P849" i="12"/>
  <c r="Q849" i="12"/>
  <c r="M809" i="12"/>
  <c r="N809" i="12"/>
  <c r="O809" i="12"/>
  <c r="P809" i="12"/>
  <c r="Q809" i="12"/>
  <c r="M769" i="12"/>
  <c r="N769" i="12"/>
  <c r="O769" i="12"/>
  <c r="P769" i="12"/>
  <c r="Q769" i="12"/>
  <c r="M729" i="12"/>
  <c r="N729" i="12"/>
  <c r="O729" i="12"/>
  <c r="P729" i="12"/>
  <c r="Q729" i="12"/>
  <c r="M697" i="12"/>
  <c r="N697" i="12"/>
  <c r="O697" i="12"/>
  <c r="P697" i="12"/>
  <c r="Q697" i="12"/>
  <c r="M665" i="12"/>
  <c r="N665" i="12"/>
  <c r="O665" i="12"/>
  <c r="P665" i="12"/>
  <c r="Q665" i="12"/>
  <c r="R633" i="12"/>
  <c r="N633" i="12"/>
  <c r="O633" i="12"/>
  <c r="P633" i="12"/>
  <c r="Q633" i="12"/>
  <c r="S633" i="12"/>
  <c r="R593" i="12"/>
  <c r="O593" i="12"/>
  <c r="P593" i="12"/>
  <c r="Q593" i="12"/>
  <c r="S593" i="12"/>
  <c r="K593" i="12"/>
  <c r="T593" i="12"/>
  <c r="R553" i="12"/>
  <c r="P553" i="12"/>
  <c r="Q553" i="12"/>
  <c r="S553" i="12"/>
  <c r="K553" i="12"/>
  <c r="T553" i="12"/>
  <c r="L553" i="12"/>
  <c r="Q513" i="12"/>
  <c r="R513" i="12"/>
  <c r="K513" i="12"/>
  <c r="S513" i="12"/>
  <c r="P513" i="12"/>
  <c r="T513" i="12"/>
  <c r="L513" i="12"/>
  <c r="Q489" i="12"/>
  <c r="R489" i="12"/>
  <c r="K489" i="12"/>
  <c r="S489" i="12"/>
  <c r="M489" i="12"/>
  <c r="N489" i="12"/>
  <c r="O489" i="12"/>
  <c r="P489" i="12"/>
  <c r="T489" i="12"/>
  <c r="P465" i="12"/>
  <c r="Q465" i="12"/>
  <c r="R465" i="12"/>
  <c r="K465" i="12"/>
  <c r="S465" i="12"/>
  <c r="O465" i="12"/>
  <c r="T465" i="12"/>
  <c r="Q425" i="12"/>
  <c r="O425" i="12"/>
  <c r="P425" i="12"/>
  <c r="R425" i="12"/>
  <c r="S425" i="12"/>
  <c r="T425" i="12"/>
  <c r="K425" i="12"/>
  <c r="N385" i="12"/>
  <c r="O385" i="12"/>
  <c r="P385" i="12"/>
  <c r="Q385" i="12"/>
  <c r="L385" i="12"/>
  <c r="M385" i="12"/>
  <c r="R385" i="12"/>
  <c r="S385" i="12"/>
  <c r="T385" i="12"/>
  <c r="K385" i="12"/>
  <c r="N361" i="12"/>
  <c r="O361" i="12"/>
  <c r="P361" i="12"/>
  <c r="Q361" i="12"/>
  <c r="K361" i="12"/>
  <c r="L361" i="12"/>
  <c r="M361" i="12"/>
  <c r="R361" i="12"/>
  <c r="S361" i="12"/>
  <c r="T361" i="12"/>
  <c r="N321" i="12"/>
  <c r="O321" i="12"/>
  <c r="P321" i="12"/>
  <c r="Q321" i="12"/>
  <c r="L321" i="12"/>
  <c r="M321" i="12"/>
  <c r="R321" i="12"/>
  <c r="S321" i="12"/>
  <c r="T321" i="12"/>
  <c r="K321" i="12"/>
  <c r="N281" i="12"/>
  <c r="O281" i="12"/>
  <c r="P281" i="12"/>
  <c r="Q281" i="12"/>
  <c r="S281" i="12"/>
  <c r="T281" i="12"/>
  <c r="K281" i="12"/>
  <c r="L281" i="12"/>
  <c r="O241" i="12"/>
  <c r="N241" i="12"/>
  <c r="P241" i="12"/>
  <c r="Q241" i="12"/>
  <c r="R241" i="12"/>
  <c r="K241" i="12"/>
  <c r="L241" i="12"/>
  <c r="M241" i="12"/>
  <c r="S241" i="12"/>
  <c r="T241" i="12"/>
  <c r="K201" i="12"/>
  <c r="S201" i="12"/>
  <c r="L201" i="12"/>
  <c r="T201" i="12"/>
  <c r="M201" i="12"/>
  <c r="O201" i="12"/>
  <c r="R201" i="12"/>
  <c r="N201" i="12"/>
  <c r="P201" i="12"/>
  <c r="Q201" i="12"/>
  <c r="R161" i="12"/>
  <c r="K161" i="12"/>
  <c r="S161" i="12"/>
  <c r="L161" i="12"/>
  <c r="T161" i="12"/>
  <c r="M161" i="12"/>
  <c r="O161" i="12"/>
  <c r="N161" i="12"/>
  <c r="P161" i="12"/>
  <c r="Q161" i="12"/>
  <c r="R121" i="12"/>
  <c r="K121" i="12"/>
  <c r="S121" i="12"/>
  <c r="L121" i="12"/>
  <c r="T121" i="12"/>
  <c r="M121" i="12"/>
  <c r="O121" i="12"/>
  <c r="N121" i="12"/>
  <c r="P121" i="12"/>
  <c r="Q121" i="12"/>
  <c r="M81" i="12"/>
  <c r="O81" i="12"/>
  <c r="R81" i="12"/>
  <c r="S81" i="12"/>
  <c r="T81" i="12"/>
  <c r="K81" i="12"/>
  <c r="N81" i="12"/>
  <c r="L81" i="12"/>
  <c r="P81" i="12"/>
  <c r="Q81" i="12"/>
  <c r="M9" i="12"/>
  <c r="N9" i="12"/>
  <c r="O9" i="12"/>
  <c r="P9" i="12"/>
  <c r="R9" i="12"/>
  <c r="S9" i="12"/>
  <c r="T9" i="12"/>
  <c r="K9" i="12"/>
  <c r="L9" i="12"/>
  <c r="Q9" i="12"/>
  <c r="S737" i="12"/>
  <c r="L569" i="12"/>
  <c r="O944" i="12"/>
  <c r="Q944" i="12"/>
  <c r="R944" i="12"/>
  <c r="K944" i="12"/>
  <c r="S944" i="12"/>
  <c r="O920" i="12"/>
  <c r="P920" i="12"/>
  <c r="Q920" i="12"/>
  <c r="R920" i="12"/>
  <c r="K920" i="12"/>
  <c r="S920" i="12"/>
  <c r="O880" i="12"/>
  <c r="P880" i="12"/>
  <c r="Q880" i="12"/>
  <c r="R880" i="12"/>
  <c r="K880" i="12"/>
  <c r="S880" i="12"/>
  <c r="O848" i="12"/>
  <c r="P848" i="12"/>
  <c r="Q848" i="12"/>
  <c r="R848" i="12"/>
  <c r="K848" i="12"/>
  <c r="S848" i="12"/>
  <c r="O808" i="12"/>
  <c r="P808" i="12"/>
  <c r="Q808" i="12"/>
  <c r="R808" i="12"/>
  <c r="K808" i="12"/>
  <c r="S808" i="12"/>
  <c r="O768" i="12"/>
  <c r="P768" i="12"/>
  <c r="Q768" i="12"/>
  <c r="R768" i="12"/>
  <c r="K768" i="12"/>
  <c r="S768" i="12"/>
  <c r="O744" i="12"/>
  <c r="P744" i="12"/>
  <c r="Q744" i="12"/>
  <c r="R744" i="12"/>
  <c r="K744" i="12"/>
  <c r="S744" i="12"/>
  <c r="O704" i="12"/>
  <c r="P704" i="12"/>
  <c r="Q704" i="12"/>
  <c r="R704" i="12"/>
  <c r="K704" i="12"/>
  <c r="S704" i="12"/>
  <c r="O680" i="12"/>
  <c r="P680" i="12"/>
  <c r="Q680" i="12"/>
  <c r="R680" i="12"/>
  <c r="K680" i="12"/>
  <c r="S680" i="12"/>
  <c r="L640" i="12"/>
  <c r="T640" i="12"/>
  <c r="R640" i="12"/>
  <c r="S640" i="12"/>
  <c r="K640" i="12"/>
  <c r="M640" i="12"/>
  <c r="N640" i="12"/>
  <c r="L600" i="12"/>
  <c r="T600" i="12"/>
  <c r="S600" i="12"/>
  <c r="K600" i="12"/>
  <c r="M600" i="12"/>
  <c r="N600" i="12"/>
  <c r="O600" i="12"/>
  <c r="L560" i="12"/>
  <c r="T560" i="12"/>
  <c r="K560" i="12"/>
  <c r="M560" i="12"/>
  <c r="N560" i="12"/>
  <c r="O560" i="12"/>
  <c r="P560" i="12"/>
  <c r="K520" i="12"/>
  <c r="S520" i="12"/>
  <c r="L520" i="12"/>
  <c r="T520" i="12"/>
  <c r="M520" i="12"/>
  <c r="P520" i="12"/>
  <c r="Q520" i="12"/>
  <c r="R520" i="12"/>
  <c r="K488" i="12"/>
  <c r="S488" i="12"/>
  <c r="L488" i="12"/>
  <c r="T488" i="12"/>
  <c r="M488" i="12"/>
  <c r="N488" i="12"/>
  <c r="O488" i="12"/>
  <c r="P488" i="12"/>
  <c r="R456" i="12"/>
  <c r="K456" i="12"/>
  <c r="S456" i="12"/>
  <c r="L456" i="12"/>
  <c r="T456" i="12"/>
  <c r="M456" i="12"/>
  <c r="N456" i="12"/>
  <c r="R432" i="12"/>
  <c r="K432" i="12"/>
  <c r="S432" i="12"/>
  <c r="L432" i="12"/>
  <c r="T432" i="12"/>
  <c r="M432" i="12"/>
  <c r="Q432" i="12"/>
  <c r="P392" i="12"/>
  <c r="Q392" i="12"/>
  <c r="R392" i="12"/>
  <c r="K392" i="12"/>
  <c r="S392" i="12"/>
  <c r="L392" i="12"/>
  <c r="M392" i="12"/>
  <c r="N392" i="12"/>
  <c r="O392" i="12"/>
  <c r="P352" i="12"/>
  <c r="Q352" i="12"/>
  <c r="R352" i="12"/>
  <c r="K352" i="12"/>
  <c r="S352" i="12"/>
  <c r="N352" i="12"/>
  <c r="O352" i="12"/>
  <c r="T352" i="12"/>
  <c r="L352" i="12"/>
  <c r="P312" i="12"/>
  <c r="Q312" i="12"/>
  <c r="R312" i="12"/>
  <c r="K312" i="12"/>
  <c r="S312" i="12"/>
  <c r="L312" i="12"/>
  <c r="M312" i="12"/>
  <c r="O312" i="12"/>
  <c r="T312" i="12"/>
  <c r="P288" i="12"/>
  <c r="Q288" i="12"/>
  <c r="R288" i="12"/>
  <c r="K288" i="12"/>
  <c r="S288" i="12"/>
  <c r="N288" i="12"/>
  <c r="O288" i="12"/>
  <c r="T288" i="12"/>
  <c r="L288" i="12"/>
  <c r="M288" i="12"/>
  <c r="Q248" i="12"/>
  <c r="R248" i="12"/>
  <c r="S248" i="12"/>
  <c r="K248" i="12"/>
  <c r="T248" i="12"/>
  <c r="L248" i="12"/>
  <c r="M248" i="12"/>
  <c r="N248" i="12"/>
  <c r="O248" i="12"/>
  <c r="N208" i="12"/>
  <c r="O208" i="12"/>
  <c r="Q208" i="12"/>
  <c r="P208" i="12"/>
  <c r="R208" i="12"/>
  <c r="S208" i="12"/>
  <c r="T208" i="12"/>
  <c r="K208" i="12"/>
  <c r="L208" i="12"/>
  <c r="M208" i="12"/>
  <c r="L168" i="12"/>
  <c r="T168" i="12"/>
  <c r="M168" i="12"/>
  <c r="N168" i="12"/>
  <c r="O168" i="12"/>
  <c r="Q168" i="12"/>
  <c r="P168" i="12"/>
  <c r="R168" i="12"/>
  <c r="S168" i="12"/>
  <c r="K168" i="12"/>
  <c r="L136" i="12"/>
  <c r="T136" i="12"/>
  <c r="M136" i="12"/>
  <c r="N136" i="12"/>
  <c r="O136" i="12"/>
  <c r="Q136" i="12"/>
  <c r="K136" i="12"/>
  <c r="P136" i="12"/>
  <c r="R136" i="12"/>
  <c r="S136" i="12"/>
  <c r="L104" i="12"/>
  <c r="T104" i="12"/>
  <c r="M104" i="12"/>
  <c r="N104" i="12"/>
  <c r="O104" i="12"/>
  <c r="Q104" i="12"/>
  <c r="P104" i="12"/>
  <c r="R104" i="12"/>
  <c r="S104" i="12"/>
  <c r="K104" i="12"/>
  <c r="O64" i="12"/>
  <c r="P64" i="12"/>
  <c r="Q64" i="12"/>
  <c r="R64" i="12"/>
  <c r="L64" i="12"/>
  <c r="M64" i="12"/>
  <c r="N64" i="12"/>
  <c r="S64" i="12"/>
  <c r="T64" i="12"/>
  <c r="K64" i="12"/>
  <c r="O24" i="12"/>
  <c r="P24" i="12"/>
  <c r="Q24" i="12"/>
  <c r="R24" i="12"/>
  <c r="L24" i="12"/>
  <c r="M24" i="12"/>
  <c r="N24" i="12"/>
  <c r="S24" i="12"/>
  <c r="T24" i="12"/>
  <c r="K24" i="12"/>
  <c r="N1017" i="12"/>
  <c r="N1009" i="12"/>
  <c r="T969" i="12"/>
  <c r="T945" i="12"/>
  <c r="S937" i="12"/>
  <c r="T913" i="12"/>
  <c r="L848" i="12"/>
  <c r="T785" i="12"/>
  <c r="K753" i="12"/>
  <c r="T728" i="12"/>
  <c r="L720" i="12"/>
  <c r="T664" i="12"/>
  <c r="K649" i="12"/>
  <c r="Q600" i="12"/>
  <c r="L441" i="12"/>
  <c r="O432" i="12"/>
  <c r="R1017" i="12"/>
  <c r="T1016" i="12"/>
  <c r="L1016" i="12"/>
  <c r="R1009" i="12"/>
  <c r="T1008" i="12"/>
  <c r="L1008" i="12"/>
  <c r="R1001" i="12"/>
  <c r="T1000" i="12"/>
  <c r="L1000" i="12"/>
  <c r="R993" i="12"/>
  <c r="T992" i="12"/>
  <c r="L992" i="12"/>
  <c r="R985" i="12"/>
  <c r="T984" i="12"/>
  <c r="L984" i="12"/>
  <c r="R977" i="12"/>
  <c r="T976" i="12"/>
  <c r="N969" i="12"/>
  <c r="N968" i="12"/>
  <c r="T961" i="12"/>
  <c r="K953" i="12"/>
  <c r="K937" i="12"/>
  <c r="S921" i="12"/>
  <c r="K913" i="12"/>
  <c r="M904" i="12"/>
  <c r="R897" i="12"/>
  <c r="T881" i="12"/>
  <c r="L880" i="12"/>
  <c r="L873" i="12"/>
  <c r="N864" i="12"/>
  <c r="S857" i="12"/>
  <c r="K849" i="12"/>
  <c r="R833" i="12"/>
  <c r="T824" i="12"/>
  <c r="T817" i="12"/>
  <c r="L816" i="12"/>
  <c r="L809" i="12"/>
  <c r="N800" i="12"/>
  <c r="S793" i="12"/>
  <c r="R769" i="12"/>
  <c r="T760" i="12"/>
  <c r="T753" i="12"/>
  <c r="L752" i="12"/>
  <c r="S729" i="12"/>
  <c r="K721" i="12"/>
  <c r="M712" i="12"/>
  <c r="T689" i="12"/>
  <c r="L688" i="12"/>
  <c r="L681" i="12"/>
  <c r="N672" i="12"/>
  <c r="S665" i="12"/>
  <c r="P640" i="12"/>
  <c r="L633" i="12"/>
  <c r="K609" i="12"/>
  <c r="Q601" i="12"/>
  <c r="S584" i="12"/>
  <c r="O577" i="12"/>
  <c r="R560" i="12"/>
  <c r="M553" i="12"/>
  <c r="P536" i="12"/>
  <c r="O521" i="12"/>
  <c r="O513" i="12"/>
  <c r="L497" i="12"/>
  <c r="Q488" i="12"/>
  <c r="N472" i="12"/>
  <c r="M409" i="12"/>
  <c r="K401" i="12"/>
  <c r="M352" i="12"/>
  <c r="M281" i="12"/>
  <c r="P248" i="12"/>
  <c r="R112" i="12"/>
  <c r="M945" i="12"/>
  <c r="O945" i="12"/>
  <c r="P945" i="12"/>
  <c r="Q945" i="12"/>
  <c r="M905" i="12"/>
  <c r="N905" i="12"/>
  <c r="O905" i="12"/>
  <c r="P905" i="12"/>
  <c r="Q905" i="12"/>
  <c r="M865" i="12"/>
  <c r="N865" i="12"/>
  <c r="O865" i="12"/>
  <c r="P865" i="12"/>
  <c r="Q865" i="12"/>
  <c r="M825" i="12"/>
  <c r="N825" i="12"/>
  <c r="O825" i="12"/>
  <c r="P825" i="12"/>
  <c r="Q825" i="12"/>
  <c r="M785" i="12"/>
  <c r="N785" i="12"/>
  <c r="O785" i="12"/>
  <c r="P785" i="12"/>
  <c r="Q785" i="12"/>
  <c r="M745" i="12"/>
  <c r="N745" i="12"/>
  <c r="O745" i="12"/>
  <c r="P745" i="12"/>
  <c r="Q745" i="12"/>
  <c r="M705" i="12"/>
  <c r="N705" i="12"/>
  <c r="O705" i="12"/>
  <c r="P705" i="12"/>
  <c r="Q705" i="12"/>
  <c r="M657" i="12"/>
  <c r="N657" i="12"/>
  <c r="O657" i="12"/>
  <c r="P657" i="12"/>
  <c r="Q657" i="12"/>
  <c r="R617" i="12"/>
  <c r="P617" i="12"/>
  <c r="Q617" i="12"/>
  <c r="S617" i="12"/>
  <c r="K617" i="12"/>
  <c r="T617" i="12"/>
  <c r="L617" i="12"/>
  <c r="R585" i="12"/>
  <c r="L585" i="12"/>
  <c r="M585" i="12"/>
  <c r="N585" i="12"/>
  <c r="O585" i="12"/>
  <c r="P585" i="12"/>
  <c r="R545" i="12"/>
  <c r="M545" i="12"/>
  <c r="N545" i="12"/>
  <c r="O545" i="12"/>
  <c r="P545" i="12"/>
  <c r="Q545" i="12"/>
  <c r="Q505" i="12"/>
  <c r="R505" i="12"/>
  <c r="K505" i="12"/>
  <c r="S505" i="12"/>
  <c r="O505" i="12"/>
  <c r="P505" i="12"/>
  <c r="T505" i="12"/>
  <c r="P457" i="12"/>
  <c r="Q457" i="12"/>
  <c r="R457" i="12"/>
  <c r="K457" i="12"/>
  <c r="S457" i="12"/>
  <c r="L457" i="12"/>
  <c r="M457" i="12"/>
  <c r="N457" i="12"/>
  <c r="O457" i="12"/>
  <c r="T457" i="12"/>
  <c r="N417" i="12"/>
  <c r="O417" i="12"/>
  <c r="P417" i="12"/>
  <c r="Q417" i="12"/>
  <c r="K417" i="12"/>
  <c r="L417" i="12"/>
  <c r="M417" i="12"/>
  <c r="R417" i="12"/>
  <c r="S417" i="12"/>
  <c r="T417" i="12"/>
  <c r="N377" i="12"/>
  <c r="O377" i="12"/>
  <c r="P377" i="12"/>
  <c r="Q377" i="12"/>
  <c r="K377" i="12"/>
  <c r="L377" i="12"/>
  <c r="M377" i="12"/>
  <c r="R377" i="12"/>
  <c r="S377" i="12"/>
  <c r="T377" i="12"/>
  <c r="N337" i="12"/>
  <c r="O337" i="12"/>
  <c r="P337" i="12"/>
  <c r="Q337" i="12"/>
  <c r="R337" i="12"/>
  <c r="S337" i="12"/>
  <c r="T337" i="12"/>
  <c r="N289" i="12"/>
  <c r="O289" i="12"/>
  <c r="P289" i="12"/>
  <c r="Q289" i="12"/>
  <c r="T289" i="12"/>
  <c r="K289" i="12"/>
  <c r="L289" i="12"/>
  <c r="O249" i="12"/>
  <c r="Q249" i="12"/>
  <c r="R249" i="12"/>
  <c r="S249" i="12"/>
  <c r="K249" i="12"/>
  <c r="T249" i="12"/>
  <c r="N249" i="12"/>
  <c r="P249" i="12"/>
  <c r="L249" i="12"/>
  <c r="M249" i="12"/>
  <c r="L209" i="12"/>
  <c r="T209" i="12"/>
  <c r="M209" i="12"/>
  <c r="O209" i="12"/>
  <c r="R209" i="12"/>
  <c r="S209" i="12"/>
  <c r="Q209" i="12"/>
  <c r="R169" i="12"/>
  <c r="K169" i="12"/>
  <c r="S169" i="12"/>
  <c r="L169" i="12"/>
  <c r="T169" i="12"/>
  <c r="M169" i="12"/>
  <c r="O169" i="12"/>
  <c r="N169" i="12"/>
  <c r="P169" i="12"/>
  <c r="Q169" i="12"/>
  <c r="R129" i="12"/>
  <c r="K129" i="12"/>
  <c r="S129" i="12"/>
  <c r="L129" i="12"/>
  <c r="T129" i="12"/>
  <c r="M129" i="12"/>
  <c r="O129" i="12"/>
  <c r="N129" i="12"/>
  <c r="M89" i="12"/>
  <c r="O89" i="12"/>
  <c r="L89" i="12"/>
  <c r="N89" i="12"/>
  <c r="P89" i="12"/>
  <c r="Q89" i="12"/>
  <c r="S89" i="12"/>
  <c r="T89" i="12"/>
  <c r="K89" i="12"/>
  <c r="R89" i="12"/>
  <c r="M57" i="12"/>
  <c r="N57" i="12"/>
  <c r="O57" i="12"/>
  <c r="P57" i="12"/>
  <c r="R57" i="12"/>
  <c r="S57" i="12"/>
  <c r="T57" i="12"/>
  <c r="K57" i="12"/>
  <c r="L57" i="12"/>
  <c r="Q57" i="12"/>
  <c r="M41" i="12"/>
  <c r="N41" i="12"/>
  <c r="O41" i="12"/>
  <c r="P41" i="12"/>
  <c r="R41" i="12"/>
  <c r="S41" i="12"/>
  <c r="T41" i="12"/>
  <c r="K41" i="12"/>
  <c r="L41" i="12"/>
  <c r="Q41" i="12"/>
  <c r="O1017" i="12"/>
  <c r="O1009" i="12"/>
  <c r="O1001" i="12"/>
  <c r="O993" i="12"/>
  <c r="O977" i="12"/>
  <c r="Q961" i="12"/>
  <c r="S953" i="12"/>
  <c r="L753" i="12"/>
  <c r="K729" i="12"/>
  <c r="K665" i="12"/>
  <c r="P625" i="12"/>
  <c r="O960" i="12"/>
  <c r="Q960" i="12"/>
  <c r="R960" i="12"/>
  <c r="O928" i="12"/>
  <c r="P928" i="12"/>
  <c r="Q928" i="12"/>
  <c r="R928" i="12"/>
  <c r="K928" i="12"/>
  <c r="S928" i="12"/>
  <c r="O888" i="12"/>
  <c r="P888" i="12"/>
  <c r="Q888" i="12"/>
  <c r="R888" i="12"/>
  <c r="K888" i="12"/>
  <c r="S888" i="12"/>
  <c r="O840" i="12"/>
  <c r="P840" i="12"/>
  <c r="Q840" i="12"/>
  <c r="R840" i="12"/>
  <c r="K840" i="12"/>
  <c r="S840" i="12"/>
  <c r="O776" i="12"/>
  <c r="P776" i="12"/>
  <c r="Q776" i="12"/>
  <c r="R776" i="12"/>
  <c r="K776" i="12"/>
  <c r="S776" i="12"/>
  <c r="O736" i="12"/>
  <c r="P736" i="12"/>
  <c r="Q736" i="12"/>
  <c r="R736" i="12"/>
  <c r="K736" i="12"/>
  <c r="S736" i="12"/>
  <c r="O696" i="12"/>
  <c r="P696" i="12"/>
  <c r="Q696" i="12"/>
  <c r="R696" i="12"/>
  <c r="K696" i="12"/>
  <c r="S696" i="12"/>
  <c r="O656" i="12"/>
  <c r="P656" i="12"/>
  <c r="Q656" i="12"/>
  <c r="R656" i="12"/>
  <c r="K656" i="12"/>
  <c r="S656" i="12"/>
  <c r="L616" i="12"/>
  <c r="T616" i="12"/>
  <c r="Q616" i="12"/>
  <c r="R616" i="12"/>
  <c r="S616" i="12"/>
  <c r="K616" i="12"/>
  <c r="M616" i="12"/>
  <c r="L576" i="12"/>
  <c r="T576" i="12"/>
  <c r="R576" i="12"/>
  <c r="S576" i="12"/>
  <c r="K576" i="12"/>
  <c r="M576" i="12"/>
  <c r="N576" i="12"/>
  <c r="K528" i="12"/>
  <c r="L528" i="12"/>
  <c r="T528" i="12"/>
  <c r="P528" i="12"/>
  <c r="Q528" i="12"/>
  <c r="R528" i="12"/>
  <c r="S528" i="12"/>
  <c r="K480" i="12"/>
  <c r="S480" i="12"/>
  <c r="L480" i="12"/>
  <c r="T480" i="12"/>
  <c r="M480" i="12"/>
  <c r="N480" i="12"/>
  <c r="O480" i="12"/>
  <c r="R440" i="12"/>
  <c r="K440" i="12"/>
  <c r="S440" i="12"/>
  <c r="L440" i="12"/>
  <c r="T440" i="12"/>
  <c r="M440" i="12"/>
  <c r="N440" i="12"/>
  <c r="O440" i="12"/>
  <c r="P440" i="12"/>
  <c r="P408" i="12"/>
  <c r="Q408" i="12"/>
  <c r="R408" i="12"/>
  <c r="K408" i="12"/>
  <c r="S408" i="12"/>
  <c r="M408" i="12"/>
  <c r="N408" i="12"/>
  <c r="O408" i="12"/>
  <c r="T408" i="12"/>
  <c r="P360" i="12"/>
  <c r="Q360" i="12"/>
  <c r="R360" i="12"/>
  <c r="K360" i="12"/>
  <c r="S360" i="12"/>
  <c r="O360" i="12"/>
  <c r="T360" i="12"/>
  <c r="P320" i="12"/>
  <c r="Q320" i="12"/>
  <c r="R320" i="12"/>
  <c r="K320" i="12"/>
  <c r="S320" i="12"/>
  <c r="L320" i="12"/>
  <c r="M320" i="12"/>
  <c r="N320" i="12"/>
  <c r="T320" i="12"/>
  <c r="P280" i="12"/>
  <c r="Q280" i="12"/>
  <c r="R280" i="12"/>
  <c r="K280" i="12"/>
  <c r="S280" i="12"/>
  <c r="M280" i="12"/>
  <c r="N280" i="12"/>
  <c r="O280" i="12"/>
  <c r="T280" i="12"/>
  <c r="L280" i="12"/>
  <c r="Q240" i="12"/>
  <c r="O240" i="12"/>
  <c r="P240" i="12"/>
  <c r="R240" i="12"/>
  <c r="S240" i="12"/>
  <c r="T240" i="12"/>
  <c r="K240" i="12"/>
  <c r="M240" i="12"/>
  <c r="N240" i="12"/>
  <c r="M200" i="12"/>
  <c r="N200" i="12"/>
  <c r="O200" i="12"/>
  <c r="Q200" i="12"/>
  <c r="L200" i="12"/>
  <c r="P200" i="12"/>
  <c r="R200" i="12"/>
  <c r="S200" i="12"/>
  <c r="K200" i="12"/>
  <c r="T200" i="12"/>
  <c r="L160" i="12"/>
  <c r="T160" i="12"/>
  <c r="M160" i="12"/>
  <c r="N160" i="12"/>
  <c r="O160" i="12"/>
  <c r="Q160" i="12"/>
  <c r="K160" i="12"/>
  <c r="P160" i="12"/>
  <c r="R160" i="12"/>
  <c r="S160" i="12"/>
  <c r="L120" i="12"/>
  <c r="T120" i="12"/>
  <c r="M120" i="12"/>
  <c r="N120" i="12"/>
  <c r="O120" i="12"/>
  <c r="Q120" i="12"/>
  <c r="S120" i="12"/>
  <c r="R120" i="12"/>
  <c r="O80" i="12"/>
  <c r="Q80" i="12"/>
  <c r="R80" i="12"/>
  <c r="S80" i="12"/>
  <c r="T80" i="12"/>
  <c r="K80" i="12"/>
  <c r="M80" i="12"/>
  <c r="L80" i="12"/>
  <c r="N80" i="12"/>
  <c r="P80" i="12"/>
  <c r="O8" i="12"/>
  <c r="P8" i="12"/>
  <c r="Q8" i="12"/>
  <c r="R8" i="12"/>
  <c r="L8" i="12"/>
  <c r="M8" i="12"/>
  <c r="N8" i="12"/>
  <c r="S8" i="12"/>
  <c r="T8" i="12"/>
  <c r="K8" i="12"/>
  <c r="N961" i="12"/>
  <c r="R953" i="12"/>
  <c r="N944" i="12"/>
  <c r="R929" i="12"/>
  <c r="M872" i="12"/>
  <c r="T849" i="12"/>
  <c r="S825" i="12"/>
  <c r="R801" i="12"/>
  <c r="L784" i="12"/>
  <c r="R737" i="12"/>
  <c r="S624" i="12"/>
  <c r="K569" i="12"/>
  <c r="P537" i="12"/>
  <c r="O449" i="12"/>
  <c r="T328" i="12"/>
  <c r="S1016" i="12"/>
  <c r="S1008" i="12"/>
  <c r="S1000" i="12"/>
  <c r="S992" i="12"/>
  <c r="S984" i="12"/>
  <c r="S976" i="12"/>
  <c r="M969" i="12"/>
  <c r="M968" i="12"/>
  <c r="S961" i="12"/>
  <c r="P960" i="12"/>
  <c r="T952" i="12"/>
  <c r="K945" i="12"/>
  <c r="T936" i="12"/>
  <c r="M928" i="12"/>
  <c r="R921" i="12"/>
  <c r="T912" i="12"/>
  <c r="T905" i="12"/>
  <c r="L904" i="12"/>
  <c r="L897" i="12"/>
  <c r="N888" i="12"/>
  <c r="S881" i="12"/>
  <c r="K873" i="12"/>
  <c r="M864" i="12"/>
  <c r="R857" i="12"/>
  <c r="T848" i="12"/>
  <c r="T841" i="12"/>
  <c r="L840" i="12"/>
  <c r="L833" i="12"/>
  <c r="N824" i="12"/>
  <c r="S817" i="12"/>
  <c r="K809" i="12"/>
  <c r="M800" i="12"/>
  <c r="R793" i="12"/>
  <c r="T784" i="12"/>
  <c r="T777" i="12"/>
  <c r="L776" i="12"/>
  <c r="L769" i="12"/>
  <c r="N760" i="12"/>
  <c r="S753" i="12"/>
  <c r="K745" i="12"/>
  <c r="M736" i="12"/>
  <c r="R729" i="12"/>
  <c r="T720" i="12"/>
  <c r="T713" i="12"/>
  <c r="L712" i="12"/>
  <c r="L705" i="12"/>
  <c r="N696" i="12"/>
  <c r="S689" i="12"/>
  <c r="K681" i="12"/>
  <c r="M672" i="12"/>
  <c r="R665" i="12"/>
  <c r="T656" i="12"/>
  <c r="T649" i="12"/>
  <c r="O640" i="12"/>
  <c r="K633" i="12"/>
  <c r="S625" i="12"/>
  <c r="S608" i="12"/>
  <c r="P601" i="12"/>
  <c r="R584" i="12"/>
  <c r="N577" i="12"/>
  <c r="T569" i="12"/>
  <c r="Q560" i="12"/>
  <c r="P552" i="12"/>
  <c r="S545" i="12"/>
  <c r="N528" i="12"/>
  <c r="N521" i="12"/>
  <c r="N513" i="12"/>
  <c r="M505" i="12"/>
  <c r="R496" i="12"/>
  <c r="N416" i="12"/>
  <c r="L409" i="12"/>
  <c r="L360" i="12"/>
  <c r="O320" i="12"/>
  <c r="R297" i="12"/>
  <c r="R289" i="12"/>
  <c r="N209" i="12"/>
  <c r="R4" i="7"/>
  <c r="Q6" i="7"/>
  <c r="Q4" i="7"/>
  <c r="R6" i="7"/>
  <c r="R5" i="7"/>
  <c r="R3" i="7"/>
  <c r="Q5" i="7"/>
  <c r="Q3" i="7"/>
  <c r="C20" i="8"/>
  <c r="C17" i="8"/>
  <c r="C16" i="8"/>
  <c r="C15" i="8"/>
  <c r="C14" i="8"/>
  <c r="C13" i="8"/>
  <c r="C12" i="8"/>
  <c r="C11" i="8"/>
  <c r="C10" i="8"/>
  <c r="C9" i="8"/>
  <c r="C8" i="8"/>
  <c r="C7" i="8"/>
  <c r="A7" i="7"/>
  <c r="A6" i="7"/>
  <c r="A5" i="7"/>
  <c r="A4" i="7"/>
  <c r="A3" i="7"/>
  <c r="Q9" i="7" l="1" a="1"/>
  <c r="Q9" i="7" s="1"/>
</calcChain>
</file>

<file path=xl/sharedStrings.xml><?xml version="1.0" encoding="utf-8"?>
<sst xmlns="http://schemas.openxmlformats.org/spreadsheetml/2006/main" count="144" uniqueCount="66">
  <si>
    <t>w</t>
  </si>
  <si>
    <t>EOY Performance (starting 31/12/2014)</t>
  </si>
  <si>
    <t>Perf</t>
  </si>
  <si>
    <t>Vola</t>
  </si>
  <si>
    <t>Asset_ID</t>
  </si>
  <si>
    <t>Asset Name</t>
  </si>
  <si>
    <t>ISIN</t>
  </si>
  <si>
    <t>UniGlobal</t>
  </si>
  <si>
    <t>DE0008491051</t>
  </si>
  <si>
    <t>Storm Fund II - Storm Bond Fund-RC (EUR)</t>
  </si>
  <si>
    <t>LU0840158819</t>
  </si>
  <si>
    <t>Anchor</t>
  </si>
  <si>
    <t>n/a</t>
  </si>
  <si>
    <t>Sums</t>
  </si>
  <si>
    <t/>
  </si>
  <si>
    <t>Quantex Global Value Fund-CHF R</t>
  </si>
  <si>
    <t>LI0042267281</t>
  </si>
  <si>
    <t>Polar Capital Funds plc - Global Insurance Fund-I EUR Acc</t>
  </si>
  <si>
    <t>IE00B55MWC15</t>
  </si>
  <si>
    <t>a_2 =</t>
  </si>
  <si>
    <t>a_1 =</t>
  </si>
  <si>
    <t>a_0 =</t>
  </si>
  <si>
    <t>Centroid:</t>
  </si>
  <si>
    <t>x =</t>
  </si>
  <si>
    <t xml:space="preserve">y = </t>
  </si>
  <si>
    <t>Average Portfolio Performance:</t>
  </si>
  <si>
    <t>x</t>
  </si>
  <si>
    <t>y</t>
  </si>
  <si>
    <t>Polynomial Coeff for Upper Liiting Curve</t>
  </si>
  <si>
    <t>Analytical Calculation of the Centroid</t>
  </si>
  <si>
    <t>(%i1)</t>
  </si>
  <si>
    <t>f(x) := -1.5*x^2 + 6.5*x - 4;</t>
  </si>
  <si>
    <t>(%i4)</t>
  </si>
  <si>
    <t>A:integrate(f(x),x,1,3);</t>
  </si>
  <si>
    <t>(%o4)</t>
  </si>
  <si>
    <t>(%i5)</t>
  </si>
  <si>
    <t>xc:(1/A)*integrate(x*f(x),x,1,3);</t>
  </si>
  <si>
    <t>(%o5)</t>
  </si>
  <si>
    <t>Annual Returns:</t>
  </si>
  <si>
    <t xml:space="preserve"> </t>
  </si>
  <si>
    <t>Asset</t>
  </si>
  <si>
    <t>Expected Return</t>
  </si>
  <si>
    <t>A</t>
  </si>
  <si>
    <t>B</t>
  </si>
  <si>
    <t>C</t>
  </si>
  <si>
    <t>D</t>
  </si>
  <si>
    <t>StdDev</t>
  </si>
  <si>
    <t>Correlation Matrix:</t>
  </si>
  <si>
    <t>Covariance Matrix:</t>
  </si>
  <si>
    <t>Weights:</t>
  </si>
  <si>
    <t>Portfolio Return:</t>
  </si>
  <si>
    <t>Risk (Std Dev):</t>
  </si>
  <si>
    <t>=</t>
  </si>
  <si>
    <t>Storm</t>
  </si>
  <si>
    <t>Quantex</t>
  </si>
  <si>
    <t>Polar</t>
  </si>
  <si>
    <t xml:space="preserve"> Return</t>
  </si>
  <si>
    <t>Expected</t>
  </si>
  <si>
    <t>Bin</t>
  </si>
  <si>
    <t>More</t>
  </si>
  <si>
    <t>Frequency</t>
  </si>
  <si>
    <t>Sharpe</t>
  </si>
  <si>
    <t>Moving Averages of Weights</t>
  </si>
  <si>
    <t>Stdev of MovAvgs</t>
  </si>
  <si>
    <t>Return:</t>
  </si>
  <si>
    <t>Return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</si>
</sst>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00"/>
    <numFmt numFmtId="166" formatCode="0.0"/>
    <numFmt numFmtId="170" formatCode="0.00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FFFF"/>
      <name val="Calibri"/>
      <family val="2"/>
      <scheme val="minor"/>
    </font>
    <font>
      <b/>
      <i/>
      <sz val="11"/>
      <color theme="1"/>
      <name val="Footlight MT Light"/>
      <family val="1"/>
    </font>
    <font>
      <i/>
      <sz val="11"/>
      <color theme="1"/>
      <name val="Footlight MT Light"/>
      <family val="1"/>
    </font>
    <font>
      <sz val="11"/>
      <color theme="1"/>
      <name val="Footlight MT Light"/>
      <family val="1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b/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D1"/>
        <bgColor indexed="64"/>
      </patternFill>
    </fill>
    <fill>
      <patternFill patternType="gray125">
        <bgColor theme="0" tint="-4.9989318521683403E-2"/>
      </patternFill>
    </fill>
    <fill>
      <patternFill patternType="solid">
        <fgColor rgb="FFFFFFFF"/>
        <bgColor indexed="64"/>
      </patternFill>
    </fill>
    <fill>
      <patternFill patternType="solid">
        <fgColor theme="2"/>
        <bgColor indexed="64"/>
      </patternFill>
    </fill>
  </fills>
  <borders count="4">
    <border>
      <left/>
      <right/>
      <top/>
      <bottom/>
      <diagonal/>
    </border>
    <border>
      <left style="medium">
        <color rgb="FFDDDDDD"/>
      </left>
      <right style="medium">
        <color rgb="FFDDDDDD"/>
      </right>
      <top/>
      <bottom style="medium">
        <color rgb="FFDDDDDD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4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/>
    <xf numFmtId="10" fontId="1" fillId="2" borderId="0" xfId="0" applyNumberFormat="1" applyFont="1" applyFill="1" applyAlignment="1">
      <alignment horizontal="center"/>
    </xf>
    <xf numFmtId="10" fontId="1" fillId="0" borderId="0" xfId="0" applyNumberFormat="1" applyFont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0" fontId="2" fillId="0" borderId="0" xfId="1"/>
    <xf numFmtId="10" fontId="0" fillId="2" borderId="0" xfId="0" applyNumberFormat="1" applyFill="1"/>
    <xf numFmtId="10" fontId="0" fillId="0" borderId="0" xfId="0" applyNumberFormat="1"/>
    <xf numFmtId="0" fontId="3" fillId="0" borderId="0" xfId="0" applyFont="1" applyAlignment="1">
      <alignment horizontal="center"/>
    </xf>
    <xf numFmtId="0" fontId="4" fillId="3" borderId="0" xfId="0" applyFont="1" applyFill="1"/>
    <xf numFmtId="0" fontId="5" fillId="3" borderId="0" xfId="0" applyFont="1" applyFill="1" applyAlignment="1">
      <alignment horizontal="center"/>
    </xf>
    <xf numFmtId="10" fontId="6" fillId="3" borderId="0" xfId="0" applyNumberFormat="1" applyFont="1" applyFill="1" applyAlignment="1">
      <alignment horizontal="right"/>
    </xf>
    <xf numFmtId="10" fontId="6" fillId="3" borderId="0" xfId="0" applyNumberFormat="1" applyFont="1" applyFill="1"/>
    <xf numFmtId="164" fontId="1" fillId="0" borderId="0" xfId="0" applyNumberFormat="1" applyFont="1" applyAlignment="1">
      <alignment horizontal="left" vertical="center"/>
    </xf>
    <xf numFmtId="164" fontId="0" fillId="0" borderId="0" xfId="0" applyNumberFormat="1"/>
    <xf numFmtId="0" fontId="8" fillId="0" borderId="0" xfId="0" applyFont="1" applyAlignment="1">
      <alignment horizontal="center" vertical="top"/>
    </xf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7" fillId="3" borderId="0" xfId="0" applyFont="1" applyFill="1" applyAlignment="1">
      <alignment horizontal="center"/>
    </xf>
    <xf numFmtId="10" fontId="1" fillId="3" borderId="0" xfId="0" applyNumberFormat="1" applyFont="1" applyFill="1"/>
    <xf numFmtId="0" fontId="1" fillId="3" borderId="0" xfId="0" applyFont="1" applyFill="1" applyAlignment="1">
      <alignment horizontal="center"/>
    </xf>
    <xf numFmtId="10" fontId="1" fillId="3" borderId="0" xfId="0" applyNumberFormat="1" applyFont="1" applyFill="1" applyAlignment="1">
      <alignment horizontal="center"/>
    </xf>
    <xf numFmtId="0" fontId="1" fillId="3" borderId="0" xfId="0" applyFont="1" applyFill="1"/>
    <xf numFmtId="0" fontId="2" fillId="4" borderId="1" xfId="1" applyFill="1" applyBorder="1" applyAlignment="1">
      <alignment horizontal="fill" vertical="center" wrapText="1"/>
    </xf>
    <xf numFmtId="165" fontId="0" fillId="0" borderId="0" xfId="0" applyNumberFormat="1"/>
    <xf numFmtId="1" fontId="0" fillId="0" borderId="0" xfId="0" applyNumberFormat="1" applyAlignment="1">
      <alignment horizontal="center"/>
    </xf>
    <xf numFmtId="166" fontId="0" fillId="0" borderId="0" xfId="0" applyNumberFormat="1"/>
    <xf numFmtId="0" fontId="0" fillId="0" borderId="0" xfId="0" applyAlignment="1">
      <alignment horizontal="right"/>
    </xf>
    <xf numFmtId="165" fontId="0" fillId="0" borderId="0" xfId="0" applyNumberFormat="1" applyAlignment="1">
      <alignment horizontal="right"/>
    </xf>
    <xf numFmtId="2" fontId="0" fillId="0" borderId="0" xfId="0" applyNumberFormat="1"/>
    <xf numFmtId="2" fontId="0" fillId="0" borderId="0" xfId="0" applyNumberFormat="1" applyAlignment="1">
      <alignment horizontal="center"/>
    </xf>
    <xf numFmtId="2" fontId="0" fillId="0" borderId="0" xfId="0" applyNumberFormat="1" applyAlignment="1">
      <alignment horizontal="right"/>
    </xf>
    <xf numFmtId="0" fontId="9" fillId="0" borderId="0" xfId="0" applyFont="1"/>
    <xf numFmtId="0" fontId="9" fillId="0" borderId="0" xfId="0" applyFont="1" applyAlignment="1">
      <alignment horizontal="center"/>
    </xf>
    <xf numFmtId="165" fontId="9" fillId="0" borderId="0" xfId="0" applyNumberFormat="1" applyFont="1"/>
    <xf numFmtId="165" fontId="1" fillId="0" borderId="0" xfId="0" applyNumberFormat="1" applyFont="1" applyAlignment="1">
      <alignment horizontal="center"/>
    </xf>
    <xf numFmtId="0" fontId="11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10" fontId="0" fillId="0" borderId="0" xfId="0" applyNumberFormat="1" applyAlignment="1">
      <alignment horizontal="right"/>
    </xf>
    <xf numFmtId="2" fontId="1" fillId="0" borderId="0" xfId="0" applyNumberFormat="1" applyFont="1" applyAlignment="1">
      <alignment horizontal="center"/>
    </xf>
    <xf numFmtId="165" fontId="1" fillId="0" borderId="0" xfId="0" applyNumberFormat="1" applyFont="1"/>
    <xf numFmtId="0" fontId="1" fillId="0" borderId="0" xfId="0" applyFont="1" applyAlignment="1">
      <alignment horizontal="left"/>
    </xf>
    <xf numFmtId="10" fontId="1" fillId="0" borderId="0" xfId="0" applyNumberFormat="1" applyFont="1"/>
    <xf numFmtId="9" fontId="0" fillId="0" borderId="0" xfId="0" applyNumberFormat="1"/>
    <xf numFmtId="10" fontId="1" fillId="0" borderId="0" xfId="0" applyNumberFormat="1" applyFont="1" applyAlignment="1">
      <alignment horizontal="center"/>
    </xf>
    <xf numFmtId="9" fontId="0" fillId="0" borderId="0" xfId="0" applyNumberFormat="1" applyFill="1" applyBorder="1" applyAlignment="1"/>
    <xf numFmtId="0" fontId="0" fillId="0" borderId="0" xfId="0" applyFill="1" applyBorder="1" applyAlignment="1"/>
    <xf numFmtId="0" fontId="0" fillId="0" borderId="2" xfId="0" applyFill="1" applyBorder="1" applyAlignment="1"/>
    <xf numFmtId="0" fontId="12" fillId="0" borderId="3" xfId="0" applyFont="1" applyFill="1" applyBorder="1" applyAlignment="1">
      <alignment horizontal="center"/>
    </xf>
    <xf numFmtId="170" fontId="0" fillId="0" borderId="0" xfId="0" applyNumberFormat="1"/>
    <xf numFmtId="0" fontId="0" fillId="5" borderId="0" xfId="0" applyFill="1"/>
    <xf numFmtId="2" fontId="1" fillId="0" borderId="0" xfId="0" applyNumberFormat="1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E7EDFF"/>
      <color rgb="FFFFFFFF"/>
      <color rgb="FFBDD7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Efficient Frontier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299618193099446E-2"/>
          <c:y val="9.9521178703004171E-2"/>
          <c:w val="0.90952813509041097"/>
          <c:h val="0.8290122694467974"/>
        </c:manualLayout>
      </c:layout>
      <c:scatterChart>
        <c:scatterStyle val="lineMarker"/>
        <c:varyColors val="0"/>
        <c:ser>
          <c:idx val="0"/>
          <c:order val="0"/>
          <c:tx>
            <c:v>Efficient Frontier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dash"/>
              </a:ln>
              <a:effectLst/>
            </c:spPr>
            <c:trendlineType val="log"/>
            <c:dispRSqr val="0"/>
            <c:dispEq val="1"/>
            <c:trendlineLbl>
              <c:layout>
                <c:manualLayout>
                  <c:x val="-0.26931812934122423"/>
                  <c:y val="-0.21367051440293836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100" baseline="0"/>
                      <a:t>y = 0.0451 ln(x) + 0.1744</a:t>
                    </a:r>
                    <a:endParaRPr lang="en-US" sz="1100"/>
                  </a:p>
                </c:rich>
              </c:tx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'EffFrontier ChatGPT'!$W$3:$W$1002</c:f>
              <c:numCache>
                <c:formatCode>0.00%</c:formatCode>
                <c:ptCount val="1000"/>
                <c:pt idx="0">
                  <c:v>0.16733311092188022</c:v>
                </c:pt>
                <c:pt idx="1">
                  <c:v>0.14003770773029797</c:v>
                </c:pt>
                <c:pt idx="2">
                  <c:v>9.7340801572138286E-2</c:v>
                </c:pt>
                <c:pt idx="3">
                  <c:v>0.14231913873578508</c:v>
                </c:pt>
                <c:pt idx="4">
                  <c:v>0.10545784629363192</c:v>
                </c:pt>
                <c:pt idx="5">
                  <c:v>0.10739292392565992</c:v>
                </c:pt>
                <c:pt idx="6">
                  <c:v>0.11997847592251919</c:v>
                </c:pt>
                <c:pt idx="7">
                  <c:v>0.12613656405424262</c:v>
                </c:pt>
                <c:pt idx="8">
                  <c:v>0.12676687131895795</c:v>
                </c:pt>
                <c:pt idx="9">
                  <c:v>0.16638995071281434</c:v>
                </c:pt>
                <c:pt idx="10">
                  <c:v>0.10439038175811551</c:v>
                </c:pt>
                <c:pt idx="11">
                  <c:v>0.12053000935608477</c:v>
                </c:pt>
                <c:pt idx="12">
                  <c:v>9.3410300412584774E-2</c:v>
                </c:pt>
                <c:pt idx="13">
                  <c:v>0.13731607196665874</c:v>
                </c:pt>
                <c:pt idx="14">
                  <c:v>9.7121902760431783E-2</c:v>
                </c:pt>
                <c:pt idx="15">
                  <c:v>0.19455014404334828</c:v>
                </c:pt>
                <c:pt idx="16">
                  <c:v>9.9644112697969217E-2</c:v>
                </c:pt>
                <c:pt idx="17">
                  <c:v>0.15302700938240449</c:v>
                </c:pt>
                <c:pt idx="18">
                  <c:v>0.15506100952206417</c:v>
                </c:pt>
                <c:pt idx="19">
                  <c:v>0.12233291905381985</c:v>
                </c:pt>
                <c:pt idx="20">
                  <c:v>0.10049516401090419</c:v>
                </c:pt>
                <c:pt idx="21">
                  <c:v>0.1177409430122365</c:v>
                </c:pt>
                <c:pt idx="22">
                  <c:v>0.13765675939548422</c:v>
                </c:pt>
                <c:pt idx="23">
                  <c:v>0.16292479269097265</c:v>
                </c:pt>
                <c:pt idx="24">
                  <c:v>0.15665923228414391</c:v>
                </c:pt>
                <c:pt idx="25">
                  <c:v>0.11572009439851723</c:v>
                </c:pt>
                <c:pt idx="26">
                  <c:v>0.10214347624517413</c:v>
                </c:pt>
                <c:pt idx="27">
                  <c:v>0.13129055186821115</c:v>
                </c:pt>
                <c:pt idx="28">
                  <c:v>0.16234349506099188</c:v>
                </c:pt>
                <c:pt idx="29">
                  <c:v>0.15548501038942741</c:v>
                </c:pt>
                <c:pt idx="30">
                  <c:v>0.16883147676141277</c:v>
                </c:pt>
                <c:pt idx="31">
                  <c:v>0.13174388746357993</c:v>
                </c:pt>
                <c:pt idx="32">
                  <c:v>0.12243416430651366</c:v>
                </c:pt>
                <c:pt idx="33">
                  <c:v>0.15912151923746515</c:v>
                </c:pt>
                <c:pt idx="34">
                  <c:v>0.14884676482126524</c:v>
                </c:pt>
                <c:pt idx="35">
                  <c:v>0.12619204866789224</c:v>
                </c:pt>
                <c:pt idx="36">
                  <c:v>0.12589826541239282</c:v>
                </c:pt>
                <c:pt idx="37">
                  <c:v>0.12708918097851576</c:v>
                </c:pt>
                <c:pt idx="38">
                  <c:v>0.14779155703639657</c:v>
                </c:pt>
                <c:pt idx="39">
                  <c:v>0.15818276627679129</c:v>
                </c:pt>
                <c:pt idx="40">
                  <c:v>0.11275220199454633</c:v>
                </c:pt>
                <c:pt idx="41">
                  <c:v>0.16956973588723717</c:v>
                </c:pt>
                <c:pt idx="42">
                  <c:v>0.15845582956721629</c:v>
                </c:pt>
                <c:pt idx="43">
                  <c:v>0.1534868715001379</c:v>
                </c:pt>
                <c:pt idx="44">
                  <c:v>0.10990085017441964</c:v>
                </c:pt>
                <c:pt idx="45">
                  <c:v>0.15496731017131898</c:v>
                </c:pt>
                <c:pt idx="46">
                  <c:v>0.12423410616141525</c:v>
                </c:pt>
                <c:pt idx="47">
                  <c:v>0.10848229665100252</c:v>
                </c:pt>
                <c:pt idx="48">
                  <c:v>0.12277103266213919</c:v>
                </c:pt>
                <c:pt idx="49">
                  <c:v>0.14938084129677318</c:v>
                </c:pt>
                <c:pt idx="50">
                  <c:v>0.13281052976753438</c:v>
                </c:pt>
                <c:pt idx="51">
                  <c:v>0.13316519077281611</c:v>
                </c:pt>
                <c:pt idx="52">
                  <c:v>0.11875898418054341</c:v>
                </c:pt>
                <c:pt idx="53">
                  <c:v>9.3459232959459973E-2</c:v>
                </c:pt>
                <c:pt idx="54">
                  <c:v>0.1532666234038613</c:v>
                </c:pt>
                <c:pt idx="55">
                  <c:v>0.13143470501262419</c:v>
                </c:pt>
                <c:pt idx="56">
                  <c:v>0.11054601020013671</c:v>
                </c:pt>
                <c:pt idx="57">
                  <c:v>0.11579006586994453</c:v>
                </c:pt>
                <c:pt idx="58">
                  <c:v>0.10132001662388053</c:v>
                </c:pt>
                <c:pt idx="59">
                  <c:v>0.13105718967373173</c:v>
                </c:pt>
                <c:pt idx="60">
                  <c:v>0.17814275795814721</c:v>
                </c:pt>
                <c:pt idx="61">
                  <c:v>0.17121799752888511</c:v>
                </c:pt>
                <c:pt idx="62">
                  <c:v>0.13320893011383375</c:v>
                </c:pt>
                <c:pt idx="63">
                  <c:v>0.11891247345824488</c:v>
                </c:pt>
                <c:pt idx="64">
                  <c:v>0.13412434332249734</c:v>
                </c:pt>
                <c:pt idx="65">
                  <c:v>0.15138694234048414</c:v>
                </c:pt>
                <c:pt idx="66">
                  <c:v>0.13309542202894911</c:v>
                </c:pt>
                <c:pt idx="67">
                  <c:v>0.13331020895939522</c:v>
                </c:pt>
                <c:pt idx="68">
                  <c:v>0.13167417984184404</c:v>
                </c:pt>
                <c:pt idx="69">
                  <c:v>0.10167508927504205</c:v>
                </c:pt>
                <c:pt idx="70">
                  <c:v>0.15826917959209202</c:v>
                </c:pt>
                <c:pt idx="71">
                  <c:v>8.8523182518899554E-2</c:v>
                </c:pt>
                <c:pt idx="72">
                  <c:v>0.15387333342995249</c:v>
                </c:pt>
                <c:pt idx="73">
                  <c:v>0.12020130210683937</c:v>
                </c:pt>
                <c:pt idx="74">
                  <c:v>0.14208794565417676</c:v>
                </c:pt>
                <c:pt idx="75">
                  <c:v>0.12086760763037763</c:v>
                </c:pt>
                <c:pt idx="76">
                  <c:v>0.11782759104490761</c:v>
                </c:pt>
                <c:pt idx="77">
                  <c:v>9.4809422759542947E-2</c:v>
                </c:pt>
                <c:pt idx="78">
                  <c:v>0.13296557299030048</c:v>
                </c:pt>
                <c:pt idx="79">
                  <c:v>0.14457195255235236</c:v>
                </c:pt>
                <c:pt idx="80">
                  <c:v>0.12110042522247666</c:v>
                </c:pt>
                <c:pt idx="81">
                  <c:v>0.14381508373095767</c:v>
                </c:pt>
                <c:pt idx="82">
                  <c:v>0.10371635998814085</c:v>
                </c:pt>
                <c:pt idx="83">
                  <c:v>0.13562563008023304</c:v>
                </c:pt>
                <c:pt idx="84">
                  <c:v>0.10826156142540208</c:v>
                </c:pt>
                <c:pt idx="85">
                  <c:v>0.15485558575091743</c:v>
                </c:pt>
                <c:pt idx="86">
                  <c:v>0.11445520854428398</c:v>
                </c:pt>
                <c:pt idx="87">
                  <c:v>9.7732822108377956E-2</c:v>
                </c:pt>
                <c:pt idx="88">
                  <c:v>0.12567651774307803</c:v>
                </c:pt>
                <c:pt idx="89">
                  <c:v>0.15265058531523121</c:v>
                </c:pt>
                <c:pt idx="90">
                  <c:v>0.12119018164085589</c:v>
                </c:pt>
                <c:pt idx="91">
                  <c:v>0.12685073326693122</c:v>
                </c:pt>
                <c:pt idx="92">
                  <c:v>0.10429256607186438</c:v>
                </c:pt>
                <c:pt idx="93">
                  <c:v>0.13757291797440177</c:v>
                </c:pt>
                <c:pt idx="94">
                  <c:v>9.8270042135561647E-2</c:v>
                </c:pt>
                <c:pt idx="95">
                  <c:v>0.12293605776874321</c:v>
                </c:pt>
                <c:pt idx="96">
                  <c:v>0.15688310082380155</c:v>
                </c:pt>
                <c:pt idx="97">
                  <c:v>0.13869148948013171</c:v>
                </c:pt>
                <c:pt idx="98">
                  <c:v>0.12588779894171287</c:v>
                </c:pt>
                <c:pt idx="99">
                  <c:v>0.15070726094677783</c:v>
                </c:pt>
                <c:pt idx="100">
                  <c:v>0.12810379310334039</c:v>
                </c:pt>
                <c:pt idx="101">
                  <c:v>0.20717626590589036</c:v>
                </c:pt>
                <c:pt idx="102">
                  <c:v>0.12724273653370194</c:v>
                </c:pt>
                <c:pt idx="103">
                  <c:v>0.12378253364741149</c:v>
                </c:pt>
                <c:pt idx="104">
                  <c:v>9.3675003123913969E-2</c:v>
                </c:pt>
                <c:pt idx="105">
                  <c:v>0.14106462711625523</c:v>
                </c:pt>
                <c:pt idx="106">
                  <c:v>0.1200077974678028</c:v>
                </c:pt>
                <c:pt idx="107">
                  <c:v>0.13309169486362205</c:v>
                </c:pt>
                <c:pt idx="108">
                  <c:v>9.9808007284205122E-2</c:v>
                </c:pt>
                <c:pt idx="109">
                  <c:v>0.14361540617657861</c:v>
                </c:pt>
                <c:pt idx="110">
                  <c:v>0.11418391815366249</c:v>
                </c:pt>
                <c:pt idx="111">
                  <c:v>0.14716323893965788</c:v>
                </c:pt>
                <c:pt idx="112">
                  <c:v>0.11148383035473619</c:v>
                </c:pt>
                <c:pt idx="113">
                  <c:v>0.15508945882015215</c:v>
                </c:pt>
                <c:pt idx="114">
                  <c:v>0.12621002914686164</c:v>
                </c:pt>
                <c:pt idx="115">
                  <c:v>0.12405150706012343</c:v>
                </c:pt>
                <c:pt idx="116">
                  <c:v>0.14092115769766411</c:v>
                </c:pt>
                <c:pt idx="117">
                  <c:v>0.17121142485486443</c:v>
                </c:pt>
                <c:pt idx="118">
                  <c:v>0.11412468105553153</c:v>
                </c:pt>
                <c:pt idx="119">
                  <c:v>0.1283582897666572</c:v>
                </c:pt>
                <c:pt idx="120">
                  <c:v>0.10157828013468288</c:v>
                </c:pt>
                <c:pt idx="121">
                  <c:v>0.10484081899801664</c:v>
                </c:pt>
                <c:pt idx="122">
                  <c:v>0.14046517428997565</c:v>
                </c:pt>
                <c:pt idx="123">
                  <c:v>0.11484832238446692</c:v>
                </c:pt>
                <c:pt idx="124">
                  <c:v>0.15464188455673628</c:v>
                </c:pt>
                <c:pt idx="125">
                  <c:v>9.2182960787818402E-2</c:v>
                </c:pt>
                <c:pt idx="126">
                  <c:v>0.12429146496100682</c:v>
                </c:pt>
                <c:pt idx="127">
                  <c:v>8.7538739100436039E-2</c:v>
                </c:pt>
                <c:pt idx="128">
                  <c:v>0.14296182585077699</c:v>
                </c:pt>
                <c:pt idx="129">
                  <c:v>0.12502175824357037</c:v>
                </c:pt>
                <c:pt idx="130">
                  <c:v>0.13482594604410583</c:v>
                </c:pt>
                <c:pt idx="131">
                  <c:v>9.3972689182077615E-2</c:v>
                </c:pt>
                <c:pt idx="132">
                  <c:v>0.10482986088110781</c:v>
                </c:pt>
                <c:pt idx="133">
                  <c:v>0.14318071242752015</c:v>
                </c:pt>
                <c:pt idx="134">
                  <c:v>0.1401680888157934</c:v>
                </c:pt>
                <c:pt idx="135">
                  <c:v>0.18587575242461304</c:v>
                </c:pt>
                <c:pt idx="136">
                  <c:v>0.16290669138535124</c:v>
                </c:pt>
                <c:pt idx="137">
                  <c:v>0.13591618539273859</c:v>
                </c:pt>
                <c:pt idx="138">
                  <c:v>0.14353582271510401</c:v>
                </c:pt>
                <c:pt idx="139">
                  <c:v>0.15976423928666891</c:v>
                </c:pt>
                <c:pt idx="140">
                  <c:v>8.9605989435287692E-2</c:v>
                </c:pt>
                <c:pt idx="141">
                  <c:v>0.13313835528074122</c:v>
                </c:pt>
                <c:pt idx="142">
                  <c:v>0.14292388294412312</c:v>
                </c:pt>
                <c:pt idx="143">
                  <c:v>0.12993451899390276</c:v>
                </c:pt>
                <c:pt idx="144">
                  <c:v>0.16222168156278349</c:v>
                </c:pt>
                <c:pt idx="145">
                  <c:v>0.10785834902368004</c:v>
                </c:pt>
                <c:pt idx="146">
                  <c:v>0.11638870593251165</c:v>
                </c:pt>
                <c:pt idx="147">
                  <c:v>0.12795698924056237</c:v>
                </c:pt>
                <c:pt idx="148">
                  <c:v>0.11492675246531632</c:v>
                </c:pt>
                <c:pt idx="149">
                  <c:v>0.12336692851346875</c:v>
                </c:pt>
                <c:pt idx="150">
                  <c:v>0.10116033994110879</c:v>
                </c:pt>
                <c:pt idx="151">
                  <c:v>0.10926963029563129</c:v>
                </c:pt>
                <c:pt idx="152">
                  <c:v>0.12346258462029647</c:v>
                </c:pt>
                <c:pt idx="153">
                  <c:v>0.10463830520411768</c:v>
                </c:pt>
                <c:pt idx="154">
                  <c:v>0.12023047076417076</c:v>
                </c:pt>
                <c:pt idx="155">
                  <c:v>0.13801187455119052</c:v>
                </c:pt>
                <c:pt idx="156">
                  <c:v>0.14683801158778961</c:v>
                </c:pt>
                <c:pt idx="157">
                  <c:v>9.584234054688387E-2</c:v>
                </c:pt>
                <c:pt idx="158">
                  <c:v>0.10184155411533907</c:v>
                </c:pt>
                <c:pt idx="159">
                  <c:v>0.13108327957756102</c:v>
                </c:pt>
                <c:pt idx="160">
                  <c:v>0.1279638887753973</c:v>
                </c:pt>
                <c:pt idx="161">
                  <c:v>0.15641343824170828</c:v>
                </c:pt>
                <c:pt idx="162">
                  <c:v>0.1216343748586881</c:v>
                </c:pt>
                <c:pt idx="163">
                  <c:v>0.13325751576360181</c:v>
                </c:pt>
                <c:pt idx="164">
                  <c:v>9.8598902449525044E-2</c:v>
                </c:pt>
                <c:pt idx="165">
                  <c:v>0.12281759387270144</c:v>
                </c:pt>
                <c:pt idx="166">
                  <c:v>0.12378226884336355</c:v>
                </c:pt>
                <c:pt idx="167">
                  <c:v>0.11463618244049262</c:v>
                </c:pt>
                <c:pt idx="168">
                  <c:v>0.14172367123934487</c:v>
                </c:pt>
                <c:pt idx="169">
                  <c:v>0.12851824319051275</c:v>
                </c:pt>
                <c:pt idx="170">
                  <c:v>0.13252997915187364</c:v>
                </c:pt>
                <c:pt idx="171">
                  <c:v>0.1201847994599916</c:v>
                </c:pt>
                <c:pt idx="172">
                  <c:v>0.15170627193716477</c:v>
                </c:pt>
                <c:pt idx="173">
                  <c:v>0.10860205983640198</c:v>
                </c:pt>
                <c:pt idx="174">
                  <c:v>0.16115182754963833</c:v>
                </c:pt>
                <c:pt idx="175">
                  <c:v>0.18738214532877723</c:v>
                </c:pt>
                <c:pt idx="176">
                  <c:v>0.13170333911674076</c:v>
                </c:pt>
                <c:pt idx="177">
                  <c:v>0.15341625475935583</c:v>
                </c:pt>
                <c:pt idx="178">
                  <c:v>0.13772193387450948</c:v>
                </c:pt>
                <c:pt idx="179">
                  <c:v>0.14799459591593117</c:v>
                </c:pt>
                <c:pt idx="180">
                  <c:v>0.12230688317037353</c:v>
                </c:pt>
                <c:pt idx="181">
                  <c:v>0.1216515226246571</c:v>
                </c:pt>
                <c:pt idx="182">
                  <c:v>0.13451462908848544</c:v>
                </c:pt>
                <c:pt idx="183">
                  <c:v>0.13741599505255206</c:v>
                </c:pt>
                <c:pt idx="184">
                  <c:v>0.12435634872048472</c:v>
                </c:pt>
                <c:pt idx="185">
                  <c:v>0.14330467953040499</c:v>
                </c:pt>
                <c:pt idx="186">
                  <c:v>0.20481426732427538</c:v>
                </c:pt>
                <c:pt idx="187">
                  <c:v>0.14870403937400026</c:v>
                </c:pt>
                <c:pt idx="188">
                  <c:v>0.13691522567143935</c:v>
                </c:pt>
                <c:pt idx="189">
                  <c:v>0.10395129119189987</c:v>
                </c:pt>
                <c:pt idx="190">
                  <c:v>0.11127068610403777</c:v>
                </c:pt>
                <c:pt idx="191">
                  <c:v>0.15051136097311954</c:v>
                </c:pt>
                <c:pt idx="192">
                  <c:v>0.17381193252734456</c:v>
                </c:pt>
                <c:pt idx="193">
                  <c:v>0.12382176328147378</c:v>
                </c:pt>
                <c:pt idx="194">
                  <c:v>0.12760434814636268</c:v>
                </c:pt>
                <c:pt idx="195">
                  <c:v>0.17305094408181093</c:v>
                </c:pt>
                <c:pt idx="196">
                  <c:v>0.17602967788599252</c:v>
                </c:pt>
                <c:pt idx="197">
                  <c:v>0.11545400199940097</c:v>
                </c:pt>
                <c:pt idx="198">
                  <c:v>0.11620784721155192</c:v>
                </c:pt>
                <c:pt idx="199">
                  <c:v>0.11145024608196563</c:v>
                </c:pt>
                <c:pt idx="200">
                  <c:v>0.10238900626088002</c:v>
                </c:pt>
                <c:pt idx="201">
                  <c:v>9.7293391779197838E-2</c:v>
                </c:pt>
                <c:pt idx="202">
                  <c:v>0.12232962695384944</c:v>
                </c:pt>
                <c:pt idx="203">
                  <c:v>0.1072535394963042</c:v>
                </c:pt>
                <c:pt idx="204">
                  <c:v>0.14202819242578563</c:v>
                </c:pt>
                <c:pt idx="205">
                  <c:v>0.13989755732822196</c:v>
                </c:pt>
                <c:pt idx="206">
                  <c:v>0.14962945494343147</c:v>
                </c:pt>
                <c:pt idx="207">
                  <c:v>9.638108972476904E-2</c:v>
                </c:pt>
                <c:pt idx="208">
                  <c:v>9.3472132197918556E-2</c:v>
                </c:pt>
                <c:pt idx="209">
                  <c:v>0.1225091885097777</c:v>
                </c:pt>
                <c:pt idx="210">
                  <c:v>0.12127427034520259</c:v>
                </c:pt>
                <c:pt idx="211">
                  <c:v>0.1163220476611028</c:v>
                </c:pt>
                <c:pt idx="212">
                  <c:v>0.1795242594156676</c:v>
                </c:pt>
                <c:pt idx="213">
                  <c:v>0.14706301594108109</c:v>
                </c:pt>
                <c:pt idx="214">
                  <c:v>0.11935587427671245</c:v>
                </c:pt>
                <c:pt idx="215">
                  <c:v>0.12329764772134282</c:v>
                </c:pt>
                <c:pt idx="216">
                  <c:v>0.10840976996914635</c:v>
                </c:pt>
                <c:pt idx="217">
                  <c:v>0.12840599367930869</c:v>
                </c:pt>
                <c:pt idx="218">
                  <c:v>0.16327714559014103</c:v>
                </c:pt>
                <c:pt idx="219">
                  <c:v>9.7619689341924012E-2</c:v>
                </c:pt>
                <c:pt idx="220">
                  <c:v>9.654545252169261E-2</c:v>
                </c:pt>
                <c:pt idx="221">
                  <c:v>0.15666706357440843</c:v>
                </c:pt>
                <c:pt idx="222">
                  <c:v>0.15260422037857352</c:v>
                </c:pt>
                <c:pt idx="223">
                  <c:v>0.16514526998609619</c:v>
                </c:pt>
                <c:pt idx="224">
                  <c:v>0.12665807393015199</c:v>
                </c:pt>
                <c:pt idx="225">
                  <c:v>0.12794790153817046</c:v>
                </c:pt>
                <c:pt idx="226">
                  <c:v>9.3196607838015283E-2</c:v>
                </c:pt>
                <c:pt idx="227">
                  <c:v>0.16976227100437771</c:v>
                </c:pt>
                <c:pt idx="228">
                  <c:v>0.1593640100977417</c:v>
                </c:pt>
                <c:pt idx="229">
                  <c:v>9.4851761091533843E-2</c:v>
                </c:pt>
                <c:pt idx="230">
                  <c:v>0.14607349957297053</c:v>
                </c:pt>
                <c:pt idx="231">
                  <c:v>0.12677446188817687</c:v>
                </c:pt>
                <c:pt idx="232">
                  <c:v>0.1445329729595905</c:v>
                </c:pt>
                <c:pt idx="233">
                  <c:v>0.11459315119285592</c:v>
                </c:pt>
                <c:pt idx="234">
                  <c:v>0.13028339888388396</c:v>
                </c:pt>
                <c:pt idx="235">
                  <c:v>0.14703665304249183</c:v>
                </c:pt>
                <c:pt idx="236">
                  <c:v>0.12461194589370114</c:v>
                </c:pt>
                <c:pt idx="237">
                  <c:v>0.10949476759269594</c:v>
                </c:pt>
                <c:pt idx="238">
                  <c:v>0.12493509061120814</c:v>
                </c:pt>
                <c:pt idx="239">
                  <c:v>0.13802369954490515</c:v>
                </c:pt>
                <c:pt idx="240">
                  <c:v>0.13247942732003931</c:v>
                </c:pt>
                <c:pt idx="241">
                  <c:v>0.11922275418384827</c:v>
                </c:pt>
                <c:pt idx="242">
                  <c:v>8.9972322534192434E-2</c:v>
                </c:pt>
                <c:pt idx="243">
                  <c:v>0.14076845567967727</c:v>
                </c:pt>
                <c:pt idx="244">
                  <c:v>0.18065815217849576</c:v>
                </c:pt>
                <c:pt idx="245">
                  <c:v>0.12490418858886737</c:v>
                </c:pt>
                <c:pt idx="246">
                  <c:v>0.12591001451226355</c:v>
                </c:pt>
                <c:pt idx="247">
                  <c:v>0.13322242274522053</c:v>
                </c:pt>
                <c:pt idx="248">
                  <c:v>0.1598139064166855</c:v>
                </c:pt>
                <c:pt idx="249">
                  <c:v>0.15535817983708008</c:v>
                </c:pt>
                <c:pt idx="250">
                  <c:v>0.10404073266047242</c:v>
                </c:pt>
                <c:pt idx="251">
                  <c:v>0.14442665220916387</c:v>
                </c:pt>
                <c:pt idx="252">
                  <c:v>0.12293238920431382</c:v>
                </c:pt>
                <c:pt idx="253">
                  <c:v>0.17156879050207616</c:v>
                </c:pt>
                <c:pt idx="254">
                  <c:v>0.13460589206473111</c:v>
                </c:pt>
                <c:pt idx="255">
                  <c:v>0.14963648789363826</c:v>
                </c:pt>
                <c:pt idx="256">
                  <c:v>0.12159721822595536</c:v>
                </c:pt>
                <c:pt idx="257">
                  <c:v>0.12221137211780116</c:v>
                </c:pt>
                <c:pt idx="258">
                  <c:v>0.11874918967886976</c:v>
                </c:pt>
                <c:pt idx="259">
                  <c:v>0.1217386389088676</c:v>
                </c:pt>
                <c:pt idx="260">
                  <c:v>9.5832072850437738E-2</c:v>
                </c:pt>
                <c:pt idx="261">
                  <c:v>0.18275741208381197</c:v>
                </c:pt>
                <c:pt idx="262">
                  <c:v>0.12513438524969217</c:v>
                </c:pt>
                <c:pt idx="263">
                  <c:v>0.10302008641539233</c:v>
                </c:pt>
                <c:pt idx="264">
                  <c:v>0.1448823309446437</c:v>
                </c:pt>
                <c:pt idx="265">
                  <c:v>0.16478776223643968</c:v>
                </c:pt>
                <c:pt idx="266">
                  <c:v>0.13549631045724564</c:v>
                </c:pt>
                <c:pt idx="267">
                  <c:v>0.11190599585654881</c:v>
                </c:pt>
                <c:pt idx="268">
                  <c:v>0.11032281447333671</c:v>
                </c:pt>
                <c:pt idx="269">
                  <c:v>0.14312432235709771</c:v>
                </c:pt>
                <c:pt idx="270">
                  <c:v>0.12984056413380277</c:v>
                </c:pt>
                <c:pt idx="271">
                  <c:v>0.14468110832192535</c:v>
                </c:pt>
                <c:pt idx="272">
                  <c:v>0.11578505985682855</c:v>
                </c:pt>
                <c:pt idx="273">
                  <c:v>9.5790648887339902E-2</c:v>
                </c:pt>
                <c:pt idx="274">
                  <c:v>0.12810454093534362</c:v>
                </c:pt>
                <c:pt idx="275">
                  <c:v>0.14232481161527916</c:v>
                </c:pt>
                <c:pt idx="276">
                  <c:v>0.15145512537345843</c:v>
                </c:pt>
                <c:pt idx="277">
                  <c:v>0.13177230543872823</c:v>
                </c:pt>
                <c:pt idx="278">
                  <c:v>0.1153203161681963</c:v>
                </c:pt>
                <c:pt idx="279">
                  <c:v>0.1039583196893698</c:v>
                </c:pt>
                <c:pt idx="280">
                  <c:v>0.10069981896701967</c:v>
                </c:pt>
                <c:pt idx="281">
                  <c:v>0.10103918007401894</c:v>
                </c:pt>
                <c:pt idx="282">
                  <c:v>9.104647236446485E-2</c:v>
                </c:pt>
                <c:pt idx="283">
                  <c:v>0.1402922564966487</c:v>
                </c:pt>
                <c:pt idx="284">
                  <c:v>0.11681491580849623</c:v>
                </c:pt>
                <c:pt idx="285">
                  <c:v>0.11064084968933663</c:v>
                </c:pt>
                <c:pt idx="286">
                  <c:v>0.15790099221044793</c:v>
                </c:pt>
                <c:pt idx="287">
                  <c:v>0.10314765430939968</c:v>
                </c:pt>
                <c:pt idx="288">
                  <c:v>0.12015899087354621</c:v>
                </c:pt>
                <c:pt idx="289">
                  <c:v>0.10019082331451569</c:v>
                </c:pt>
                <c:pt idx="290">
                  <c:v>0.11480529549254283</c:v>
                </c:pt>
                <c:pt idx="291">
                  <c:v>0.10938730131698163</c:v>
                </c:pt>
                <c:pt idx="292">
                  <c:v>0.17055049248550752</c:v>
                </c:pt>
                <c:pt idx="293">
                  <c:v>0.13371252988983892</c:v>
                </c:pt>
                <c:pt idx="294">
                  <c:v>0.13086031425978403</c:v>
                </c:pt>
                <c:pt idx="295">
                  <c:v>0.13214781018493726</c:v>
                </c:pt>
                <c:pt idx="296">
                  <c:v>0.13155960921504728</c:v>
                </c:pt>
                <c:pt idx="297">
                  <c:v>0.10092870424937334</c:v>
                </c:pt>
                <c:pt idx="298">
                  <c:v>0.12567662811042699</c:v>
                </c:pt>
                <c:pt idx="299">
                  <c:v>0.11415058415646384</c:v>
                </c:pt>
                <c:pt idx="300">
                  <c:v>0.14386738520595502</c:v>
                </c:pt>
                <c:pt idx="301">
                  <c:v>0.16220290076040295</c:v>
                </c:pt>
                <c:pt idx="302">
                  <c:v>0.18041680988638473</c:v>
                </c:pt>
                <c:pt idx="303">
                  <c:v>0.13706099465976745</c:v>
                </c:pt>
                <c:pt idx="304">
                  <c:v>0.14498441323720443</c:v>
                </c:pt>
                <c:pt idx="305">
                  <c:v>0.11950545501548138</c:v>
                </c:pt>
                <c:pt idx="306">
                  <c:v>0.12777322142719319</c:v>
                </c:pt>
                <c:pt idx="307">
                  <c:v>0.11351331450318985</c:v>
                </c:pt>
                <c:pt idx="308">
                  <c:v>0.14628359683172723</c:v>
                </c:pt>
                <c:pt idx="309">
                  <c:v>9.46789679474698E-2</c:v>
                </c:pt>
                <c:pt idx="310">
                  <c:v>9.8133351908514452E-2</c:v>
                </c:pt>
                <c:pt idx="311">
                  <c:v>0.12357630294246363</c:v>
                </c:pt>
                <c:pt idx="312">
                  <c:v>0.1280966329014461</c:v>
                </c:pt>
                <c:pt idx="313">
                  <c:v>0.12286396386606921</c:v>
                </c:pt>
                <c:pt idx="314">
                  <c:v>0.12126778233188269</c:v>
                </c:pt>
                <c:pt idx="315">
                  <c:v>0.12478689770942164</c:v>
                </c:pt>
                <c:pt idx="316">
                  <c:v>0.12555419166974713</c:v>
                </c:pt>
                <c:pt idx="317">
                  <c:v>0.1063700167279438</c:v>
                </c:pt>
                <c:pt idx="318">
                  <c:v>0.17019210682462979</c:v>
                </c:pt>
                <c:pt idx="319">
                  <c:v>0.11221707752472961</c:v>
                </c:pt>
                <c:pt idx="320">
                  <c:v>0.12213638573597579</c:v>
                </c:pt>
                <c:pt idx="321">
                  <c:v>0.1465290263337265</c:v>
                </c:pt>
                <c:pt idx="322">
                  <c:v>0.13347631641852173</c:v>
                </c:pt>
                <c:pt idx="323">
                  <c:v>0.11679736700030743</c:v>
                </c:pt>
                <c:pt idx="324">
                  <c:v>0.10110814355599416</c:v>
                </c:pt>
                <c:pt idx="325">
                  <c:v>0.13514022218438282</c:v>
                </c:pt>
                <c:pt idx="326">
                  <c:v>0.10920276363661463</c:v>
                </c:pt>
                <c:pt idx="327">
                  <c:v>9.902839159083171E-2</c:v>
                </c:pt>
                <c:pt idx="328">
                  <c:v>0.15485251261895777</c:v>
                </c:pt>
                <c:pt idx="329">
                  <c:v>0.1257011036537817</c:v>
                </c:pt>
                <c:pt idx="330">
                  <c:v>9.2500705143227169E-2</c:v>
                </c:pt>
                <c:pt idx="331">
                  <c:v>0.14695227971425218</c:v>
                </c:pt>
                <c:pt idx="332">
                  <c:v>0.12725477665714255</c:v>
                </c:pt>
                <c:pt idx="333">
                  <c:v>0.16267841664316274</c:v>
                </c:pt>
                <c:pt idx="334">
                  <c:v>8.7555661961791861E-2</c:v>
                </c:pt>
                <c:pt idx="335">
                  <c:v>0.11907346355408778</c:v>
                </c:pt>
                <c:pt idx="336">
                  <c:v>0.10487585287404272</c:v>
                </c:pt>
                <c:pt idx="337">
                  <c:v>0.14579133456158946</c:v>
                </c:pt>
                <c:pt idx="338">
                  <c:v>0.12458880467092641</c:v>
                </c:pt>
                <c:pt idx="339">
                  <c:v>0.12188400654111975</c:v>
                </c:pt>
                <c:pt idx="340">
                  <c:v>0.18297884393435351</c:v>
                </c:pt>
                <c:pt idx="341">
                  <c:v>9.7570302364071701E-2</c:v>
                </c:pt>
                <c:pt idx="342">
                  <c:v>0.1147488122293449</c:v>
                </c:pt>
                <c:pt idx="343">
                  <c:v>0.12385864538090836</c:v>
                </c:pt>
                <c:pt idx="344">
                  <c:v>0.17585706623151393</c:v>
                </c:pt>
                <c:pt idx="345">
                  <c:v>0.1234228162006817</c:v>
                </c:pt>
                <c:pt idx="346">
                  <c:v>0.13334061172045578</c:v>
                </c:pt>
                <c:pt idx="347">
                  <c:v>0.14192747878121245</c:v>
                </c:pt>
                <c:pt idx="348">
                  <c:v>0.11770814300488902</c:v>
                </c:pt>
                <c:pt idx="349">
                  <c:v>0.12810849791333159</c:v>
                </c:pt>
                <c:pt idx="350">
                  <c:v>0.12371340994150148</c:v>
                </c:pt>
                <c:pt idx="351">
                  <c:v>0.17101034762296219</c:v>
                </c:pt>
                <c:pt idx="352">
                  <c:v>0.12461293575885672</c:v>
                </c:pt>
                <c:pt idx="353">
                  <c:v>0.18682903897811157</c:v>
                </c:pt>
                <c:pt idx="354">
                  <c:v>0.11903724214994442</c:v>
                </c:pt>
                <c:pt idx="355">
                  <c:v>0.12056099113023017</c:v>
                </c:pt>
                <c:pt idx="356">
                  <c:v>0.11006993721896155</c:v>
                </c:pt>
                <c:pt idx="357">
                  <c:v>0.10161949923017682</c:v>
                </c:pt>
                <c:pt idx="358">
                  <c:v>0.1266460272440379</c:v>
                </c:pt>
                <c:pt idx="359">
                  <c:v>0.16922131694231091</c:v>
                </c:pt>
                <c:pt idx="360">
                  <c:v>0.12963472053374703</c:v>
                </c:pt>
                <c:pt idx="361">
                  <c:v>0.18270076776110578</c:v>
                </c:pt>
                <c:pt idx="362">
                  <c:v>0.14232376498364402</c:v>
                </c:pt>
                <c:pt idx="363">
                  <c:v>0.16283061067542015</c:v>
                </c:pt>
                <c:pt idx="364">
                  <c:v>9.8313634431465124E-2</c:v>
                </c:pt>
                <c:pt idx="365">
                  <c:v>0.11790141457903576</c:v>
                </c:pt>
                <c:pt idx="366">
                  <c:v>0.11999569085312391</c:v>
                </c:pt>
                <c:pt idx="367">
                  <c:v>0.12458034450578194</c:v>
                </c:pt>
                <c:pt idx="368">
                  <c:v>0.13098285484197086</c:v>
                </c:pt>
                <c:pt idx="369">
                  <c:v>0.10864552059951595</c:v>
                </c:pt>
                <c:pt idx="370">
                  <c:v>8.9366135817094725E-2</c:v>
                </c:pt>
                <c:pt idx="371">
                  <c:v>0.15155691270494048</c:v>
                </c:pt>
                <c:pt idx="372">
                  <c:v>0.11548354409327953</c:v>
                </c:pt>
                <c:pt idx="373">
                  <c:v>9.6744459070850761E-2</c:v>
                </c:pt>
                <c:pt idx="374">
                  <c:v>0.13956006674321642</c:v>
                </c:pt>
                <c:pt idx="375">
                  <c:v>0.12726854969377294</c:v>
                </c:pt>
                <c:pt idx="376">
                  <c:v>0.10030401576846863</c:v>
                </c:pt>
                <c:pt idx="377">
                  <c:v>9.4665888705859111E-2</c:v>
                </c:pt>
                <c:pt idx="378">
                  <c:v>0.11362972262737035</c:v>
                </c:pt>
                <c:pt idx="379">
                  <c:v>0.11892145317154713</c:v>
                </c:pt>
                <c:pt idx="380">
                  <c:v>0.10446858308677419</c:v>
                </c:pt>
                <c:pt idx="381">
                  <c:v>0.16416799982135272</c:v>
                </c:pt>
                <c:pt idx="382">
                  <c:v>0.13106958474189664</c:v>
                </c:pt>
                <c:pt idx="383">
                  <c:v>0.11862846760792861</c:v>
                </c:pt>
                <c:pt idx="384">
                  <c:v>0.1326631385266758</c:v>
                </c:pt>
                <c:pt idx="385">
                  <c:v>0.10330231533774145</c:v>
                </c:pt>
                <c:pt idx="386">
                  <c:v>0.12874642313431789</c:v>
                </c:pt>
                <c:pt idx="387">
                  <c:v>0.15888890968801489</c:v>
                </c:pt>
                <c:pt idx="388">
                  <c:v>0.17434751532909279</c:v>
                </c:pt>
                <c:pt idx="389">
                  <c:v>0.15429950305569751</c:v>
                </c:pt>
                <c:pt idx="390">
                  <c:v>0.12389753373370348</c:v>
                </c:pt>
                <c:pt idx="391">
                  <c:v>0.12028773928505833</c:v>
                </c:pt>
                <c:pt idx="392">
                  <c:v>0.1401316718325786</c:v>
                </c:pt>
                <c:pt idx="393">
                  <c:v>0.10545188024752242</c:v>
                </c:pt>
                <c:pt idx="394">
                  <c:v>0.15198126736152687</c:v>
                </c:pt>
                <c:pt idx="395">
                  <c:v>0.13957952920323038</c:v>
                </c:pt>
                <c:pt idx="396">
                  <c:v>0.14133531136600547</c:v>
                </c:pt>
                <c:pt idx="397">
                  <c:v>0.16227312995598275</c:v>
                </c:pt>
                <c:pt idx="398">
                  <c:v>0.14291751078256473</c:v>
                </c:pt>
                <c:pt idx="399">
                  <c:v>9.8938794731619387E-2</c:v>
                </c:pt>
                <c:pt idx="400">
                  <c:v>0.1619155696325775</c:v>
                </c:pt>
                <c:pt idx="401">
                  <c:v>0.19582122613234768</c:v>
                </c:pt>
                <c:pt idx="402">
                  <c:v>0.14401368067350565</c:v>
                </c:pt>
                <c:pt idx="403">
                  <c:v>0.14645402016161727</c:v>
                </c:pt>
                <c:pt idx="404">
                  <c:v>0.10479915996343489</c:v>
                </c:pt>
                <c:pt idx="405">
                  <c:v>0.12984390248736727</c:v>
                </c:pt>
                <c:pt idx="406">
                  <c:v>0.15218065718556795</c:v>
                </c:pt>
                <c:pt idx="407">
                  <c:v>0.10073573751382772</c:v>
                </c:pt>
                <c:pt idx="408">
                  <c:v>0.12680348568052949</c:v>
                </c:pt>
                <c:pt idx="409">
                  <c:v>0.15690432607148722</c:v>
                </c:pt>
                <c:pt idx="410">
                  <c:v>0.15672500884330465</c:v>
                </c:pt>
                <c:pt idx="411">
                  <c:v>0.14285761186717802</c:v>
                </c:pt>
                <c:pt idx="412">
                  <c:v>0.16819672416194797</c:v>
                </c:pt>
                <c:pt idx="413">
                  <c:v>0.13856454161860138</c:v>
                </c:pt>
                <c:pt idx="414">
                  <c:v>0.11563508380513846</c:v>
                </c:pt>
                <c:pt idx="415">
                  <c:v>0.13906436544339362</c:v>
                </c:pt>
                <c:pt idx="416">
                  <c:v>0.14700050959004823</c:v>
                </c:pt>
                <c:pt idx="417">
                  <c:v>0.12075575784114632</c:v>
                </c:pt>
                <c:pt idx="418">
                  <c:v>0.11024188441830968</c:v>
                </c:pt>
                <c:pt idx="419">
                  <c:v>0.12655546898220524</c:v>
                </c:pt>
                <c:pt idx="420">
                  <c:v>9.4907407100172675E-2</c:v>
                </c:pt>
                <c:pt idx="421">
                  <c:v>0.13325504364872456</c:v>
                </c:pt>
                <c:pt idx="422">
                  <c:v>0.14083004725671236</c:v>
                </c:pt>
                <c:pt idx="423">
                  <c:v>0.1760248231523571</c:v>
                </c:pt>
                <c:pt idx="424">
                  <c:v>0.13406393197358579</c:v>
                </c:pt>
                <c:pt idx="425">
                  <c:v>0.13594877445018153</c:v>
                </c:pt>
                <c:pt idx="426">
                  <c:v>0.12753156337471142</c:v>
                </c:pt>
                <c:pt idx="427">
                  <c:v>0.13496551351840505</c:v>
                </c:pt>
                <c:pt idx="428">
                  <c:v>0.13877904924781581</c:v>
                </c:pt>
                <c:pt idx="429">
                  <c:v>0.15809694183402881</c:v>
                </c:pt>
                <c:pt idx="430">
                  <c:v>0.10427939986292703</c:v>
                </c:pt>
                <c:pt idx="431">
                  <c:v>0.14294360124096742</c:v>
                </c:pt>
                <c:pt idx="432">
                  <c:v>0.10149015751689834</c:v>
                </c:pt>
                <c:pt idx="433">
                  <c:v>0.13059834068704479</c:v>
                </c:pt>
                <c:pt idx="434">
                  <c:v>0.11827022727381858</c:v>
                </c:pt>
                <c:pt idx="435">
                  <c:v>0.1561942916346282</c:v>
                </c:pt>
                <c:pt idx="436">
                  <c:v>0.15942682575545966</c:v>
                </c:pt>
                <c:pt idx="437">
                  <c:v>0.17720959176483339</c:v>
                </c:pt>
                <c:pt idx="438">
                  <c:v>0.10757014117808653</c:v>
                </c:pt>
                <c:pt idx="439">
                  <c:v>0.10345404033908837</c:v>
                </c:pt>
                <c:pt idx="440">
                  <c:v>0.18169193917957879</c:v>
                </c:pt>
                <c:pt idx="441">
                  <c:v>0.12833838787754154</c:v>
                </c:pt>
                <c:pt idx="442">
                  <c:v>0.12308511255580942</c:v>
                </c:pt>
                <c:pt idx="443">
                  <c:v>0.15113259222561398</c:v>
                </c:pt>
                <c:pt idx="444">
                  <c:v>0.12403645006486741</c:v>
                </c:pt>
                <c:pt idx="445">
                  <c:v>0.1340429994173046</c:v>
                </c:pt>
                <c:pt idx="446">
                  <c:v>0.12036675599180668</c:v>
                </c:pt>
                <c:pt idx="447">
                  <c:v>0.10122013061701894</c:v>
                </c:pt>
                <c:pt idx="448">
                  <c:v>0.11870266990719307</c:v>
                </c:pt>
                <c:pt idx="449">
                  <c:v>0.12515470749434002</c:v>
                </c:pt>
                <c:pt idx="450">
                  <c:v>0.13359589893072291</c:v>
                </c:pt>
                <c:pt idx="451">
                  <c:v>0.16725595670332566</c:v>
                </c:pt>
                <c:pt idx="452">
                  <c:v>0.12326867262710393</c:v>
                </c:pt>
                <c:pt idx="453">
                  <c:v>0.13672600357051243</c:v>
                </c:pt>
                <c:pt idx="454">
                  <c:v>0.13014363447840979</c:v>
                </c:pt>
                <c:pt idx="455">
                  <c:v>0.10688480149758763</c:v>
                </c:pt>
                <c:pt idx="456">
                  <c:v>0.10396740358944266</c:v>
                </c:pt>
                <c:pt idx="457">
                  <c:v>0.13364447054295001</c:v>
                </c:pt>
                <c:pt idx="458">
                  <c:v>0.13114723439773357</c:v>
                </c:pt>
                <c:pt idx="459">
                  <c:v>0.10760347825686431</c:v>
                </c:pt>
                <c:pt idx="460">
                  <c:v>0.12662559185368033</c:v>
                </c:pt>
                <c:pt idx="461">
                  <c:v>0.16772955809207132</c:v>
                </c:pt>
                <c:pt idx="462">
                  <c:v>0.14328740160878845</c:v>
                </c:pt>
                <c:pt idx="463">
                  <c:v>0.14239575863371309</c:v>
                </c:pt>
                <c:pt idx="464">
                  <c:v>0.15054675569656717</c:v>
                </c:pt>
                <c:pt idx="465">
                  <c:v>0.12257989459743231</c:v>
                </c:pt>
                <c:pt idx="466">
                  <c:v>0.14959858172023208</c:v>
                </c:pt>
                <c:pt idx="467">
                  <c:v>0.10959578648972801</c:v>
                </c:pt>
                <c:pt idx="468">
                  <c:v>0.11016729269829136</c:v>
                </c:pt>
                <c:pt idx="469">
                  <c:v>0.10506830100090876</c:v>
                </c:pt>
                <c:pt idx="470">
                  <c:v>0.13532537069255812</c:v>
                </c:pt>
                <c:pt idx="471">
                  <c:v>9.4398176959649888E-2</c:v>
                </c:pt>
                <c:pt idx="472">
                  <c:v>0.14318534973709823</c:v>
                </c:pt>
                <c:pt idx="473">
                  <c:v>0.15227923328361165</c:v>
                </c:pt>
                <c:pt idx="474">
                  <c:v>0.20227951415842868</c:v>
                </c:pt>
                <c:pt idx="475">
                  <c:v>0.13400143699427999</c:v>
                </c:pt>
                <c:pt idx="476">
                  <c:v>0.1468248606622865</c:v>
                </c:pt>
                <c:pt idx="477">
                  <c:v>0.14081125750767642</c:v>
                </c:pt>
                <c:pt idx="478">
                  <c:v>0.13748236126912525</c:v>
                </c:pt>
                <c:pt idx="479">
                  <c:v>0.13549836849717301</c:v>
                </c:pt>
                <c:pt idx="480">
                  <c:v>0.14105808460718325</c:v>
                </c:pt>
                <c:pt idx="481">
                  <c:v>0.17329888999063217</c:v>
                </c:pt>
                <c:pt idx="482">
                  <c:v>0.1567424015705966</c:v>
                </c:pt>
                <c:pt idx="483">
                  <c:v>0.15074635240161632</c:v>
                </c:pt>
                <c:pt idx="484">
                  <c:v>0.11245376163896667</c:v>
                </c:pt>
                <c:pt idx="485">
                  <c:v>0.12205165904387184</c:v>
                </c:pt>
                <c:pt idx="486">
                  <c:v>0.13786923773010232</c:v>
                </c:pt>
                <c:pt idx="487">
                  <c:v>0.10967659898055854</c:v>
                </c:pt>
                <c:pt idx="488">
                  <c:v>0.1092025095961662</c:v>
                </c:pt>
                <c:pt idx="489">
                  <c:v>0.1304174643801348</c:v>
                </c:pt>
                <c:pt idx="490">
                  <c:v>0.10921780512217436</c:v>
                </c:pt>
                <c:pt idx="491">
                  <c:v>0.10048888794167325</c:v>
                </c:pt>
                <c:pt idx="492">
                  <c:v>0.11187414515337171</c:v>
                </c:pt>
                <c:pt idx="493">
                  <c:v>0.15179522244479413</c:v>
                </c:pt>
                <c:pt idx="494">
                  <c:v>0.11653414914135454</c:v>
                </c:pt>
                <c:pt idx="495">
                  <c:v>0.15260589827553422</c:v>
                </c:pt>
                <c:pt idx="496">
                  <c:v>0.13160144933872028</c:v>
                </c:pt>
                <c:pt idx="497">
                  <c:v>0.13811551338710082</c:v>
                </c:pt>
                <c:pt idx="498">
                  <c:v>0.12347058189209154</c:v>
                </c:pt>
                <c:pt idx="499">
                  <c:v>0.12440905140720071</c:v>
                </c:pt>
                <c:pt idx="500">
                  <c:v>0.10284511596679925</c:v>
                </c:pt>
                <c:pt idx="501">
                  <c:v>0.15370559608992004</c:v>
                </c:pt>
                <c:pt idx="502">
                  <c:v>0.14377788402436939</c:v>
                </c:pt>
                <c:pt idx="503">
                  <c:v>0.12103705125234775</c:v>
                </c:pt>
                <c:pt idx="504">
                  <c:v>0.16580698388767653</c:v>
                </c:pt>
                <c:pt idx="505">
                  <c:v>0.12739850854646054</c:v>
                </c:pt>
                <c:pt idx="506">
                  <c:v>0.13291113184077241</c:v>
                </c:pt>
                <c:pt idx="507">
                  <c:v>0.13035848714769271</c:v>
                </c:pt>
                <c:pt idx="508">
                  <c:v>0.11185328221475888</c:v>
                </c:pt>
                <c:pt idx="509">
                  <c:v>9.5122670109840032E-2</c:v>
                </c:pt>
                <c:pt idx="510">
                  <c:v>0.13750407408714749</c:v>
                </c:pt>
                <c:pt idx="511">
                  <c:v>0.12840711616204323</c:v>
                </c:pt>
                <c:pt idx="512">
                  <c:v>0.13612718197469087</c:v>
                </c:pt>
                <c:pt idx="513">
                  <c:v>0.16407867784708674</c:v>
                </c:pt>
                <c:pt idx="514">
                  <c:v>0.11179105237591742</c:v>
                </c:pt>
                <c:pt idx="515">
                  <c:v>0.15708962308276794</c:v>
                </c:pt>
                <c:pt idx="516">
                  <c:v>0.13627050971597279</c:v>
                </c:pt>
                <c:pt idx="517">
                  <c:v>0.1162855051395299</c:v>
                </c:pt>
                <c:pt idx="518">
                  <c:v>0.11068643858389694</c:v>
                </c:pt>
                <c:pt idx="519">
                  <c:v>0.19586086975897504</c:v>
                </c:pt>
                <c:pt idx="520">
                  <c:v>0.1782913759174338</c:v>
                </c:pt>
                <c:pt idx="521">
                  <c:v>0.14793988452095422</c:v>
                </c:pt>
                <c:pt idx="522">
                  <c:v>0.10693651447674238</c:v>
                </c:pt>
                <c:pt idx="523">
                  <c:v>0.12489966957986666</c:v>
                </c:pt>
                <c:pt idx="524">
                  <c:v>0.11796555594462756</c:v>
                </c:pt>
                <c:pt idx="525">
                  <c:v>0.14250584285713011</c:v>
                </c:pt>
                <c:pt idx="526">
                  <c:v>0.11892254224753164</c:v>
                </c:pt>
                <c:pt idx="527">
                  <c:v>0.1421719778238503</c:v>
                </c:pt>
                <c:pt idx="528">
                  <c:v>0.14261875386654188</c:v>
                </c:pt>
                <c:pt idx="529">
                  <c:v>0.12676525310904807</c:v>
                </c:pt>
                <c:pt idx="530">
                  <c:v>0.15837736135394423</c:v>
                </c:pt>
                <c:pt idx="531">
                  <c:v>0.2035347682252088</c:v>
                </c:pt>
                <c:pt idx="532">
                  <c:v>0.10419765160653255</c:v>
                </c:pt>
                <c:pt idx="533">
                  <c:v>0.18644262407174067</c:v>
                </c:pt>
                <c:pt idx="534">
                  <c:v>0.15219613388651954</c:v>
                </c:pt>
                <c:pt idx="535">
                  <c:v>0.13825138502766768</c:v>
                </c:pt>
                <c:pt idx="536">
                  <c:v>0.12510732933801047</c:v>
                </c:pt>
                <c:pt idx="537">
                  <c:v>0.10019386320439455</c:v>
                </c:pt>
                <c:pt idx="538">
                  <c:v>0.11715953614048007</c:v>
                </c:pt>
                <c:pt idx="539">
                  <c:v>0.13999509085740697</c:v>
                </c:pt>
                <c:pt idx="540">
                  <c:v>0.12447891804728614</c:v>
                </c:pt>
                <c:pt idx="541">
                  <c:v>0.1125005717221261</c:v>
                </c:pt>
                <c:pt idx="542">
                  <c:v>0.14750188307938564</c:v>
                </c:pt>
                <c:pt idx="543">
                  <c:v>0.12017070617708295</c:v>
                </c:pt>
                <c:pt idx="544">
                  <c:v>0.13299983212399719</c:v>
                </c:pt>
                <c:pt idx="545">
                  <c:v>0.11916996816115147</c:v>
                </c:pt>
                <c:pt idx="546">
                  <c:v>0.1123297792644016</c:v>
                </c:pt>
                <c:pt idx="547">
                  <c:v>0.10554407552948622</c:v>
                </c:pt>
                <c:pt idx="548">
                  <c:v>0.17034988698432335</c:v>
                </c:pt>
                <c:pt idx="549">
                  <c:v>0.12395230501822567</c:v>
                </c:pt>
                <c:pt idx="550">
                  <c:v>0.10886265468892593</c:v>
                </c:pt>
                <c:pt idx="551">
                  <c:v>0.1378958823433904</c:v>
                </c:pt>
                <c:pt idx="552">
                  <c:v>0.10060031256869038</c:v>
                </c:pt>
                <c:pt idx="553">
                  <c:v>0.15454717468919474</c:v>
                </c:pt>
                <c:pt idx="554">
                  <c:v>0.1325453664791619</c:v>
                </c:pt>
                <c:pt idx="555">
                  <c:v>0.12410603947729963</c:v>
                </c:pt>
                <c:pt idx="556">
                  <c:v>0.10148910617805398</c:v>
                </c:pt>
                <c:pt idx="557">
                  <c:v>0.15431190664698285</c:v>
                </c:pt>
                <c:pt idx="558">
                  <c:v>0.19177648262222124</c:v>
                </c:pt>
                <c:pt idx="559">
                  <c:v>0.10451320181924727</c:v>
                </c:pt>
                <c:pt idx="560">
                  <c:v>0.18940100028482237</c:v>
                </c:pt>
                <c:pt idx="561">
                  <c:v>0.14163559134587098</c:v>
                </c:pt>
                <c:pt idx="562">
                  <c:v>0.13698351921422397</c:v>
                </c:pt>
                <c:pt idx="563">
                  <c:v>0.1277527666361733</c:v>
                </c:pt>
                <c:pt idx="564">
                  <c:v>0.14193829569736341</c:v>
                </c:pt>
                <c:pt idx="565">
                  <c:v>0.1751951479075432</c:v>
                </c:pt>
                <c:pt idx="566">
                  <c:v>0.10853086907598021</c:v>
                </c:pt>
                <c:pt idx="567">
                  <c:v>0.10355220365295847</c:v>
                </c:pt>
                <c:pt idx="568">
                  <c:v>9.380613057465427E-2</c:v>
                </c:pt>
                <c:pt idx="569">
                  <c:v>0.12138509732590008</c:v>
                </c:pt>
                <c:pt idx="570">
                  <c:v>0.15913924868637744</c:v>
                </c:pt>
                <c:pt idx="571">
                  <c:v>0.20330550966795854</c:v>
                </c:pt>
                <c:pt idx="572">
                  <c:v>0.15130676239631349</c:v>
                </c:pt>
                <c:pt idx="573">
                  <c:v>0.15777700474678544</c:v>
                </c:pt>
                <c:pt idx="574">
                  <c:v>0.14222670940477128</c:v>
                </c:pt>
                <c:pt idx="575">
                  <c:v>0.15447031688375373</c:v>
                </c:pt>
                <c:pt idx="576">
                  <c:v>0.11044601165214971</c:v>
                </c:pt>
                <c:pt idx="577">
                  <c:v>0.12226970809697003</c:v>
                </c:pt>
                <c:pt idx="578">
                  <c:v>0.1429406887986179</c:v>
                </c:pt>
                <c:pt idx="579">
                  <c:v>0.11392524641616432</c:v>
                </c:pt>
                <c:pt idx="580">
                  <c:v>0.12612171595120669</c:v>
                </c:pt>
                <c:pt idx="581">
                  <c:v>9.4226667123362098E-2</c:v>
                </c:pt>
                <c:pt idx="582">
                  <c:v>0.13267467231212712</c:v>
                </c:pt>
                <c:pt idx="583">
                  <c:v>9.2017839264498039E-2</c:v>
                </c:pt>
                <c:pt idx="584">
                  <c:v>9.656668994806325E-2</c:v>
                </c:pt>
                <c:pt idx="585">
                  <c:v>0.10391191693052192</c:v>
                </c:pt>
                <c:pt idx="586">
                  <c:v>0.12531387372574698</c:v>
                </c:pt>
                <c:pt idx="587">
                  <c:v>0.18882269751272104</c:v>
                </c:pt>
                <c:pt idx="588">
                  <c:v>0.16142314797966578</c:v>
                </c:pt>
                <c:pt idx="589">
                  <c:v>0.13323429221117361</c:v>
                </c:pt>
                <c:pt idx="590">
                  <c:v>0.14037556985074728</c:v>
                </c:pt>
                <c:pt idx="591">
                  <c:v>0.11407434154074123</c:v>
                </c:pt>
                <c:pt idx="592">
                  <c:v>9.2441690971816065E-2</c:v>
                </c:pt>
                <c:pt idx="593">
                  <c:v>0.12528681105733863</c:v>
                </c:pt>
                <c:pt idx="594">
                  <c:v>0.11965877839885498</c:v>
                </c:pt>
                <c:pt idx="595">
                  <c:v>0.11771585378678642</c:v>
                </c:pt>
                <c:pt idx="596">
                  <c:v>0.10481596355181333</c:v>
                </c:pt>
                <c:pt idx="597">
                  <c:v>0.14108616021016268</c:v>
                </c:pt>
                <c:pt idx="598">
                  <c:v>0.12394013606271273</c:v>
                </c:pt>
                <c:pt idx="599">
                  <c:v>0.12473567700201316</c:v>
                </c:pt>
                <c:pt idx="600">
                  <c:v>0.13197175930196248</c:v>
                </c:pt>
                <c:pt idx="601">
                  <c:v>0.10068465409231338</c:v>
                </c:pt>
                <c:pt idx="602">
                  <c:v>0.14799460140938051</c:v>
                </c:pt>
                <c:pt idx="603">
                  <c:v>0.12245649927589086</c:v>
                </c:pt>
                <c:pt idx="604">
                  <c:v>0.15080473115998924</c:v>
                </c:pt>
                <c:pt idx="605">
                  <c:v>0.10609475477866274</c:v>
                </c:pt>
                <c:pt idx="606">
                  <c:v>0.12929314135549647</c:v>
                </c:pt>
                <c:pt idx="607">
                  <c:v>0.11803635961445511</c:v>
                </c:pt>
                <c:pt idx="608">
                  <c:v>0.11852299784563353</c:v>
                </c:pt>
                <c:pt idx="609">
                  <c:v>0.13714155156781854</c:v>
                </c:pt>
                <c:pt idx="610">
                  <c:v>0.14260449209534459</c:v>
                </c:pt>
                <c:pt idx="611">
                  <c:v>0.15904407500083334</c:v>
                </c:pt>
                <c:pt idx="612">
                  <c:v>0.12851305868571233</c:v>
                </c:pt>
                <c:pt idx="613">
                  <c:v>0.15044253398574012</c:v>
                </c:pt>
                <c:pt idx="614">
                  <c:v>0.11544688475996348</c:v>
                </c:pt>
                <c:pt idx="615">
                  <c:v>0.13455482989301859</c:v>
                </c:pt>
                <c:pt idx="616">
                  <c:v>0.12023517739863875</c:v>
                </c:pt>
                <c:pt idx="617">
                  <c:v>0.14484090503207822</c:v>
                </c:pt>
                <c:pt idx="618">
                  <c:v>0.14058970165181808</c:v>
                </c:pt>
                <c:pt idx="619">
                  <c:v>0.10979185997780391</c:v>
                </c:pt>
                <c:pt idx="620">
                  <c:v>0.15150263211045445</c:v>
                </c:pt>
                <c:pt idx="621">
                  <c:v>0.11824039412491665</c:v>
                </c:pt>
                <c:pt idx="622">
                  <c:v>0.12281302264827162</c:v>
                </c:pt>
                <c:pt idx="623">
                  <c:v>0.14611297763737735</c:v>
                </c:pt>
                <c:pt idx="624">
                  <c:v>0.10395983357471203</c:v>
                </c:pt>
                <c:pt idx="625">
                  <c:v>0.11715854236701885</c:v>
                </c:pt>
                <c:pt idx="626">
                  <c:v>0.1325593677509713</c:v>
                </c:pt>
                <c:pt idx="627">
                  <c:v>0.14803697455255838</c:v>
                </c:pt>
                <c:pt idx="628">
                  <c:v>0.10138640824813867</c:v>
                </c:pt>
                <c:pt idx="629">
                  <c:v>0.18125586644616729</c:v>
                </c:pt>
                <c:pt idx="630">
                  <c:v>0.11589484250727981</c:v>
                </c:pt>
                <c:pt idx="631">
                  <c:v>0.11845851607021565</c:v>
                </c:pt>
                <c:pt idx="632">
                  <c:v>0.12570664504382764</c:v>
                </c:pt>
                <c:pt idx="633">
                  <c:v>0.12808390447470994</c:v>
                </c:pt>
                <c:pt idx="634">
                  <c:v>0.13472022497885655</c:v>
                </c:pt>
                <c:pt idx="635">
                  <c:v>0.11595609777347021</c:v>
                </c:pt>
                <c:pt idx="636">
                  <c:v>0.12551549716950325</c:v>
                </c:pt>
                <c:pt idx="637">
                  <c:v>0.19237318338973841</c:v>
                </c:pt>
                <c:pt idx="638">
                  <c:v>0.12171110119454985</c:v>
                </c:pt>
                <c:pt idx="639">
                  <c:v>0.11030891593133933</c:v>
                </c:pt>
                <c:pt idx="640">
                  <c:v>0.15408798346693636</c:v>
                </c:pt>
                <c:pt idx="641">
                  <c:v>0.16576468797315125</c:v>
                </c:pt>
                <c:pt idx="642">
                  <c:v>0.11024005196158117</c:v>
                </c:pt>
                <c:pt idx="643">
                  <c:v>0.12717590647366858</c:v>
                </c:pt>
                <c:pt idx="644">
                  <c:v>0.15304443667499065</c:v>
                </c:pt>
                <c:pt idx="645">
                  <c:v>0.14534768454459815</c:v>
                </c:pt>
                <c:pt idx="646">
                  <c:v>0.13471304086788266</c:v>
                </c:pt>
                <c:pt idx="647">
                  <c:v>0.12648358345563379</c:v>
                </c:pt>
                <c:pt idx="648">
                  <c:v>0.10817170611282853</c:v>
                </c:pt>
                <c:pt idx="649">
                  <c:v>0.12278073659800873</c:v>
                </c:pt>
                <c:pt idx="650">
                  <c:v>0.13816082945120511</c:v>
                </c:pt>
                <c:pt idx="651">
                  <c:v>0.13674148580018852</c:v>
                </c:pt>
                <c:pt idx="652">
                  <c:v>0.11864290834433834</c:v>
                </c:pt>
                <c:pt idx="653">
                  <c:v>0.13056207993856611</c:v>
                </c:pt>
                <c:pt idx="654">
                  <c:v>0.10061039085149844</c:v>
                </c:pt>
                <c:pt idx="655">
                  <c:v>0.14670857830651599</c:v>
                </c:pt>
                <c:pt idx="656">
                  <c:v>0.18693386133004686</c:v>
                </c:pt>
                <c:pt idx="657">
                  <c:v>0.1719487180126463</c:v>
                </c:pt>
                <c:pt idx="658">
                  <c:v>0.12997346083595648</c:v>
                </c:pt>
                <c:pt idx="659">
                  <c:v>0.12338951258427081</c:v>
                </c:pt>
                <c:pt idx="660">
                  <c:v>0.13279796800085589</c:v>
                </c:pt>
                <c:pt idx="661">
                  <c:v>0.14344835663061933</c:v>
                </c:pt>
                <c:pt idx="662">
                  <c:v>0.13377484421733413</c:v>
                </c:pt>
                <c:pt idx="663">
                  <c:v>0.12029585256470766</c:v>
                </c:pt>
                <c:pt idx="664">
                  <c:v>9.9486345215017327E-2</c:v>
                </c:pt>
                <c:pt idx="665">
                  <c:v>8.9782712995230496E-2</c:v>
                </c:pt>
                <c:pt idx="666">
                  <c:v>0.1367254648312631</c:v>
                </c:pt>
                <c:pt idx="667">
                  <c:v>0.14919389157544641</c:v>
                </c:pt>
                <c:pt idx="668">
                  <c:v>0.15095156093531098</c:v>
                </c:pt>
                <c:pt idx="669">
                  <c:v>0.12564187846283451</c:v>
                </c:pt>
                <c:pt idx="670">
                  <c:v>0.11382100899362739</c:v>
                </c:pt>
                <c:pt idx="671">
                  <c:v>0.19315312027240517</c:v>
                </c:pt>
                <c:pt idx="672">
                  <c:v>0.16238219159069114</c:v>
                </c:pt>
                <c:pt idx="673">
                  <c:v>9.3903504083877709E-2</c:v>
                </c:pt>
                <c:pt idx="674">
                  <c:v>0.14752619228450881</c:v>
                </c:pt>
                <c:pt idx="675">
                  <c:v>0.15069987799298731</c:v>
                </c:pt>
                <c:pt idx="676">
                  <c:v>9.4388798610855223E-2</c:v>
                </c:pt>
                <c:pt idx="677">
                  <c:v>0.12739301807369199</c:v>
                </c:pt>
                <c:pt idx="678">
                  <c:v>0.14272050295733069</c:v>
                </c:pt>
                <c:pt idx="679">
                  <c:v>0.10790513161578069</c:v>
                </c:pt>
                <c:pt idx="680">
                  <c:v>0.19435709836170867</c:v>
                </c:pt>
                <c:pt idx="681">
                  <c:v>0.13858127469659892</c:v>
                </c:pt>
                <c:pt idx="682">
                  <c:v>0.11969770670919599</c:v>
                </c:pt>
                <c:pt idx="683">
                  <c:v>0.10716815425893436</c:v>
                </c:pt>
                <c:pt idx="684">
                  <c:v>0.12215900307265506</c:v>
                </c:pt>
                <c:pt idx="685">
                  <c:v>0.12045033633248407</c:v>
                </c:pt>
                <c:pt idx="686">
                  <c:v>0.11800319622363921</c:v>
                </c:pt>
                <c:pt idx="687">
                  <c:v>0.12405496068218821</c:v>
                </c:pt>
                <c:pt idx="688">
                  <c:v>0.21951223545949769</c:v>
                </c:pt>
                <c:pt idx="689">
                  <c:v>0.16112695957272183</c:v>
                </c:pt>
                <c:pt idx="690">
                  <c:v>0.11073467168570318</c:v>
                </c:pt>
                <c:pt idx="691">
                  <c:v>0.10802044290319857</c:v>
                </c:pt>
                <c:pt idx="692">
                  <c:v>0.12196608525212206</c:v>
                </c:pt>
                <c:pt idx="693">
                  <c:v>0.15430812926530282</c:v>
                </c:pt>
                <c:pt idx="694">
                  <c:v>0.13624928830241503</c:v>
                </c:pt>
                <c:pt idx="695">
                  <c:v>0.13223665506928398</c:v>
                </c:pt>
                <c:pt idx="696">
                  <c:v>0.11200919012949152</c:v>
                </c:pt>
                <c:pt idx="697">
                  <c:v>0.13248913018047376</c:v>
                </c:pt>
                <c:pt idx="698">
                  <c:v>0.13587730626187142</c:v>
                </c:pt>
                <c:pt idx="699">
                  <c:v>0.13589402168135406</c:v>
                </c:pt>
                <c:pt idx="700">
                  <c:v>0.15476084817109576</c:v>
                </c:pt>
                <c:pt idx="701">
                  <c:v>0.17075951811935636</c:v>
                </c:pt>
                <c:pt idx="702">
                  <c:v>0.11408209393405433</c:v>
                </c:pt>
                <c:pt idx="703">
                  <c:v>0.1062135534038131</c:v>
                </c:pt>
                <c:pt idx="704">
                  <c:v>0.1824197056575016</c:v>
                </c:pt>
                <c:pt idx="705">
                  <c:v>9.9873080493648445E-2</c:v>
                </c:pt>
                <c:pt idx="706">
                  <c:v>0.13249073575482584</c:v>
                </c:pt>
                <c:pt idx="707">
                  <c:v>0.13853918574798779</c:v>
                </c:pt>
                <c:pt idx="708">
                  <c:v>0.16347893005656616</c:v>
                </c:pt>
                <c:pt idx="709">
                  <c:v>0.14248044580067434</c:v>
                </c:pt>
                <c:pt idx="710">
                  <c:v>0.11898806063754074</c:v>
                </c:pt>
                <c:pt idx="711">
                  <c:v>0.13893474213602705</c:v>
                </c:pt>
                <c:pt idx="712">
                  <c:v>0.11712394380321112</c:v>
                </c:pt>
                <c:pt idx="713">
                  <c:v>9.5229076783660105E-2</c:v>
                </c:pt>
                <c:pt idx="714">
                  <c:v>0.12586372412761179</c:v>
                </c:pt>
                <c:pt idx="715">
                  <c:v>0.14797475804229879</c:v>
                </c:pt>
                <c:pt idx="716">
                  <c:v>0.15520219602999807</c:v>
                </c:pt>
                <c:pt idx="717">
                  <c:v>9.8429252977671342E-2</c:v>
                </c:pt>
                <c:pt idx="718">
                  <c:v>0.1402446843722682</c:v>
                </c:pt>
                <c:pt idx="719">
                  <c:v>0.12874308799506251</c:v>
                </c:pt>
                <c:pt idx="720">
                  <c:v>0.15246339943853446</c:v>
                </c:pt>
                <c:pt idx="721">
                  <c:v>0.13114060905654115</c:v>
                </c:pt>
                <c:pt idx="722">
                  <c:v>0.11373421294885261</c:v>
                </c:pt>
                <c:pt idx="723">
                  <c:v>0.12501078667611895</c:v>
                </c:pt>
                <c:pt idx="724">
                  <c:v>0.1170879489268379</c:v>
                </c:pt>
                <c:pt idx="725">
                  <c:v>0.12625350648505504</c:v>
                </c:pt>
                <c:pt idx="726">
                  <c:v>0.10262389964293897</c:v>
                </c:pt>
                <c:pt idx="727">
                  <c:v>0.19958021289426292</c:v>
                </c:pt>
                <c:pt idx="728">
                  <c:v>0.14304458381526416</c:v>
                </c:pt>
                <c:pt idx="729">
                  <c:v>0.1305311571944737</c:v>
                </c:pt>
                <c:pt idx="730">
                  <c:v>0.14171610959687289</c:v>
                </c:pt>
                <c:pt idx="731">
                  <c:v>0.1099130339078921</c:v>
                </c:pt>
                <c:pt idx="732">
                  <c:v>0.10736210803711294</c:v>
                </c:pt>
                <c:pt idx="733">
                  <c:v>0.10661780570374896</c:v>
                </c:pt>
                <c:pt idx="734">
                  <c:v>0.12716070150577818</c:v>
                </c:pt>
                <c:pt idx="735">
                  <c:v>0.13938401525830463</c:v>
                </c:pt>
                <c:pt idx="736">
                  <c:v>0.11502195521629387</c:v>
                </c:pt>
                <c:pt idx="737">
                  <c:v>0.15326738832507553</c:v>
                </c:pt>
                <c:pt idx="738">
                  <c:v>0.12433735820999155</c:v>
                </c:pt>
                <c:pt idx="739">
                  <c:v>0.15972719914013178</c:v>
                </c:pt>
                <c:pt idx="740">
                  <c:v>0.10047544960958121</c:v>
                </c:pt>
                <c:pt idx="741">
                  <c:v>0.13683078987566233</c:v>
                </c:pt>
                <c:pt idx="742">
                  <c:v>0.11439313962007083</c:v>
                </c:pt>
                <c:pt idx="743">
                  <c:v>0.14246448258315567</c:v>
                </c:pt>
                <c:pt idx="744">
                  <c:v>0.14182995679488561</c:v>
                </c:pt>
                <c:pt idx="745">
                  <c:v>0.11982926900987884</c:v>
                </c:pt>
                <c:pt idx="746">
                  <c:v>0.10511198446917404</c:v>
                </c:pt>
                <c:pt idx="747">
                  <c:v>9.2824653319024508E-2</c:v>
                </c:pt>
                <c:pt idx="748">
                  <c:v>0.12180937171021687</c:v>
                </c:pt>
                <c:pt idx="749">
                  <c:v>0.1254179776338416</c:v>
                </c:pt>
                <c:pt idx="750">
                  <c:v>0.1308097744282129</c:v>
                </c:pt>
                <c:pt idx="751">
                  <c:v>0.13426408740153073</c:v>
                </c:pt>
                <c:pt idx="752">
                  <c:v>0.13331932260188689</c:v>
                </c:pt>
                <c:pt idx="753">
                  <c:v>0.13054526694366186</c:v>
                </c:pt>
                <c:pt idx="754">
                  <c:v>0.11887587446290343</c:v>
                </c:pt>
                <c:pt idx="755">
                  <c:v>0.15743660858403027</c:v>
                </c:pt>
                <c:pt idx="756">
                  <c:v>0.14683158890920206</c:v>
                </c:pt>
                <c:pt idx="757">
                  <c:v>0.14852651156889021</c:v>
                </c:pt>
                <c:pt idx="758">
                  <c:v>0.11069257508070399</c:v>
                </c:pt>
                <c:pt idx="759">
                  <c:v>0.11129267748342504</c:v>
                </c:pt>
                <c:pt idx="760">
                  <c:v>0.10626835304882694</c:v>
                </c:pt>
                <c:pt idx="761">
                  <c:v>0.11642640741174755</c:v>
                </c:pt>
                <c:pt idx="762">
                  <c:v>0.12541670422615417</c:v>
                </c:pt>
                <c:pt idx="763">
                  <c:v>0.13360352777802062</c:v>
                </c:pt>
                <c:pt idx="764">
                  <c:v>0.1186282835499809</c:v>
                </c:pt>
                <c:pt idx="765">
                  <c:v>0.17264354251470104</c:v>
                </c:pt>
                <c:pt idx="766">
                  <c:v>0.17630119365266803</c:v>
                </c:pt>
                <c:pt idx="767">
                  <c:v>9.6986863090833181E-2</c:v>
                </c:pt>
                <c:pt idx="768">
                  <c:v>0.13813830346114025</c:v>
                </c:pt>
                <c:pt idx="769">
                  <c:v>0.11092880590843286</c:v>
                </c:pt>
                <c:pt idx="770">
                  <c:v>9.4354408578282215E-2</c:v>
                </c:pt>
                <c:pt idx="771">
                  <c:v>0.10261975765674175</c:v>
                </c:pt>
                <c:pt idx="772">
                  <c:v>0.12749521439664743</c:v>
                </c:pt>
                <c:pt idx="773">
                  <c:v>9.2039916973417013E-2</c:v>
                </c:pt>
                <c:pt idx="774">
                  <c:v>0.15194399929489585</c:v>
                </c:pt>
                <c:pt idx="775">
                  <c:v>0.1138477813300858</c:v>
                </c:pt>
                <c:pt idx="776">
                  <c:v>0.14434213737993695</c:v>
                </c:pt>
                <c:pt idx="777">
                  <c:v>0.12350326928553533</c:v>
                </c:pt>
                <c:pt idx="778">
                  <c:v>0.12053555035894238</c:v>
                </c:pt>
                <c:pt idx="779">
                  <c:v>0.13620195271491697</c:v>
                </c:pt>
                <c:pt idx="780">
                  <c:v>0.12305585071362291</c:v>
                </c:pt>
                <c:pt idx="781">
                  <c:v>0.14308349395810613</c:v>
                </c:pt>
                <c:pt idx="782">
                  <c:v>0.13382284704446937</c:v>
                </c:pt>
                <c:pt idx="783">
                  <c:v>0.13401514965352535</c:v>
                </c:pt>
                <c:pt idx="784">
                  <c:v>0.14340216023288072</c:v>
                </c:pt>
                <c:pt idx="785">
                  <c:v>0.12883876555625917</c:v>
                </c:pt>
                <c:pt idx="786">
                  <c:v>0.11826531301259967</c:v>
                </c:pt>
                <c:pt idx="787">
                  <c:v>0.14792767977698576</c:v>
                </c:pt>
                <c:pt idx="788">
                  <c:v>0.17066998316465584</c:v>
                </c:pt>
                <c:pt idx="789">
                  <c:v>9.7598099893857163E-2</c:v>
                </c:pt>
                <c:pt idx="790">
                  <c:v>0.10074301771983243</c:v>
                </c:pt>
                <c:pt idx="791">
                  <c:v>0.14656102175657471</c:v>
                </c:pt>
                <c:pt idx="792">
                  <c:v>0.14681284273576917</c:v>
                </c:pt>
                <c:pt idx="793">
                  <c:v>0.15626212836910452</c:v>
                </c:pt>
                <c:pt idx="794">
                  <c:v>0.1491134022332361</c:v>
                </c:pt>
                <c:pt idx="795">
                  <c:v>0.13959556830654521</c:v>
                </c:pt>
                <c:pt idx="796">
                  <c:v>0.1384565310576068</c:v>
                </c:pt>
                <c:pt idx="797">
                  <c:v>0.13116779495217964</c:v>
                </c:pt>
                <c:pt idx="798">
                  <c:v>0.11184151840357011</c:v>
                </c:pt>
                <c:pt idx="799">
                  <c:v>9.865051771451501E-2</c:v>
                </c:pt>
                <c:pt idx="800">
                  <c:v>8.8961707169949417E-2</c:v>
                </c:pt>
                <c:pt idx="801">
                  <c:v>0.12511689099364562</c:v>
                </c:pt>
                <c:pt idx="802">
                  <c:v>0.15179543524955824</c:v>
                </c:pt>
                <c:pt idx="803">
                  <c:v>0.20089515180497242</c:v>
                </c:pt>
                <c:pt idx="804">
                  <c:v>0.19105871900545945</c:v>
                </c:pt>
                <c:pt idx="805">
                  <c:v>0.10868083120206232</c:v>
                </c:pt>
                <c:pt idx="806">
                  <c:v>0.1066604714634254</c:v>
                </c:pt>
                <c:pt idx="807">
                  <c:v>0.13093320739781381</c:v>
                </c:pt>
                <c:pt idx="808">
                  <c:v>9.3720055568536437E-2</c:v>
                </c:pt>
                <c:pt idx="809">
                  <c:v>0.10938092517579211</c:v>
                </c:pt>
                <c:pt idx="810">
                  <c:v>0.1062985263317574</c:v>
                </c:pt>
                <c:pt idx="811">
                  <c:v>0.14134079856842344</c:v>
                </c:pt>
                <c:pt idx="812">
                  <c:v>0.10552246054126713</c:v>
                </c:pt>
                <c:pt idx="813">
                  <c:v>0.11454449798371702</c:v>
                </c:pt>
                <c:pt idx="814">
                  <c:v>0.13939701724020781</c:v>
                </c:pt>
                <c:pt idx="815">
                  <c:v>0.14087301711916339</c:v>
                </c:pt>
                <c:pt idx="816">
                  <c:v>0.1349480357856766</c:v>
                </c:pt>
                <c:pt idx="817">
                  <c:v>0.13986740714342302</c:v>
                </c:pt>
                <c:pt idx="818">
                  <c:v>0.15235266734971148</c:v>
                </c:pt>
                <c:pt idx="819">
                  <c:v>0.11200353276354916</c:v>
                </c:pt>
                <c:pt idx="820">
                  <c:v>0.12858397688487361</c:v>
                </c:pt>
                <c:pt idx="821">
                  <c:v>0.14889972595963713</c:v>
                </c:pt>
                <c:pt idx="822">
                  <c:v>0.16558103107789096</c:v>
                </c:pt>
                <c:pt idx="823">
                  <c:v>0.12234688201962823</c:v>
                </c:pt>
                <c:pt idx="824">
                  <c:v>0.10619450709565702</c:v>
                </c:pt>
                <c:pt idx="825">
                  <c:v>0.121931258108223</c:v>
                </c:pt>
                <c:pt idx="826">
                  <c:v>0.10741503237731631</c:v>
                </c:pt>
                <c:pt idx="827">
                  <c:v>0.10548993248966645</c:v>
                </c:pt>
                <c:pt idx="828">
                  <c:v>0.12666187318689584</c:v>
                </c:pt>
                <c:pt idx="829">
                  <c:v>0.10529657683999077</c:v>
                </c:pt>
                <c:pt idx="830">
                  <c:v>0.10718564220657771</c:v>
                </c:pt>
                <c:pt idx="831">
                  <c:v>0.13947281908157882</c:v>
                </c:pt>
                <c:pt idx="832">
                  <c:v>0.11691451732293935</c:v>
                </c:pt>
                <c:pt idx="833">
                  <c:v>9.3890415277234116E-2</c:v>
                </c:pt>
                <c:pt idx="834">
                  <c:v>0.19017502197107283</c:v>
                </c:pt>
                <c:pt idx="835">
                  <c:v>0.13031791486991126</c:v>
                </c:pt>
                <c:pt idx="836">
                  <c:v>0.1741335713575938</c:v>
                </c:pt>
                <c:pt idx="837">
                  <c:v>0.12544523426329024</c:v>
                </c:pt>
                <c:pt idx="838">
                  <c:v>0.11224601011722059</c:v>
                </c:pt>
                <c:pt idx="839">
                  <c:v>0.10374062156346757</c:v>
                </c:pt>
                <c:pt idx="840">
                  <c:v>0.13261145231071345</c:v>
                </c:pt>
                <c:pt idx="841">
                  <c:v>0.13336957998310159</c:v>
                </c:pt>
                <c:pt idx="842">
                  <c:v>0.11256118331039264</c:v>
                </c:pt>
                <c:pt idx="843">
                  <c:v>0.15275254118919865</c:v>
                </c:pt>
                <c:pt idx="844">
                  <c:v>9.9762711591549161E-2</c:v>
                </c:pt>
                <c:pt idx="845">
                  <c:v>0.11398554588286837</c:v>
                </c:pt>
                <c:pt idx="846">
                  <c:v>0.14091347902451526</c:v>
                </c:pt>
                <c:pt idx="847">
                  <c:v>0.13890256585644448</c:v>
                </c:pt>
                <c:pt idx="848">
                  <c:v>0.1102631576710868</c:v>
                </c:pt>
                <c:pt idx="849">
                  <c:v>0.11444782767890344</c:v>
                </c:pt>
                <c:pt idx="850">
                  <c:v>0.10807813385989255</c:v>
                </c:pt>
                <c:pt idx="851">
                  <c:v>0.14205811978315883</c:v>
                </c:pt>
                <c:pt idx="852">
                  <c:v>0.11191174025791012</c:v>
                </c:pt>
                <c:pt idx="853">
                  <c:v>0.15559638641255491</c:v>
                </c:pt>
                <c:pt idx="854">
                  <c:v>0.11234967454121417</c:v>
                </c:pt>
                <c:pt idx="855">
                  <c:v>0.11515267281190264</c:v>
                </c:pt>
                <c:pt idx="856">
                  <c:v>0.11753575161530264</c:v>
                </c:pt>
                <c:pt idx="857">
                  <c:v>0.10807497833078544</c:v>
                </c:pt>
                <c:pt idx="858">
                  <c:v>0.16637535915590201</c:v>
                </c:pt>
                <c:pt idx="859">
                  <c:v>0.10247520841191583</c:v>
                </c:pt>
                <c:pt idx="860">
                  <c:v>0.11103315360087544</c:v>
                </c:pt>
                <c:pt idx="861">
                  <c:v>0.1071153858149376</c:v>
                </c:pt>
                <c:pt idx="862">
                  <c:v>0.14314716016237164</c:v>
                </c:pt>
                <c:pt idx="863">
                  <c:v>0.10835507312850708</c:v>
                </c:pt>
                <c:pt idx="864">
                  <c:v>0.11995717973733258</c:v>
                </c:pt>
                <c:pt idx="865">
                  <c:v>0.12646616755541001</c:v>
                </c:pt>
                <c:pt idx="866">
                  <c:v>0.13867117105219598</c:v>
                </c:pt>
                <c:pt idx="867">
                  <c:v>0.10804955104871949</c:v>
                </c:pt>
                <c:pt idx="868">
                  <c:v>0.11134801194679836</c:v>
                </c:pt>
                <c:pt idx="869">
                  <c:v>0.12419158281797517</c:v>
                </c:pt>
                <c:pt idx="870">
                  <c:v>0.18582885552031833</c:v>
                </c:pt>
                <c:pt idx="871">
                  <c:v>0.20099178657325981</c:v>
                </c:pt>
                <c:pt idx="872">
                  <c:v>0.13242714662638738</c:v>
                </c:pt>
                <c:pt idx="873">
                  <c:v>0.17298260723113426</c:v>
                </c:pt>
                <c:pt idx="874">
                  <c:v>0.13918000443090739</c:v>
                </c:pt>
                <c:pt idx="875">
                  <c:v>0.15702318606045926</c:v>
                </c:pt>
                <c:pt idx="876">
                  <c:v>0.16945092293588482</c:v>
                </c:pt>
                <c:pt idx="877">
                  <c:v>0.11214959687608704</c:v>
                </c:pt>
                <c:pt idx="878">
                  <c:v>0.1331509968709523</c:v>
                </c:pt>
                <c:pt idx="879">
                  <c:v>0.15917256572479588</c:v>
                </c:pt>
                <c:pt idx="880">
                  <c:v>0.10899929907597469</c:v>
                </c:pt>
                <c:pt idx="881">
                  <c:v>0.1055761741295337</c:v>
                </c:pt>
                <c:pt idx="882">
                  <c:v>0.10840144359244661</c:v>
                </c:pt>
                <c:pt idx="883">
                  <c:v>0.11204179893151082</c:v>
                </c:pt>
                <c:pt idx="884">
                  <c:v>0.13353091738202147</c:v>
                </c:pt>
                <c:pt idx="885">
                  <c:v>0.13450782236646633</c:v>
                </c:pt>
                <c:pt idx="886">
                  <c:v>0.12177124512313185</c:v>
                </c:pt>
                <c:pt idx="887">
                  <c:v>0.1545153675411968</c:v>
                </c:pt>
                <c:pt idx="888">
                  <c:v>0.16541031211291718</c:v>
                </c:pt>
                <c:pt idx="889">
                  <c:v>0.1232200948090731</c:v>
                </c:pt>
                <c:pt idx="890">
                  <c:v>0.13318039840650631</c:v>
                </c:pt>
                <c:pt idx="891">
                  <c:v>0.13833780693674277</c:v>
                </c:pt>
                <c:pt idx="892">
                  <c:v>0.10862156671898261</c:v>
                </c:pt>
                <c:pt idx="893">
                  <c:v>0.13867556306124063</c:v>
                </c:pt>
                <c:pt idx="894">
                  <c:v>0.10751552607037436</c:v>
                </c:pt>
                <c:pt idx="895">
                  <c:v>9.925802236181247E-2</c:v>
                </c:pt>
                <c:pt idx="896">
                  <c:v>0.11536279448949949</c:v>
                </c:pt>
                <c:pt idx="897">
                  <c:v>0.16275559223319425</c:v>
                </c:pt>
                <c:pt idx="898">
                  <c:v>0.10679201584322266</c:v>
                </c:pt>
                <c:pt idx="899">
                  <c:v>0.14439674777912756</c:v>
                </c:pt>
                <c:pt idx="900">
                  <c:v>0.11670776166812372</c:v>
                </c:pt>
                <c:pt idx="901">
                  <c:v>0.15135306391952982</c:v>
                </c:pt>
                <c:pt idx="902">
                  <c:v>0.14124285820873184</c:v>
                </c:pt>
                <c:pt idx="903">
                  <c:v>9.3723257960349526E-2</c:v>
                </c:pt>
                <c:pt idx="904">
                  <c:v>0.12479022394566149</c:v>
                </c:pt>
                <c:pt idx="905">
                  <c:v>0.13586694401359778</c:v>
                </c:pt>
                <c:pt idx="906">
                  <c:v>0.12172443899178158</c:v>
                </c:pt>
                <c:pt idx="907">
                  <c:v>0.10407914840643627</c:v>
                </c:pt>
                <c:pt idx="908">
                  <c:v>0.14435752466594354</c:v>
                </c:pt>
                <c:pt idx="909">
                  <c:v>0.11830288119919109</c:v>
                </c:pt>
                <c:pt idx="910">
                  <c:v>0.14191841421789644</c:v>
                </c:pt>
                <c:pt idx="911">
                  <c:v>0.13126398600330694</c:v>
                </c:pt>
                <c:pt idx="912">
                  <c:v>0.12123172162490113</c:v>
                </c:pt>
                <c:pt idx="913">
                  <c:v>0.12997376364320298</c:v>
                </c:pt>
                <c:pt idx="914">
                  <c:v>0.11455479922140718</c:v>
                </c:pt>
                <c:pt idx="915">
                  <c:v>0.16211063723148192</c:v>
                </c:pt>
                <c:pt idx="916">
                  <c:v>0.11632220695950149</c:v>
                </c:pt>
                <c:pt idx="917">
                  <c:v>0.14076971771794722</c:v>
                </c:pt>
                <c:pt idx="918">
                  <c:v>0.10238800278270227</c:v>
                </c:pt>
                <c:pt idx="919">
                  <c:v>0.13942363545096559</c:v>
                </c:pt>
                <c:pt idx="920">
                  <c:v>0.12387294903170717</c:v>
                </c:pt>
                <c:pt idx="921">
                  <c:v>0.1312858506989294</c:v>
                </c:pt>
                <c:pt idx="922">
                  <c:v>0.15785179462873453</c:v>
                </c:pt>
                <c:pt idx="923">
                  <c:v>0.13353310498934495</c:v>
                </c:pt>
                <c:pt idx="924">
                  <c:v>0.16227472211112789</c:v>
                </c:pt>
                <c:pt idx="925">
                  <c:v>0.13282956338611562</c:v>
                </c:pt>
                <c:pt idx="926">
                  <c:v>0.14845118248397837</c:v>
                </c:pt>
                <c:pt idx="927">
                  <c:v>0.1141074492531023</c:v>
                </c:pt>
                <c:pt idx="928">
                  <c:v>0.15726822763983975</c:v>
                </c:pt>
                <c:pt idx="929">
                  <c:v>0.11040704776565403</c:v>
                </c:pt>
                <c:pt idx="930">
                  <c:v>0.12209943952954277</c:v>
                </c:pt>
                <c:pt idx="931">
                  <c:v>0.12723537235884139</c:v>
                </c:pt>
                <c:pt idx="932">
                  <c:v>0.10346485529015297</c:v>
                </c:pt>
                <c:pt idx="933">
                  <c:v>0.13519882159191579</c:v>
                </c:pt>
                <c:pt idx="934">
                  <c:v>0.14548858984753049</c:v>
                </c:pt>
                <c:pt idx="935">
                  <c:v>0.10857461738038576</c:v>
                </c:pt>
                <c:pt idx="936">
                  <c:v>0.1212566905273553</c:v>
                </c:pt>
                <c:pt idx="937">
                  <c:v>0.11657264187598859</c:v>
                </c:pt>
                <c:pt idx="938">
                  <c:v>0.17187133112199315</c:v>
                </c:pt>
                <c:pt idx="939">
                  <c:v>0.10381006061596645</c:v>
                </c:pt>
                <c:pt idx="940">
                  <c:v>0.10581735122275984</c:v>
                </c:pt>
                <c:pt idx="941">
                  <c:v>0.19587258355514839</c:v>
                </c:pt>
                <c:pt idx="942">
                  <c:v>0.13882668732480458</c:v>
                </c:pt>
                <c:pt idx="943">
                  <c:v>0.11920709846117772</c:v>
                </c:pt>
                <c:pt idx="944">
                  <c:v>0.13928811105909905</c:v>
                </c:pt>
                <c:pt idx="945">
                  <c:v>0.14918495890776287</c:v>
                </c:pt>
                <c:pt idx="946">
                  <c:v>0.12936408377087869</c:v>
                </c:pt>
                <c:pt idx="947">
                  <c:v>0.17983462474552386</c:v>
                </c:pt>
                <c:pt idx="948">
                  <c:v>0.14880868505787637</c:v>
                </c:pt>
                <c:pt idx="949">
                  <c:v>0.15154393879311839</c:v>
                </c:pt>
                <c:pt idx="950">
                  <c:v>0.1153497261407351</c:v>
                </c:pt>
                <c:pt idx="951">
                  <c:v>0.16004138762005843</c:v>
                </c:pt>
                <c:pt idx="952">
                  <c:v>0.11240247903811543</c:v>
                </c:pt>
                <c:pt idx="953">
                  <c:v>0.13308453915793308</c:v>
                </c:pt>
                <c:pt idx="954">
                  <c:v>0.10780265905828157</c:v>
                </c:pt>
                <c:pt idx="955">
                  <c:v>0.11960756181054645</c:v>
                </c:pt>
                <c:pt idx="956">
                  <c:v>0.136316975552388</c:v>
                </c:pt>
                <c:pt idx="957">
                  <c:v>0.1449872086676256</c:v>
                </c:pt>
                <c:pt idx="958">
                  <c:v>0.10794340259664473</c:v>
                </c:pt>
                <c:pt idx="959">
                  <c:v>0.12506078803049642</c:v>
                </c:pt>
                <c:pt idx="960">
                  <c:v>0.14174174175739326</c:v>
                </c:pt>
                <c:pt idx="961">
                  <c:v>9.7190936557302515E-2</c:v>
                </c:pt>
                <c:pt idx="962">
                  <c:v>0.12005477115651922</c:v>
                </c:pt>
                <c:pt idx="963">
                  <c:v>0.19262823110868216</c:v>
                </c:pt>
                <c:pt idx="964">
                  <c:v>0.15259899698841978</c:v>
                </c:pt>
                <c:pt idx="965">
                  <c:v>0.1098294356834961</c:v>
                </c:pt>
                <c:pt idx="966">
                  <c:v>0.12617855754607354</c:v>
                </c:pt>
                <c:pt idx="967">
                  <c:v>0.11117573858242319</c:v>
                </c:pt>
                <c:pt idx="968">
                  <c:v>0.10373187265792197</c:v>
                </c:pt>
                <c:pt idx="969">
                  <c:v>0.17652549065263251</c:v>
                </c:pt>
                <c:pt idx="970">
                  <c:v>9.3322063496277682E-2</c:v>
                </c:pt>
                <c:pt idx="971">
                  <c:v>0.12418248356291983</c:v>
                </c:pt>
                <c:pt idx="972">
                  <c:v>0.12548946933793922</c:v>
                </c:pt>
                <c:pt idx="973">
                  <c:v>9.8710443978134568E-2</c:v>
                </c:pt>
                <c:pt idx="974">
                  <c:v>0.12722000693700553</c:v>
                </c:pt>
                <c:pt idx="975">
                  <c:v>0.10865243162497482</c:v>
                </c:pt>
                <c:pt idx="976">
                  <c:v>0.11779041765347138</c:v>
                </c:pt>
                <c:pt idx="977">
                  <c:v>0.12602754902043592</c:v>
                </c:pt>
                <c:pt idx="978">
                  <c:v>0.1356822271199026</c:v>
                </c:pt>
                <c:pt idx="979">
                  <c:v>0.1365352790227132</c:v>
                </c:pt>
                <c:pt idx="980">
                  <c:v>0.12101780533989319</c:v>
                </c:pt>
                <c:pt idx="981">
                  <c:v>0.1385117495170404</c:v>
                </c:pt>
                <c:pt idx="982">
                  <c:v>0.1487819011738446</c:v>
                </c:pt>
                <c:pt idx="983">
                  <c:v>0.11892813837120837</c:v>
                </c:pt>
                <c:pt idx="984">
                  <c:v>0.14379954759121569</c:v>
                </c:pt>
                <c:pt idx="985">
                  <c:v>0.11104185954793948</c:v>
                </c:pt>
                <c:pt idx="986">
                  <c:v>0.1312527567082733</c:v>
                </c:pt>
                <c:pt idx="987">
                  <c:v>0.13811245067825889</c:v>
                </c:pt>
                <c:pt idx="988">
                  <c:v>0.16442461961493507</c:v>
                </c:pt>
                <c:pt idx="989">
                  <c:v>0.14089787714417132</c:v>
                </c:pt>
                <c:pt idx="990">
                  <c:v>9.4188301760221763E-2</c:v>
                </c:pt>
                <c:pt idx="991">
                  <c:v>0.1436290570301825</c:v>
                </c:pt>
                <c:pt idx="992">
                  <c:v>0.10829077350801265</c:v>
                </c:pt>
                <c:pt idx="993">
                  <c:v>0.11196434892870324</c:v>
                </c:pt>
                <c:pt idx="994">
                  <c:v>0.12799767589619895</c:v>
                </c:pt>
                <c:pt idx="995">
                  <c:v>0.17675306232455654</c:v>
                </c:pt>
                <c:pt idx="996">
                  <c:v>0.12694937475668891</c:v>
                </c:pt>
                <c:pt idx="997">
                  <c:v>0.15158451074127624</c:v>
                </c:pt>
                <c:pt idx="998">
                  <c:v>0.1253893464626942</c:v>
                </c:pt>
                <c:pt idx="999">
                  <c:v>0.14845695752799434</c:v>
                </c:pt>
              </c:numCache>
            </c:numRef>
          </c:xVal>
          <c:yVal>
            <c:numRef>
              <c:f>'EffFrontier ChatGPT'!$U$3:$U$1002</c:f>
              <c:numCache>
                <c:formatCode>0.00%</c:formatCode>
                <c:ptCount val="1000"/>
                <c:pt idx="0">
                  <c:v>9.244895520671273E-2</c:v>
                </c:pt>
                <c:pt idx="1">
                  <c:v>8.731840635597235E-2</c:v>
                </c:pt>
                <c:pt idx="2">
                  <c:v>6.9820896181624084E-2</c:v>
                </c:pt>
                <c:pt idx="3">
                  <c:v>8.7777711291924299E-2</c:v>
                </c:pt>
                <c:pt idx="4">
                  <c:v>7.4373471355944465E-2</c:v>
                </c:pt>
                <c:pt idx="5">
                  <c:v>7.4912166119124518E-2</c:v>
                </c:pt>
                <c:pt idx="6">
                  <c:v>7.9635927793585373E-2</c:v>
                </c:pt>
                <c:pt idx="7">
                  <c:v>8.0143325447136204E-2</c:v>
                </c:pt>
                <c:pt idx="8">
                  <c:v>8.2547984189876925E-2</c:v>
                </c:pt>
                <c:pt idx="9">
                  <c:v>9.4050348504834652E-2</c:v>
                </c:pt>
                <c:pt idx="10">
                  <c:v>6.948786470482031E-2</c:v>
                </c:pt>
                <c:pt idx="11">
                  <c:v>7.8751809724541974E-2</c:v>
                </c:pt>
                <c:pt idx="12">
                  <c:v>6.5520482600272101E-2</c:v>
                </c:pt>
                <c:pt idx="13">
                  <c:v>8.5968066497989104E-2</c:v>
                </c:pt>
                <c:pt idx="14">
                  <c:v>6.6481697240665855E-2</c:v>
                </c:pt>
                <c:pt idx="15">
                  <c:v>9.9001001492482921E-2</c:v>
                </c:pt>
                <c:pt idx="16">
                  <c:v>7.1821960951300209E-2</c:v>
                </c:pt>
                <c:pt idx="17">
                  <c:v>8.5846399835268927E-2</c:v>
                </c:pt>
                <c:pt idx="18">
                  <c:v>9.2057662967396287E-2</c:v>
                </c:pt>
                <c:pt idx="19">
                  <c:v>8.099317655071675E-2</c:v>
                </c:pt>
                <c:pt idx="20">
                  <c:v>6.9718076696210801E-2</c:v>
                </c:pt>
                <c:pt idx="21">
                  <c:v>7.9379911080356358E-2</c:v>
                </c:pt>
                <c:pt idx="22">
                  <c:v>8.3299615576091196E-2</c:v>
                </c:pt>
                <c:pt idx="23">
                  <c:v>9.3121949993053704E-2</c:v>
                </c:pt>
                <c:pt idx="24">
                  <c:v>8.9240559361928401E-2</c:v>
                </c:pt>
                <c:pt idx="25">
                  <c:v>7.7058066146206861E-2</c:v>
                </c:pt>
                <c:pt idx="26">
                  <c:v>7.0646495588936861E-2</c:v>
                </c:pt>
                <c:pt idx="27">
                  <c:v>8.3263380324050021E-2</c:v>
                </c:pt>
                <c:pt idx="28">
                  <c:v>9.2641237617040947E-2</c:v>
                </c:pt>
                <c:pt idx="29">
                  <c:v>9.2133616702004234E-2</c:v>
                </c:pt>
                <c:pt idx="30">
                  <c:v>9.4592062498937507E-2</c:v>
                </c:pt>
                <c:pt idx="31">
                  <c:v>8.4703444576447323E-2</c:v>
                </c:pt>
                <c:pt idx="32">
                  <c:v>8.0865604988712342E-2</c:v>
                </c:pt>
                <c:pt idx="33">
                  <c:v>9.1308349121251867E-2</c:v>
                </c:pt>
                <c:pt idx="34">
                  <c:v>8.8789042277741204E-2</c:v>
                </c:pt>
                <c:pt idx="35">
                  <c:v>8.0170851050736736E-2</c:v>
                </c:pt>
                <c:pt idx="36">
                  <c:v>7.973604506567894E-2</c:v>
                </c:pt>
                <c:pt idx="37">
                  <c:v>7.692675610819702E-2</c:v>
                </c:pt>
                <c:pt idx="38">
                  <c:v>8.5829996526980729E-2</c:v>
                </c:pt>
                <c:pt idx="39">
                  <c:v>9.2774284038819516E-2</c:v>
                </c:pt>
                <c:pt idx="40">
                  <c:v>7.747947325542337E-2</c:v>
                </c:pt>
                <c:pt idx="41">
                  <c:v>9.3166818641826382E-2</c:v>
                </c:pt>
                <c:pt idx="42">
                  <c:v>9.1559605114780257E-2</c:v>
                </c:pt>
                <c:pt idx="43">
                  <c:v>9.0836392528048315E-2</c:v>
                </c:pt>
                <c:pt idx="44">
                  <c:v>7.3353068475620786E-2</c:v>
                </c:pt>
                <c:pt idx="45">
                  <c:v>8.962238234705372E-2</c:v>
                </c:pt>
                <c:pt idx="46">
                  <c:v>7.9913360292988539E-2</c:v>
                </c:pt>
                <c:pt idx="47">
                  <c:v>7.2487781901892895E-2</c:v>
                </c:pt>
                <c:pt idx="48">
                  <c:v>8.1302283126632624E-2</c:v>
                </c:pt>
                <c:pt idx="49">
                  <c:v>8.8252508916636968E-2</c:v>
                </c:pt>
                <c:pt idx="50">
                  <c:v>8.2055037018096411E-2</c:v>
                </c:pt>
                <c:pt idx="51">
                  <c:v>8.2764985111275904E-2</c:v>
                </c:pt>
                <c:pt idx="52">
                  <c:v>7.9579335808635049E-2</c:v>
                </c:pt>
                <c:pt idx="53">
                  <c:v>6.8343901798612744E-2</c:v>
                </c:pt>
                <c:pt idx="54">
                  <c:v>9.1005466771560517E-2</c:v>
                </c:pt>
                <c:pt idx="55">
                  <c:v>8.1814143036923442E-2</c:v>
                </c:pt>
                <c:pt idx="56">
                  <c:v>7.5467086418492868E-2</c:v>
                </c:pt>
                <c:pt idx="57">
                  <c:v>7.2111320662909234E-2</c:v>
                </c:pt>
                <c:pt idx="58">
                  <c:v>7.1751143971372097E-2</c:v>
                </c:pt>
                <c:pt idx="59">
                  <c:v>8.2417903011566845E-2</c:v>
                </c:pt>
                <c:pt idx="60">
                  <c:v>9.7870768108431594E-2</c:v>
                </c:pt>
                <c:pt idx="61">
                  <c:v>9.4189093484382286E-2</c:v>
                </c:pt>
                <c:pt idx="62">
                  <c:v>8.2751409478640181E-2</c:v>
                </c:pt>
                <c:pt idx="63">
                  <c:v>7.1675130092467856E-2</c:v>
                </c:pt>
                <c:pt idx="64">
                  <c:v>8.4620532331452752E-2</c:v>
                </c:pt>
                <c:pt idx="65">
                  <c:v>8.8947821231117052E-2</c:v>
                </c:pt>
                <c:pt idx="66">
                  <c:v>8.2037756257095168E-2</c:v>
                </c:pt>
                <c:pt idx="67">
                  <c:v>8.4731553930072562E-2</c:v>
                </c:pt>
                <c:pt idx="68">
                  <c:v>8.3064835239289203E-2</c:v>
                </c:pt>
                <c:pt idx="69">
                  <c:v>7.2616974145874952E-2</c:v>
                </c:pt>
                <c:pt idx="70">
                  <c:v>8.9134274329058821E-2</c:v>
                </c:pt>
                <c:pt idx="71">
                  <c:v>6.2562706142192323E-2</c:v>
                </c:pt>
                <c:pt idx="72">
                  <c:v>9.1550342092017761E-2</c:v>
                </c:pt>
                <c:pt idx="73">
                  <c:v>7.7263872935910416E-2</c:v>
                </c:pt>
                <c:pt idx="74">
                  <c:v>8.7147576729235288E-2</c:v>
                </c:pt>
                <c:pt idx="75">
                  <c:v>7.4944157307871129E-2</c:v>
                </c:pt>
                <c:pt idx="76">
                  <c:v>7.6895899366000317E-2</c:v>
                </c:pt>
                <c:pt idx="77">
                  <c:v>6.7805559469747465E-2</c:v>
                </c:pt>
                <c:pt idx="78">
                  <c:v>8.3748496016533502E-2</c:v>
                </c:pt>
                <c:pt idx="79">
                  <c:v>8.7469522141487871E-2</c:v>
                </c:pt>
                <c:pt idx="80">
                  <c:v>7.9982613768956434E-2</c:v>
                </c:pt>
                <c:pt idx="81">
                  <c:v>8.7497553243364529E-2</c:v>
                </c:pt>
                <c:pt idx="82">
                  <c:v>6.9737554162732474E-2</c:v>
                </c:pt>
                <c:pt idx="83">
                  <c:v>8.1561938333542805E-2</c:v>
                </c:pt>
                <c:pt idx="84">
                  <c:v>7.3348777295854997E-2</c:v>
                </c:pt>
                <c:pt idx="85">
                  <c:v>9.0251417004149626E-2</c:v>
                </c:pt>
                <c:pt idx="86">
                  <c:v>7.6477428185521917E-2</c:v>
                </c:pt>
                <c:pt idx="87">
                  <c:v>6.4214540320686686E-2</c:v>
                </c:pt>
                <c:pt idx="88">
                  <c:v>8.1394353564519989E-2</c:v>
                </c:pt>
                <c:pt idx="89">
                  <c:v>9.1135910164432496E-2</c:v>
                </c:pt>
                <c:pt idx="90">
                  <c:v>8.0593563920107997E-2</c:v>
                </c:pt>
                <c:pt idx="91">
                  <c:v>7.303349977080037E-2</c:v>
                </c:pt>
                <c:pt idx="92">
                  <c:v>7.4372428980226529E-2</c:v>
                </c:pt>
                <c:pt idx="93">
                  <c:v>8.3299696472320217E-2</c:v>
                </c:pt>
                <c:pt idx="94">
                  <c:v>7.1455705757668159E-2</c:v>
                </c:pt>
                <c:pt idx="95">
                  <c:v>7.5802295433783806E-2</c:v>
                </c:pt>
                <c:pt idx="96">
                  <c:v>8.9192675663055998E-2</c:v>
                </c:pt>
                <c:pt idx="97">
                  <c:v>8.0076486209690351E-2</c:v>
                </c:pt>
                <c:pt idx="98">
                  <c:v>8.0468184634156142E-2</c:v>
                </c:pt>
                <c:pt idx="99">
                  <c:v>9.0090622536578624E-2</c:v>
                </c:pt>
                <c:pt idx="100">
                  <c:v>8.3110869501300005E-2</c:v>
                </c:pt>
                <c:pt idx="101">
                  <c:v>0.10363117943415391</c:v>
                </c:pt>
                <c:pt idx="102">
                  <c:v>8.122098159603458E-2</c:v>
                </c:pt>
                <c:pt idx="103">
                  <c:v>8.0219406337702887E-2</c:v>
                </c:pt>
                <c:pt idx="104">
                  <c:v>6.5173452100357424E-2</c:v>
                </c:pt>
                <c:pt idx="105">
                  <c:v>8.5526422845547165E-2</c:v>
                </c:pt>
                <c:pt idx="106">
                  <c:v>7.3352082172711205E-2</c:v>
                </c:pt>
                <c:pt idx="107">
                  <c:v>8.3164786042440347E-2</c:v>
                </c:pt>
                <c:pt idx="108">
                  <c:v>6.7676836235844626E-2</c:v>
                </c:pt>
                <c:pt idx="109">
                  <c:v>8.6938468910790656E-2</c:v>
                </c:pt>
                <c:pt idx="110">
                  <c:v>7.7434580971662448E-2</c:v>
                </c:pt>
                <c:pt idx="111">
                  <c:v>8.9697345025479214E-2</c:v>
                </c:pt>
                <c:pt idx="112">
                  <c:v>7.2087614077544007E-2</c:v>
                </c:pt>
                <c:pt idx="113">
                  <c:v>9.0859773591300499E-2</c:v>
                </c:pt>
                <c:pt idx="114">
                  <c:v>8.0876612032437539E-2</c:v>
                </c:pt>
                <c:pt idx="115">
                  <c:v>8.1930917670997389E-2</c:v>
                </c:pt>
                <c:pt idx="116">
                  <c:v>8.6046137723738217E-2</c:v>
                </c:pt>
                <c:pt idx="117">
                  <c:v>9.552355094204934E-2</c:v>
                </c:pt>
                <c:pt idx="118">
                  <c:v>7.8625135605768837E-2</c:v>
                </c:pt>
                <c:pt idx="119">
                  <c:v>8.0338263795541931E-2</c:v>
                </c:pt>
                <c:pt idx="120">
                  <c:v>7.3104401480321921E-2</c:v>
                </c:pt>
                <c:pt idx="121">
                  <c:v>7.3485749315297832E-2</c:v>
                </c:pt>
                <c:pt idx="122">
                  <c:v>8.7171410470306326E-2</c:v>
                </c:pt>
                <c:pt idx="123">
                  <c:v>7.7120090924665013E-2</c:v>
                </c:pt>
                <c:pt idx="124">
                  <c:v>8.8682600556234628E-2</c:v>
                </c:pt>
                <c:pt idx="125">
                  <c:v>6.432545482683473E-2</c:v>
                </c:pt>
                <c:pt idx="126">
                  <c:v>7.8041740091249256E-2</c:v>
                </c:pt>
                <c:pt idx="127">
                  <c:v>5.7887682312392039E-2</c:v>
                </c:pt>
                <c:pt idx="128">
                  <c:v>8.6583507438211485E-2</c:v>
                </c:pt>
                <c:pt idx="129">
                  <c:v>8.1097103543617696E-2</c:v>
                </c:pt>
                <c:pt idx="130">
                  <c:v>8.3791516316126496E-2</c:v>
                </c:pt>
                <c:pt idx="131">
                  <c:v>6.907516950855741E-2</c:v>
                </c:pt>
                <c:pt idx="132">
                  <c:v>7.4210417202684467E-2</c:v>
                </c:pt>
                <c:pt idx="133">
                  <c:v>8.7344448372078165E-2</c:v>
                </c:pt>
                <c:pt idx="134">
                  <c:v>8.7456997032794637E-2</c:v>
                </c:pt>
                <c:pt idx="135">
                  <c:v>9.7911112566028302E-2</c:v>
                </c:pt>
                <c:pt idx="136">
                  <c:v>9.2892355205854427E-2</c:v>
                </c:pt>
                <c:pt idx="137">
                  <c:v>8.4449302233551182E-2</c:v>
                </c:pt>
                <c:pt idx="138">
                  <c:v>8.8016470650889911E-2</c:v>
                </c:pt>
                <c:pt idx="139">
                  <c:v>9.3430210663517768E-2</c:v>
                </c:pt>
                <c:pt idx="140">
                  <c:v>6.3031982008603174E-2</c:v>
                </c:pt>
                <c:pt idx="141">
                  <c:v>8.4877661634243831E-2</c:v>
                </c:pt>
                <c:pt idx="142">
                  <c:v>8.8446035518464985E-2</c:v>
                </c:pt>
                <c:pt idx="143">
                  <c:v>8.368774793786582E-2</c:v>
                </c:pt>
                <c:pt idx="144">
                  <c:v>9.3504653590918946E-2</c:v>
                </c:pt>
                <c:pt idx="145">
                  <c:v>7.5442750445808698E-2</c:v>
                </c:pt>
                <c:pt idx="146">
                  <c:v>7.856981856985655E-2</c:v>
                </c:pt>
                <c:pt idx="147">
                  <c:v>8.206969512974345E-2</c:v>
                </c:pt>
                <c:pt idx="148">
                  <c:v>7.6711935746988855E-2</c:v>
                </c:pt>
                <c:pt idx="149">
                  <c:v>8.1609136114064812E-2</c:v>
                </c:pt>
                <c:pt idx="150">
                  <c:v>7.2907474454758772E-2</c:v>
                </c:pt>
                <c:pt idx="151">
                  <c:v>7.53149865798661E-2</c:v>
                </c:pt>
                <c:pt idx="152">
                  <c:v>8.1918918762783205E-2</c:v>
                </c:pt>
                <c:pt idx="153">
                  <c:v>7.4140141818843874E-2</c:v>
                </c:pt>
                <c:pt idx="154">
                  <c:v>7.8305583047645747E-2</c:v>
                </c:pt>
                <c:pt idx="155">
                  <c:v>8.5338066700403281E-2</c:v>
                </c:pt>
                <c:pt idx="156">
                  <c:v>8.6490305886765068E-2</c:v>
                </c:pt>
                <c:pt idx="157">
                  <c:v>6.968311039243702E-2</c:v>
                </c:pt>
                <c:pt idx="158">
                  <c:v>7.2251407295019776E-2</c:v>
                </c:pt>
                <c:pt idx="159">
                  <c:v>8.2011891446907376E-2</c:v>
                </c:pt>
                <c:pt idx="160">
                  <c:v>8.1088604811681259E-2</c:v>
                </c:pt>
                <c:pt idx="161">
                  <c:v>9.2113364101528733E-2</c:v>
                </c:pt>
                <c:pt idx="162">
                  <c:v>8.0672757029456088E-2</c:v>
                </c:pt>
                <c:pt idx="163">
                  <c:v>8.5334931748810461E-2</c:v>
                </c:pt>
                <c:pt idx="164">
                  <c:v>7.0160768972186843E-2</c:v>
                </c:pt>
                <c:pt idx="165">
                  <c:v>8.1021274054554296E-2</c:v>
                </c:pt>
                <c:pt idx="166">
                  <c:v>8.0346608347827309E-2</c:v>
                </c:pt>
                <c:pt idx="167">
                  <c:v>7.8111485475469047E-2</c:v>
                </c:pt>
                <c:pt idx="168">
                  <c:v>8.7201192338386163E-2</c:v>
                </c:pt>
                <c:pt idx="169">
                  <c:v>8.2080485282524512E-2</c:v>
                </c:pt>
                <c:pt idx="170">
                  <c:v>8.4858868745893434E-2</c:v>
                </c:pt>
                <c:pt idx="171">
                  <c:v>7.7797256459968211E-2</c:v>
                </c:pt>
                <c:pt idx="172">
                  <c:v>9.0221881552453809E-2</c:v>
                </c:pt>
                <c:pt idx="173">
                  <c:v>7.4625681741546851E-2</c:v>
                </c:pt>
                <c:pt idx="174">
                  <c:v>9.1972084169140669E-2</c:v>
                </c:pt>
                <c:pt idx="175">
                  <c:v>9.7699146751857036E-2</c:v>
                </c:pt>
                <c:pt idx="176">
                  <c:v>8.3269259241477794E-2</c:v>
                </c:pt>
                <c:pt idx="177">
                  <c:v>8.9114122938221574E-2</c:v>
                </c:pt>
                <c:pt idx="178">
                  <c:v>8.6573194156792654E-2</c:v>
                </c:pt>
                <c:pt idx="179">
                  <c:v>8.8195433052560321E-2</c:v>
                </c:pt>
                <c:pt idx="180">
                  <c:v>8.0490859923159852E-2</c:v>
                </c:pt>
                <c:pt idx="181">
                  <c:v>8.0750742964679781E-2</c:v>
                </c:pt>
                <c:pt idx="182">
                  <c:v>8.3701990290341255E-2</c:v>
                </c:pt>
                <c:pt idx="183">
                  <c:v>8.5135973039194249E-2</c:v>
                </c:pt>
                <c:pt idx="184">
                  <c:v>8.0065728197152866E-2</c:v>
                </c:pt>
                <c:pt idx="185">
                  <c:v>8.7982707279940453E-2</c:v>
                </c:pt>
                <c:pt idx="186">
                  <c:v>0.10164332072990806</c:v>
                </c:pt>
                <c:pt idx="187">
                  <c:v>8.9964350141363891E-2</c:v>
                </c:pt>
                <c:pt idx="188">
                  <c:v>8.5515305743792916E-2</c:v>
                </c:pt>
                <c:pt idx="189">
                  <c:v>7.3896597416237483E-2</c:v>
                </c:pt>
                <c:pt idx="190">
                  <c:v>7.7471091168050871E-2</c:v>
                </c:pt>
                <c:pt idx="191">
                  <c:v>8.9114110148798525E-2</c:v>
                </c:pt>
                <c:pt idx="192">
                  <c:v>9.6824621926261095E-2</c:v>
                </c:pt>
                <c:pt idx="193">
                  <c:v>8.1389695982558449E-2</c:v>
                </c:pt>
                <c:pt idx="194">
                  <c:v>8.1536372149460828E-2</c:v>
                </c:pt>
                <c:pt idx="195">
                  <c:v>9.5624177738819538E-2</c:v>
                </c:pt>
                <c:pt idx="196">
                  <c:v>9.5647036227786697E-2</c:v>
                </c:pt>
                <c:pt idx="197">
                  <c:v>7.6594517435112197E-2</c:v>
                </c:pt>
                <c:pt idx="198">
                  <c:v>7.8871301263173765E-2</c:v>
                </c:pt>
                <c:pt idx="199">
                  <c:v>7.1506027708449771E-2</c:v>
                </c:pt>
                <c:pt idx="200">
                  <c:v>7.3007747572247442E-2</c:v>
                </c:pt>
                <c:pt idx="201">
                  <c:v>7.0650232725114601E-2</c:v>
                </c:pt>
                <c:pt idx="202">
                  <c:v>8.094744062158063E-2</c:v>
                </c:pt>
                <c:pt idx="203">
                  <c:v>7.5688391547090395E-2</c:v>
                </c:pt>
                <c:pt idx="204">
                  <c:v>8.7743591152971923E-2</c:v>
                </c:pt>
                <c:pt idx="205">
                  <c:v>8.6172463274641911E-2</c:v>
                </c:pt>
                <c:pt idx="206">
                  <c:v>8.9297963346815459E-2</c:v>
                </c:pt>
                <c:pt idx="207">
                  <c:v>6.946429410408389E-2</c:v>
                </c:pt>
                <c:pt idx="208">
                  <c:v>6.8795729585570342E-2</c:v>
                </c:pt>
                <c:pt idx="209">
                  <c:v>8.1720284645227514E-2</c:v>
                </c:pt>
                <c:pt idx="210">
                  <c:v>8.1270785738301377E-2</c:v>
                </c:pt>
                <c:pt idx="211">
                  <c:v>7.7695442347048171E-2</c:v>
                </c:pt>
                <c:pt idx="212">
                  <c:v>9.6922731362304282E-2</c:v>
                </c:pt>
                <c:pt idx="213">
                  <c:v>8.8082973645889129E-2</c:v>
                </c:pt>
                <c:pt idx="214">
                  <c:v>7.9255612175222437E-2</c:v>
                </c:pt>
                <c:pt idx="215">
                  <c:v>8.194326901411067E-2</c:v>
                </c:pt>
                <c:pt idx="216">
                  <c:v>7.482051754400465E-2</c:v>
                </c:pt>
                <c:pt idx="217">
                  <c:v>8.3414602816694494E-2</c:v>
                </c:pt>
                <c:pt idx="218">
                  <c:v>9.2017681820589253E-2</c:v>
                </c:pt>
                <c:pt idx="219">
                  <c:v>7.0981542013641236E-2</c:v>
                </c:pt>
                <c:pt idx="220">
                  <c:v>7.0358340680900744E-2</c:v>
                </c:pt>
                <c:pt idx="221">
                  <c:v>9.1013946626028339E-2</c:v>
                </c:pt>
                <c:pt idx="222">
                  <c:v>9.1376398803424713E-2</c:v>
                </c:pt>
                <c:pt idx="223">
                  <c:v>9.2942838142048109E-2</c:v>
                </c:pt>
                <c:pt idx="224">
                  <c:v>8.018212179641343E-2</c:v>
                </c:pt>
                <c:pt idx="225">
                  <c:v>8.338209277597014E-2</c:v>
                </c:pt>
                <c:pt idx="226">
                  <c:v>6.7905924955397184E-2</c:v>
                </c:pt>
                <c:pt idx="227">
                  <c:v>9.610949568201349E-2</c:v>
                </c:pt>
                <c:pt idx="228">
                  <c:v>9.2470268500023906E-2</c:v>
                </c:pt>
                <c:pt idx="229">
                  <c:v>6.9287251802630234E-2</c:v>
                </c:pt>
                <c:pt idx="230">
                  <c:v>8.903399651465714E-2</c:v>
                </c:pt>
                <c:pt idx="231">
                  <c:v>8.1874234945250313E-2</c:v>
                </c:pt>
                <c:pt idx="232">
                  <c:v>8.5053295273749552E-2</c:v>
                </c:pt>
                <c:pt idx="233">
                  <c:v>7.4452383839559599E-2</c:v>
                </c:pt>
                <c:pt idx="234">
                  <c:v>7.6858809055138255E-2</c:v>
                </c:pt>
                <c:pt idx="235">
                  <c:v>8.8284733995405207E-2</c:v>
                </c:pt>
                <c:pt idx="236">
                  <c:v>8.0550946683205046E-2</c:v>
                </c:pt>
                <c:pt idx="237">
                  <c:v>6.998145373850384E-2</c:v>
                </c:pt>
                <c:pt idx="238">
                  <c:v>8.1123544083636201E-2</c:v>
                </c:pt>
                <c:pt idx="239">
                  <c:v>8.3642835861719889E-2</c:v>
                </c:pt>
                <c:pt idx="240">
                  <c:v>8.3627664819020495E-2</c:v>
                </c:pt>
                <c:pt idx="241">
                  <c:v>7.7857819336330444E-2</c:v>
                </c:pt>
                <c:pt idx="242">
                  <c:v>5.7984696857698206E-2</c:v>
                </c:pt>
                <c:pt idx="243">
                  <c:v>8.6881034886624214E-2</c:v>
                </c:pt>
                <c:pt idx="244">
                  <c:v>9.8778471903136489E-2</c:v>
                </c:pt>
                <c:pt idx="245">
                  <c:v>8.2110903044650019E-2</c:v>
                </c:pt>
                <c:pt idx="246">
                  <c:v>8.2585427722706481E-2</c:v>
                </c:pt>
                <c:pt idx="247">
                  <c:v>8.5365327802797264E-2</c:v>
                </c:pt>
                <c:pt idx="248">
                  <c:v>9.2899369226601081E-2</c:v>
                </c:pt>
                <c:pt idx="249">
                  <c:v>9.0926368246130318E-2</c:v>
                </c:pt>
                <c:pt idx="250">
                  <c:v>7.3338697382854132E-2</c:v>
                </c:pt>
                <c:pt idx="251">
                  <c:v>8.6383960359573034E-2</c:v>
                </c:pt>
                <c:pt idx="252">
                  <c:v>8.0403737855059401E-2</c:v>
                </c:pt>
                <c:pt idx="253">
                  <c:v>9.6227294740393057E-2</c:v>
                </c:pt>
                <c:pt idx="254">
                  <c:v>8.4840728681454161E-2</c:v>
                </c:pt>
                <c:pt idx="255">
                  <c:v>8.7466118734377513E-2</c:v>
                </c:pt>
                <c:pt idx="256">
                  <c:v>7.7883897547851924E-2</c:v>
                </c:pt>
                <c:pt idx="257">
                  <c:v>8.0759464351842891E-2</c:v>
                </c:pt>
                <c:pt idx="258">
                  <c:v>7.9904854286921789E-2</c:v>
                </c:pt>
                <c:pt idx="259">
                  <c:v>8.1453100213517107E-2</c:v>
                </c:pt>
                <c:pt idx="260">
                  <c:v>6.1891285901620352E-2</c:v>
                </c:pt>
                <c:pt idx="261">
                  <c:v>9.7270979249703987E-2</c:v>
                </c:pt>
                <c:pt idx="262">
                  <c:v>7.9680736694609677E-2</c:v>
                </c:pt>
                <c:pt idx="263">
                  <c:v>7.2964817444031854E-2</c:v>
                </c:pt>
                <c:pt idx="264">
                  <c:v>8.3354198826905757E-2</c:v>
                </c:pt>
                <c:pt idx="265">
                  <c:v>9.4246097785128047E-2</c:v>
                </c:pt>
                <c:pt idx="266">
                  <c:v>8.5175690095473738E-2</c:v>
                </c:pt>
                <c:pt idx="267">
                  <c:v>7.6684118284751676E-2</c:v>
                </c:pt>
                <c:pt idx="268">
                  <c:v>7.5735830844985919E-2</c:v>
                </c:pt>
                <c:pt idx="269">
                  <c:v>8.6283943373575755E-2</c:v>
                </c:pt>
                <c:pt idx="270">
                  <c:v>8.2175629022180688E-2</c:v>
                </c:pt>
                <c:pt idx="271">
                  <c:v>8.8958715283426359E-2</c:v>
                </c:pt>
                <c:pt idx="272">
                  <c:v>7.7918735973135672E-2</c:v>
                </c:pt>
                <c:pt idx="273">
                  <c:v>7.0273644606622276E-2</c:v>
                </c:pt>
                <c:pt idx="274">
                  <c:v>8.2768010429641867E-2</c:v>
                </c:pt>
                <c:pt idx="275">
                  <c:v>8.5919923977709201E-2</c:v>
                </c:pt>
                <c:pt idx="276">
                  <c:v>8.2922594520647083E-2</c:v>
                </c:pt>
                <c:pt idx="277">
                  <c:v>8.426046174833729E-2</c:v>
                </c:pt>
                <c:pt idx="278">
                  <c:v>7.892665509851525E-2</c:v>
                </c:pt>
                <c:pt idx="279">
                  <c:v>6.8968583078653431E-2</c:v>
                </c:pt>
                <c:pt idx="280">
                  <c:v>7.2238660059508325E-2</c:v>
                </c:pt>
                <c:pt idx="281">
                  <c:v>7.3003489304592356E-2</c:v>
                </c:pt>
                <c:pt idx="282">
                  <c:v>6.3774178609238619E-2</c:v>
                </c:pt>
                <c:pt idx="283">
                  <c:v>8.6568066440199654E-2</c:v>
                </c:pt>
                <c:pt idx="284">
                  <c:v>7.8627565407661526E-2</c:v>
                </c:pt>
                <c:pt idx="285">
                  <c:v>7.5326097899703348E-2</c:v>
                </c:pt>
                <c:pt idx="286">
                  <c:v>8.9985556191628666E-2</c:v>
                </c:pt>
                <c:pt idx="287">
                  <c:v>7.3797891991005921E-2</c:v>
                </c:pt>
                <c:pt idx="288">
                  <c:v>7.911876915437159E-2</c:v>
                </c:pt>
                <c:pt idx="289">
                  <c:v>7.0862763629327585E-2</c:v>
                </c:pt>
                <c:pt idx="290">
                  <c:v>7.739554994305782E-2</c:v>
                </c:pt>
                <c:pt idx="291">
                  <c:v>7.335677746349073E-2</c:v>
                </c:pt>
                <c:pt idx="292">
                  <c:v>9.6007026556241132E-2</c:v>
                </c:pt>
                <c:pt idx="293">
                  <c:v>8.2653940227845807E-2</c:v>
                </c:pt>
                <c:pt idx="294">
                  <c:v>8.3115469410581483E-2</c:v>
                </c:pt>
                <c:pt idx="295">
                  <c:v>8.3422381131505782E-2</c:v>
                </c:pt>
                <c:pt idx="296">
                  <c:v>8.20528721768993E-2</c:v>
                </c:pt>
                <c:pt idx="297">
                  <c:v>7.13419020324563E-2</c:v>
                </c:pt>
                <c:pt idx="298">
                  <c:v>8.2724370662952657E-2</c:v>
                </c:pt>
                <c:pt idx="299">
                  <c:v>7.3306314464968741E-2</c:v>
                </c:pt>
                <c:pt idx="300">
                  <c:v>8.5161322231315104E-2</c:v>
                </c:pt>
                <c:pt idx="301">
                  <c:v>9.1631895721428991E-2</c:v>
                </c:pt>
                <c:pt idx="302">
                  <c:v>9.7909171576802706E-2</c:v>
                </c:pt>
                <c:pt idx="303">
                  <c:v>8.6582405296998122E-2</c:v>
                </c:pt>
                <c:pt idx="304">
                  <c:v>8.3228539899328435E-2</c:v>
                </c:pt>
                <c:pt idx="305">
                  <c:v>7.8970793238978543E-2</c:v>
                </c:pt>
                <c:pt idx="306">
                  <c:v>8.1502489311236812E-2</c:v>
                </c:pt>
                <c:pt idx="307">
                  <c:v>7.6285039004143212E-2</c:v>
                </c:pt>
                <c:pt idx="308">
                  <c:v>8.8803075564790723E-2</c:v>
                </c:pt>
                <c:pt idx="309">
                  <c:v>6.9162661267316461E-2</c:v>
                </c:pt>
                <c:pt idx="310">
                  <c:v>7.0497656182835433E-2</c:v>
                </c:pt>
                <c:pt idx="311">
                  <c:v>8.0066750127676251E-2</c:v>
                </c:pt>
                <c:pt idx="312">
                  <c:v>8.3237859066459627E-2</c:v>
                </c:pt>
                <c:pt idx="313">
                  <c:v>8.1735025639714576E-2</c:v>
                </c:pt>
                <c:pt idx="314">
                  <c:v>8.0932233903304659E-2</c:v>
                </c:pt>
                <c:pt idx="315">
                  <c:v>8.1630117695110832E-2</c:v>
                </c:pt>
                <c:pt idx="316">
                  <c:v>8.1232929977561083E-2</c:v>
                </c:pt>
                <c:pt idx="317">
                  <c:v>7.2188330357072894E-2</c:v>
                </c:pt>
                <c:pt idx="318">
                  <c:v>9.4613886069912695E-2</c:v>
                </c:pt>
                <c:pt idx="319">
                  <c:v>7.7414327452897461E-2</c:v>
                </c:pt>
                <c:pt idx="320">
                  <c:v>8.1266197319948552E-2</c:v>
                </c:pt>
                <c:pt idx="321">
                  <c:v>8.9522627872720945E-2</c:v>
                </c:pt>
                <c:pt idx="322">
                  <c:v>8.0815689140492086E-2</c:v>
                </c:pt>
                <c:pt idx="323">
                  <c:v>7.6728365378399804E-2</c:v>
                </c:pt>
                <c:pt idx="324">
                  <c:v>6.8114894959260444E-2</c:v>
                </c:pt>
                <c:pt idx="325">
                  <c:v>8.5536557776647648E-2</c:v>
                </c:pt>
                <c:pt idx="326">
                  <c:v>7.6421051131711742E-2</c:v>
                </c:pt>
                <c:pt idx="327">
                  <c:v>6.8149260501274775E-2</c:v>
                </c:pt>
                <c:pt idx="328">
                  <c:v>8.8873153446932945E-2</c:v>
                </c:pt>
                <c:pt idx="329">
                  <c:v>8.2003669040653093E-2</c:v>
                </c:pt>
                <c:pt idx="330">
                  <c:v>6.6919550122704383E-2</c:v>
                </c:pt>
                <c:pt idx="331">
                  <c:v>8.9078045361650315E-2</c:v>
                </c:pt>
                <c:pt idx="332">
                  <c:v>7.9019481706416358E-2</c:v>
                </c:pt>
                <c:pt idx="333">
                  <c:v>8.8912842581967383E-2</c:v>
                </c:pt>
                <c:pt idx="334">
                  <c:v>6.200168536563648E-2</c:v>
                </c:pt>
                <c:pt idx="335">
                  <c:v>8.0510101018919158E-2</c:v>
                </c:pt>
                <c:pt idx="336">
                  <c:v>7.2807675265614158E-2</c:v>
                </c:pt>
                <c:pt idx="337">
                  <c:v>8.6875672222020445E-2</c:v>
                </c:pt>
                <c:pt idx="338">
                  <c:v>8.1308391478814718E-2</c:v>
                </c:pt>
                <c:pt idx="339">
                  <c:v>8.1170102749476836E-2</c:v>
                </c:pt>
                <c:pt idx="340">
                  <c:v>9.8434415170416845E-2</c:v>
                </c:pt>
                <c:pt idx="341">
                  <c:v>6.9922719959833068E-2</c:v>
                </c:pt>
                <c:pt idx="342">
                  <c:v>7.8220151444083799E-2</c:v>
                </c:pt>
                <c:pt idx="343">
                  <c:v>8.1073201145907187E-2</c:v>
                </c:pt>
                <c:pt idx="344">
                  <c:v>9.1416082883673963E-2</c:v>
                </c:pt>
                <c:pt idx="345">
                  <c:v>8.1221410265683081E-2</c:v>
                </c:pt>
                <c:pt idx="346">
                  <c:v>8.4930468482495691E-2</c:v>
                </c:pt>
                <c:pt idx="347">
                  <c:v>8.7409638830090147E-2</c:v>
                </c:pt>
                <c:pt idx="348">
                  <c:v>7.9184903880939489E-2</c:v>
                </c:pt>
                <c:pt idx="349">
                  <c:v>7.3163395398869069E-2</c:v>
                </c:pt>
                <c:pt idx="350">
                  <c:v>8.0388528782771349E-2</c:v>
                </c:pt>
                <c:pt idx="351">
                  <c:v>9.6523716050751329E-2</c:v>
                </c:pt>
                <c:pt idx="352">
                  <c:v>8.1565513485002905E-2</c:v>
                </c:pt>
                <c:pt idx="353">
                  <c:v>9.926806702903275E-2</c:v>
                </c:pt>
                <c:pt idx="354">
                  <c:v>7.9677070877839887E-2</c:v>
                </c:pt>
                <c:pt idx="355">
                  <c:v>7.8798676404832471E-2</c:v>
                </c:pt>
                <c:pt idx="356">
                  <c:v>7.3276326645718287E-2</c:v>
                </c:pt>
                <c:pt idx="357">
                  <c:v>7.3301600200353451E-2</c:v>
                </c:pt>
                <c:pt idx="358">
                  <c:v>8.2051394508002307E-2</c:v>
                </c:pt>
                <c:pt idx="359">
                  <c:v>9.3246632456308598E-2</c:v>
                </c:pt>
                <c:pt idx="360">
                  <c:v>8.3650080838937574E-2</c:v>
                </c:pt>
                <c:pt idx="361">
                  <c:v>9.8720738260555857E-2</c:v>
                </c:pt>
                <c:pt idx="362">
                  <c:v>8.6061554966338494E-2</c:v>
                </c:pt>
                <c:pt idx="363">
                  <c:v>8.9150322732351434E-2</c:v>
                </c:pt>
                <c:pt idx="364">
                  <c:v>7.1591326147636733E-2</c:v>
                </c:pt>
                <c:pt idx="365">
                  <c:v>7.9711233634910977E-2</c:v>
                </c:pt>
                <c:pt idx="366">
                  <c:v>7.884789890161234E-2</c:v>
                </c:pt>
                <c:pt idx="367">
                  <c:v>8.2024630703869367E-2</c:v>
                </c:pt>
                <c:pt idx="368">
                  <c:v>8.0746238902385387E-2</c:v>
                </c:pt>
                <c:pt idx="369">
                  <c:v>7.6414769222093615E-2</c:v>
                </c:pt>
                <c:pt idx="370">
                  <c:v>6.4061596580876623E-2</c:v>
                </c:pt>
                <c:pt idx="371">
                  <c:v>8.8663704394197532E-2</c:v>
                </c:pt>
                <c:pt idx="372">
                  <c:v>7.8009321601110362E-2</c:v>
                </c:pt>
                <c:pt idx="373">
                  <c:v>7.0201848702973149E-2</c:v>
                </c:pt>
                <c:pt idx="374">
                  <c:v>8.7323315091710207E-2</c:v>
                </c:pt>
                <c:pt idx="375">
                  <c:v>8.2590615499740574E-2</c:v>
                </c:pt>
                <c:pt idx="376">
                  <c:v>7.2085332621522336E-2</c:v>
                </c:pt>
                <c:pt idx="377">
                  <c:v>6.9577765745909639E-2</c:v>
                </c:pt>
                <c:pt idx="378">
                  <c:v>7.7915035167499064E-2</c:v>
                </c:pt>
                <c:pt idx="379">
                  <c:v>8.0005430498243685E-2</c:v>
                </c:pt>
                <c:pt idx="380">
                  <c:v>7.0932126716667571E-2</c:v>
                </c:pt>
                <c:pt idx="381">
                  <c:v>9.2751626667864295E-2</c:v>
                </c:pt>
                <c:pt idx="382">
                  <c:v>8.2733823817138744E-2</c:v>
                </c:pt>
                <c:pt idx="383">
                  <c:v>7.948123122055098E-2</c:v>
                </c:pt>
                <c:pt idx="384">
                  <c:v>8.1437449241798701E-2</c:v>
                </c:pt>
                <c:pt idx="385">
                  <c:v>7.3840337991648311E-2</c:v>
                </c:pt>
                <c:pt idx="386">
                  <c:v>8.3040816058181838E-2</c:v>
                </c:pt>
                <c:pt idx="387">
                  <c:v>9.1627234890628434E-2</c:v>
                </c:pt>
                <c:pt idx="388">
                  <c:v>9.2815694837907498E-2</c:v>
                </c:pt>
                <c:pt idx="389">
                  <c:v>9.0588907576098429E-2</c:v>
                </c:pt>
                <c:pt idx="390">
                  <c:v>8.0937585401365669E-2</c:v>
                </c:pt>
                <c:pt idx="391">
                  <c:v>8.0913200651298561E-2</c:v>
                </c:pt>
                <c:pt idx="392">
                  <c:v>8.4912670992142475E-2</c:v>
                </c:pt>
                <c:pt idx="393">
                  <c:v>6.4949979897640689E-2</c:v>
                </c:pt>
                <c:pt idx="394">
                  <c:v>9.0280360860914274E-2</c:v>
                </c:pt>
                <c:pt idx="395">
                  <c:v>8.6477438239274396E-2</c:v>
                </c:pt>
                <c:pt idx="396">
                  <c:v>8.6048294305697826E-2</c:v>
                </c:pt>
                <c:pt idx="397">
                  <c:v>9.3663305342032849E-2</c:v>
                </c:pt>
                <c:pt idx="398">
                  <c:v>8.6116260183880591E-2</c:v>
                </c:pt>
                <c:pt idx="399">
                  <c:v>7.109452946029389E-2</c:v>
                </c:pt>
                <c:pt idx="400">
                  <c:v>8.9999940562797601E-2</c:v>
                </c:pt>
                <c:pt idx="401">
                  <c:v>0.10200269983776182</c:v>
                </c:pt>
                <c:pt idx="402">
                  <c:v>8.6104057247474719E-2</c:v>
                </c:pt>
                <c:pt idx="403">
                  <c:v>8.9464618344453378E-2</c:v>
                </c:pt>
                <c:pt idx="404">
                  <c:v>7.0772473934036545E-2</c:v>
                </c:pt>
                <c:pt idx="405">
                  <c:v>8.3398122491001758E-2</c:v>
                </c:pt>
                <c:pt idx="406">
                  <c:v>8.8933392517412294E-2</c:v>
                </c:pt>
                <c:pt idx="407">
                  <c:v>6.4602997296940606E-2</c:v>
                </c:pt>
                <c:pt idx="408">
                  <c:v>7.873608567690342E-2</c:v>
                </c:pt>
                <c:pt idx="409">
                  <c:v>9.194875692581303E-2</c:v>
                </c:pt>
                <c:pt idx="410">
                  <c:v>9.230205845021322E-2</c:v>
                </c:pt>
                <c:pt idx="411">
                  <c:v>8.7555201826829465E-2</c:v>
                </c:pt>
                <c:pt idx="412">
                  <c:v>8.7633443500762964E-2</c:v>
                </c:pt>
                <c:pt idx="413">
                  <c:v>8.7085029871067809E-2</c:v>
                </c:pt>
                <c:pt idx="414">
                  <c:v>7.529854633719861E-2</c:v>
                </c:pt>
                <c:pt idx="415">
                  <c:v>8.6946568613639474E-2</c:v>
                </c:pt>
                <c:pt idx="416">
                  <c:v>8.8705299021912112E-2</c:v>
                </c:pt>
                <c:pt idx="417">
                  <c:v>7.7985016511629091E-2</c:v>
                </c:pt>
                <c:pt idx="418">
                  <c:v>7.7101097090562912E-2</c:v>
                </c:pt>
                <c:pt idx="419">
                  <c:v>8.1614511988540084E-2</c:v>
                </c:pt>
                <c:pt idx="420">
                  <c:v>6.6250562656561027E-2</c:v>
                </c:pt>
                <c:pt idx="421">
                  <c:v>8.3420676170222516E-2</c:v>
                </c:pt>
                <c:pt idx="422">
                  <c:v>8.7781927183253686E-2</c:v>
                </c:pt>
                <c:pt idx="423">
                  <c:v>9.6589153238332309E-2</c:v>
                </c:pt>
                <c:pt idx="424">
                  <c:v>8.4936141723355951E-2</c:v>
                </c:pt>
                <c:pt idx="425">
                  <c:v>8.4383103180595664E-2</c:v>
                </c:pt>
                <c:pt idx="426">
                  <c:v>8.0825598213539213E-2</c:v>
                </c:pt>
                <c:pt idx="427">
                  <c:v>8.594820031333647E-2</c:v>
                </c:pt>
                <c:pt idx="428">
                  <c:v>8.7167904662461937E-2</c:v>
                </c:pt>
                <c:pt idx="429">
                  <c:v>9.141651742259832E-2</c:v>
                </c:pt>
                <c:pt idx="430">
                  <c:v>7.0873273809514456E-2</c:v>
                </c:pt>
                <c:pt idx="431">
                  <c:v>8.7612459612414886E-2</c:v>
                </c:pt>
                <c:pt idx="432">
                  <c:v>7.0104691654012799E-2</c:v>
                </c:pt>
                <c:pt idx="433">
                  <c:v>8.3302004769111607E-2</c:v>
                </c:pt>
                <c:pt idx="434">
                  <c:v>8.0122515309910325E-2</c:v>
                </c:pt>
                <c:pt idx="435">
                  <c:v>9.2344851732239303E-2</c:v>
                </c:pt>
                <c:pt idx="436">
                  <c:v>9.2414552536872113E-2</c:v>
                </c:pt>
                <c:pt idx="437">
                  <c:v>9.6528122263116564E-2</c:v>
                </c:pt>
                <c:pt idx="438">
                  <c:v>7.5381743956197331E-2</c:v>
                </c:pt>
                <c:pt idx="439">
                  <c:v>7.3870937801838357E-2</c:v>
                </c:pt>
                <c:pt idx="440">
                  <c:v>9.8445781599963617E-2</c:v>
                </c:pt>
                <c:pt idx="441">
                  <c:v>7.9739831279329473E-2</c:v>
                </c:pt>
                <c:pt idx="442">
                  <c:v>7.9705175140649523E-2</c:v>
                </c:pt>
                <c:pt idx="443">
                  <c:v>8.6761269779707606E-2</c:v>
                </c:pt>
                <c:pt idx="444">
                  <c:v>8.1031639739117547E-2</c:v>
                </c:pt>
                <c:pt idx="445">
                  <c:v>8.4620450336703304E-2</c:v>
                </c:pt>
                <c:pt idx="446">
                  <c:v>8.0499195321617895E-2</c:v>
                </c:pt>
                <c:pt idx="447">
                  <c:v>6.7496241925823292E-2</c:v>
                </c:pt>
                <c:pt idx="448">
                  <c:v>8.0229454908190168E-2</c:v>
                </c:pt>
                <c:pt idx="449">
                  <c:v>8.0929986528731679E-2</c:v>
                </c:pt>
                <c:pt idx="450">
                  <c:v>8.5365871274430988E-2</c:v>
                </c:pt>
                <c:pt idx="451">
                  <c:v>9.3735371282969063E-2</c:v>
                </c:pt>
                <c:pt idx="452">
                  <c:v>8.1108578342528187E-2</c:v>
                </c:pt>
                <c:pt idx="453">
                  <c:v>8.5262926166275774E-2</c:v>
                </c:pt>
                <c:pt idx="454">
                  <c:v>8.0983957422069514E-2</c:v>
                </c:pt>
                <c:pt idx="455">
                  <c:v>7.5549860471015778E-2</c:v>
                </c:pt>
                <c:pt idx="456">
                  <c:v>7.1952683197556849E-2</c:v>
                </c:pt>
                <c:pt idx="457">
                  <c:v>8.4656887884609955E-2</c:v>
                </c:pt>
                <c:pt idx="458">
                  <c:v>7.9486015049879177E-2</c:v>
                </c:pt>
                <c:pt idx="459">
                  <c:v>7.3478219631683703E-2</c:v>
                </c:pt>
                <c:pt idx="460">
                  <c:v>8.3074134864218857E-2</c:v>
                </c:pt>
                <c:pt idx="461">
                  <c:v>9.3527017481687874E-2</c:v>
                </c:pt>
                <c:pt idx="462">
                  <c:v>8.7458109283337387E-2</c:v>
                </c:pt>
                <c:pt idx="463">
                  <c:v>8.467787389740003E-2</c:v>
                </c:pt>
                <c:pt idx="464">
                  <c:v>9.0256474696999905E-2</c:v>
                </c:pt>
                <c:pt idx="465">
                  <c:v>8.0390856433689609E-2</c:v>
                </c:pt>
                <c:pt idx="466">
                  <c:v>8.8153390740259518E-2</c:v>
                </c:pt>
                <c:pt idx="467">
                  <c:v>7.6438581396613414E-2</c:v>
                </c:pt>
                <c:pt idx="468">
                  <c:v>7.4701269577325757E-2</c:v>
                </c:pt>
                <c:pt idx="469">
                  <c:v>7.2897519689541695E-2</c:v>
                </c:pt>
                <c:pt idx="470">
                  <c:v>8.5770490056724394E-2</c:v>
                </c:pt>
                <c:pt idx="471">
                  <c:v>6.8762889753443232E-2</c:v>
                </c:pt>
                <c:pt idx="472">
                  <c:v>8.7485491660525466E-2</c:v>
                </c:pt>
                <c:pt idx="473">
                  <c:v>8.8439361480222661E-2</c:v>
                </c:pt>
                <c:pt idx="474">
                  <c:v>0.10243343425648643</c:v>
                </c:pt>
                <c:pt idx="475">
                  <c:v>8.0397998556885619E-2</c:v>
                </c:pt>
                <c:pt idx="476">
                  <c:v>8.8444595162438508E-2</c:v>
                </c:pt>
                <c:pt idx="477">
                  <c:v>8.3082002600470231E-2</c:v>
                </c:pt>
                <c:pt idx="478">
                  <c:v>8.5735801179399981E-2</c:v>
                </c:pt>
                <c:pt idx="479">
                  <c:v>8.3820107031738686E-2</c:v>
                </c:pt>
                <c:pt idx="480">
                  <c:v>8.731500273886425E-2</c:v>
                </c:pt>
                <c:pt idx="481">
                  <c:v>9.532511660190407E-2</c:v>
                </c:pt>
                <c:pt idx="482">
                  <c:v>9.2507201080233734E-2</c:v>
                </c:pt>
                <c:pt idx="483">
                  <c:v>8.9217994274763401E-2</c:v>
                </c:pt>
                <c:pt idx="484">
                  <c:v>7.2771163493370664E-2</c:v>
                </c:pt>
                <c:pt idx="485">
                  <c:v>8.0462474853578686E-2</c:v>
                </c:pt>
                <c:pt idx="486">
                  <c:v>8.5326840378019714E-2</c:v>
                </c:pt>
                <c:pt idx="487">
                  <c:v>7.5275317324479021E-2</c:v>
                </c:pt>
                <c:pt idx="488">
                  <c:v>6.9218656749044649E-2</c:v>
                </c:pt>
                <c:pt idx="489">
                  <c:v>7.8158720061382289E-2</c:v>
                </c:pt>
                <c:pt idx="490">
                  <c:v>7.635257430944567E-2</c:v>
                </c:pt>
                <c:pt idx="491">
                  <c:v>6.9339399958679826E-2</c:v>
                </c:pt>
                <c:pt idx="492">
                  <c:v>7.5367732367488435E-2</c:v>
                </c:pt>
                <c:pt idx="493">
                  <c:v>9.1212756008305723E-2</c:v>
                </c:pt>
                <c:pt idx="494">
                  <c:v>7.9296082592835673E-2</c:v>
                </c:pt>
                <c:pt idx="495">
                  <c:v>9.0755909604958523E-2</c:v>
                </c:pt>
                <c:pt idx="496">
                  <c:v>8.2739286877589649E-2</c:v>
                </c:pt>
                <c:pt idx="497">
                  <c:v>8.0931167979834656E-2</c:v>
                </c:pt>
                <c:pt idx="498">
                  <c:v>8.1474869649146353E-2</c:v>
                </c:pt>
                <c:pt idx="499">
                  <c:v>8.0868069108401608E-2</c:v>
                </c:pt>
                <c:pt idx="500">
                  <c:v>7.0653099013636908E-2</c:v>
                </c:pt>
                <c:pt idx="501">
                  <c:v>9.0951441484542539E-2</c:v>
                </c:pt>
                <c:pt idx="502">
                  <c:v>8.7092391773404942E-2</c:v>
                </c:pt>
                <c:pt idx="503">
                  <c:v>8.022324825990948E-2</c:v>
                </c:pt>
                <c:pt idx="504">
                  <c:v>9.4221355890490688E-2</c:v>
                </c:pt>
                <c:pt idx="505">
                  <c:v>8.3280689368070843E-2</c:v>
                </c:pt>
                <c:pt idx="506">
                  <c:v>8.4387159461585953E-2</c:v>
                </c:pt>
                <c:pt idx="507">
                  <c:v>8.4207875583480779E-2</c:v>
                </c:pt>
                <c:pt idx="508">
                  <c:v>7.6777934902197545E-2</c:v>
                </c:pt>
                <c:pt idx="509">
                  <c:v>6.913516299037345E-2</c:v>
                </c:pt>
                <c:pt idx="510">
                  <c:v>8.6600461427614642E-2</c:v>
                </c:pt>
                <c:pt idx="511">
                  <c:v>8.3518284083321126E-2</c:v>
                </c:pt>
                <c:pt idx="512">
                  <c:v>7.9777303646824907E-2</c:v>
                </c:pt>
                <c:pt idx="513">
                  <c:v>9.136148861134602E-2</c:v>
                </c:pt>
                <c:pt idx="514">
                  <c:v>7.6094201847051929E-2</c:v>
                </c:pt>
                <c:pt idx="515">
                  <c:v>9.1140531130069202E-2</c:v>
                </c:pt>
                <c:pt idx="516">
                  <c:v>8.5081335861817209E-2</c:v>
                </c:pt>
                <c:pt idx="517">
                  <c:v>7.925296231426017E-2</c:v>
                </c:pt>
                <c:pt idx="518">
                  <c:v>7.6197439129708763E-2</c:v>
                </c:pt>
                <c:pt idx="519">
                  <c:v>0.10097540425501755</c:v>
                </c:pt>
                <c:pt idx="520">
                  <c:v>9.8047386687433236E-2</c:v>
                </c:pt>
                <c:pt idx="521">
                  <c:v>8.7961935899744326E-2</c:v>
                </c:pt>
                <c:pt idx="522">
                  <c:v>7.5493278692709331E-2</c:v>
                </c:pt>
                <c:pt idx="523">
                  <c:v>8.0949740057644298E-2</c:v>
                </c:pt>
                <c:pt idx="524">
                  <c:v>7.7156003305240722E-2</c:v>
                </c:pt>
                <c:pt idx="525">
                  <c:v>8.0161431532088392E-2</c:v>
                </c:pt>
                <c:pt idx="526">
                  <c:v>7.9775577029644093E-2</c:v>
                </c:pt>
                <c:pt idx="527">
                  <c:v>8.7413093731139854E-2</c:v>
                </c:pt>
                <c:pt idx="528">
                  <c:v>8.695927198720256E-2</c:v>
                </c:pt>
                <c:pt idx="529">
                  <c:v>8.2418979159466874E-2</c:v>
                </c:pt>
                <c:pt idx="530">
                  <c:v>9.1608526940027135E-2</c:v>
                </c:pt>
                <c:pt idx="531">
                  <c:v>0.10186426694754164</c:v>
                </c:pt>
                <c:pt idx="532">
                  <c:v>7.457913402815583E-2</c:v>
                </c:pt>
                <c:pt idx="533">
                  <c:v>9.3663524120683878E-2</c:v>
                </c:pt>
                <c:pt idx="534">
                  <c:v>9.0819600881683504E-2</c:v>
                </c:pt>
                <c:pt idx="535">
                  <c:v>8.6219652612515574E-2</c:v>
                </c:pt>
                <c:pt idx="536">
                  <c:v>8.2463947135802781E-2</c:v>
                </c:pt>
                <c:pt idx="537">
                  <c:v>7.2384447062437129E-2</c:v>
                </c:pt>
                <c:pt idx="538">
                  <c:v>7.9408749523162403E-2</c:v>
                </c:pt>
                <c:pt idx="539">
                  <c:v>8.4286434754463471E-2</c:v>
                </c:pt>
                <c:pt idx="540">
                  <c:v>7.6751740574973318E-2</c:v>
                </c:pt>
                <c:pt idx="541">
                  <c:v>7.5186070243819486E-2</c:v>
                </c:pt>
                <c:pt idx="542">
                  <c:v>8.9673818265872285E-2</c:v>
                </c:pt>
                <c:pt idx="543">
                  <c:v>8.0064249891567407E-2</c:v>
                </c:pt>
                <c:pt idx="544">
                  <c:v>7.6827148816902432E-2</c:v>
                </c:pt>
                <c:pt idx="545">
                  <c:v>7.808959675412204E-2</c:v>
                </c:pt>
                <c:pt idx="546">
                  <c:v>7.2030792413781242E-2</c:v>
                </c:pt>
                <c:pt idx="547">
                  <c:v>7.0442151641482542E-2</c:v>
                </c:pt>
                <c:pt idx="548">
                  <c:v>9.5880611128060428E-2</c:v>
                </c:pt>
                <c:pt idx="549">
                  <c:v>8.1894786407391604E-2</c:v>
                </c:pt>
                <c:pt idx="550">
                  <c:v>7.5524293265069181E-2</c:v>
                </c:pt>
                <c:pt idx="551">
                  <c:v>8.6901647896919676E-2</c:v>
                </c:pt>
                <c:pt idx="552">
                  <c:v>7.2849590881892912E-2</c:v>
                </c:pt>
                <c:pt idx="553">
                  <c:v>8.6961262292919381E-2</c:v>
                </c:pt>
                <c:pt idx="554">
                  <c:v>8.4984207185227881E-2</c:v>
                </c:pt>
                <c:pt idx="555">
                  <c:v>8.0617728327905994E-2</c:v>
                </c:pt>
                <c:pt idx="556">
                  <c:v>6.9704275908839389E-2</c:v>
                </c:pt>
                <c:pt idx="557">
                  <c:v>9.0294586294352761E-2</c:v>
                </c:pt>
                <c:pt idx="558">
                  <c:v>9.890202154406541E-2</c:v>
                </c:pt>
                <c:pt idx="559">
                  <c:v>7.4505555062239881E-2</c:v>
                </c:pt>
                <c:pt idx="560">
                  <c:v>0.10045254894370348</c:v>
                </c:pt>
                <c:pt idx="561">
                  <c:v>8.6516335302284794E-2</c:v>
                </c:pt>
                <c:pt idx="562">
                  <c:v>8.6179371294847193E-2</c:v>
                </c:pt>
                <c:pt idx="563">
                  <c:v>8.3300627446504322E-2</c:v>
                </c:pt>
                <c:pt idx="564">
                  <c:v>8.7699438962006937E-2</c:v>
                </c:pt>
                <c:pt idx="565">
                  <c:v>9.1026181905720982E-2</c:v>
                </c:pt>
                <c:pt idx="566">
                  <c:v>7.5479110726876963E-2</c:v>
                </c:pt>
                <c:pt idx="567">
                  <c:v>7.3056189914913416E-2</c:v>
                </c:pt>
                <c:pt idx="568">
                  <c:v>6.417108993504432E-2</c:v>
                </c:pt>
                <c:pt idx="569">
                  <c:v>7.9135398094141621E-2</c:v>
                </c:pt>
                <c:pt idx="570">
                  <c:v>9.2357471204306457E-2</c:v>
                </c:pt>
                <c:pt idx="571">
                  <c:v>0.10312466784823218</c:v>
                </c:pt>
                <c:pt idx="572">
                  <c:v>9.0930316418582222E-2</c:v>
                </c:pt>
                <c:pt idx="573">
                  <c:v>9.2575166922580193E-2</c:v>
                </c:pt>
                <c:pt idx="574">
                  <c:v>8.7742214192232243E-2</c:v>
                </c:pt>
                <c:pt idx="575">
                  <c:v>9.1403163488522732E-2</c:v>
                </c:pt>
                <c:pt idx="576">
                  <c:v>7.3502990201862128E-2</c:v>
                </c:pt>
                <c:pt idx="577">
                  <c:v>7.7600050588214092E-2</c:v>
                </c:pt>
                <c:pt idx="578">
                  <c:v>8.5292076643801867E-2</c:v>
                </c:pt>
                <c:pt idx="579">
                  <c:v>7.814589990435386E-2</c:v>
                </c:pt>
                <c:pt idx="580">
                  <c:v>7.9796256975547306E-2</c:v>
                </c:pt>
                <c:pt idx="581">
                  <c:v>6.6575004748931327E-2</c:v>
                </c:pt>
                <c:pt idx="582">
                  <c:v>8.3031817166450667E-2</c:v>
                </c:pt>
                <c:pt idx="583">
                  <c:v>6.5764226323338254E-2</c:v>
                </c:pt>
                <c:pt idx="584">
                  <c:v>6.1799752235605576E-2</c:v>
                </c:pt>
                <c:pt idx="585">
                  <c:v>7.124421531607493E-2</c:v>
                </c:pt>
                <c:pt idx="586">
                  <c:v>7.6234981086296297E-2</c:v>
                </c:pt>
                <c:pt idx="587">
                  <c:v>9.6525824625668402E-2</c:v>
                </c:pt>
                <c:pt idx="588">
                  <c:v>9.3622373235485334E-2</c:v>
                </c:pt>
                <c:pt idx="589">
                  <c:v>8.5071498951511615E-2</c:v>
                </c:pt>
                <c:pt idx="590">
                  <c:v>8.7105979981835793E-2</c:v>
                </c:pt>
                <c:pt idx="591">
                  <c:v>7.7844659814202063E-2</c:v>
                </c:pt>
                <c:pt idx="592">
                  <c:v>6.4142787929924172E-2</c:v>
                </c:pt>
                <c:pt idx="593">
                  <c:v>8.2667987552632105E-2</c:v>
                </c:pt>
                <c:pt idx="594">
                  <c:v>7.8624893351876543E-2</c:v>
                </c:pt>
                <c:pt idx="595">
                  <c:v>7.988728744143711E-2</c:v>
                </c:pt>
                <c:pt idx="596">
                  <c:v>7.4763864599044397E-2</c:v>
                </c:pt>
                <c:pt idx="597">
                  <c:v>8.7694101079266978E-2</c:v>
                </c:pt>
                <c:pt idx="598">
                  <c:v>8.0744843510801509E-2</c:v>
                </c:pt>
                <c:pt idx="599">
                  <c:v>7.9221180949048911E-2</c:v>
                </c:pt>
                <c:pt idx="600">
                  <c:v>8.4530814852739264E-2</c:v>
                </c:pt>
                <c:pt idx="601">
                  <c:v>7.0568074854600787E-2</c:v>
                </c:pt>
                <c:pt idx="602">
                  <c:v>8.9075026685590836E-2</c:v>
                </c:pt>
                <c:pt idx="603">
                  <c:v>7.9804482573678878E-2</c:v>
                </c:pt>
                <c:pt idx="604">
                  <c:v>8.745179742851561E-2</c:v>
                </c:pt>
                <c:pt idx="605">
                  <c:v>7.5102289194684563E-2</c:v>
                </c:pt>
                <c:pt idx="606">
                  <c:v>8.3112163901424535E-2</c:v>
                </c:pt>
                <c:pt idx="607">
                  <c:v>8.0010710365171489E-2</c:v>
                </c:pt>
                <c:pt idx="608">
                  <c:v>7.9985156263784052E-2</c:v>
                </c:pt>
                <c:pt idx="609">
                  <c:v>8.4476893454255811E-2</c:v>
                </c:pt>
                <c:pt idx="610">
                  <c:v>8.6368922971477385E-2</c:v>
                </c:pt>
                <c:pt idx="611">
                  <c:v>9.2044440969007921E-2</c:v>
                </c:pt>
                <c:pt idx="612">
                  <c:v>8.2241531807913798E-2</c:v>
                </c:pt>
                <c:pt idx="613">
                  <c:v>9.0154865247748628E-2</c:v>
                </c:pt>
                <c:pt idx="614">
                  <c:v>7.7918541695058588E-2</c:v>
                </c:pt>
                <c:pt idx="615">
                  <c:v>8.5273871638937723E-2</c:v>
                </c:pt>
                <c:pt idx="616">
                  <c:v>8.0946382307760467E-2</c:v>
                </c:pt>
                <c:pt idx="617">
                  <c:v>8.8588007343577121E-2</c:v>
                </c:pt>
                <c:pt idx="618">
                  <c:v>8.6121823823017113E-2</c:v>
                </c:pt>
                <c:pt idx="619">
                  <c:v>7.5731052284493033E-2</c:v>
                </c:pt>
                <c:pt idx="620">
                  <c:v>9.0060171813308776E-2</c:v>
                </c:pt>
                <c:pt idx="621">
                  <c:v>7.8489084572616177E-2</c:v>
                </c:pt>
                <c:pt idx="622">
                  <c:v>8.0036300564561125E-2</c:v>
                </c:pt>
                <c:pt idx="623">
                  <c:v>8.5442074605116852E-2</c:v>
                </c:pt>
                <c:pt idx="624">
                  <c:v>7.3522850550758009E-2</c:v>
                </c:pt>
                <c:pt idx="625">
                  <c:v>7.8610557664969133E-2</c:v>
                </c:pt>
                <c:pt idx="626">
                  <c:v>8.4945729845466889E-2</c:v>
                </c:pt>
                <c:pt idx="627">
                  <c:v>8.9489322040809241E-2</c:v>
                </c:pt>
                <c:pt idx="628">
                  <c:v>6.9904722767640481E-2</c:v>
                </c:pt>
                <c:pt idx="629">
                  <c:v>9.5107494689493879E-2</c:v>
                </c:pt>
                <c:pt idx="630">
                  <c:v>7.6425466562208694E-2</c:v>
                </c:pt>
                <c:pt idx="631">
                  <c:v>7.9858746916615875E-2</c:v>
                </c:pt>
                <c:pt idx="632">
                  <c:v>8.2863773481255315E-2</c:v>
                </c:pt>
                <c:pt idx="633">
                  <c:v>7.9129785462034224E-2</c:v>
                </c:pt>
                <c:pt idx="634">
                  <c:v>8.5080217462704721E-2</c:v>
                </c:pt>
                <c:pt idx="635">
                  <c:v>7.9235893908097293E-2</c:v>
                </c:pt>
                <c:pt idx="636">
                  <c:v>7.872836524882354E-2</c:v>
                </c:pt>
                <c:pt idx="637">
                  <c:v>9.9053157670088918E-2</c:v>
                </c:pt>
                <c:pt idx="638">
                  <c:v>7.8973098167978401E-2</c:v>
                </c:pt>
                <c:pt idx="639">
                  <c:v>7.3854776894991314E-2</c:v>
                </c:pt>
                <c:pt idx="640">
                  <c:v>9.1699537273794762E-2</c:v>
                </c:pt>
                <c:pt idx="641">
                  <c:v>8.9755700298538896E-2</c:v>
                </c:pt>
                <c:pt idx="642">
                  <c:v>7.3139841051577476E-2</c:v>
                </c:pt>
                <c:pt idx="643">
                  <c:v>8.2852948624848988E-2</c:v>
                </c:pt>
                <c:pt idx="644">
                  <c:v>9.0541134136452428E-2</c:v>
                </c:pt>
                <c:pt idx="645">
                  <c:v>8.8515370137599747E-2</c:v>
                </c:pt>
                <c:pt idx="646">
                  <c:v>8.5349141498981207E-2</c:v>
                </c:pt>
                <c:pt idx="647">
                  <c:v>8.2173065097516346E-2</c:v>
                </c:pt>
                <c:pt idx="648">
                  <c:v>7.4208975601202432E-2</c:v>
                </c:pt>
                <c:pt idx="649">
                  <c:v>8.0998497036377792E-2</c:v>
                </c:pt>
                <c:pt idx="650">
                  <c:v>8.3022380170150997E-2</c:v>
                </c:pt>
                <c:pt idx="651">
                  <c:v>8.4202843027087235E-2</c:v>
                </c:pt>
                <c:pt idx="652">
                  <c:v>7.9695721274564896E-2</c:v>
                </c:pt>
                <c:pt idx="653">
                  <c:v>8.2727866955145613E-2</c:v>
                </c:pt>
                <c:pt idx="654">
                  <c:v>7.2806407462627384E-2</c:v>
                </c:pt>
                <c:pt idx="655">
                  <c:v>8.8943885791861882E-2</c:v>
                </c:pt>
                <c:pt idx="656">
                  <c:v>9.9255180217037942E-2</c:v>
                </c:pt>
                <c:pt idx="657">
                  <c:v>9.3514888786659423E-2</c:v>
                </c:pt>
                <c:pt idx="658">
                  <c:v>8.3786112493078574E-2</c:v>
                </c:pt>
                <c:pt idx="659">
                  <c:v>8.1936259104787079E-2</c:v>
                </c:pt>
                <c:pt idx="660">
                  <c:v>8.2548026780872377E-2</c:v>
                </c:pt>
                <c:pt idx="661">
                  <c:v>8.7679445412276139E-2</c:v>
                </c:pt>
                <c:pt idx="662">
                  <c:v>7.9108798848811057E-2</c:v>
                </c:pt>
                <c:pt idx="663">
                  <c:v>7.6133409550769957E-2</c:v>
                </c:pt>
                <c:pt idx="664">
                  <c:v>7.1436575578276762E-2</c:v>
                </c:pt>
                <c:pt idx="665">
                  <c:v>6.2071787186845577E-2</c:v>
                </c:pt>
                <c:pt idx="666">
                  <c:v>8.2324776133857705E-2</c:v>
                </c:pt>
                <c:pt idx="667">
                  <c:v>8.9412691067483063E-2</c:v>
                </c:pt>
                <c:pt idx="668">
                  <c:v>8.94705654063713E-2</c:v>
                </c:pt>
                <c:pt idx="669">
                  <c:v>8.1168496468624299E-2</c:v>
                </c:pt>
                <c:pt idx="670">
                  <c:v>7.71340018821665E-2</c:v>
                </c:pt>
                <c:pt idx="671">
                  <c:v>0.10018959788349549</c:v>
                </c:pt>
                <c:pt idx="672">
                  <c:v>9.398130833885332E-2</c:v>
                </c:pt>
                <c:pt idx="673">
                  <c:v>6.5803357511913518E-2</c:v>
                </c:pt>
                <c:pt idx="674">
                  <c:v>8.8434800379306275E-2</c:v>
                </c:pt>
                <c:pt idx="675">
                  <c:v>8.9930086600770509E-2</c:v>
                </c:pt>
                <c:pt idx="676">
                  <c:v>6.8421398140230488E-2</c:v>
                </c:pt>
                <c:pt idx="677">
                  <c:v>8.2217200915254723E-2</c:v>
                </c:pt>
                <c:pt idx="678">
                  <c:v>8.5726329660817474E-2</c:v>
                </c:pt>
                <c:pt idx="679">
                  <c:v>7.2825388038620181E-2</c:v>
                </c:pt>
                <c:pt idx="680">
                  <c:v>9.6658085568085222E-2</c:v>
                </c:pt>
                <c:pt idx="681">
                  <c:v>8.46397836446241E-2</c:v>
                </c:pt>
                <c:pt idx="682">
                  <c:v>7.3339320400394176E-2</c:v>
                </c:pt>
                <c:pt idx="683">
                  <c:v>7.4816774497019081E-2</c:v>
                </c:pt>
                <c:pt idx="684">
                  <c:v>8.1413727380274914E-2</c:v>
                </c:pt>
                <c:pt idx="685">
                  <c:v>7.935346604552429E-2</c:v>
                </c:pt>
                <c:pt idx="686">
                  <c:v>7.9055852618189176E-2</c:v>
                </c:pt>
                <c:pt idx="687">
                  <c:v>7.9560808654928705E-2</c:v>
                </c:pt>
                <c:pt idx="688">
                  <c:v>0.10546407175510478</c:v>
                </c:pt>
                <c:pt idx="689">
                  <c:v>8.6936181572966426E-2</c:v>
                </c:pt>
                <c:pt idx="690">
                  <c:v>7.7144767732330005E-2</c:v>
                </c:pt>
                <c:pt idx="691">
                  <c:v>7.5217702625245589E-2</c:v>
                </c:pt>
                <c:pt idx="692">
                  <c:v>7.8553495101584533E-2</c:v>
                </c:pt>
                <c:pt idx="693">
                  <c:v>9.0875333206111117E-2</c:v>
                </c:pt>
                <c:pt idx="694">
                  <c:v>8.6231567242607915E-2</c:v>
                </c:pt>
                <c:pt idx="695">
                  <c:v>7.8125074956423943E-2</c:v>
                </c:pt>
                <c:pt idx="696">
                  <c:v>7.7229223725291812E-2</c:v>
                </c:pt>
                <c:pt idx="697">
                  <c:v>8.4671986408924427E-2</c:v>
                </c:pt>
                <c:pt idx="698">
                  <c:v>8.5293476221161096E-2</c:v>
                </c:pt>
                <c:pt idx="699">
                  <c:v>8.2672894990615003E-2</c:v>
                </c:pt>
                <c:pt idx="700">
                  <c:v>8.8585028672410887E-2</c:v>
                </c:pt>
                <c:pt idx="701">
                  <c:v>9.3235781279663851E-2</c:v>
                </c:pt>
                <c:pt idx="702">
                  <c:v>7.7871823938010912E-2</c:v>
                </c:pt>
                <c:pt idx="703">
                  <c:v>7.5258400003618706E-2</c:v>
                </c:pt>
                <c:pt idx="704">
                  <c:v>9.1546657480814114E-2</c:v>
                </c:pt>
                <c:pt idx="705">
                  <c:v>7.0834497013187225E-2</c:v>
                </c:pt>
                <c:pt idx="706">
                  <c:v>8.4550711631271647E-2</c:v>
                </c:pt>
                <c:pt idx="707">
                  <c:v>8.5115629179560254E-2</c:v>
                </c:pt>
                <c:pt idx="708">
                  <c:v>9.3421027778354176E-2</c:v>
                </c:pt>
                <c:pt idx="709">
                  <c:v>8.5217348863443093E-2</c:v>
                </c:pt>
                <c:pt idx="710">
                  <c:v>7.5588867457430597E-2</c:v>
                </c:pt>
                <c:pt idx="711">
                  <c:v>8.6780884861747509E-2</c:v>
                </c:pt>
                <c:pt idx="712">
                  <c:v>7.9747412774086729E-2</c:v>
                </c:pt>
                <c:pt idx="713">
                  <c:v>6.8022479996561705E-2</c:v>
                </c:pt>
                <c:pt idx="714">
                  <c:v>8.2448758825869745E-2</c:v>
                </c:pt>
                <c:pt idx="715">
                  <c:v>8.9774193320729417E-2</c:v>
                </c:pt>
                <c:pt idx="716">
                  <c:v>9.1302928452551946E-2</c:v>
                </c:pt>
                <c:pt idx="717">
                  <c:v>6.9439224753936574E-2</c:v>
                </c:pt>
                <c:pt idx="718">
                  <c:v>8.6314130055102328E-2</c:v>
                </c:pt>
                <c:pt idx="719">
                  <c:v>8.3080026243395055E-2</c:v>
                </c:pt>
                <c:pt idx="720">
                  <c:v>9.1061458567919334E-2</c:v>
                </c:pt>
                <c:pt idx="721">
                  <c:v>8.4571404779508738E-2</c:v>
                </c:pt>
                <c:pt idx="722">
                  <c:v>7.7412768242750951E-2</c:v>
                </c:pt>
                <c:pt idx="723">
                  <c:v>8.2548167882391804E-2</c:v>
                </c:pt>
                <c:pt idx="724">
                  <c:v>7.812396344052866E-2</c:v>
                </c:pt>
                <c:pt idx="725">
                  <c:v>8.2159047639245267E-2</c:v>
                </c:pt>
                <c:pt idx="726">
                  <c:v>7.3588095601691092E-2</c:v>
                </c:pt>
                <c:pt idx="727">
                  <c:v>0.10104959972089211</c:v>
                </c:pt>
                <c:pt idx="728">
                  <c:v>8.8033060920709866E-2</c:v>
                </c:pt>
                <c:pt idx="729">
                  <c:v>8.355871507568563E-2</c:v>
                </c:pt>
                <c:pt idx="730">
                  <c:v>8.7694070242325284E-2</c:v>
                </c:pt>
                <c:pt idx="731">
                  <c:v>7.6642159741687754E-2</c:v>
                </c:pt>
                <c:pt idx="732">
                  <c:v>7.3415320655023514E-2</c:v>
                </c:pt>
                <c:pt idx="733">
                  <c:v>7.4685654561401471E-2</c:v>
                </c:pt>
                <c:pt idx="734">
                  <c:v>8.2908555711330684E-2</c:v>
                </c:pt>
                <c:pt idx="735">
                  <c:v>8.6527494710385761E-2</c:v>
                </c:pt>
                <c:pt idx="736">
                  <c:v>7.8226563069951016E-2</c:v>
                </c:pt>
                <c:pt idx="737">
                  <c:v>9.1455569575805917E-2</c:v>
                </c:pt>
                <c:pt idx="738">
                  <c:v>8.1575826373153915E-2</c:v>
                </c:pt>
                <c:pt idx="739">
                  <c:v>9.2764240376365159E-2</c:v>
                </c:pt>
                <c:pt idx="740">
                  <c:v>7.2183392496959167E-2</c:v>
                </c:pt>
                <c:pt idx="741">
                  <c:v>8.64654135631579E-2</c:v>
                </c:pt>
                <c:pt idx="742">
                  <c:v>7.7247702714847336E-2</c:v>
                </c:pt>
                <c:pt idx="743">
                  <c:v>8.6131411125856261E-2</c:v>
                </c:pt>
                <c:pt idx="744">
                  <c:v>8.7633165870134408E-2</c:v>
                </c:pt>
                <c:pt idx="745">
                  <c:v>8.0137530865360115E-2</c:v>
                </c:pt>
                <c:pt idx="746">
                  <c:v>7.2292199363365936E-2</c:v>
                </c:pt>
                <c:pt idx="747">
                  <c:v>6.3966617269790957E-2</c:v>
                </c:pt>
                <c:pt idx="748">
                  <c:v>8.1447048596215973E-2</c:v>
                </c:pt>
                <c:pt idx="749">
                  <c:v>8.1388601064124405E-2</c:v>
                </c:pt>
                <c:pt idx="750">
                  <c:v>8.4493882624897543E-2</c:v>
                </c:pt>
                <c:pt idx="751">
                  <c:v>8.2549417688379284E-2</c:v>
                </c:pt>
                <c:pt idx="752">
                  <c:v>8.2527506027172737E-2</c:v>
                </c:pt>
                <c:pt idx="753">
                  <c:v>8.3704136595150774E-2</c:v>
                </c:pt>
                <c:pt idx="754">
                  <c:v>7.8031257843980545E-2</c:v>
                </c:pt>
                <c:pt idx="755">
                  <c:v>9.2048825258417899E-2</c:v>
                </c:pt>
                <c:pt idx="756">
                  <c:v>8.6221975570808684E-2</c:v>
                </c:pt>
                <c:pt idx="757">
                  <c:v>8.8230148699489558E-2</c:v>
                </c:pt>
                <c:pt idx="758">
                  <c:v>7.3518269234614672E-2</c:v>
                </c:pt>
                <c:pt idx="759">
                  <c:v>7.400680522792219E-2</c:v>
                </c:pt>
                <c:pt idx="760">
                  <c:v>7.3428591183045344E-2</c:v>
                </c:pt>
                <c:pt idx="761">
                  <c:v>7.9026691952030631E-2</c:v>
                </c:pt>
                <c:pt idx="762">
                  <c:v>8.1435117441295071E-2</c:v>
                </c:pt>
                <c:pt idx="763">
                  <c:v>8.2355750888294041E-2</c:v>
                </c:pt>
                <c:pt idx="764">
                  <c:v>7.5863284541459866E-2</c:v>
                </c:pt>
                <c:pt idx="765">
                  <c:v>9.1250732375853794E-2</c:v>
                </c:pt>
                <c:pt idx="766">
                  <c:v>9.6224838238292837E-2</c:v>
                </c:pt>
                <c:pt idx="767">
                  <c:v>6.8269552368854972E-2</c:v>
                </c:pt>
                <c:pt idx="768">
                  <c:v>7.9659414941736326E-2</c:v>
                </c:pt>
                <c:pt idx="769">
                  <c:v>7.5104565577596816E-2</c:v>
                </c:pt>
                <c:pt idx="770">
                  <c:v>6.81738080955131E-2</c:v>
                </c:pt>
                <c:pt idx="771">
                  <c:v>7.3204411071418354E-2</c:v>
                </c:pt>
                <c:pt idx="772">
                  <c:v>8.1449440459970074E-2</c:v>
                </c:pt>
                <c:pt idx="773">
                  <c:v>6.7244274796253112E-2</c:v>
                </c:pt>
                <c:pt idx="774">
                  <c:v>9.0641500040526304E-2</c:v>
                </c:pt>
                <c:pt idx="775">
                  <c:v>7.4633852719988375E-2</c:v>
                </c:pt>
                <c:pt idx="776">
                  <c:v>8.8831876635105167E-2</c:v>
                </c:pt>
                <c:pt idx="777">
                  <c:v>7.7206408062553855E-2</c:v>
                </c:pt>
                <c:pt idx="778">
                  <c:v>8.008734910113631E-2</c:v>
                </c:pt>
                <c:pt idx="779">
                  <c:v>8.4007880082986985E-2</c:v>
                </c:pt>
                <c:pt idx="780">
                  <c:v>8.0182442746598526E-2</c:v>
                </c:pt>
                <c:pt idx="781">
                  <c:v>8.8423800498248967E-2</c:v>
                </c:pt>
                <c:pt idx="782">
                  <c:v>8.5510489523605779E-2</c:v>
                </c:pt>
                <c:pt idx="783">
                  <c:v>8.469956307800075E-2</c:v>
                </c:pt>
                <c:pt idx="784">
                  <c:v>8.5886657079550635E-2</c:v>
                </c:pt>
                <c:pt idx="785">
                  <c:v>8.0830394970559993E-2</c:v>
                </c:pt>
                <c:pt idx="786">
                  <c:v>7.887629021444037E-2</c:v>
                </c:pt>
                <c:pt idx="787">
                  <c:v>8.8166371806546212E-2</c:v>
                </c:pt>
                <c:pt idx="788">
                  <c:v>9.3416054017821964E-2</c:v>
                </c:pt>
                <c:pt idx="789">
                  <c:v>6.9742416178104005E-2</c:v>
                </c:pt>
                <c:pt idx="790">
                  <c:v>7.1621062930823293E-2</c:v>
                </c:pt>
                <c:pt idx="791">
                  <c:v>8.9255053394981465E-2</c:v>
                </c:pt>
                <c:pt idx="792">
                  <c:v>8.4496108065337194E-2</c:v>
                </c:pt>
                <c:pt idx="793">
                  <c:v>9.2293444488612139E-2</c:v>
                </c:pt>
                <c:pt idx="794">
                  <c:v>8.8829968007486715E-2</c:v>
                </c:pt>
                <c:pt idx="795">
                  <c:v>8.6813918795574818E-2</c:v>
                </c:pt>
                <c:pt idx="796">
                  <c:v>8.697700693208088E-2</c:v>
                </c:pt>
                <c:pt idx="797">
                  <c:v>8.1186976340900358E-2</c:v>
                </c:pt>
                <c:pt idx="798">
                  <c:v>7.618638987157772E-2</c:v>
                </c:pt>
                <c:pt idx="799">
                  <c:v>6.8220555345039818E-2</c:v>
                </c:pt>
                <c:pt idx="800">
                  <c:v>6.2604698041293386E-2</c:v>
                </c:pt>
                <c:pt idx="801">
                  <c:v>8.2619335156038504E-2</c:v>
                </c:pt>
                <c:pt idx="802">
                  <c:v>8.8396716287229768E-2</c:v>
                </c:pt>
                <c:pt idx="803">
                  <c:v>0.10137284191804223</c:v>
                </c:pt>
                <c:pt idx="804">
                  <c:v>0.10050551082293741</c:v>
                </c:pt>
                <c:pt idx="805">
                  <c:v>7.6235900981364388E-2</c:v>
                </c:pt>
                <c:pt idx="806">
                  <c:v>7.3821355398319771E-2</c:v>
                </c:pt>
                <c:pt idx="807">
                  <c:v>8.2631765455544209E-2</c:v>
                </c:pt>
                <c:pt idx="808">
                  <c:v>6.8743584141206418E-2</c:v>
                </c:pt>
                <c:pt idx="809">
                  <c:v>7.4887969756925105E-2</c:v>
                </c:pt>
                <c:pt idx="810">
                  <c:v>7.5193912058009446E-2</c:v>
                </c:pt>
                <c:pt idx="811">
                  <c:v>8.7321624597054268E-2</c:v>
                </c:pt>
                <c:pt idx="812">
                  <c:v>7.5092123820579226E-2</c:v>
                </c:pt>
                <c:pt idx="813">
                  <c:v>7.7165877112898545E-2</c:v>
                </c:pt>
                <c:pt idx="814">
                  <c:v>8.7123192483717304E-2</c:v>
                </c:pt>
                <c:pt idx="815">
                  <c:v>8.7227155846251694E-2</c:v>
                </c:pt>
                <c:pt idx="816">
                  <c:v>8.5109888950331489E-2</c:v>
                </c:pt>
                <c:pt idx="817">
                  <c:v>8.3768440210529857E-2</c:v>
                </c:pt>
                <c:pt idx="818">
                  <c:v>9.1106658921636913E-2</c:v>
                </c:pt>
                <c:pt idx="819">
                  <c:v>7.7470411183614446E-2</c:v>
                </c:pt>
                <c:pt idx="820">
                  <c:v>7.8241598667254178E-2</c:v>
                </c:pt>
                <c:pt idx="821">
                  <c:v>8.850527944319303E-2</c:v>
                </c:pt>
                <c:pt idx="822">
                  <c:v>9.4119503166012364E-2</c:v>
                </c:pt>
                <c:pt idx="823">
                  <c:v>7.934419672176872E-2</c:v>
                </c:pt>
                <c:pt idx="824">
                  <c:v>7.5219325809133888E-2</c:v>
                </c:pt>
                <c:pt idx="825">
                  <c:v>8.0311445385201768E-2</c:v>
                </c:pt>
                <c:pt idx="826">
                  <c:v>7.2719711442578661E-2</c:v>
                </c:pt>
                <c:pt idx="827">
                  <c:v>7.3430858356414414E-2</c:v>
                </c:pt>
                <c:pt idx="828">
                  <c:v>8.3105302645222576E-2</c:v>
                </c:pt>
                <c:pt idx="829">
                  <c:v>7.4329032389149494E-2</c:v>
                </c:pt>
                <c:pt idx="830">
                  <c:v>7.5274719782068261E-2</c:v>
                </c:pt>
                <c:pt idx="831">
                  <c:v>8.4586174478552031E-2</c:v>
                </c:pt>
                <c:pt idx="832">
                  <c:v>7.955674148428421E-2</c:v>
                </c:pt>
                <c:pt idx="833">
                  <c:v>6.7540939967514979E-2</c:v>
                </c:pt>
                <c:pt idx="834">
                  <c:v>9.7776902572045271E-2</c:v>
                </c:pt>
                <c:pt idx="835">
                  <c:v>8.2872210060735696E-2</c:v>
                </c:pt>
                <c:pt idx="836">
                  <c:v>9.6490401662950448E-2</c:v>
                </c:pt>
                <c:pt idx="837">
                  <c:v>8.2193270448931419E-2</c:v>
                </c:pt>
                <c:pt idx="838">
                  <c:v>7.7736921765168748E-2</c:v>
                </c:pt>
                <c:pt idx="839">
                  <c:v>7.2754605572275297E-2</c:v>
                </c:pt>
                <c:pt idx="840">
                  <c:v>8.4632302591277936E-2</c:v>
                </c:pt>
                <c:pt idx="841">
                  <c:v>8.0430122954937788E-2</c:v>
                </c:pt>
                <c:pt idx="842">
                  <c:v>6.6122839998539198E-2</c:v>
                </c:pt>
                <c:pt idx="843">
                  <c:v>9.0402276191347386E-2</c:v>
                </c:pt>
                <c:pt idx="844">
                  <c:v>6.5439789267230319E-2</c:v>
                </c:pt>
                <c:pt idx="845">
                  <c:v>7.8088370059871681E-2</c:v>
                </c:pt>
                <c:pt idx="846">
                  <c:v>8.3657055838553485E-2</c:v>
                </c:pt>
                <c:pt idx="847">
                  <c:v>8.7044876006411143E-2</c:v>
                </c:pt>
                <c:pt idx="848">
                  <c:v>7.5201236315252912E-2</c:v>
                </c:pt>
                <c:pt idx="849">
                  <c:v>7.6553240610379866E-2</c:v>
                </c:pt>
                <c:pt idx="850">
                  <c:v>7.4878569734272954E-2</c:v>
                </c:pt>
                <c:pt idx="851">
                  <c:v>8.538491949893523E-2</c:v>
                </c:pt>
                <c:pt idx="852">
                  <c:v>7.4191391324053654E-2</c:v>
                </c:pt>
                <c:pt idx="853">
                  <c:v>9.1385599340602197E-2</c:v>
                </c:pt>
                <c:pt idx="854">
                  <c:v>7.7947673299980078E-2</c:v>
                </c:pt>
                <c:pt idx="855">
                  <c:v>7.6846660226137675E-2</c:v>
                </c:pt>
                <c:pt idx="856">
                  <c:v>7.7525940196183793E-2</c:v>
                </c:pt>
                <c:pt idx="857">
                  <c:v>7.4549530306492348E-2</c:v>
                </c:pt>
                <c:pt idx="858">
                  <c:v>9.5089162595845877E-2</c:v>
                </c:pt>
                <c:pt idx="859">
                  <c:v>6.8370922900207132E-2</c:v>
                </c:pt>
                <c:pt idx="860">
                  <c:v>7.6839200836905694E-2</c:v>
                </c:pt>
                <c:pt idx="861">
                  <c:v>7.5114027604338524E-2</c:v>
                </c:pt>
                <c:pt idx="862">
                  <c:v>8.8359564009240804E-2</c:v>
                </c:pt>
                <c:pt idx="863">
                  <c:v>7.2447321664864062E-2</c:v>
                </c:pt>
                <c:pt idx="864">
                  <c:v>7.9157089501744327E-2</c:v>
                </c:pt>
                <c:pt idx="865">
                  <c:v>8.2726488638616924E-2</c:v>
                </c:pt>
                <c:pt idx="866">
                  <c:v>8.4009408470668484E-2</c:v>
                </c:pt>
                <c:pt idx="867">
                  <c:v>7.4518328730411143E-2</c:v>
                </c:pt>
                <c:pt idx="868">
                  <c:v>7.6640605136919962E-2</c:v>
                </c:pt>
                <c:pt idx="869">
                  <c:v>7.7822686376525715E-2</c:v>
                </c:pt>
                <c:pt idx="870">
                  <c:v>9.8218688550785291E-2</c:v>
                </c:pt>
                <c:pt idx="871">
                  <c:v>0.10140828270931507</c:v>
                </c:pt>
                <c:pt idx="872">
                  <c:v>8.3697110972625305E-2</c:v>
                </c:pt>
                <c:pt idx="873">
                  <c:v>9.5194327710274654E-2</c:v>
                </c:pt>
                <c:pt idx="874">
                  <c:v>8.5005667539628349E-2</c:v>
                </c:pt>
                <c:pt idx="875">
                  <c:v>9.0710636136519432E-2</c:v>
                </c:pt>
                <c:pt idx="876">
                  <c:v>9.0594386780765562E-2</c:v>
                </c:pt>
                <c:pt idx="877">
                  <c:v>7.6820358685986884E-2</c:v>
                </c:pt>
                <c:pt idx="878">
                  <c:v>8.2573913248021963E-2</c:v>
                </c:pt>
                <c:pt idx="879">
                  <c:v>9.0391231838420294E-2</c:v>
                </c:pt>
                <c:pt idx="880">
                  <c:v>7.3648108588522998E-2</c:v>
                </c:pt>
                <c:pt idx="881">
                  <c:v>7.3696079763128836E-2</c:v>
                </c:pt>
                <c:pt idx="882">
                  <c:v>7.2310700993521243E-2</c:v>
                </c:pt>
                <c:pt idx="883">
                  <c:v>7.6490129228547893E-2</c:v>
                </c:pt>
                <c:pt idx="884">
                  <c:v>7.9945378830858199E-2</c:v>
                </c:pt>
                <c:pt idx="885">
                  <c:v>7.86219250472424E-2</c:v>
                </c:pt>
                <c:pt idx="886">
                  <c:v>8.055395093792235E-2</c:v>
                </c:pt>
                <c:pt idx="887">
                  <c:v>8.5967693361938102E-2</c:v>
                </c:pt>
                <c:pt idx="888">
                  <c:v>9.2967267506273099E-2</c:v>
                </c:pt>
                <c:pt idx="889">
                  <c:v>7.9695887940433308E-2</c:v>
                </c:pt>
                <c:pt idx="890">
                  <c:v>8.4143109308250197E-2</c:v>
                </c:pt>
                <c:pt idx="891">
                  <c:v>8.524815002975869E-2</c:v>
                </c:pt>
                <c:pt idx="892">
                  <c:v>7.531438093278818E-2</c:v>
                </c:pt>
                <c:pt idx="893">
                  <c:v>8.5080195715983964E-2</c:v>
                </c:pt>
                <c:pt idx="894">
                  <c:v>7.4118023461657578E-2</c:v>
                </c:pt>
                <c:pt idx="895">
                  <c:v>6.9939858315695713E-2</c:v>
                </c:pt>
                <c:pt idx="896">
                  <c:v>7.659686056488943E-2</c:v>
                </c:pt>
                <c:pt idx="897">
                  <c:v>9.2695119063515463E-2</c:v>
                </c:pt>
                <c:pt idx="898">
                  <c:v>7.5222638793943836E-2</c:v>
                </c:pt>
                <c:pt idx="899">
                  <c:v>8.6678396287867387E-2</c:v>
                </c:pt>
                <c:pt idx="900">
                  <c:v>7.8938317286719073E-2</c:v>
                </c:pt>
                <c:pt idx="901">
                  <c:v>8.8566119020499212E-2</c:v>
                </c:pt>
                <c:pt idx="902">
                  <c:v>8.4849309560602562E-2</c:v>
                </c:pt>
                <c:pt idx="903">
                  <c:v>6.5271358944059651E-2</c:v>
                </c:pt>
                <c:pt idx="904">
                  <c:v>7.9582142262247718E-2</c:v>
                </c:pt>
                <c:pt idx="905">
                  <c:v>8.4742158812600096E-2</c:v>
                </c:pt>
                <c:pt idx="906">
                  <c:v>7.9625978660046615E-2</c:v>
                </c:pt>
                <c:pt idx="907">
                  <c:v>7.1637770798419639E-2</c:v>
                </c:pt>
                <c:pt idx="908">
                  <c:v>8.6766674275526062E-2</c:v>
                </c:pt>
                <c:pt idx="909">
                  <c:v>7.8545748294655313E-2</c:v>
                </c:pt>
                <c:pt idx="910">
                  <c:v>8.5735936124808954E-2</c:v>
                </c:pt>
                <c:pt idx="911">
                  <c:v>8.4657368415138393E-2</c:v>
                </c:pt>
                <c:pt idx="912">
                  <c:v>7.9195903386951594E-2</c:v>
                </c:pt>
                <c:pt idx="913">
                  <c:v>8.2758825970418948E-2</c:v>
                </c:pt>
                <c:pt idx="914">
                  <c:v>7.4677141784111473E-2</c:v>
                </c:pt>
                <c:pt idx="915">
                  <c:v>9.3526793195637184E-2</c:v>
                </c:pt>
                <c:pt idx="916">
                  <c:v>7.6368904070250002E-2</c:v>
                </c:pt>
                <c:pt idx="917">
                  <c:v>8.744662919167287E-2</c:v>
                </c:pt>
                <c:pt idx="918">
                  <c:v>7.0542297569982398E-2</c:v>
                </c:pt>
                <c:pt idx="919">
                  <c:v>8.592902238040076E-2</c:v>
                </c:pt>
                <c:pt idx="920">
                  <c:v>7.9916408237720282E-2</c:v>
                </c:pt>
                <c:pt idx="921">
                  <c:v>8.1578694541053584E-2</c:v>
                </c:pt>
                <c:pt idx="922">
                  <c:v>8.9375772859859065E-2</c:v>
                </c:pt>
                <c:pt idx="923">
                  <c:v>8.1026884730531296E-2</c:v>
                </c:pt>
                <c:pt idx="924">
                  <c:v>9.2256372580585305E-2</c:v>
                </c:pt>
                <c:pt idx="925">
                  <c:v>8.477259150051264E-2</c:v>
                </c:pt>
                <c:pt idx="926">
                  <c:v>9.0087989719964429E-2</c:v>
                </c:pt>
                <c:pt idx="927">
                  <c:v>7.8317392083729259E-2</c:v>
                </c:pt>
                <c:pt idx="928">
                  <c:v>9.2731378479612048E-2</c:v>
                </c:pt>
                <c:pt idx="929">
                  <c:v>7.5910583942627258E-2</c:v>
                </c:pt>
                <c:pt idx="930">
                  <c:v>8.1421661842846341E-2</c:v>
                </c:pt>
                <c:pt idx="931">
                  <c:v>7.5487686703945178E-2</c:v>
                </c:pt>
                <c:pt idx="932">
                  <c:v>7.412350428520581E-2</c:v>
                </c:pt>
                <c:pt idx="933">
                  <c:v>8.4514783652712894E-2</c:v>
                </c:pt>
                <c:pt idx="934">
                  <c:v>8.8176961701180986E-2</c:v>
                </c:pt>
                <c:pt idx="935">
                  <c:v>7.6362889006863555E-2</c:v>
                </c:pt>
                <c:pt idx="936">
                  <c:v>7.8361923695414004E-2</c:v>
                </c:pt>
                <c:pt idx="937">
                  <c:v>7.9477777825252879E-2</c:v>
                </c:pt>
                <c:pt idx="938">
                  <c:v>9.6085358281592287E-2</c:v>
                </c:pt>
                <c:pt idx="939">
                  <c:v>6.9798714108137344E-2</c:v>
                </c:pt>
                <c:pt idx="940">
                  <c:v>7.5225327105041997E-2</c:v>
                </c:pt>
                <c:pt idx="941">
                  <c:v>0.10044865172143359</c:v>
                </c:pt>
                <c:pt idx="942">
                  <c:v>8.6232649685875656E-2</c:v>
                </c:pt>
                <c:pt idx="943">
                  <c:v>8.0247218339089404E-2</c:v>
                </c:pt>
                <c:pt idx="944">
                  <c:v>8.6920130740309548E-2</c:v>
                </c:pt>
                <c:pt idx="945">
                  <c:v>9.0149288101432162E-2</c:v>
                </c:pt>
                <c:pt idx="946">
                  <c:v>8.3495599759029066E-2</c:v>
                </c:pt>
                <c:pt idx="947">
                  <c:v>9.8046550027260135E-2</c:v>
                </c:pt>
                <c:pt idx="948">
                  <c:v>8.9362851415442673E-2</c:v>
                </c:pt>
                <c:pt idx="949">
                  <c:v>8.9627314313908787E-2</c:v>
                </c:pt>
                <c:pt idx="950">
                  <c:v>7.8177306505268801E-2</c:v>
                </c:pt>
                <c:pt idx="951">
                  <c:v>9.0190890809468738E-2</c:v>
                </c:pt>
                <c:pt idx="952">
                  <c:v>7.4263042995220935E-2</c:v>
                </c:pt>
                <c:pt idx="953">
                  <c:v>8.5096117896669571E-2</c:v>
                </c:pt>
                <c:pt idx="954">
                  <c:v>7.6071637526914065E-2</c:v>
                </c:pt>
                <c:pt idx="955">
                  <c:v>7.839165580591613E-2</c:v>
                </c:pt>
                <c:pt idx="956">
                  <c:v>8.5042920982407538E-2</c:v>
                </c:pt>
                <c:pt idx="957">
                  <c:v>8.4684550509851506E-2</c:v>
                </c:pt>
                <c:pt idx="958">
                  <c:v>7.5340389951432232E-2</c:v>
                </c:pt>
                <c:pt idx="959">
                  <c:v>7.9193766811935254E-2</c:v>
                </c:pt>
                <c:pt idx="960">
                  <c:v>8.7923568505189204E-2</c:v>
                </c:pt>
                <c:pt idx="961">
                  <c:v>7.0454950252145293E-2</c:v>
                </c:pt>
                <c:pt idx="962">
                  <c:v>7.9382790275247583E-2</c:v>
                </c:pt>
                <c:pt idx="963">
                  <c:v>0.10037077442172748</c:v>
                </c:pt>
                <c:pt idx="964">
                  <c:v>9.1432721828292263E-2</c:v>
                </c:pt>
                <c:pt idx="965">
                  <c:v>7.5874329500438445E-2</c:v>
                </c:pt>
                <c:pt idx="966">
                  <c:v>7.8874402247448475E-2</c:v>
                </c:pt>
                <c:pt idx="967">
                  <c:v>7.1431683682186595E-2</c:v>
                </c:pt>
                <c:pt idx="968">
                  <c:v>6.6825633715444852E-2</c:v>
                </c:pt>
                <c:pt idx="969">
                  <c:v>9.015193447875601E-2</c:v>
                </c:pt>
                <c:pt idx="970">
                  <c:v>6.6524873646541055E-2</c:v>
                </c:pt>
                <c:pt idx="971">
                  <c:v>8.0396998541737832E-2</c:v>
                </c:pt>
                <c:pt idx="972">
                  <c:v>7.9068407348058353E-2</c:v>
                </c:pt>
                <c:pt idx="973">
                  <c:v>6.7958807401810359E-2</c:v>
                </c:pt>
                <c:pt idx="974">
                  <c:v>7.9934340255065656E-2</c:v>
                </c:pt>
                <c:pt idx="975">
                  <c:v>7.4366063217147241E-2</c:v>
                </c:pt>
                <c:pt idx="976">
                  <c:v>7.4392815127994061E-2</c:v>
                </c:pt>
                <c:pt idx="977">
                  <c:v>8.2343581525243223E-2</c:v>
                </c:pt>
                <c:pt idx="978">
                  <c:v>8.1446943882272554E-2</c:v>
                </c:pt>
                <c:pt idx="979">
                  <c:v>8.0052869838344504E-2</c:v>
                </c:pt>
                <c:pt idx="980">
                  <c:v>7.8898432154640402E-2</c:v>
                </c:pt>
                <c:pt idx="981">
                  <c:v>8.5162001266841342E-2</c:v>
                </c:pt>
                <c:pt idx="982">
                  <c:v>8.9606427790619572E-2</c:v>
                </c:pt>
                <c:pt idx="983">
                  <c:v>7.780765999531461E-2</c:v>
                </c:pt>
                <c:pt idx="984">
                  <c:v>8.4597272673796797E-2</c:v>
                </c:pt>
                <c:pt idx="985">
                  <c:v>7.7103579016645718E-2</c:v>
                </c:pt>
                <c:pt idx="986">
                  <c:v>8.4540875619513386E-2</c:v>
                </c:pt>
                <c:pt idx="987">
                  <c:v>8.4341014974464196E-2</c:v>
                </c:pt>
                <c:pt idx="988">
                  <c:v>9.4708140699578142E-2</c:v>
                </c:pt>
                <c:pt idx="989">
                  <c:v>8.5147984915335762E-2</c:v>
                </c:pt>
                <c:pt idx="990">
                  <c:v>6.8734061815377473E-2</c:v>
                </c:pt>
                <c:pt idx="991">
                  <c:v>8.721723661099634E-2</c:v>
                </c:pt>
                <c:pt idx="992">
                  <c:v>7.3827981021085759E-2</c:v>
                </c:pt>
                <c:pt idx="993">
                  <c:v>7.5666615248142943E-2</c:v>
                </c:pt>
                <c:pt idx="994">
                  <c:v>8.2887068653057491E-2</c:v>
                </c:pt>
                <c:pt idx="995">
                  <c:v>9.551681890879854E-2</c:v>
                </c:pt>
                <c:pt idx="996">
                  <c:v>8.3126414933516524E-2</c:v>
                </c:pt>
                <c:pt idx="997">
                  <c:v>8.7548092096154717E-2</c:v>
                </c:pt>
                <c:pt idx="998">
                  <c:v>8.1999249836901753E-2</c:v>
                </c:pt>
                <c:pt idx="999">
                  <c:v>8.9361628036279228E-2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AB-416A-81F7-F9D18B249AD1}"/>
            </c:ext>
          </c:extLst>
        </c:ser>
        <c:ser>
          <c:idx val="1"/>
          <c:order val="1"/>
          <c:tx>
            <c:v>Assets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587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'EffFrontier ChatGPT'!$D$3:$D$6</c:f>
              <c:numCache>
                <c:formatCode>0.00</c:formatCode>
                <c:ptCount val="4"/>
                <c:pt idx="0">
                  <c:v>0.1</c:v>
                </c:pt>
                <c:pt idx="1">
                  <c:v>0.15</c:v>
                </c:pt>
                <c:pt idx="2">
                  <c:v>0.2</c:v>
                </c:pt>
                <c:pt idx="3">
                  <c:v>0.3</c:v>
                </c:pt>
              </c:numCache>
            </c:numRef>
          </c:xVal>
          <c:yVal>
            <c:numRef>
              <c:f>'EffFrontier ChatGPT'!$B$3:$B$6</c:f>
              <c:numCache>
                <c:formatCode>General</c:formatCode>
                <c:ptCount val="4"/>
                <c:pt idx="0">
                  <c:v>0.05</c:v>
                </c:pt>
                <c:pt idx="1">
                  <c:v>7.0000000000000007E-2</c:v>
                </c:pt>
                <c:pt idx="2">
                  <c:v>0.09</c:v>
                </c:pt>
                <c:pt idx="3">
                  <c:v>0.12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D9-46C8-AACF-15B3B8C3BE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5757039"/>
        <c:axId val="1125761359"/>
      </c:scatterChart>
      <c:valAx>
        <c:axId val="1125757039"/>
        <c:scaling>
          <c:orientation val="minMax"/>
          <c:max val="0.30000000000000004"/>
          <c:min val="8.7500000000000022E-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761359"/>
        <c:crosses val="autoZero"/>
        <c:crossBetween val="midCat"/>
      </c:valAx>
      <c:valAx>
        <c:axId val="1125761359"/>
        <c:scaling>
          <c:orientation val="minMax"/>
          <c:max val="0.12000000000000001"/>
          <c:min val="5.000000000000001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7570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Efficient Frontier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Efficient Frontier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dash"/>
              </a:ln>
              <a:effectLst/>
            </c:spPr>
            <c:trendlineType val="log"/>
            <c:dispRSqr val="0"/>
            <c:dispEq val="1"/>
            <c:trendlineLbl>
              <c:layout>
                <c:manualLayout>
                  <c:x val="-0.36258908943024165"/>
                  <c:y val="-0.38098373088461013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100" baseline="0"/>
                      <a:t>y = 0.0221 ln(x) + 0.1443</a:t>
                    </a:r>
                    <a:endParaRPr lang="en-US" sz="1100"/>
                  </a:p>
                </c:rich>
              </c:tx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'EffFrontier 4 Assets'!$W$3:$W$1002</c:f>
              <c:numCache>
                <c:formatCode>0.00%</c:formatCode>
                <c:ptCount val="1000"/>
                <c:pt idx="0">
                  <c:v>7.487849216093187E-2</c:v>
                </c:pt>
                <c:pt idx="1">
                  <c:v>7.2109506463761505E-2</c:v>
                </c:pt>
                <c:pt idx="2">
                  <c:v>6.85188165507985E-2</c:v>
                </c:pt>
                <c:pt idx="3">
                  <c:v>7.4909698366106989E-2</c:v>
                </c:pt>
                <c:pt idx="4">
                  <c:v>7.2482903461917825E-2</c:v>
                </c:pt>
                <c:pt idx="5">
                  <c:v>6.6793002427279022E-2</c:v>
                </c:pt>
                <c:pt idx="6">
                  <c:v>6.8312433646639636E-2</c:v>
                </c:pt>
                <c:pt idx="7">
                  <c:v>8.1672664835351724E-2</c:v>
                </c:pt>
                <c:pt idx="8">
                  <c:v>8.1537658437613708E-2</c:v>
                </c:pt>
                <c:pt idx="9">
                  <c:v>7.0437219445973087E-2</c:v>
                </c:pt>
                <c:pt idx="10">
                  <c:v>6.5828280533267183E-2</c:v>
                </c:pt>
                <c:pt idx="11">
                  <c:v>8.1260574191483678E-2</c:v>
                </c:pt>
                <c:pt idx="12">
                  <c:v>7.9372127439206144E-2</c:v>
                </c:pt>
                <c:pt idx="13">
                  <c:v>7.0532301667815919E-2</c:v>
                </c:pt>
                <c:pt idx="14">
                  <c:v>7.969017285619022E-2</c:v>
                </c:pt>
                <c:pt idx="15">
                  <c:v>6.4696734035392889E-2</c:v>
                </c:pt>
                <c:pt idx="16">
                  <c:v>6.8727837540451558E-2</c:v>
                </c:pt>
                <c:pt idx="17">
                  <c:v>6.5285661626006394E-2</c:v>
                </c:pt>
                <c:pt idx="18">
                  <c:v>7.3661034105805615E-2</c:v>
                </c:pt>
                <c:pt idx="19">
                  <c:v>7.5332783377225807E-2</c:v>
                </c:pt>
                <c:pt idx="20">
                  <c:v>7.1096661604247491E-2</c:v>
                </c:pt>
                <c:pt idx="21">
                  <c:v>7.470732468027115E-2</c:v>
                </c:pt>
                <c:pt idx="22">
                  <c:v>8.6359372266244377E-2</c:v>
                </c:pt>
                <c:pt idx="23">
                  <c:v>8.6805366865800815E-2</c:v>
                </c:pt>
                <c:pt idx="24">
                  <c:v>7.5237853460577014E-2</c:v>
                </c:pt>
                <c:pt idx="25">
                  <c:v>8.7543134395825409E-2</c:v>
                </c:pt>
                <c:pt idx="26">
                  <c:v>8.7036861157842663E-2</c:v>
                </c:pt>
                <c:pt idx="27">
                  <c:v>8.0937694830720192E-2</c:v>
                </c:pt>
                <c:pt idx="28">
                  <c:v>6.6887575062975241E-2</c:v>
                </c:pt>
                <c:pt idx="29">
                  <c:v>6.8096147717815775E-2</c:v>
                </c:pt>
                <c:pt idx="30">
                  <c:v>7.8261342811324922E-2</c:v>
                </c:pt>
                <c:pt idx="31">
                  <c:v>8.0747553029300839E-2</c:v>
                </c:pt>
                <c:pt idx="32">
                  <c:v>8.3946229090628627E-2</c:v>
                </c:pt>
                <c:pt idx="33">
                  <c:v>6.5215323657787705E-2</c:v>
                </c:pt>
                <c:pt idx="34">
                  <c:v>7.2805335921828584E-2</c:v>
                </c:pt>
                <c:pt idx="35">
                  <c:v>6.9341129459873196E-2</c:v>
                </c:pt>
                <c:pt idx="36">
                  <c:v>6.6412272418024332E-2</c:v>
                </c:pt>
                <c:pt idx="37">
                  <c:v>6.6229871210042937E-2</c:v>
                </c:pt>
                <c:pt idx="38">
                  <c:v>6.8919266657146608E-2</c:v>
                </c:pt>
                <c:pt idx="39">
                  <c:v>8.2135483163731746E-2</c:v>
                </c:pt>
                <c:pt idx="40">
                  <c:v>7.6347229172401068E-2</c:v>
                </c:pt>
                <c:pt idx="41">
                  <c:v>6.6763033956955084E-2</c:v>
                </c:pt>
                <c:pt idx="42">
                  <c:v>6.5574460537276766E-2</c:v>
                </c:pt>
                <c:pt idx="43">
                  <c:v>7.9369218484031029E-2</c:v>
                </c:pt>
                <c:pt idx="44">
                  <c:v>6.8231059690848181E-2</c:v>
                </c:pt>
                <c:pt idx="45">
                  <c:v>7.088245085526626E-2</c:v>
                </c:pt>
                <c:pt idx="46">
                  <c:v>6.9650627836364568E-2</c:v>
                </c:pt>
                <c:pt idx="47">
                  <c:v>7.6687523000057004E-2</c:v>
                </c:pt>
                <c:pt idx="48">
                  <c:v>8.2832129066497492E-2</c:v>
                </c:pt>
                <c:pt idx="49">
                  <c:v>7.0282935931490056E-2</c:v>
                </c:pt>
                <c:pt idx="50">
                  <c:v>7.0354325168506066E-2</c:v>
                </c:pt>
                <c:pt idx="51">
                  <c:v>8.4682449359254328E-2</c:v>
                </c:pt>
                <c:pt idx="52">
                  <c:v>6.5922818470387765E-2</c:v>
                </c:pt>
                <c:pt idx="53">
                  <c:v>6.5193868160284899E-2</c:v>
                </c:pt>
                <c:pt idx="54">
                  <c:v>7.5889857616274078E-2</c:v>
                </c:pt>
                <c:pt idx="55">
                  <c:v>7.3122728431280398E-2</c:v>
                </c:pt>
                <c:pt idx="56">
                  <c:v>8.1427272668542355E-2</c:v>
                </c:pt>
                <c:pt idx="57">
                  <c:v>7.6403971353635095E-2</c:v>
                </c:pt>
                <c:pt idx="58">
                  <c:v>7.2130500835235103E-2</c:v>
                </c:pt>
                <c:pt idx="59">
                  <c:v>7.6196368272227963E-2</c:v>
                </c:pt>
                <c:pt idx="60">
                  <c:v>6.7762139777467992E-2</c:v>
                </c:pt>
                <c:pt idx="61">
                  <c:v>7.6173726581469439E-2</c:v>
                </c:pt>
                <c:pt idx="62">
                  <c:v>8.665894832905538E-2</c:v>
                </c:pt>
                <c:pt idx="63">
                  <c:v>6.4184832393889862E-2</c:v>
                </c:pt>
                <c:pt idx="64">
                  <c:v>8.2688061624602668E-2</c:v>
                </c:pt>
                <c:pt idx="65">
                  <c:v>7.0322881558535888E-2</c:v>
                </c:pt>
                <c:pt idx="66">
                  <c:v>7.2615778344876911E-2</c:v>
                </c:pt>
                <c:pt idx="67">
                  <c:v>7.5834062008056008E-2</c:v>
                </c:pt>
                <c:pt idx="68">
                  <c:v>7.1083623577797711E-2</c:v>
                </c:pt>
                <c:pt idx="69">
                  <c:v>7.0228978581035509E-2</c:v>
                </c:pt>
                <c:pt idx="70">
                  <c:v>8.8000916349711827E-2</c:v>
                </c:pt>
                <c:pt idx="71">
                  <c:v>7.5476925776587933E-2</c:v>
                </c:pt>
                <c:pt idx="72">
                  <c:v>7.1729229892383853E-2</c:v>
                </c:pt>
                <c:pt idx="73">
                  <c:v>8.4792602676612025E-2</c:v>
                </c:pt>
                <c:pt idx="74">
                  <c:v>7.5925986594982078E-2</c:v>
                </c:pt>
                <c:pt idx="75">
                  <c:v>7.2093583735378775E-2</c:v>
                </c:pt>
                <c:pt idx="76">
                  <c:v>8.0725970056840707E-2</c:v>
                </c:pt>
                <c:pt idx="77">
                  <c:v>6.8322221872098965E-2</c:v>
                </c:pt>
                <c:pt idx="78">
                  <c:v>7.1583779468856884E-2</c:v>
                </c:pt>
                <c:pt idx="79">
                  <c:v>6.779660313254994E-2</c:v>
                </c:pt>
                <c:pt idx="80">
                  <c:v>7.975984709937646E-2</c:v>
                </c:pt>
                <c:pt idx="81">
                  <c:v>8.4521251520779619E-2</c:v>
                </c:pt>
                <c:pt idx="82">
                  <c:v>8.0711022257303894E-2</c:v>
                </c:pt>
                <c:pt idx="83">
                  <c:v>6.8835177802817393E-2</c:v>
                </c:pt>
                <c:pt idx="84">
                  <c:v>7.4143843380815033E-2</c:v>
                </c:pt>
                <c:pt idx="85">
                  <c:v>7.9451648788678317E-2</c:v>
                </c:pt>
                <c:pt idx="86">
                  <c:v>6.9785930091073325E-2</c:v>
                </c:pt>
                <c:pt idx="87">
                  <c:v>7.7056024848197277E-2</c:v>
                </c:pt>
                <c:pt idx="88">
                  <c:v>8.1856480369162474E-2</c:v>
                </c:pt>
                <c:pt idx="89">
                  <c:v>7.9743450941704638E-2</c:v>
                </c:pt>
                <c:pt idx="90">
                  <c:v>8.9554727715329005E-2</c:v>
                </c:pt>
                <c:pt idx="91">
                  <c:v>6.7562179830048502E-2</c:v>
                </c:pt>
                <c:pt idx="92">
                  <c:v>7.395268605396646E-2</c:v>
                </c:pt>
                <c:pt idx="93">
                  <c:v>7.7034730836891316E-2</c:v>
                </c:pt>
                <c:pt idx="94">
                  <c:v>6.9236895837042664E-2</c:v>
                </c:pt>
                <c:pt idx="95">
                  <c:v>7.3304280472739569E-2</c:v>
                </c:pt>
                <c:pt idx="96">
                  <c:v>7.4206782100611518E-2</c:v>
                </c:pt>
                <c:pt idx="97">
                  <c:v>7.5023289852680489E-2</c:v>
                </c:pt>
                <c:pt idx="98">
                  <c:v>7.5946995918981408E-2</c:v>
                </c:pt>
                <c:pt idx="99">
                  <c:v>6.468600100184331E-2</c:v>
                </c:pt>
                <c:pt idx="100">
                  <c:v>7.1066007562406122E-2</c:v>
                </c:pt>
                <c:pt idx="101">
                  <c:v>7.8282717219246511E-2</c:v>
                </c:pt>
                <c:pt idx="102">
                  <c:v>7.2766093698932333E-2</c:v>
                </c:pt>
                <c:pt idx="103">
                  <c:v>8.0440623488479038E-2</c:v>
                </c:pt>
                <c:pt idx="104">
                  <c:v>7.2789359720183744E-2</c:v>
                </c:pt>
                <c:pt idx="105">
                  <c:v>7.7757736376631414E-2</c:v>
                </c:pt>
                <c:pt idx="106">
                  <c:v>7.7513809402280184E-2</c:v>
                </c:pt>
                <c:pt idx="107">
                  <c:v>7.4939401063906119E-2</c:v>
                </c:pt>
                <c:pt idx="108">
                  <c:v>7.7224335540143504E-2</c:v>
                </c:pt>
                <c:pt idx="109">
                  <c:v>7.5581217652716512E-2</c:v>
                </c:pt>
                <c:pt idx="110">
                  <c:v>7.7609002650969552E-2</c:v>
                </c:pt>
                <c:pt idx="111">
                  <c:v>6.8529643171270332E-2</c:v>
                </c:pt>
                <c:pt idx="112">
                  <c:v>7.4148359610068021E-2</c:v>
                </c:pt>
                <c:pt idx="113">
                  <c:v>8.5048406807237215E-2</c:v>
                </c:pt>
                <c:pt idx="114">
                  <c:v>8.4540512611340338E-2</c:v>
                </c:pt>
                <c:pt idx="115">
                  <c:v>7.2996879056970054E-2</c:v>
                </c:pt>
                <c:pt idx="116">
                  <c:v>7.6313313014404666E-2</c:v>
                </c:pt>
                <c:pt idx="117">
                  <c:v>7.046541429051055E-2</c:v>
                </c:pt>
                <c:pt idx="118">
                  <c:v>6.7627985341487659E-2</c:v>
                </c:pt>
                <c:pt idx="119">
                  <c:v>8.9447683731838895E-2</c:v>
                </c:pt>
                <c:pt idx="120">
                  <c:v>7.5379020581261794E-2</c:v>
                </c:pt>
                <c:pt idx="121">
                  <c:v>8.3184528860718088E-2</c:v>
                </c:pt>
                <c:pt idx="122">
                  <c:v>7.9862753533416653E-2</c:v>
                </c:pt>
                <c:pt idx="123">
                  <c:v>7.4440376796344479E-2</c:v>
                </c:pt>
                <c:pt idx="124">
                  <c:v>7.0783943572241825E-2</c:v>
                </c:pt>
                <c:pt idx="125">
                  <c:v>7.4741269897644097E-2</c:v>
                </c:pt>
                <c:pt idx="126">
                  <c:v>8.5603153449478817E-2</c:v>
                </c:pt>
                <c:pt idx="127">
                  <c:v>7.6288754452388086E-2</c:v>
                </c:pt>
                <c:pt idx="128">
                  <c:v>7.1462104740834892E-2</c:v>
                </c:pt>
                <c:pt idx="129">
                  <c:v>8.3409028005097544E-2</c:v>
                </c:pt>
                <c:pt idx="130">
                  <c:v>7.1627961474225552E-2</c:v>
                </c:pt>
                <c:pt idx="131">
                  <c:v>7.5861868604904514E-2</c:v>
                </c:pt>
                <c:pt idx="132">
                  <c:v>7.919466722361819E-2</c:v>
                </c:pt>
                <c:pt idx="133">
                  <c:v>7.3139557489355508E-2</c:v>
                </c:pt>
                <c:pt idx="134">
                  <c:v>8.7964549953065338E-2</c:v>
                </c:pt>
                <c:pt idx="135">
                  <c:v>7.3108183566409482E-2</c:v>
                </c:pt>
                <c:pt idx="136">
                  <c:v>7.5325589163905249E-2</c:v>
                </c:pt>
                <c:pt idx="137">
                  <c:v>6.92552124873244E-2</c:v>
                </c:pt>
                <c:pt idx="138">
                  <c:v>8.7963092463931233E-2</c:v>
                </c:pt>
                <c:pt idx="139">
                  <c:v>7.4415855424259561E-2</c:v>
                </c:pt>
                <c:pt idx="140">
                  <c:v>8.9763741700616434E-2</c:v>
                </c:pt>
                <c:pt idx="141">
                  <c:v>6.5532681905882031E-2</c:v>
                </c:pt>
                <c:pt idx="142">
                  <c:v>8.3195778772173865E-2</c:v>
                </c:pt>
                <c:pt idx="143">
                  <c:v>7.6940854117069316E-2</c:v>
                </c:pt>
                <c:pt idx="144">
                  <c:v>8.0494169749686748E-2</c:v>
                </c:pt>
                <c:pt idx="145">
                  <c:v>8.1878095461079201E-2</c:v>
                </c:pt>
                <c:pt idx="146">
                  <c:v>7.7682579123568893E-2</c:v>
                </c:pt>
                <c:pt idx="147">
                  <c:v>8.7286510442776841E-2</c:v>
                </c:pt>
                <c:pt idx="148">
                  <c:v>7.9157301915009179E-2</c:v>
                </c:pt>
                <c:pt idx="149">
                  <c:v>8.0371564202511639E-2</c:v>
                </c:pt>
                <c:pt idx="150">
                  <c:v>7.5963430670470289E-2</c:v>
                </c:pt>
                <c:pt idx="151">
                  <c:v>6.9334001970373843E-2</c:v>
                </c:pt>
                <c:pt idx="152">
                  <c:v>9.1406066544241701E-2</c:v>
                </c:pt>
                <c:pt idx="153">
                  <c:v>8.4550510773753598E-2</c:v>
                </c:pt>
                <c:pt idx="154">
                  <c:v>8.5322190440050821E-2</c:v>
                </c:pt>
                <c:pt idx="155">
                  <c:v>7.4369619562694819E-2</c:v>
                </c:pt>
                <c:pt idx="156">
                  <c:v>7.206376905893308E-2</c:v>
                </c:pt>
                <c:pt idx="157">
                  <c:v>9.0897657559545736E-2</c:v>
                </c:pt>
                <c:pt idx="158">
                  <c:v>7.6076650578625407E-2</c:v>
                </c:pt>
                <c:pt idx="159">
                  <c:v>7.9093536168833481E-2</c:v>
                </c:pt>
                <c:pt idx="160">
                  <c:v>7.5367409324761048E-2</c:v>
                </c:pt>
                <c:pt idx="161">
                  <c:v>7.7576007391791102E-2</c:v>
                </c:pt>
                <c:pt idx="162">
                  <c:v>7.5362407021138139E-2</c:v>
                </c:pt>
                <c:pt idx="163">
                  <c:v>6.9763142079095161E-2</c:v>
                </c:pt>
                <c:pt idx="164">
                  <c:v>8.2499389186268562E-2</c:v>
                </c:pt>
                <c:pt idx="165">
                  <c:v>7.3174552779932095E-2</c:v>
                </c:pt>
                <c:pt idx="166">
                  <c:v>8.9197152465913074E-2</c:v>
                </c:pt>
                <c:pt idx="167">
                  <c:v>7.3082888852551778E-2</c:v>
                </c:pt>
                <c:pt idx="168">
                  <c:v>7.9710075424586593E-2</c:v>
                </c:pt>
                <c:pt idx="169">
                  <c:v>7.8188269286526044E-2</c:v>
                </c:pt>
                <c:pt idx="170">
                  <c:v>7.3121313745111424E-2</c:v>
                </c:pt>
                <c:pt idx="171">
                  <c:v>7.824620507194853E-2</c:v>
                </c:pt>
                <c:pt idx="172">
                  <c:v>7.589726862738562E-2</c:v>
                </c:pt>
                <c:pt idx="173">
                  <c:v>8.4402044941164295E-2</c:v>
                </c:pt>
                <c:pt idx="174">
                  <c:v>8.1774451900214082E-2</c:v>
                </c:pt>
                <c:pt idx="175">
                  <c:v>7.655301456359806E-2</c:v>
                </c:pt>
                <c:pt idx="176">
                  <c:v>8.1792473872215984E-2</c:v>
                </c:pt>
                <c:pt idx="177">
                  <c:v>6.8997818510045161E-2</c:v>
                </c:pt>
                <c:pt idx="178">
                  <c:v>8.3511978032720632E-2</c:v>
                </c:pt>
                <c:pt idx="179">
                  <c:v>6.7730779387681975E-2</c:v>
                </c:pt>
                <c:pt idx="180">
                  <c:v>7.1378324370521509E-2</c:v>
                </c:pt>
                <c:pt idx="181">
                  <c:v>8.5682937044533766E-2</c:v>
                </c:pt>
                <c:pt idx="182">
                  <c:v>7.7430471330031503E-2</c:v>
                </c:pt>
                <c:pt idx="183">
                  <c:v>7.5886330674538996E-2</c:v>
                </c:pt>
                <c:pt idx="184">
                  <c:v>7.4014200717521558E-2</c:v>
                </c:pt>
                <c:pt idx="185">
                  <c:v>7.6233596775429985E-2</c:v>
                </c:pt>
                <c:pt idx="186">
                  <c:v>6.5641606244903061E-2</c:v>
                </c:pt>
                <c:pt idx="187">
                  <c:v>7.9344829357767155E-2</c:v>
                </c:pt>
                <c:pt idx="188">
                  <c:v>7.7597664856518006E-2</c:v>
                </c:pt>
                <c:pt idx="189">
                  <c:v>9.2098715461231884E-2</c:v>
                </c:pt>
                <c:pt idx="190">
                  <c:v>8.4459392692899121E-2</c:v>
                </c:pt>
                <c:pt idx="191">
                  <c:v>7.3419123770508798E-2</c:v>
                </c:pt>
                <c:pt idx="192">
                  <c:v>8.0062285795730381E-2</c:v>
                </c:pt>
                <c:pt idx="193">
                  <c:v>8.2521415917969534E-2</c:v>
                </c:pt>
                <c:pt idx="194">
                  <c:v>7.820212232066337E-2</c:v>
                </c:pt>
                <c:pt idx="195">
                  <c:v>7.5697269317568552E-2</c:v>
                </c:pt>
                <c:pt idx="196">
                  <c:v>8.6274195089177552E-2</c:v>
                </c:pt>
                <c:pt idx="197">
                  <c:v>7.8056681673540657E-2</c:v>
                </c:pt>
                <c:pt idx="198">
                  <c:v>7.9130639992064586E-2</c:v>
                </c:pt>
                <c:pt idx="199">
                  <c:v>7.7556595450830101E-2</c:v>
                </c:pt>
                <c:pt idx="200">
                  <c:v>8.3297211957199913E-2</c:v>
                </c:pt>
                <c:pt idx="201">
                  <c:v>7.8902968029253076E-2</c:v>
                </c:pt>
                <c:pt idx="202">
                  <c:v>7.8193979412480616E-2</c:v>
                </c:pt>
                <c:pt idx="203">
                  <c:v>7.5134384070201204E-2</c:v>
                </c:pt>
                <c:pt idx="204">
                  <c:v>8.4012829162391403E-2</c:v>
                </c:pt>
                <c:pt idx="205">
                  <c:v>9.1482809554329941E-2</c:v>
                </c:pt>
                <c:pt idx="206">
                  <c:v>7.6326137989992077E-2</c:v>
                </c:pt>
                <c:pt idx="207">
                  <c:v>8.2777338840096762E-2</c:v>
                </c:pt>
                <c:pt idx="208">
                  <c:v>9.300402794849004E-2</c:v>
                </c:pt>
                <c:pt idx="209">
                  <c:v>8.3480378467402999E-2</c:v>
                </c:pt>
                <c:pt idx="210">
                  <c:v>8.5132994814909338E-2</c:v>
                </c:pt>
                <c:pt idx="211">
                  <c:v>6.9255117002372316E-2</c:v>
                </c:pt>
                <c:pt idx="212">
                  <c:v>8.1942075421195387E-2</c:v>
                </c:pt>
                <c:pt idx="213">
                  <c:v>8.246026711368902E-2</c:v>
                </c:pt>
                <c:pt idx="214">
                  <c:v>6.9422499971437179E-2</c:v>
                </c:pt>
                <c:pt idx="215">
                  <c:v>8.4983648097221379E-2</c:v>
                </c:pt>
                <c:pt idx="216">
                  <c:v>7.1742432136565587E-2</c:v>
                </c:pt>
                <c:pt idx="217">
                  <c:v>9.0873436631393481E-2</c:v>
                </c:pt>
                <c:pt idx="218">
                  <c:v>7.5185256929437089E-2</c:v>
                </c:pt>
                <c:pt idx="219">
                  <c:v>8.0250999267612713E-2</c:v>
                </c:pt>
                <c:pt idx="220">
                  <c:v>8.5937812911684563E-2</c:v>
                </c:pt>
                <c:pt idx="221">
                  <c:v>9.3618610129870466E-2</c:v>
                </c:pt>
                <c:pt idx="222">
                  <c:v>7.2037025328960266E-2</c:v>
                </c:pt>
                <c:pt idx="223">
                  <c:v>7.6226015353559023E-2</c:v>
                </c:pt>
                <c:pt idx="224">
                  <c:v>8.5110937278373419E-2</c:v>
                </c:pt>
                <c:pt idx="225">
                  <c:v>8.6421850330388905E-2</c:v>
                </c:pt>
                <c:pt idx="226">
                  <c:v>7.5332685943237179E-2</c:v>
                </c:pt>
                <c:pt idx="227">
                  <c:v>8.7058944724693804E-2</c:v>
                </c:pt>
                <c:pt idx="228">
                  <c:v>8.9012644918989622E-2</c:v>
                </c:pt>
                <c:pt idx="229">
                  <c:v>7.5951381893476805E-2</c:v>
                </c:pt>
                <c:pt idx="230">
                  <c:v>7.7922653027120883E-2</c:v>
                </c:pt>
                <c:pt idx="231">
                  <c:v>7.1083555587392003E-2</c:v>
                </c:pt>
                <c:pt idx="232">
                  <c:v>7.8526446952764145E-2</c:v>
                </c:pt>
                <c:pt idx="233">
                  <c:v>7.5546281578252023E-2</c:v>
                </c:pt>
                <c:pt idx="234">
                  <c:v>8.1156048461240887E-2</c:v>
                </c:pt>
                <c:pt idx="235">
                  <c:v>8.4092059875793324E-2</c:v>
                </c:pt>
                <c:pt idx="236">
                  <c:v>8.040239147607621E-2</c:v>
                </c:pt>
                <c:pt idx="237">
                  <c:v>9.2940812365553169E-2</c:v>
                </c:pt>
                <c:pt idx="238">
                  <c:v>8.7915725742058484E-2</c:v>
                </c:pt>
                <c:pt idx="239">
                  <c:v>8.6519086415876245E-2</c:v>
                </c:pt>
                <c:pt idx="240">
                  <c:v>8.6158210354202791E-2</c:v>
                </c:pt>
                <c:pt idx="241">
                  <c:v>7.3879079452269042E-2</c:v>
                </c:pt>
                <c:pt idx="242">
                  <c:v>8.0176473222779446E-2</c:v>
                </c:pt>
                <c:pt idx="243">
                  <c:v>9.1106682656878657E-2</c:v>
                </c:pt>
                <c:pt idx="244">
                  <c:v>9.4289500276682675E-2</c:v>
                </c:pt>
                <c:pt idx="245">
                  <c:v>8.4194913788648892E-2</c:v>
                </c:pt>
                <c:pt idx="246">
                  <c:v>8.5333931386718673E-2</c:v>
                </c:pt>
                <c:pt idx="247">
                  <c:v>7.859521397414318E-2</c:v>
                </c:pt>
                <c:pt idx="248">
                  <c:v>8.611493236680777E-2</c:v>
                </c:pt>
                <c:pt idx="249">
                  <c:v>7.4454650713880771E-2</c:v>
                </c:pt>
                <c:pt idx="250">
                  <c:v>7.7484658933918218E-2</c:v>
                </c:pt>
                <c:pt idx="251">
                  <c:v>8.0743211683507857E-2</c:v>
                </c:pt>
                <c:pt idx="252">
                  <c:v>6.9828082499740055E-2</c:v>
                </c:pt>
                <c:pt idx="253">
                  <c:v>7.9385191663454008E-2</c:v>
                </c:pt>
                <c:pt idx="254">
                  <c:v>9.3368721854112061E-2</c:v>
                </c:pt>
                <c:pt idx="255">
                  <c:v>8.7528825418182202E-2</c:v>
                </c:pt>
                <c:pt idx="256">
                  <c:v>7.6729036329390807E-2</c:v>
                </c:pt>
                <c:pt idx="257">
                  <c:v>8.5519521728804324E-2</c:v>
                </c:pt>
                <c:pt idx="258">
                  <c:v>7.4319755874891827E-2</c:v>
                </c:pt>
                <c:pt idx="259">
                  <c:v>7.4190273125681563E-2</c:v>
                </c:pt>
                <c:pt idx="260">
                  <c:v>9.9410669862828899E-2</c:v>
                </c:pt>
                <c:pt idx="261">
                  <c:v>7.5612847610906003E-2</c:v>
                </c:pt>
                <c:pt idx="262">
                  <c:v>8.1327656685526814E-2</c:v>
                </c:pt>
                <c:pt idx="263">
                  <c:v>7.586777364013525E-2</c:v>
                </c:pt>
                <c:pt idx="264">
                  <c:v>8.2351634214395605E-2</c:v>
                </c:pt>
                <c:pt idx="265">
                  <c:v>8.6973990739256615E-2</c:v>
                </c:pt>
                <c:pt idx="266">
                  <c:v>7.74376403291199E-2</c:v>
                </c:pt>
                <c:pt idx="267">
                  <c:v>8.074128269228982E-2</c:v>
                </c:pt>
                <c:pt idx="268">
                  <c:v>8.5622582560955993E-2</c:v>
                </c:pt>
                <c:pt idx="269">
                  <c:v>7.9363285606037601E-2</c:v>
                </c:pt>
                <c:pt idx="270">
                  <c:v>8.8583372423486462E-2</c:v>
                </c:pt>
                <c:pt idx="271">
                  <c:v>8.1657393874411538E-2</c:v>
                </c:pt>
                <c:pt idx="272">
                  <c:v>8.1963805709496296E-2</c:v>
                </c:pt>
                <c:pt idx="273">
                  <c:v>8.3276613217992748E-2</c:v>
                </c:pt>
                <c:pt idx="274">
                  <c:v>7.6487607254654991E-2</c:v>
                </c:pt>
                <c:pt idx="275">
                  <c:v>8.6216192630862346E-2</c:v>
                </c:pt>
                <c:pt idx="276">
                  <c:v>7.8231061649619307E-2</c:v>
                </c:pt>
                <c:pt idx="277">
                  <c:v>8.8450074290749317E-2</c:v>
                </c:pt>
                <c:pt idx="278">
                  <c:v>7.7358159733818016E-2</c:v>
                </c:pt>
                <c:pt idx="279">
                  <c:v>8.9612936045678229E-2</c:v>
                </c:pt>
                <c:pt idx="280">
                  <c:v>8.2810962205400671E-2</c:v>
                </c:pt>
                <c:pt idx="281">
                  <c:v>8.3054381855197063E-2</c:v>
                </c:pt>
                <c:pt idx="282">
                  <c:v>8.5783996870494719E-2</c:v>
                </c:pt>
                <c:pt idx="283">
                  <c:v>7.5435890345441237E-2</c:v>
                </c:pt>
                <c:pt idx="284">
                  <c:v>8.5071797027637022E-2</c:v>
                </c:pt>
                <c:pt idx="285">
                  <c:v>7.890310244253998E-2</c:v>
                </c:pt>
                <c:pt idx="286">
                  <c:v>8.3775849550660891E-2</c:v>
                </c:pt>
                <c:pt idx="287">
                  <c:v>9.217706878001021E-2</c:v>
                </c:pt>
                <c:pt idx="288">
                  <c:v>9.3410301482264424E-2</c:v>
                </c:pt>
                <c:pt idx="289">
                  <c:v>7.562996641791489E-2</c:v>
                </c:pt>
                <c:pt idx="290">
                  <c:v>7.9350586543866619E-2</c:v>
                </c:pt>
                <c:pt idx="291">
                  <c:v>7.7245888991638187E-2</c:v>
                </c:pt>
                <c:pt idx="292">
                  <c:v>9.1358312748819462E-2</c:v>
                </c:pt>
                <c:pt idx="293">
                  <c:v>9.5966585123143586E-2</c:v>
                </c:pt>
                <c:pt idx="294">
                  <c:v>7.6327525817740577E-2</c:v>
                </c:pt>
                <c:pt idx="295">
                  <c:v>8.9770829842206232E-2</c:v>
                </c:pt>
                <c:pt idx="296">
                  <c:v>8.3321924347992196E-2</c:v>
                </c:pt>
                <c:pt idx="297">
                  <c:v>8.2621180412206494E-2</c:v>
                </c:pt>
                <c:pt idx="298">
                  <c:v>8.0806206049996193E-2</c:v>
                </c:pt>
                <c:pt idx="299">
                  <c:v>8.9262923821059284E-2</c:v>
                </c:pt>
                <c:pt idx="300">
                  <c:v>7.8626799994436419E-2</c:v>
                </c:pt>
                <c:pt idx="301">
                  <c:v>9.0853560563701488E-2</c:v>
                </c:pt>
                <c:pt idx="302">
                  <c:v>8.5305098727888523E-2</c:v>
                </c:pt>
                <c:pt idx="303">
                  <c:v>8.9151998081328482E-2</c:v>
                </c:pt>
                <c:pt idx="304">
                  <c:v>7.3684687060892193E-2</c:v>
                </c:pt>
                <c:pt idx="305">
                  <c:v>9.2089886099563326E-2</c:v>
                </c:pt>
                <c:pt idx="306">
                  <c:v>9.2650533103716792E-2</c:v>
                </c:pt>
                <c:pt idx="307">
                  <c:v>8.8389323925041521E-2</c:v>
                </c:pt>
                <c:pt idx="308">
                  <c:v>8.2064453344095123E-2</c:v>
                </c:pt>
                <c:pt idx="309">
                  <c:v>9.6370081894371878E-2</c:v>
                </c:pt>
                <c:pt idx="310">
                  <c:v>9.3755204545167364E-2</c:v>
                </c:pt>
                <c:pt idx="311">
                  <c:v>8.4124216328448992E-2</c:v>
                </c:pt>
                <c:pt idx="312">
                  <c:v>8.3000110034141733E-2</c:v>
                </c:pt>
                <c:pt idx="313">
                  <c:v>7.9599033959836168E-2</c:v>
                </c:pt>
                <c:pt idx="314">
                  <c:v>7.3397151855719253E-2</c:v>
                </c:pt>
                <c:pt idx="315">
                  <c:v>6.9961212018678193E-2</c:v>
                </c:pt>
                <c:pt idx="316">
                  <c:v>7.6708196155309799E-2</c:v>
                </c:pt>
                <c:pt idx="317">
                  <c:v>9.4757780867242E-2</c:v>
                </c:pt>
                <c:pt idx="318">
                  <c:v>9.6745364224543884E-2</c:v>
                </c:pt>
                <c:pt idx="319">
                  <c:v>8.7289595229974412E-2</c:v>
                </c:pt>
                <c:pt idx="320">
                  <c:v>7.9387932039009915E-2</c:v>
                </c:pt>
                <c:pt idx="321">
                  <c:v>8.7156157081292152E-2</c:v>
                </c:pt>
                <c:pt idx="322">
                  <c:v>6.9735879203964221E-2</c:v>
                </c:pt>
                <c:pt idx="323">
                  <c:v>8.2698616049944426E-2</c:v>
                </c:pt>
                <c:pt idx="324">
                  <c:v>7.7843127479526333E-2</c:v>
                </c:pt>
                <c:pt idx="325">
                  <c:v>9.291221248205736E-2</c:v>
                </c:pt>
                <c:pt idx="326">
                  <c:v>7.6385323194902877E-2</c:v>
                </c:pt>
                <c:pt idx="327">
                  <c:v>8.1932956216423936E-2</c:v>
                </c:pt>
                <c:pt idx="328">
                  <c:v>8.2694611294871642E-2</c:v>
                </c:pt>
                <c:pt idx="329">
                  <c:v>7.7076847313969937E-2</c:v>
                </c:pt>
                <c:pt idx="330">
                  <c:v>8.4165270467576825E-2</c:v>
                </c:pt>
                <c:pt idx="331">
                  <c:v>7.5990022259480733E-2</c:v>
                </c:pt>
                <c:pt idx="332">
                  <c:v>8.8885682092130686E-2</c:v>
                </c:pt>
                <c:pt idx="333">
                  <c:v>9.1638453972334416E-2</c:v>
                </c:pt>
                <c:pt idx="334">
                  <c:v>8.6397730668996614E-2</c:v>
                </c:pt>
                <c:pt idx="335">
                  <c:v>8.2699259493880586E-2</c:v>
                </c:pt>
                <c:pt idx="336">
                  <c:v>8.207601566329821E-2</c:v>
                </c:pt>
                <c:pt idx="337">
                  <c:v>8.5152388921457947E-2</c:v>
                </c:pt>
                <c:pt idx="338">
                  <c:v>9.0129919924592697E-2</c:v>
                </c:pt>
                <c:pt idx="339">
                  <c:v>9.5422919580505736E-2</c:v>
                </c:pt>
                <c:pt idx="340">
                  <c:v>7.6571901685117627E-2</c:v>
                </c:pt>
                <c:pt idx="341">
                  <c:v>8.1193725710280801E-2</c:v>
                </c:pt>
                <c:pt idx="342">
                  <c:v>8.3769992233490395E-2</c:v>
                </c:pt>
                <c:pt idx="343">
                  <c:v>7.7481816060674294E-2</c:v>
                </c:pt>
                <c:pt idx="344">
                  <c:v>8.6198030306601572E-2</c:v>
                </c:pt>
                <c:pt idx="345">
                  <c:v>9.3318180338864382E-2</c:v>
                </c:pt>
                <c:pt idx="346">
                  <c:v>8.5860980248809796E-2</c:v>
                </c:pt>
                <c:pt idx="347">
                  <c:v>8.8388298196604181E-2</c:v>
                </c:pt>
                <c:pt idx="348">
                  <c:v>7.5232973478785936E-2</c:v>
                </c:pt>
                <c:pt idx="349">
                  <c:v>8.435376576307535E-2</c:v>
                </c:pt>
                <c:pt idx="350">
                  <c:v>9.0967168985529798E-2</c:v>
                </c:pt>
                <c:pt idx="351">
                  <c:v>8.6917632514503657E-2</c:v>
                </c:pt>
                <c:pt idx="352">
                  <c:v>8.0178667632885725E-2</c:v>
                </c:pt>
                <c:pt idx="353">
                  <c:v>9.2068101450673581E-2</c:v>
                </c:pt>
                <c:pt idx="354">
                  <c:v>8.2199288838658555E-2</c:v>
                </c:pt>
                <c:pt idx="355">
                  <c:v>7.4790920839631944E-2</c:v>
                </c:pt>
                <c:pt idx="356">
                  <c:v>8.2651747493619906E-2</c:v>
                </c:pt>
                <c:pt idx="357">
                  <c:v>9.6472116744979589E-2</c:v>
                </c:pt>
                <c:pt idx="358">
                  <c:v>8.2433928460217271E-2</c:v>
                </c:pt>
                <c:pt idx="359">
                  <c:v>8.3245649391403456E-2</c:v>
                </c:pt>
                <c:pt idx="360">
                  <c:v>8.2321952972530879E-2</c:v>
                </c:pt>
                <c:pt idx="361">
                  <c:v>9.0686138242373676E-2</c:v>
                </c:pt>
                <c:pt idx="362">
                  <c:v>8.3941365956580138E-2</c:v>
                </c:pt>
                <c:pt idx="363">
                  <c:v>9.3410764790783737E-2</c:v>
                </c:pt>
                <c:pt idx="364">
                  <c:v>8.8928472975321568E-2</c:v>
                </c:pt>
                <c:pt idx="365">
                  <c:v>8.4446072739428987E-2</c:v>
                </c:pt>
                <c:pt idx="366">
                  <c:v>7.6142799051084384E-2</c:v>
                </c:pt>
                <c:pt idx="367">
                  <c:v>8.1026944368243495E-2</c:v>
                </c:pt>
                <c:pt idx="368">
                  <c:v>8.4905208627632775E-2</c:v>
                </c:pt>
                <c:pt idx="369">
                  <c:v>8.4287048898345832E-2</c:v>
                </c:pt>
                <c:pt idx="370">
                  <c:v>9.2647191047782559E-2</c:v>
                </c:pt>
                <c:pt idx="371">
                  <c:v>8.2650620143406212E-2</c:v>
                </c:pt>
                <c:pt idx="372">
                  <c:v>9.7188629465386034E-2</c:v>
                </c:pt>
                <c:pt idx="373">
                  <c:v>8.8997238541283635E-2</c:v>
                </c:pt>
                <c:pt idx="374">
                  <c:v>0.10011118156212345</c:v>
                </c:pt>
                <c:pt idx="375">
                  <c:v>8.1034544754107429E-2</c:v>
                </c:pt>
                <c:pt idx="376">
                  <c:v>8.6221178742055163E-2</c:v>
                </c:pt>
                <c:pt idx="377">
                  <c:v>8.2493016394797156E-2</c:v>
                </c:pt>
                <c:pt idx="378">
                  <c:v>7.7195821827562766E-2</c:v>
                </c:pt>
                <c:pt idx="379">
                  <c:v>8.4342268456905109E-2</c:v>
                </c:pt>
                <c:pt idx="380">
                  <c:v>7.4957300040668501E-2</c:v>
                </c:pt>
                <c:pt idx="381">
                  <c:v>8.9349398298990121E-2</c:v>
                </c:pt>
                <c:pt idx="382">
                  <c:v>8.2461139953640072E-2</c:v>
                </c:pt>
                <c:pt idx="383">
                  <c:v>8.5882586172974326E-2</c:v>
                </c:pt>
                <c:pt idx="384">
                  <c:v>9.5430329992138407E-2</c:v>
                </c:pt>
                <c:pt idx="385">
                  <c:v>9.6527511881477526E-2</c:v>
                </c:pt>
                <c:pt idx="386">
                  <c:v>8.4893556215678456E-2</c:v>
                </c:pt>
                <c:pt idx="387">
                  <c:v>8.187992777208597E-2</c:v>
                </c:pt>
                <c:pt idx="388">
                  <c:v>7.6935837033870899E-2</c:v>
                </c:pt>
                <c:pt idx="389">
                  <c:v>8.7448257536726595E-2</c:v>
                </c:pt>
                <c:pt idx="390">
                  <c:v>8.3447383544982004E-2</c:v>
                </c:pt>
                <c:pt idx="391">
                  <c:v>8.4558161524496481E-2</c:v>
                </c:pt>
                <c:pt idx="392">
                  <c:v>9.5279491777075315E-2</c:v>
                </c:pt>
                <c:pt idx="393">
                  <c:v>7.159108105208084E-2</c:v>
                </c:pt>
                <c:pt idx="394">
                  <c:v>8.5450727823797645E-2</c:v>
                </c:pt>
                <c:pt idx="395">
                  <c:v>7.975939303510822E-2</c:v>
                </c:pt>
                <c:pt idx="396">
                  <c:v>9.3584388628140183E-2</c:v>
                </c:pt>
                <c:pt idx="397">
                  <c:v>9.2588831433929611E-2</c:v>
                </c:pt>
                <c:pt idx="398">
                  <c:v>7.8286738430329489E-2</c:v>
                </c:pt>
                <c:pt idx="399">
                  <c:v>9.0093271351674581E-2</c:v>
                </c:pt>
                <c:pt idx="400">
                  <c:v>8.1433455099675589E-2</c:v>
                </c:pt>
                <c:pt idx="401">
                  <c:v>8.8762073034929057E-2</c:v>
                </c:pt>
                <c:pt idx="402">
                  <c:v>8.8422181732168884E-2</c:v>
                </c:pt>
                <c:pt idx="403">
                  <c:v>8.6031901142389719E-2</c:v>
                </c:pt>
                <c:pt idx="404">
                  <c:v>8.4419755385576653E-2</c:v>
                </c:pt>
                <c:pt idx="405">
                  <c:v>8.6374899487737716E-2</c:v>
                </c:pt>
                <c:pt idx="406">
                  <c:v>9.0122916495695371E-2</c:v>
                </c:pt>
                <c:pt idx="407">
                  <c:v>8.9639185254527048E-2</c:v>
                </c:pt>
                <c:pt idx="408">
                  <c:v>9.4704264492413134E-2</c:v>
                </c:pt>
                <c:pt idx="409">
                  <c:v>8.3772735353391317E-2</c:v>
                </c:pt>
                <c:pt idx="410">
                  <c:v>9.3156956548558822E-2</c:v>
                </c:pt>
                <c:pt idx="411">
                  <c:v>9.370520325325897E-2</c:v>
                </c:pt>
                <c:pt idx="412">
                  <c:v>8.5250367584048151E-2</c:v>
                </c:pt>
                <c:pt idx="413">
                  <c:v>8.97967590021852E-2</c:v>
                </c:pt>
                <c:pt idx="414">
                  <c:v>9.2010789248509417E-2</c:v>
                </c:pt>
                <c:pt idx="415">
                  <c:v>9.8798188797864561E-2</c:v>
                </c:pt>
                <c:pt idx="416">
                  <c:v>9.1044864938589751E-2</c:v>
                </c:pt>
                <c:pt idx="417">
                  <c:v>9.9616237682557368E-2</c:v>
                </c:pt>
                <c:pt idx="418">
                  <c:v>8.1184122624132646E-2</c:v>
                </c:pt>
                <c:pt idx="419">
                  <c:v>9.701714534355288E-2</c:v>
                </c:pt>
                <c:pt idx="420">
                  <c:v>6.8773257900692511E-2</c:v>
                </c:pt>
                <c:pt idx="421">
                  <c:v>9.3237259666563238E-2</c:v>
                </c:pt>
                <c:pt idx="422">
                  <c:v>0.10003137513640947</c:v>
                </c:pt>
                <c:pt idx="423">
                  <c:v>9.1438126007184123E-2</c:v>
                </c:pt>
                <c:pt idx="424">
                  <c:v>8.8950137102392926E-2</c:v>
                </c:pt>
                <c:pt idx="425">
                  <c:v>8.9575794003998468E-2</c:v>
                </c:pt>
                <c:pt idx="426">
                  <c:v>9.1023901848933608E-2</c:v>
                </c:pt>
                <c:pt idx="427">
                  <c:v>9.2553221191152377E-2</c:v>
                </c:pt>
                <c:pt idx="428">
                  <c:v>8.8589299536249638E-2</c:v>
                </c:pt>
                <c:pt idx="429">
                  <c:v>8.1744584710073662E-2</c:v>
                </c:pt>
                <c:pt idx="430">
                  <c:v>9.6620801000374609E-2</c:v>
                </c:pt>
                <c:pt idx="431">
                  <c:v>9.5081386031140802E-2</c:v>
                </c:pt>
                <c:pt idx="432">
                  <c:v>8.2011004602997789E-2</c:v>
                </c:pt>
                <c:pt idx="433">
                  <c:v>9.3159080617678539E-2</c:v>
                </c:pt>
                <c:pt idx="434">
                  <c:v>8.5786751208665593E-2</c:v>
                </c:pt>
                <c:pt idx="435">
                  <c:v>9.4600470542413814E-2</c:v>
                </c:pt>
                <c:pt idx="436">
                  <c:v>8.6168008280905636E-2</c:v>
                </c:pt>
                <c:pt idx="437">
                  <c:v>7.8523441579656669E-2</c:v>
                </c:pt>
                <c:pt idx="438">
                  <c:v>9.2581679345485127E-2</c:v>
                </c:pt>
                <c:pt idx="439">
                  <c:v>8.8629862124219402E-2</c:v>
                </c:pt>
                <c:pt idx="440">
                  <c:v>8.5780477173479988E-2</c:v>
                </c:pt>
                <c:pt idx="441">
                  <c:v>8.3882845996606337E-2</c:v>
                </c:pt>
                <c:pt idx="442">
                  <c:v>7.2554102894918024E-2</c:v>
                </c:pt>
                <c:pt idx="443">
                  <c:v>8.9864668534469172E-2</c:v>
                </c:pt>
                <c:pt idx="444">
                  <c:v>8.3159765862468871E-2</c:v>
                </c:pt>
                <c:pt idx="445">
                  <c:v>8.3385722695618239E-2</c:v>
                </c:pt>
                <c:pt idx="446">
                  <c:v>6.6215753696104718E-2</c:v>
                </c:pt>
                <c:pt idx="447">
                  <c:v>8.3373419473043525E-2</c:v>
                </c:pt>
                <c:pt idx="448">
                  <c:v>0.10224099933127391</c:v>
                </c:pt>
                <c:pt idx="449">
                  <c:v>9.9789670843073275E-2</c:v>
                </c:pt>
                <c:pt idx="450">
                  <c:v>9.6388656958903099E-2</c:v>
                </c:pt>
                <c:pt idx="451">
                  <c:v>9.0753408229242036E-2</c:v>
                </c:pt>
                <c:pt idx="452">
                  <c:v>7.8311687532488766E-2</c:v>
                </c:pt>
                <c:pt idx="453">
                  <c:v>8.9174723786922552E-2</c:v>
                </c:pt>
                <c:pt idx="454">
                  <c:v>7.0507799858459314E-2</c:v>
                </c:pt>
                <c:pt idx="455">
                  <c:v>0.10194741303621248</c:v>
                </c:pt>
                <c:pt idx="456">
                  <c:v>8.7143861009452969E-2</c:v>
                </c:pt>
                <c:pt idx="457">
                  <c:v>9.2927307519662772E-2</c:v>
                </c:pt>
                <c:pt idx="458">
                  <c:v>9.8570822526580032E-2</c:v>
                </c:pt>
                <c:pt idx="459">
                  <c:v>9.3573339239220565E-2</c:v>
                </c:pt>
                <c:pt idx="460">
                  <c:v>9.3128235352719232E-2</c:v>
                </c:pt>
                <c:pt idx="461">
                  <c:v>8.7081841874787916E-2</c:v>
                </c:pt>
                <c:pt idx="462">
                  <c:v>7.970744909461501E-2</c:v>
                </c:pt>
                <c:pt idx="463">
                  <c:v>9.9719844387112538E-2</c:v>
                </c:pt>
                <c:pt idx="464">
                  <c:v>0.10051217938781672</c:v>
                </c:pt>
                <c:pt idx="465">
                  <c:v>8.8464136067289478E-2</c:v>
                </c:pt>
                <c:pt idx="466">
                  <c:v>8.1663921651625282E-2</c:v>
                </c:pt>
                <c:pt idx="467">
                  <c:v>9.5521369544126322E-2</c:v>
                </c:pt>
                <c:pt idx="468">
                  <c:v>8.425435131447509E-2</c:v>
                </c:pt>
                <c:pt idx="469">
                  <c:v>9.4784449086910028E-2</c:v>
                </c:pt>
                <c:pt idx="470">
                  <c:v>9.7783675315099725E-2</c:v>
                </c:pt>
                <c:pt idx="471">
                  <c:v>9.0132811809909369E-2</c:v>
                </c:pt>
                <c:pt idx="472">
                  <c:v>9.0433787984457573E-2</c:v>
                </c:pt>
                <c:pt idx="473">
                  <c:v>9.5903146651480392E-2</c:v>
                </c:pt>
                <c:pt idx="474">
                  <c:v>0.1016298907096045</c:v>
                </c:pt>
                <c:pt idx="475">
                  <c:v>8.8283549618298235E-2</c:v>
                </c:pt>
                <c:pt idx="476">
                  <c:v>9.398528707177764E-2</c:v>
                </c:pt>
                <c:pt idx="477">
                  <c:v>8.092280576409186E-2</c:v>
                </c:pt>
                <c:pt idx="478">
                  <c:v>9.5114471119824837E-2</c:v>
                </c:pt>
                <c:pt idx="479">
                  <c:v>6.4533064932606923E-2</c:v>
                </c:pt>
                <c:pt idx="480">
                  <c:v>9.6571598296628869E-2</c:v>
                </c:pt>
                <c:pt idx="481">
                  <c:v>9.2452673850095327E-2</c:v>
                </c:pt>
                <c:pt idx="482">
                  <c:v>8.5427726939998241E-2</c:v>
                </c:pt>
                <c:pt idx="483">
                  <c:v>8.2614879810307601E-2</c:v>
                </c:pt>
                <c:pt idx="484">
                  <c:v>8.4337679345040426E-2</c:v>
                </c:pt>
                <c:pt idx="485">
                  <c:v>0.10046117980893556</c:v>
                </c:pt>
                <c:pt idx="486">
                  <c:v>8.7232893977674239E-2</c:v>
                </c:pt>
                <c:pt idx="487">
                  <c:v>8.9419741144179804E-2</c:v>
                </c:pt>
                <c:pt idx="488">
                  <c:v>9.3427549900953588E-2</c:v>
                </c:pt>
                <c:pt idx="489">
                  <c:v>9.2569137146497296E-2</c:v>
                </c:pt>
                <c:pt idx="490">
                  <c:v>8.3366262549626632E-2</c:v>
                </c:pt>
                <c:pt idx="491">
                  <c:v>8.7716843730976019E-2</c:v>
                </c:pt>
                <c:pt idx="492">
                  <c:v>9.1757271224794282E-2</c:v>
                </c:pt>
                <c:pt idx="493">
                  <c:v>9.6319910080126386E-2</c:v>
                </c:pt>
                <c:pt idx="494">
                  <c:v>8.6463726668899787E-2</c:v>
                </c:pt>
                <c:pt idx="495">
                  <c:v>9.2943619408207417E-2</c:v>
                </c:pt>
                <c:pt idx="496">
                  <c:v>9.5978976252310361E-2</c:v>
                </c:pt>
                <c:pt idx="497">
                  <c:v>9.2327294187723577E-2</c:v>
                </c:pt>
                <c:pt idx="498">
                  <c:v>8.9954199117664363E-2</c:v>
                </c:pt>
                <c:pt idx="499">
                  <c:v>8.7413097021459246E-2</c:v>
                </c:pt>
                <c:pt idx="500">
                  <c:v>9.0020173628585914E-2</c:v>
                </c:pt>
                <c:pt idx="501">
                  <c:v>8.8907200212677423E-2</c:v>
                </c:pt>
                <c:pt idx="502">
                  <c:v>8.384522954932308E-2</c:v>
                </c:pt>
                <c:pt idx="503">
                  <c:v>9.943197786023511E-2</c:v>
                </c:pt>
                <c:pt idx="504">
                  <c:v>8.1002359598862747E-2</c:v>
                </c:pt>
                <c:pt idx="505">
                  <c:v>9.3785331269571517E-2</c:v>
                </c:pt>
                <c:pt idx="506">
                  <c:v>9.0029782092619332E-2</c:v>
                </c:pt>
                <c:pt idx="507">
                  <c:v>8.57796139259899E-2</c:v>
                </c:pt>
                <c:pt idx="508">
                  <c:v>8.6287465383103543E-2</c:v>
                </c:pt>
                <c:pt idx="509">
                  <c:v>8.4091974848231874E-2</c:v>
                </c:pt>
                <c:pt idx="510">
                  <c:v>8.2689140614214451E-2</c:v>
                </c:pt>
                <c:pt idx="511">
                  <c:v>8.5986328681992463E-2</c:v>
                </c:pt>
                <c:pt idx="512">
                  <c:v>9.6501894130537696E-2</c:v>
                </c:pt>
                <c:pt idx="513">
                  <c:v>9.5883160027389738E-2</c:v>
                </c:pt>
                <c:pt idx="514">
                  <c:v>7.5482507325777465E-2</c:v>
                </c:pt>
                <c:pt idx="515">
                  <c:v>9.6623085132560724E-2</c:v>
                </c:pt>
                <c:pt idx="516">
                  <c:v>8.8923326228803182E-2</c:v>
                </c:pt>
                <c:pt idx="517">
                  <c:v>9.3574818764633638E-2</c:v>
                </c:pt>
                <c:pt idx="518">
                  <c:v>9.3453419270611085E-2</c:v>
                </c:pt>
                <c:pt idx="519">
                  <c:v>8.9200349941033472E-2</c:v>
                </c:pt>
                <c:pt idx="520">
                  <c:v>8.9808151424563332E-2</c:v>
                </c:pt>
                <c:pt idx="521">
                  <c:v>8.534330273715604E-2</c:v>
                </c:pt>
                <c:pt idx="522">
                  <c:v>9.2971157026706483E-2</c:v>
                </c:pt>
                <c:pt idx="523">
                  <c:v>9.8463017625850802E-2</c:v>
                </c:pt>
                <c:pt idx="524">
                  <c:v>9.995402300083886E-2</c:v>
                </c:pt>
                <c:pt idx="525">
                  <c:v>9.9812566383513074E-2</c:v>
                </c:pt>
                <c:pt idx="526">
                  <c:v>8.6783344375277571E-2</c:v>
                </c:pt>
                <c:pt idx="527">
                  <c:v>8.1377792844466432E-2</c:v>
                </c:pt>
                <c:pt idx="528">
                  <c:v>8.2928857990217625E-2</c:v>
                </c:pt>
                <c:pt idx="529">
                  <c:v>9.0586955221201027E-2</c:v>
                </c:pt>
                <c:pt idx="530">
                  <c:v>8.6772030860739396E-2</c:v>
                </c:pt>
                <c:pt idx="531">
                  <c:v>0.10138401048977586</c:v>
                </c:pt>
                <c:pt idx="532">
                  <c:v>9.205560986966782E-2</c:v>
                </c:pt>
                <c:pt idx="533">
                  <c:v>9.6549414099881298E-2</c:v>
                </c:pt>
                <c:pt idx="534">
                  <c:v>9.5354574729159439E-2</c:v>
                </c:pt>
                <c:pt idx="535">
                  <c:v>8.7897472063592316E-2</c:v>
                </c:pt>
                <c:pt idx="536">
                  <c:v>0.10255776888991028</c:v>
                </c:pt>
                <c:pt idx="537">
                  <c:v>9.0104152625079606E-2</c:v>
                </c:pt>
                <c:pt idx="538">
                  <c:v>8.9278721835517369E-2</c:v>
                </c:pt>
                <c:pt idx="539">
                  <c:v>8.5053778338466737E-2</c:v>
                </c:pt>
                <c:pt idx="540">
                  <c:v>7.9127954006499759E-2</c:v>
                </c:pt>
                <c:pt idx="541">
                  <c:v>8.8349768293648878E-2</c:v>
                </c:pt>
                <c:pt idx="542">
                  <c:v>8.788966967012099E-2</c:v>
                </c:pt>
                <c:pt idx="543">
                  <c:v>8.303740409905061E-2</c:v>
                </c:pt>
                <c:pt idx="544">
                  <c:v>9.3848822895662751E-2</c:v>
                </c:pt>
                <c:pt idx="545">
                  <c:v>8.7000238882422309E-2</c:v>
                </c:pt>
                <c:pt idx="546">
                  <c:v>7.5124254001492877E-2</c:v>
                </c:pt>
                <c:pt idx="547">
                  <c:v>9.6957911018368426E-2</c:v>
                </c:pt>
                <c:pt idx="548">
                  <c:v>0.10296998185048288</c:v>
                </c:pt>
                <c:pt idx="549">
                  <c:v>9.9446079868509341E-2</c:v>
                </c:pt>
                <c:pt idx="550">
                  <c:v>8.8993588019913333E-2</c:v>
                </c:pt>
                <c:pt idx="551">
                  <c:v>8.6105972478535894E-2</c:v>
                </c:pt>
                <c:pt idx="552">
                  <c:v>8.2583129733831168E-2</c:v>
                </c:pt>
                <c:pt idx="553">
                  <c:v>9.8510884655334405E-2</c:v>
                </c:pt>
                <c:pt idx="554">
                  <c:v>8.5356687109368931E-2</c:v>
                </c:pt>
                <c:pt idx="555">
                  <c:v>7.1653892954597426E-2</c:v>
                </c:pt>
                <c:pt idx="556">
                  <c:v>7.7751515110891276E-2</c:v>
                </c:pt>
                <c:pt idx="557">
                  <c:v>0.10136120250415881</c:v>
                </c:pt>
                <c:pt idx="558">
                  <c:v>8.6776121170965267E-2</c:v>
                </c:pt>
                <c:pt idx="559">
                  <c:v>0.10117945991163857</c:v>
                </c:pt>
                <c:pt idx="560">
                  <c:v>9.7093049487754379E-2</c:v>
                </c:pt>
                <c:pt idx="561">
                  <c:v>9.5180801114621169E-2</c:v>
                </c:pt>
                <c:pt idx="562">
                  <c:v>8.8012234784800858E-2</c:v>
                </c:pt>
                <c:pt idx="563">
                  <c:v>0.10069176904216059</c:v>
                </c:pt>
                <c:pt idx="564">
                  <c:v>9.3347327701985866E-2</c:v>
                </c:pt>
                <c:pt idx="565">
                  <c:v>8.3089925660155606E-2</c:v>
                </c:pt>
                <c:pt idx="566">
                  <c:v>8.4156832328923792E-2</c:v>
                </c:pt>
                <c:pt idx="567">
                  <c:v>9.3109711979228418E-2</c:v>
                </c:pt>
                <c:pt idx="568">
                  <c:v>8.9780233787606786E-2</c:v>
                </c:pt>
                <c:pt idx="569">
                  <c:v>9.9939325362382744E-2</c:v>
                </c:pt>
                <c:pt idx="570">
                  <c:v>8.9867484951359961E-2</c:v>
                </c:pt>
                <c:pt idx="571">
                  <c:v>8.4807726901604194E-2</c:v>
                </c:pt>
                <c:pt idx="572">
                  <c:v>8.1027591963063653E-2</c:v>
                </c:pt>
                <c:pt idx="573">
                  <c:v>9.7863579616681476E-2</c:v>
                </c:pt>
                <c:pt idx="574">
                  <c:v>7.9251933992912055E-2</c:v>
                </c:pt>
                <c:pt idx="575">
                  <c:v>8.3901160927799076E-2</c:v>
                </c:pt>
                <c:pt idx="576">
                  <c:v>7.9234827910951378E-2</c:v>
                </c:pt>
                <c:pt idx="577">
                  <c:v>9.8576915608352397E-2</c:v>
                </c:pt>
                <c:pt idx="578">
                  <c:v>9.3014192909385895E-2</c:v>
                </c:pt>
                <c:pt idx="579">
                  <c:v>0.10031637345884367</c:v>
                </c:pt>
                <c:pt idx="580">
                  <c:v>9.9196641447032066E-2</c:v>
                </c:pt>
                <c:pt idx="581">
                  <c:v>7.8092780957499705E-2</c:v>
                </c:pt>
                <c:pt idx="582">
                  <c:v>9.9038413459431152E-2</c:v>
                </c:pt>
                <c:pt idx="583">
                  <c:v>9.0766344733508322E-2</c:v>
                </c:pt>
                <c:pt idx="584">
                  <c:v>9.4803588411438364E-2</c:v>
                </c:pt>
                <c:pt idx="585">
                  <c:v>8.0785640302281386E-2</c:v>
                </c:pt>
                <c:pt idx="586">
                  <c:v>8.6057394527829817E-2</c:v>
                </c:pt>
                <c:pt idx="587">
                  <c:v>9.328793766095117E-2</c:v>
                </c:pt>
                <c:pt idx="588">
                  <c:v>8.4643052947859843E-2</c:v>
                </c:pt>
                <c:pt idx="589">
                  <c:v>8.9377911550063416E-2</c:v>
                </c:pt>
                <c:pt idx="590">
                  <c:v>8.7558616145512386E-2</c:v>
                </c:pt>
                <c:pt idx="591">
                  <c:v>9.3696859685549361E-2</c:v>
                </c:pt>
                <c:pt idx="592">
                  <c:v>7.5631999102337186E-2</c:v>
                </c:pt>
                <c:pt idx="593">
                  <c:v>8.5002502222270487E-2</c:v>
                </c:pt>
                <c:pt idx="594">
                  <c:v>8.4984021924908351E-2</c:v>
                </c:pt>
                <c:pt idx="595">
                  <c:v>9.9804026520012912E-2</c:v>
                </c:pt>
                <c:pt idx="596">
                  <c:v>8.9929706113733743E-2</c:v>
                </c:pt>
                <c:pt idx="597">
                  <c:v>9.845300599661462E-2</c:v>
                </c:pt>
                <c:pt idx="598">
                  <c:v>0.10178915974121661</c:v>
                </c:pt>
                <c:pt idx="599">
                  <c:v>9.3706819231929986E-2</c:v>
                </c:pt>
                <c:pt idx="600">
                  <c:v>0.1034907390737851</c:v>
                </c:pt>
                <c:pt idx="601">
                  <c:v>9.7811988387653218E-2</c:v>
                </c:pt>
                <c:pt idx="602">
                  <c:v>8.9663575029884202E-2</c:v>
                </c:pt>
                <c:pt idx="603">
                  <c:v>9.7938963939353432E-2</c:v>
                </c:pt>
                <c:pt idx="604">
                  <c:v>7.4262088479810084E-2</c:v>
                </c:pt>
                <c:pt idx="605">
                  <c:v>0.10209722956600546</c:v>
                </c:pt>
                <c:pt idx="606">
                  <c:v>0.10145304586375342</c:v>
                </c:pt>
                <c:pt idx="607">
                  <c:v>8.3373463481852886E-2</c:v>
                </c:pt>
                <c:pt idx="608">
                  <c:v>8.8263948581363966E-2</c:v>
                </c:pt>
                <c:pt idx="609">
                  <c:v>8.2790005398249891E-2</c:v>
                </c:pt>
                <c:pt idx="610">
                  <c:v>9.0864649912038714E-2</c:v>
                </c:pt>
                <c:pt idx="611">
                  <c:v>0.10224116058533864</c:v>
                </c:pt>
                <c:pt idx="612">
                  <c:v>8.0261787905641938E-2</c:v>
                </c:pt>
                <c:pt idx="613">
                  <c:v>0.10203197611317391</c:v>
                </c:pt>
                <c:pt idx="614">
                  <c:v>9.0999864925012025E-2</c:v>
                </c:pt>
                <c:pt idx="615">
                  <c:v>0.1012901523427442</c:v>
                </c:pt>
                <c:pt idx="616">
                  <c:v>8.7612366885381834E-2</c:v>
                </c:pt>
                <c:pt idx="617">
                  <c:v>9.8055608838469102E-2</c:v>
                </c:pt>
                <c:pt idx="618">
                  <c:v>8.7237023158380764E-2</c:v>
                </c:pt>
                <c:pt idx="619">
                  <c:v>9.128602956385902E-2</c:v>
                </c:pt>
                <c:pt idx="620">
                  <c:v>9.0105441318489798E-2</c:v>
                </c:pt>
                <c:pt idx="621">
                  <c:v>8.5715711488223462E-2</c:v>
                </c:pt>
                <c:pt idx="622">
                  <c:v>6.7838954231387028E-2</c:v>
                </c:pt>
                <c:pt idx="623">
                  <c:v>8.5107670518350137E-2</c:v>
                </c:pt>
                <c:pt idx="624">
                  <c:v>9.3426299458352902E-2</c:v>
                </c:pt>
                <c:pt idx="625">
                  <c:v>0.1076799475275101</c:v>
                </c:pt>
                <c:pt idx="626">
                  <c:v>7.56037748933545E-2</c:v>
                </c:pt>
                <c:pt idx="627">
                  <c:v>0.1032970744113864</c:v>
                </c:pt>
                <c:pt idx="628">
                  <c:v>0.10605913509515084</c:v>
                </c:pt>
                <c:pt idx="629">
                  <c:v>9.2674308230949562E-2</c:v>
                </c:pt>
                <c:pt idx="630">
                  <c:v>8.7078086965344331E-2</c:v>
                </c:pt>
                <c:pt idx="631">
                  <c:v>0.10277332725009952</c:v>
                </c:pt>
                <c:pt idx="632">
                  <c:v>0.10323270064195536</c:v>
                </c:pt>
                <c:pt idx="633">
                  <c:v>9.5235141487563582E-2</c:v>
                </c:pt>
                <c:pt idx="634">
                  <c:v>0.10547226442713958</c:v>
                </c:pt>
                <c:pt idx="635">
                  <c:v>9.1062172376006889E-2</c:v>
                </c:pt>
                <c:pt idx="636">
                  <c:v>0.10710707204913424</c:v>
                </c:pt>
                <c:pt idx="637">
                  <c:v>8.2737350921654532E-2</c:v>
                </c:pt>
                <c:pt idx="638">
                  <c:v>8.4919557313603233E-2</c:v>
                </c:pt>
                <c:pt idx="639">
                  <c:v>9.0493836505320405E-2</c:v>
                </c:pt>
                <c:pt idx="640">
                  <c:v>8.4806467328174415E-2</c:v>
                </c:pt>
                <c:pt idx="641">
                  <c:v>8.0349176606026154E-2</c:v>
                </c:pt>
                <c:pt idx="642">
                  <c:v>8.590478683662596E-2</c:v>
                </c:pt>
                <c:pt idx="643">
                  <c:v>8.8277846386807357E-2</c:v>
                </c:pt>
                <c:pt idx="644">
                  <c:v>9.5624234975773506E-2</c:v>
                </c:pt>
                <c:pt idx="645">
                  <c:v>8.8209197927745689E-2</c:v>
                </c:pt>
                <c:pt idx="646">
                  <c:v>0.1038129649256887</c:v>
                </c:pt>
                <c:pt idx="647">
                  <c:v>7.5967541514175396E-2</c:v>
                </c:pt>
                <c:pt idx="648">
                  <c:v>0.10312146022751013</c:v>
                </c:pt>
                <c:pt idx="649">
                  <c:v>9.1076823506066384E-2</c:v>
                </c:pt>
                <c:pt idx="650">
                  <c:v>9.4060694006613807E-2</c:v>
                </c:pt>
                <c:pt idx="651">
                  <c:v>9.9797932026292974E-2</c:v>
                </c:pt>
                <c:pt idx="652">
                  <c:v>9.2096325833182405E-2</c:v>
                </c:pt>
                <c:pt idx="653">
                  <c:v>9.0096859063188123E-2</c:v>
                </c:pt>
                <c:pt idx="654">
                  <c:v>8.7212025995103012E-2</c:v>
                </c:pt>
                <c:pt idx="655">
                  <c:v>7.8632857324516914E-2</c:v>
                </c:pt>
                <c:pt idx="656">
                  <c:v>8.2618694808876028E-2</c:v>
                </c:pt>
                <c:pt idx="657">
                  <c:v>8.758627751804457E-2</c:v>
                </c:pt>
                <c:pt idx="658">
                  <c:v>8.2023856103661419E-2</c:v>
                </c:pt>
                <c:pt idx="659">
                  <c:v>9.7850708835170552E-2</c:v>
                </c:pt>
                <c:pt idx="660">
                  <c:v>9.796107393382901E-2</c:v>
                </c:pt>
                <c:pt idx="661">
                  <c:v>0.10399889720440224</c:v>
                </c:pt>
                <c:pt idx="662">
                  <c:v>0.10855583960530203</c:v>
                </c:pt>
                <c:pt idx="663">
                  <c:v>7.7115271290233794E-2</c:v>
                </c:pt>
                <c:pt idx="664">
                  <c:v>8.9351112325983972E-2</c:v>
                </c:pt>
                <c:pt idx="665">
                  <c:v>9.2076802941559649E-2</c:v>
                </c:pt>
                <c:pt idx="666">
                  <c:v>0.10878873338296297</c:v>
                </c:pt>
                <c:pt idx="667">
                  <c:v>9.4431181058112434E-2</c:v>
                </c:pt>
                <c:pt idx="668">
                  <c:v>0.10308633447787791</c:v>
                </c:pt>
                <c:pt idx="669">
                  <c:v>0.10229684691712226</c:v>
                </c:pt>
                <c:pt idx="670">
                  <c:v>8.6733696684902106E-2</c:v>
                </c:pt>
                <c:pt idx="671">
                  <c:v>9.672828919047001E-2</c:v>
                </c:pt>
                <c:pt idx="672">
                  <c:v>0.10080589817084813</c:v>
                </c:pt>
                <c:pt idx="673">
                  <c:v>8.6369290608726959E-2</c:v>
                </c:pt>
                <c:pt idx="674">
                  <c:v>8.8600204968437013E-2</c:v>
                </c:pt>
                <c:pt idx="675">
                  <c:v>9.1167180046491089E-2</c:v>
                </c:pt>
                <c:pt idx="676">
                  <c:v>9.259180894341193E-2</c:v>
                </c:pt>
                <c:pt idx="677">
                  <c:v>8.8049461948454477E-2</c:v>
                </c:pt>
                <c:pt idx="678">
                  <c:v>0.104093302246669</c:v>
                </c:pt>
                <c:pt idx="679">
                  <c:v>8.9191202305690609E-2</c:v>
                </c:pt>
                <c:pt idx="680">
                  <c:v>9.484090560461525E-2</c:v>
                </c:pt>
                <c:pt idx="681">
                  <c:v>8.5249480042797685E-2</c:v>
                </c:pt>
                <c:pt idx="682">
                  <c:v>0.10564409037711288</c:v>
                </c:pt>
                <c:pt idx="683">
                  <c:v>9.4263381108685443E-2</c:v>
                </c:pt>
                <c:pt idx="684">
                  <c:v>9.6658079756948359E-2</c:v>
                </c:pt>
                <c:pt idx="685">
                  <c:v>8.9337277849296973E-2</c:v>
                </c:pt>
                <c:pt idx="686">
                  <c:v>9.7656062435052426E-2</c:v>
                </c:pt>
                <c:pt idx="687">
                  <c:v>8.4198220990482603E-2</c:v>
                </c:pt>
                <c:pt idx="688">
                  <c:v>0.10163505195671313</c:v>
                </c:pt>
                <c:pt idx="689">
                  <c:v>9.7284174751985419E-2</c:v>
                </c:pt>
                <c:pt idx="690">
                  <c:v>8.750172396464341E-2</c:v>
                </c:pt>
                <c:pt idx="691">
                  <c:v>8.7154575748160795E-2</c:v>
                </c:pt>
                <c:pt idx="692">
                  <c:v>8.5067613324590313E-2</c:v>
                </c:pt>
                <c:pt idx="693">
                  <c:v>0.10428740884366808</c:v>
                </c:pt>
                <c:pt idx="694">
                  <c:v>8.7732466828735756E-2</c:v>
                </c:pt>
                <c:pt idx="695">
                  <c:v>9.0886300342756354E-2</c:v>
                </c:pt>
                <c:pt idx="696">
                  <c:v>9.1299332386460083E-2</c:v>
                </c:pt>
                <c:pt idx="697">
                  <c:v>8.275367422324223E-2</c:v>
                </c:pt>
                <c:pt idx="698">
                  <c:v>0.10229780923855915</c:v>
                </c:pt>
                <c:pt idx="699">
                  <c:v>9.1532487236152635E-2</c:v>
                </c:pt>
                <c:pt idx="700">
                  <c:v>7.8410553424245605E-2</c:v>
                </c:pt>
                <c:pt idx="701">
                  <c:v>0.10647862630080449</c:v>
                </c:pt>
                <c:pt idx="702">
                  <c:v>7.6158887050298399E-2</c:v>
                </c:pt>
                <c:pt idx="703">
                  <c:v>9.8660054324339788E-2</c:v>
                </c:pt>
                <c:pt idx="704">
                  <c:v>8.8287191394242071E-2</c:v>
                </c:pt>
                <c:pt idx="705">
                  <c:v>9.7981334460607472E-2</c:v>
                </c:pt>
                <c:pt idx="706">
                  <c:v>0.1022171815807182</c:v>
                </c:pt>
                <c:pt idx="707">
                  <c:v>0.10178025467172945</c:v>
                </c:pt>
                <c:pt idx="708">
                  <c:v>8.0795499563609319E-2</c:v>
                </c:pt>
                <c:pt idx="709">
                  <c:v>9.8513921130603435E-2</c:v>
                </c:pt>
                <c:pt idx="710">
                  <c:v>8.8962379192962598E-2</c:v>
                </c:pt>
                <c:pt idx="711">
                  <c:v>8.5099964716526644E-2</c:v>
                </c:pt>
                <c:pt idx="712">
                  <c:v>0.1049006397716771</c:v>
                </c:pt>
                <c:pt idx="713">
                  <c:v>8.923123210126907E-2</c:v>
                </c:pt>
                <c:pt idx="714">
                  <c:v>8.6897532669089964E-2</c:v>
                </c:pt>
                <c:pt idx="715">
                  <c:v>9.2261429083404442E-2</c:v>
                </c:pt>
                <c:pt idx="716">
                  <c:v>9.8034407605531601E-2</c:v>
                </c:pt>
                <c:pt idx="717">
                  <c:v>0.10850431154684814</c:v>
                </c:pt>
                <c:pt idx="718">
                  <c:v>7.2580037839543157E-2</c:v>
                </c:pt>
                <c:pt idx="719">
                  <c:v>0.107205852385564</c:v>
                </c:pt>
                <c:pt idx="720">
                  <c:v>0.10405766670654276</c:v>
                </c:pt>
                <c:pt idx="721">
                  <c:v>9.9089841745182095E-2</c:v>
                </c:pt>
                <c:pt idx="722">
                  <c:v>0.11353356867040292</c:v>
                </c:pt>
                <c:pt idx="723">
                  <c:v>0.1000681935037457</c:v>
                </c:pt>
                <c:pt idx="724">
                  <c:v>9.4261818998721228E-2</c:v>
                </c:pt>
                <c:pt idx="725">
                  <c:v>0.10289561657989738</c:v>
                </c:pt>
                <c:pt idx="726">
                  <c:v>9.8510122047299475E-2</c:v>
                </c:pt>
                <c:pt idx="727">
                  <c:v>7.8601185275236463E-2</c:v>
                </c:pt>
                <c:pt idx="728">
                  <c:v>9.4001131021397677E-2</c:v>
                </c:pt>
                <c:pt idx="729">
                  <c:v>0.10095983253344044</c:v>
                </c:pt>
                <c:pt idx="730">
                  <c:v>9.7887665070625754E-2</c:v>
                </c:pt>
                <c:pt idx="731">
                  <c:v>9.2711207215063235E-2</c:v>
                </c:pt>
                <c:pt idx="732">
                  <c:v>9.4678076165982006E-2</c:v>
                </c:pt>
                <c:pt idx="733">
                  <c:v>8.7168385622922603E-2</c:v>
                </c:pt>
                <c:pt idx="734">
                  <c:v>0.10001907644550451</c:v>
                </c:pt>
                <c:pt idx="735">
                  <c:v>9.7437778046550613E-2</c:v>
                </c:pt>
                <c:pt idx="736">
                  <c:v>8.6040934041414358E-2</c:v>
                </c:pt>
                <c:pt idx="737">
                  <c:v>8.0421254041067147E-2</c:v>
                </c:pt>
                <c:pt idx="738">
                  <c:v>9.060944917440468E-2</c:v>
                </c:pt>
                <c:pt idx="739">
                  <c:v>8.8574748553539209E-2</c:v>
                </c:pt>
                <c:pt idx="740">
                  <c:v>0.10820629593246167</c:v>
                </c:pt>
                <c:pt idx="741">
                  <c:v>8.8824391266086433E-2</c:v>
                </c:pt>
                <c:pt idx="742">
                  <c:v>8.2105732901993314E-2</c:v>
                </c:pt>
                <c:pt idx="743">
                  <c:v>8.7251679815969221E-2</c:v>
                </c:pt>
                <c:pt idx="744">
                  <c:v>7.8374476615941685E-2</c:v>
                </c:pt>
                <c:pt idx="745">
                  <c:v>8.7724990200205147E-2</c:v>
                </c:pt>
                <c:pt idx="746">
                  <c:v>8.3935617202894122E-2</c:v>
                </c:pt>
                <c:pt idx="747">
                  <c:v>9.5412419127070658E-2</c:v>
                </c:pt>
                <c:pt idx="748">
                  <c:v>9.3799132898345183E-2</c:v>
                </c:pt>
                <c:pt idx="749">
                  <c:v>8.3711557258391578E-2</c:v>
                </c:pt>
                <c:pt idx="750">
                  <c:v>8.0654724698411479E-2</c:v>
                </c:pt>
                <c:pt idx="751">
                  <c:v>8.5667701797054838E-2</c:v>
                </c:pt>
                <c:pt idx="752">
                  <c:v>8.1144861685273018E-2</c:v>
                </c:pt>
                <c:pt idx="753">
                  <c:v>8.5963662067027671E-2</c:v>
                </c:pt>
                <c:pt idx="754">
                  <c:v>8.9500317460291176E-2</c:v>
                </c:pt>
                <c:pt idx="755">
                  <c:v>8.8494603021452109E-2</c:v>
                </c:pt>
                <c:pt idx="756">
                  <c:v>8.9344499960911372E-2</c:v>
                </c:pt>
                <c:pt idx="757">
                  <c:v>9.5039718635675827E-2</c:v>
                </c:pt>
                <c:pt idx="758">
                  <c:v>8.8207380019807768E-2</c:v>
                </c:pt>
                <c:pt idx="759">
                  <c:v>8.4272703265240265E-2</c:v>
                </c:pt>
                <c:pt idx="760">
                  <c:v>0.10578941401737221</c:v>
                </c:pt>
                <c:pt idx="761">
                  <c:v>9.0668024533515551E-2</c:v>
                </c:pt>
                <c:pt idx="762">
                  <c:v>8.8871186151715686E-2</c:v>
                </c:pt>
                <c:pt idx="763">
                  <c:v>8.9252737022337242E-2</c:v>
                </c:pt>
                <c:pt idx="764">
                  <c:v>8.9175929011850355E-2</c:v>
                </c:pt>
                <c:pt idx="765">
                  <c:v>9.9630741383559845E-2</c:v>
                </c:pt>
                <c:pt idx="766">
                  <c:v>9.3599460397906925E-2</c:v>
                </c:pt>
                <c:pt idx="767">
                  <c:v>0.10472880804704265</c:v>
                </c:pt>
                <c:pt idx="768">
                  <c:v>8.8402679515858049E-2</c:v>
                </c:pt>
                <c:pt idx="769">
                  <c:v>0.10824949696062645</c:v>
                </c:pt>
                <c:pt idx="770">
                  <c:v>9.001766202770857E-2</c:v>
                </c:pt>
                <c:pt idx="771">
                  <c:v>9.0151143733471245E-2</c:v>
                </c:pt>
                <c:pt idx="772">
                  <c:v>9.5163555400542124E-2</c:v>
                </c:pt>
                <c:pt idx="773">
                  <c:v>0.1010583261253415</c:v>
                </c:pt>
                <c:pt idx="774">
                  <c:v>7.2259674899144546E-2</c:v>
                </c:pt>
                <c:pt idx="775">
                  <c:v>9.4213233997134174E-2</c:v>
                </c:pt>
                <c:pt idx="776">
                  <c:v>0.1008383004452921</c:v>
                </c:pt>
                <c:pt idx="777">
                  <c:v>8.4637183096606838E-2</c:v>
                </c:pt>
                <c:pt idx="778">
                  <c:v>8.284332506723481E-2</c:v>
                </c:pt>
                <c:pt idx="779">
                  <c:v>8.654045878949651E-2</c:v>
                </c:pt>
                <c:pt idx="780">
                  <c:v>9.849088574652555E-2</c:v>
                </c:pt>
                <c:pt idx="781">
                  <c:v>0.10449164620373867</c:v>
                </c:pt>
                <c:pt idx="782">
                  <c:v>9.618149071502434E-2</c:v>
                </c:pt>
                <c:pt idx="783">
                  <c:v>9.7142852201474839E-2</c:v>
                </c:pt>
                <c:pt idx="784">
                  <c:v>9.6151737796935505E-2</c:v>
                </c:pt>
                <c:pt idx="785">
                  <c:v>8.9463772984844869E-2</c:v>
                </c:pt>
                <c:pt idx="786">
                  <c:v>0.1006966186720404</c:v>
                </c:pt>
                <c:pt idx="787">
                  <c:v>9.3804889758548268E-2</c:v>
                </c:pt>
                <c:pt idx="788">
                  <c:v>0.10779711264346903</c:v>
                </c:pt>
                <c:pt idx="789">
                  <c:v>9.2298694203865328E-2</c:v>
                </c:pt>
                <c:pt idx="790">
                  <c:v>0.10251811072472347</c:v>
                </c:pt>
                <c:pt idx="791">
                  <c:v>9.1514640264528851E-2</c:v>
                </c:pt>
                <c:pt idx="792">
                  <c:v>8.5480955136032447E-2</c:v>
                </c:pt>
                <c:pt idx="793">
                  <c:v>0.1105957849503432</c:v>
                </c:pt>
                <c:pt idx="794">
                  <c:v>0.111538292068263</c:v>
                </c:pt>
                <c:pt idx="795">
                  <c:v>9.4647537767086662E-2</c:v>
                </c:pt>
                <c:pt idx="796">
                  <c:v>9.8734494133916523E-2</c:v>
                </c:pt>
                <c:pt idx="797">
                  <c:v>8.4627858154278979E-2</c:v>
                </c:pt>
                <c:pt idx="798">
                  <c:v>9.121730890358519E-2</c:v>
                </c:pt>
                <c:pt idx="799">
                  <c:v>9.7413890853112112E-2</c:v>
                </c:pt>
                <c:pt idx="800">
                  <c:v>0.1075359740029361</c:v>
                </c:pt>
                <c:pt idx="801">
                  <c:v>8.7901541210857109E-2</c:v>
                </c:pt>
                <c:pt idx="802">
                  <c:v>9.1075508128554333E-2</c:v>
                </c:pt>
                <c:pt idx="803">
                  <c:v>8.8102041476769324E-2</c:v>
                </c:pt>
                <c:pt idx="804">
                  <c:v>0.10936463920238185</c:v>
                </c:pt>
                <c:pt idx="805">
                  <c:v>0.10182289032468482</c:v>
                </c:pt>
                <c:pt idx="806">
                  <c:v>8.8333752570486285E-2</c:v>
                </c:pt>
                <c:pt idx="807">
                  <c:v>0.10536575298223559</c:v>
                </c:pt>
                <c:pt idx="808">
                  <c:v>9.4320606992552E-2</c:v>
                </c:pt>
                <c:pt idx="809">
                  <c:v>8.8933804123796159E-2</c:v>
                </c:pt>
                <c:pt idx="810">
                  <c:v>9.5284529624920941E-2</c:v>
                </c:pt>
                <c:pt idx="811">
                  <c:v>0.10224487989094549</c:v>
                </c:pt>
                <c:pt idx="812">
                  <c:v>0.10485172970500957</c:v>
                </c:pt>
                <c:pt idx="813">
                  <c:v>9.6329133447891027E-2</c:v>
                </c:pt>
                <c:pt idx="814">
                  <c:v>8.6739019575287832E-2</c:v>
                </c:pt>
                <c:pt idx="815">
                  <c:v>9.5700937351590853E-2</c:v>
                </c:pt>
                <c:pt idx="816">
                  <c:v>9.1292125002691113E-2</c:v>
                </c:pt>
                <c:pt idx="817">
                  <c:v>6.7536427125644977E-2</c:v>
                </c:pt>
                <c:pt idx="818">
                  <c:v>8.9544761616949756E-2</c:v>
                </c:pt>
                <c:pt idx="819">
                  <c:v>0.10284005738414159</c:v>
                </c:pt>
                <c:pt idx="820">
                  <c:v>0.10931376062347334</c:v>
                </c:pt>
                <c:pt idx="821">
                  <c:v>8.9664376059835751E-2</c:v>
                </c:pt>
                <c:pt idx="822">
                  <c:v>9.5264400091684992E-2</c:v>
                </c:pt>
                <c:pt idx="823">
                  <c:v>0.10847594892662969</c:v>
                </c:pt>
                <c:pt idx="824">
                  <c:v>7.7273008430439313E-2</c:v>
                </c:pt>
                <c:pt idx="825">
                  <c:v>8.7207384475586611E-2</c:v>
                </c:pt>
                <c:pt idx="826">
                  <c:v>0.11028493446382988</c:v>
                </c:pt>
                <c:pt idx="827">
                  <c:v>8.5753194663837046E-2</c:v>
                </c:pt>
                <c:pt idx="828">
                  <c:v>0.11884918357052542</c:v>
                </c:pt>
                <c:pt idx="829">
                  <c:v>9.4394584402468035E-2</c:v>
                </c:pt>
                <c:pt idx="830">
                  <c:v>9.4560750848273964E-2</c:v>
                </c:pt>
                <c:pt idx="831">
                  <c:v>8.9414832049412266E-2</c:v>
                </c:pt>
                <c:pt idx="832">
                  <c:v>0.10169721596215092</c:v>
                </c:pt>
                <c:pt idx="833">
                  <c:v>9.5885378818627839E-2</c:v>
                </c:pt>
                <c:pt idx="834">
                  <c:v>9.9044133880989718E-2</c:v>
                </c:pt>
                <c:pt idx="835">
                  <c:v>9.1350070228018138E-2</c:v>
                </c:pt>
                <c:pt idx="836">
                  <c:v>0.10518259036365514</c:v>
                </c:pt>
                <c:pt idx="837">
                  <c:v>8.8954748994435423E-2</c:v>
                </c:pt>
                <c:pt idx="838">
                  <c:v>9.6759211766625164E-2</c:v>
                </c:pt>
                <c:pt idx="839">
                  <c:v>0.10122110078926301</c:v>
                </c:pt>
                <c:pt idx="840">
                  <c:v>8.5142523656735664E-2</c:v>
                </c:pt>
                <c:pt idx="841">
                  <c:v>8.0109549527894369E-2</c:v>
                </c:pt>
                <c:pt idx="842">
                  <c:v>9.1230736827392911E-2</c:v>
                </c:pt>
                <c:pt idx="843">
                  <c:v>0.10911880906056218</c:v>
                </c:pt>
                <c:pt idx="844">
                  <c:v>9.1194197627548323E-2</c:v>
                </c:pt>
                <c:pt idx="845">
                  <c:v>9.4903728312101213E-2</c:v>
                </c:pt>
                <c:pt idx="846">
                  <c:v>8.4936363229479978E-2</c:v>
                </c:pt>
                <c:pt idx="847">
                  <c:v>9.288752919841449E-2</c:v>
                </c:pt>
                <c:pt idx="848">
                  <c:v>0.10380691137489684</c:v>
                </c:pt>
                <c:pt idx="849">
                  <c:v>8.6161422646360522E-2</c:v>
                </c:pt>
                <c:pt idx="850">
                  <c:v>7.8633618690687745E-2</c:v>
                </c:pt>
                <c:pt idx="851">
                  <c:v>0.11392514876054363</c:v>
                </c:pt>
                <c:pt idx="852">
                  <c:v>0.10589743795634705</c:v>
                </c:pt>
                <c:pt idx="853">
                  <c:v>0.11150860844795103</c:v>
                </c:pt>
                <c:pt idx="854">
                  <c:v>9.1658886797529482E-2</c:v>
                </c:pt>
                <c:pt idx="855">
                  <c:v>0.10185646758707793</c:v>
                </c:pt>
                <c:pt idx="856">
                  <c:v>0.10735591128448636</c:v>
                </c:pt>
                <c:pt idx="857">
                  <c:v>8.6530618735689721E-2</c:v>
                </c:pt>
                <c:pt idx="858">
                  <c:v>8.0087446174059607E-2</c:v>
                </c:pt>
                <c:pt idx="859">
                  <c:v>9.7959546450480536E-2</c:v>
                </c:pt>
                <c:pt idx="860">
                  <c:v>8.9587500825743266E-2</c:v>
                </c:pt>
                <c:pt idx="861">
                  <c:v>9.6789228543030972E-2</c:v>
                </c:pt>
                <c:pt idx="862">
                  <c:v>0.11365564008420632</c:v>
                </c:pt>
                <c:pt idx="863">
                  <c:v>9.4109893878053685E-2</c:v>
                </c:pt>
                <c:pt idx="864">
                  <c:v>9.5346379421061653E-2</c:v>
                </c:pt>
                <c:pt idx="865">
                  <c:v>9.7866951833432164E-2</c:v>
                </c:pt>
                <c:pt idx="866">
                  <c:v>0.10074417133002041</c:v>
                </c:pt>
                <c:pt idx="867">
                  <c:v>9.0079268269276994E-2</c:v>
                </c:pt>
                <c:pt idx="868">
                  <c:v>8.2899027664940061E-2</c:v>
                </c:pt>
                <c:pt idx="869">
                  <c:v>0.10361090437590738</c:v>
                </c:pt>
                <c:pt idx="870">
                  <c:v>9.1354084238769964E-2</c:v>
                </c:pt>
                <c:pt idx="871">
                  <c:v>8.4181293596498494E-2</c:v>
                </c:pt>
                <c:pt idx="872">
                  <c:v>9.7821821543913209E-2</c:v>
                </c:pt>
                <c:pt idx="873">
                  <c:v>9.5054556377235061E-2</c:v>
                </c:pt>
                <c:pt idx="874">
                  <c:v>0.10755216215478759</c:v>
                </c:pt>
                <c:pt idx="875">
                  <c:v>8.9683982034642146E-2</c:v>
                </c:pt>
                <c:pt idx="876">
                  <c:v>0.10147847634583497</c:v>
                </c:pt>
                <c:pt idx="877">
                  <c:v>9.3780213410360719E-2</c:v>
                </c:pt>
                <c:pt idx="878">
                  <c:v>0.10288195432571359</c:v>
                </c:pt>
                <c:pt idx="879">
                  <c:v>0.10050082412962216</c:v>
                </c:pt>
                <c:pt idx="880">
                  <c:v>9.5381839843360544E-2</c:v>
                </c:pt>
                <c:pt idx="881">
                  <c:v>0.11850819090306082</c:v>
                </c:pt>
                <c:pt idx="882">
                  <c:v>9.5921374604230988E-2</c:v>
                </c:pt>
                <c:pt idx="883">
                  <c:v>0.11287766905630731</c:v>
                </c:pt>
                <c:pt idx="884">
                  <c:v>9.1364377312612863E-2</c:v>
                </c:pt>
                <c:pt idx="885">
                  <c:v>9.5876450456401391E-2</c:v>
                </c:pt>
                <c:pt idx="886">
                  <c:v>9.1165904648059251E-2</c:v>
                </c:pt>
                <c:pt idx="887">
                  <c:v>9.5159152169949746E-2</c:v>
                </c:pt>
                <c:pt idx="888">
                  <c:v>0.11310788816605769</c:v>
                </c:pt>
                <c:pt idx="889">
                  <c:v>7.9686081536109607E-2</c:v>
                </c:pt>
                <c:pt idx="890">
                  <c:v>0.10387254774107885</c:v>
                </c:pt>
                <c:pt idx="891">
                  <c:v>8.4576893089155461E-2</c:v>
                </c:pt>
                <c:pt idx="892">
                  <c:v>0.10367388802334722</c:v>
                </c:pt>
                <c:pt idx="893">
                  <c:v>8.7661413379750197E-2</c:v>
                </c:pt>
                <c:pt idx="894">
                  <c:v>8.7218774276520236E-2</c:v>
                </c:pt>
                <c:pt idx="895">
                  <c:v>0.10547879655435687</c:v>
                </c:pt>
                <c:pt idx="896">
                  <c:v>9.339832337983095E-2</c:v>
                </c:pt>
                <c:pt idx="897">
                  <c:v>9.1146456250456837E-2</c:v>
                </c:pt>
                <c:pt idx="898">
                  <c:v>9.761440490942204E-2</c:v>
                </c:pt>
                <c:pt idx="899">
                  <c:v>8.643174947861039E-2</c:v>
                </c:pt>
                <c:pt idx="900">
                  <c:v>9.6081328240648883E-2</c:v>
                </c:pt>
                <c:pt idx="901">
                  <c:v>8.7777603782122737E-2</c:v>
                </c:pt>
                <c:pt idx="902">
                  <c:v>9.6745505729611991E-2</c:v>
                </c:pt>
                <c:pt idx="903">
                  <c:v>0.10501840754519914</c:v>
                </c:pt>
                <c:pt idx="904">
                  <c:v>8.8750402433381156E-2</c:v>
                </c:pt>
                <c:pt idx="905">
                  <c:v>9.4617655717427321E-2</c:v>
                </c:pt>
                <c:pt idx="906">
                  <c:v>9.897336394509762E-2</c:v>
                </c:pt>
                <c:pt idx="907">
                  <c:v>9.0371841755900545E-2</c:v>
                </c:pt>
                <c:pt idx="908">
                  <c:v>9.1985630236585431E-2</c:v>
                </c:pt>
                <c:pt idx="909">
                  <c:v>0.10283731531207202</c:v>
                </c:pt>
                <c:pt idx="910">
                  <c:v>9.6837601748170285E-2</c:v>
                </c:pt>
                <c:pt idx="911">
                  <c:v>9.7380128006837582E-2</c:v>
                </c:pt>
                <c:pt idx="912">
                  <c:v>0.11595234786308521</c:v>
                </c:pt>
                <c:pt idx="913">
                  <c:v>9.2584151206192539E-2</c:v>
                </c:pt>
                <c:pt idx="914">
                  <c:v>9.7089398013769784E-2</c:v>
                </c:pt>
                <c:pt idx="915">
                  <c:v>0.10054621376495379</c:v>
                </c:pt>
                <c:pt idx="916">
                  <c:v>0.10975024556793929</c:v>
                </c:pt>
                <c:pt idx="917">
                  <c:v>8.5348843195619695E-2</c:v>
                </c:pt>
                <c:pt idx="918">
                  <c:v>0.11823831523664988</c:v>
                </c:pt>
                <c:pt idx="919">
                  <c:v>8.9502639291072481E-2</c:v>
                </c:pt>
                <c:pt idx="920">
                  <c:v>9.1698593578278545E-2</c:v>
                </c:pt>
                <c:pt idx="921">
                  <c:v>0.11188569119334742</c:v>
                </c:pt>
                <c:pt idx="922">
                  <c:v>0.11372274302893323</c:v>
                </c:pt>
                <c:pt idx="923">
                  <c:v>8.9509410952226157E-2</c:v>
                </c:pt>
                <c:pt idx="924">
                  <c:v>9.7902535818983602E-2</c:v>
                </c:pt>
                <c:pt idx="925">
                  <c:v>8.9759411677066456E-2</c:v>
                </c:pt>
                <c:pt idx="926">
                  <c:v>0.10350430903582684</c:v>
                </c:pt>
                <c:pt idx="927">
                  <c:v>0.10331557969742176</c:v>
                </c:pt>
                <c:pt idx="928">
                  <c:v>8.5562498678611612E-2</c:v>
                </c:pt>
                <c:pt idx="929">
                  <c:v>0.11450936330135188</c:v>
                </c:pt>
                <c:pt idx="930">
                  <c:v>9.3164191464652185E-2</c:v>
                </c:pt>
                <c:pt idx="931">
                  <c:v>9.9537445898669877E-2</c:v>
                </c:pt>
                <c:pt idx="932">
                  <c:v>8.8637708329922918E-2</c:v>
                </c:pt>
                <c:pt idx="933">
                  <c:v>0.11542752280249054</c:v>
                </c:pt>
                <c:pt idx="934">
                  <c:v>9.4723834528288475E-2</c:v>
                </c:pt>
                <c:pt idx="935">
                  <c:v>9.6773062954884484E-2</c:v>
                </c:pt>
                <c:pt idx="936">
                  <c:v>9.7329239125683878E-2</c:v>
                </c:pt>
                <c:pt idx="937">
                  <c:v>9.4202092823538044E-2</c:v>
                </c:pt>
                <c:pt idx="938">
                  <c:v>9.7895821587992315E-2</c:v>
                </c:pt>
                <c:pt idx="939">
                  <c:v>0.11007293794472116</c:v>
                </c:pt>
                <c:pt idx="940">
                  <c:v>9.3167536293511807E-2</c:v>
                </c:pt>
                <c:pt idx="941">
                  <c:v>9.8035702427362995E-2</c:v>
                </c:pt>
                <c:pt idx="942">
                  <c:v>0.11878772635522672</c:v>
                </c:pt>
                <c:pt idx="943">
                  <c:v>0.10443464212764181</c:v>
                </c:pt>
                <c:pt idx="944">
                  <c:v>0.11690839574932886</c:v>
                </c:pt>
                <c:pt idx="945">
                  <c:v>0.10881975557752674</c:v>
                </c:pt>
                <c:pt idx="946">
                  <c:v>9.6030314373688835E-2</c:v>
                </c:pt>
                <c:pt idx="947">
                  <c:v>0.10448099578719869</c:v>
                </c:pt>
                <c:pt idx="948">
                  <c:v>9.3581543373986512E-2</c:v>
                </c:pt>
                <c:pt idx="949">
                  <c:v>0.10135274053353426</c:v>
                </c:pt>
                <c:pt idx="950">
                  <c:v>0.11716295969740168</c:v>
                </c:pt>
                <c:pt idx="951">
                  <c:v>9.3431071925124162E-2</c:v>
                </c:pt>
                <c:pt idx="952">
                  <c:v>0.10223396978754518</c:v>
                </c:pt>
                <c:pt idx="953">
                  <c:v>0.108187466464111</c:v>
                </c:pt>
                <c:pt idx="954">
                  <c:v>9.5771097488211152E-2</c:v>
                </c:pt>
                <c:pt idx="955">
                  <c:v>0.10211763400429329</c:v>
                </c:pt>
                <c:pt idx="956">
                  <c:v>0.11048456646379778</c:v>
                </c:pt>
                <c:pt idx="957">
                  <c:v>9.8806188535978778E-2</c:v>
                </c:pt>
                <c:pt idx="958">
                  <c:v>0.11119142744015524</c:v>
                </c:pt>
                <c:pt idx="959">
                  <c:v>0.11559140444963636</c:v>
                </c:pt>
                <c:pt idx="960">
                  <c:v>9.9804364225650283E-2</c:v>
                </c:pt>
                <c:pt idx="961">
                  <c:v>0.11572977247688114</c:v>
                </c:pt>
                <c:pt idx="962">
                  <c:v>0.10259304462760231</c:v>
                </c:pt>
                <c:pt idx="963">
                  <c:v>0.11420671619996059</c:v>
                </c:pt>
                <c:pt idx="964">
                  <c:v>0.11051036956999617</c:v>
                </c:pt>
                <c:pt idx="965">
                  <c:v>0.10572459266119479</c:v>
                </c:pt>
                <c:pt idx="966">
                  <c:v>0.10560227550274504</c:v>
                </c:pt>
                <c:pt idx="967">
                  <c:v>0.10603573145219977</c:v>
                </c:pt>
                <c:pt idx="968">
                  <c:v>0.11143103389705208</c:v>
                </c:pt>
                <c:pt idx="969">
                  <c:v>9.8415831471449167E-2</c:v>
                </c:pt>
                <c:pt idx="970">
                  <c:v>0.11955737462366174</c:v>
                </c:pt>
                <c:pt idx="971">
                  <c:v>0.10629294853686048</c:v>
                </c:pt>
                <c:pt idx="972">
                  <c:v>0.10736997801156484</c:v>
                </c:pt>
                <c:pt idx="973">
                  <c:v>0.12177514908347335</c:v>
                </c:pt>
                <c:pt idx="974">
                  <c:v>0.10197706155649837</c:v>
                </c:pt>
                <c:pt idx="975">
                  <c:v>0.10243967009023068</c:v>
                </c:pt>
                <c:pt idx="976">
                  <c:v>0.11208814754004254</c:v>
                </c:pt>
                <c:pt idx="977">
                  <c:v>0.12303018424920602</c:v>
                </c:pt>
                <c:pt idx="978">
                  <c:v>0.11693897267093196</c:v>
                </c:pt>
                <c:pt idx="979">
                  <c:v>9.7472649286774252E-2</c:v>
                </c:pt>
                <c:pt idx="980">
                  <c:v>0.1101495223779743</c:v>
                </c:pt>
                <c:pt idx="981">
                  <c:v>0.11437757073349065</c:v>
                </c:pt>
                <c:pt idx="982">
                  <c:v>0.11860095620674457</c:v>
                </c:pt>
                <c:pt idx="983">
                  <c:v>0.11439460902834216</c:v>
                </c:pt>
                <c:pt idx="984">
                  <c:v>0.10373505502282691</c:v>
                </c:pt>
                <c:pt idx="985">
                  <c:v>0.1134791035213647</c:v>
                </c:pt>
                <c:pt idx="986">
                  <c:v>0.11651188215282038</c:v>
                </c:pt>
                <c:pt idx="987">
                  <c:v>0.1065648600803188</c:v>
                </c:pt>
                <c:pt idx="988">
                  <c:v>0.12303154249378311</c:v>
                </c:pt>
                <c:pt idx="989">
                  <c:v>0.12475680463108722</c:v>
                </c:pt>
                <c:pt idx="990">
                  <c:v>0.12296599430889452</c:v>
                </c:pt>
                <c:pt idx="991">
                  <c:v>0.11382374551065425</c:v>
                </c:pt>
                <c:pt idx="992">
                  <c:v>0.10382694734133588</c:v>
                </c:pt>
                <c:pt idx="993">
                  <c:v>0.11593030512532249</c:v>
                </c:pt>
                <c:pt idx="994">
                  <c:v>0.11958830597163582</c:v>
                </c:pt>
                <c:pt idx="995">
                  <c:v>0.12554065527492447</c:v>
                </c:pt>
                <c:pt idx="996">
                  <c:v>0.12219664549459688</c:v>
                </c:pt>
                <c:pt idx="997">
                  <c:v>0.12415711852459617</c:v>
                </c:pt>
                <c:pt idx="998">
                  <c:v>0.12337132813841011</c:v>
                </c:pt>
                <c:pt idx="999">
                  <c:v>0.12166603310040643</c:v>
                </c:pt>
              </c:numCache>
            </c:numRef>
          </c:xVal>
          <c:yVal>
            <c:numRef>
              <c:f>'EffFrontier 4 Assets'!$U$3:$U$1002</c:f>
              <c:numCache>
                <c:formatCode>0.00%</c:formatCode>
                <c:ptCount val="1000"/>
                <c:pt idx="0">
                  <c:v>0.10602014058785428</c:v>
                </c:pt>
                <c:pt idx="1">
                  <c:v>0.10163733791259595</c:v>
                </c:pt>
                <c:pt idx="2">
                  <c:v>9.651747750164856E-2</c:v>
                </c:pt>
                <c:pt idx="3">
                  <c:v>0.10510306285746036</c:v>
                </c:pt>
                <c:pt idx="4">
                  <c:v>0.10096364090071286</c:v>
                </c:pt>
                <c:pt idx="5">
                  <c:v>9.2895512040707423E-2</c:v>
                </c:pt>
                <c:pt idx="6">
                  <c:v>9.494414494792551E-2</c:v>
                </c:pt>
                <c:pt idx="7">
                  <c:v>0.1132342803883951</c:v>
                </c:pt>
                <c:pt idx="8">
                  <c:v>0.11234034193784879</c:v>
                </c:pt>
                <c:pt idx="9">
                  <c:v>9.6741038129055157E-2</c:v>
                </c:pt>
                <c:pt idx="10">
                  <c:v>9.0124381343525239E-2</c:v>
                </c:pt>
                <c:pt idx="11">
                  <c:v>0.11118783497825038</c:v>
                </c:pt>
                <c:pt idx="12">
                  <c:v>0.10733487995189285</c:v>
                </c:pt>
                <c:pt idx="13">
                  <c:v>9.519559935770272E-2</c:v>
                </c:pt>
                <c:pt idx="14">
                  <c:v>0.10740094459733229</c:v>
                </c:pt>
                <c:pt idx="15">
                  <c:v>8.7077595547097764E-2</c:v>
                </c:pt>
                <c:pt idx="16">
                  <c:v>9.2203447403232802E-2</c:v>
                </c:pt>
                <c:pt idx="17">
                  <c:v>8.7437046943648955E-2</c:v>
                </c:pt>
                <c:pt idx="18">
                  <c:v>9.8501452666064027E-2</c:v>
                </c:pt>
                <c:pt idx="19">
                  <c:v>0.100729220956759</c:v>
                </c:pt>
                <c:pt idx="20">
                  <c:v>9.5064272048286921E-2</c:v>
                </c:pt>
                <c:pt idx="21">
                  <c:v>9.9862382372321923E-2</c:v>
                </c:pt>
                <c:pt idx="22">
                  <c:v>0.11516460119038073</c:v>
                </c:pt>
                <c:pt idx="23">
                  <c:v>0.11545828621551114</c:v>
                </c:pt>
                <c:pt idx="24">
                  <c:v>9.9849306464556559E-2</c:v>
                </c:pt>
                <c:pt idx="25">
                  <c:v>0.1153800984256417</c:v>
                </c:pt>
                <c:pt idx="26">
                  <c:v>0.11459870315232366</c:v>
                </c:pt>
                <c:pt idx="27">
                  <c:v>0.10649676918767517</c:v>
                </c:pt>
                <c:pt idx="28">
                  <c:v>8.7993758654017429E-2</c:v>
                </c:pt>
                <c:pt idx="29">
                  <c:v>8.9523886445809914E-2</c:v>
                </c:pt>
                <c:pt idx="30">
                  <c:v>0.10280101375971257</c:v>
                </c:pt>
                <c:pt idx="31">
                  <c:v>0.10571104188795623</c:v>
                </c:pt>
                <c:pt idx="32">
                  <c:v>0.10961221892404488</c:v>
                </c:pt>
                <c:pt idx="33">
                  <c:v>8.4905268343391169E-2</c:v>
                </c:pt>
                <c:pt idx="34">
                  <c:v>9.4319358234715323E-2</c:v>
                </c:pt>
                <c:pt idx="35">
                  <c:v>8.9814926193412831E-2</c:v>
                </c:pt>
                <c:pt idx="36">
                  <c:v>8.5913307924067789E-2</c:v>
                </c:pt>
                <c:pt idx="37">
                  <c:v>8.5418723882873762E-2</c:v>
                </c:pt>
                <c:pt idx="38">
                  <c:v>8.8809244750141098E-2</c:v>
                </c:pt>
                <c:pt idx="39">
                  <c:v>0.10580441526014424</c:v>
                </c:pt>
                <c:pt idx="40">
                  <c:v>9.7987307061841528E-2</c:v>
                </c:pt>
                <c:pt idx="41">
                  <c:v>8.5677809797629956E-2</c:v>
                </c:pt>
                <c:pt idx="42">
                  <c:v>8.3881093631783657E-2</c:v>
                </c:pt>
                <c:pt idx="43">
                  <c:v>0.10145432351253124</c:v>
                </c:pt>
                <c:pt idx="44">
                  <c:v>8.7060613125075265E-2</c:v>
                </c:pt>
                <c:pt idx="45">
                  <c:v>9.040868330586499E-2</c:v>
                </c:pt>
                <c:pt idx="46">
                  <c:v>8.8776561627997103E-2</c:v>
                </c:pt>
                <c:pt idx="47">
                  <c:v>9.7232332860267806E-2</c:v>
                </c:pt>
                <c:pt idx="48">
                  <c:v>0.1049404539936685</c:v>
                </c:pt>
                <c:pt idx="49">
                  <c:v>8.9032713491831825E-2</c:v>
                </c:pt>
                <c:pt idx="50">
                  <c:v>8.9028471240199622E-2</c:v>
                </c:pt>
                <c:pt idx="51">
                  <c:v>0.10708536891428773</c:v>
                </c:pt>
                <c:pt idx="52">
                  <c:v>8.3359509254685271E-2</c:v>
                </c:pt>
                <c:pt idx="53">
                  <c:v>8.2423868625671415E-2</c:v>
                </c:pt>
                <c:pt idx="54">
                  <c:v>9.5925074535688812E-2</c:v>
                </c:pt>
                <c:pt idx="55">
                  <c:v>9.226852780131764E-2</c:v>
                </c:pt>
                <c:pt idx="56">
                  <c:v>0.10270812282046439</c:v>
                </c:pt>
                <c:pt idx="57">
                  <c:v>9.634392655102833E-2</c:v>
                </c:pt>
                <c:pt idx="58">
                  <c:v>9.0944121227212557E-2</c:v>
                </c:pt>
                <c:pt idx="59">
                  <c:v>9.6053003806302634E-2</c:v>
                </c:pt>
                <c:pt idx="60">
                  <c:v>8.5135099378076895E-2</c:v>
                </c:pt>
                <c:pt idx="61">
                  <c:v>9.5404462434667117E-2</c:v>
                </c:pt>
                <c:pt idx="62">
                  <c:v>0.10847576082797603</c:v>
                </c:pt>
                <c:pt idx="63">
                  <c:v>8.0315706932813175E-2</c:v>
                </c:pt>
                <c:pt idx="64">
                  <c:v>0.10341785018492139</c:v>
                </c:pt>
                <c:pt idx="65">
                  <c:v>8.7852800838421494E-2</c:v>
                </c:pt>
                <c:pt idx="66">
                  <c:v>9.0594990182130061E-2</c:v>
                </c:pt>
                <c:pt idx="67">
                  <c:v>9.4587688873017398E-2</c:v>
                </c:pt>
                <c:pt idx="68">
                  <c:v>8.861570960761482E-2</c:v>
                </c:pt>
                <c:pt idx="69">
                  <c:v>8.7399066800253347E-2</c:v>
                </c:pt>
                <c:pt idx="70">
                  <c:v>0.1093242206915549</c:v>
                </c:pt>
                <c:pt idx="71">
                  <c:v>9.3701351123941706E-2</c:v>
                </c:pt>
                <c:pt idx="72">
                  <c:v>8.8982268391866987E-2</c:v>
                </c:pt>
                <c:pt idx="73">
                  <c:v>0.10517719030542134</c:v>
                </c:pt>
                <c:pt idx="74">
                  <c:v>9.4088888608596086E-2</c:v>
                </c:pt>
                <c:pt idx="75">
                  <c:v>8.9321116730666075E-2</c:v>
                </c:pt>
                <c:pt idx="76">
                  <c:v>9.9795504301634003E-2</c:v>
                </c:pt>
                <c:pt idx="77">
                  <c:v>8.4459375598742947E-2</c:v>
                </c:pt>
                <c:pt idx="78">
                  <c:v>8.8483079564319528E-2</c:v>
                </c:pt>
                <c:pt idx="79">
                  <c:v>8.3783988802646508E-2</c:v>
                </c:pt>
                <c:pt idx="80">
                  <c:v>9.8475972297539766E-2</c:v>
                </c:pt>
                <c:pt idx="81">
                  <c:v>0.10431566739090092</c:v>
                </c:pt>
                <c:pt idx="82">
                  <c:v>9.9556976411965523E-2</c:v>
                </c:pt>
                <c:pt idx="83">
                  <c:v>8.4897933618354876E-2</c:v>
                </c:pt>
                <c:pt idx="84">
                  <c:v>9.1399190109339223E-2</c:v>
                </c:pt>
                <c:pt idx="85">
                  <c:v>9.7743085006318356E-2</c:v>
                </c:pt>
                <c:pt idx="86">
                  <c:v>8.581053119461246E-2</c:v>
                </c:pt>
                <c:pt idx="87">
                  <c:v>9.467454550477758E-2</c:v>
                </c:pt>
                <c:pt idx="88">
                  <c:v>0.10055849190527022</c:v>
                </c:pt>
                <c:pt idx="89">
                  <c:v>9.7946369652857357E-2</c:v>
                </c:pt>
                <c:pt idx="90">
                  <c:v>0.10999662227051291</c:v>
                </c:pt>
                <c:pt idx="91">
                  <c:v>8.2974877336074795E-2</c:v>
                </c:pt>
                <c:pt idx="92">
                  <c:v>9.0819969344046597E-2</c:v>
                </c:pt>
                <c:pt idx="93">
                  <c:v>9.4503342264239426E-2</c:v>
                </c:pt>
                <c:pt idx="94">
                  <c:v>8.475310031656362E-2</c:v>
                </c:pt>
                <c:pt idx="95">
                  <c:v>8.9704694928832276E-2</c:v>
                </c:pt>
                <c:pt idx="96">
                  <c:v>9.072991112936564E-2</c:v>
                </c:pt>
                <c:pt idx="97">
                  <c:v>9.1710788281612901E-2</c:v>
                </c:pt>
                <c:pt idx="98">
                  <c:v>9.2813878007069861E-2</c:v>
                </c:pt>
                <c:pt idx="99">
                  <c:v>7.8895347212839445E-2</c:v>
                </c:pt>
                <c:pt idx="100">
                  <c:v>8.6654245246412853E-2</c:v>
                </c:pt>
                <c:pt idx="101">
                  <c:v>9.5360260595594423E-2</c:v>
                </c:pt>
                <c:pt idx="102">
                  <c:v>8.8499219256256326E-2</c:v>
                </c:pt>
                <c:pt idx="103">
                  <c:v>9.7810357080670471E-2</c:v>
                </c:pt>
                <c:pt idx="104">
                  <c:v>8.8497166729120849E-2</c:v>
                </c:pt>
                <c:pt idx="105">
                  <c:v>9.4506607464147435E-2</c:v>
                </c:pt>
                <c:pt idx="106">
                  <c:v>9.4162243711555516E-2</c:v>
                </c:pt>
                <c:pt idx="107">
                  <c:v>9.1003437463947193E-2</c:v>
                </c:pt>
                <c:pt idx="108">
                  <c:v>9.3730810187348523E-2</c:v>
                </c:pt>
                <c:pt idx="109">
                  <c:v>9.1604784017398785E-2</c:v>
                </c:pt>
                <c:pt idx="110">
                  <c:v>9.401635671535033E-2</c:v>
                </c:pt>
                <c:pt idx="111">
                  <c:v>8.2910239843789646E-2</c:v>
                </c:pt>
                <c:pt idx="112">
                  <c:v>8.9679543242890652E-2</c:v>
                </c:pt>
                <c:pt idx="113">
                  <c:v>0.10279342421459287</c:v>
                </c:pt>
                <c:pt idx="114">
                  <c:v>0.10217234260772773</c:v>
                </c:pt>
                <c:pt idx="115">
                  <c:v>8.817304956032658E-2</c:v>
                </c:pt>
                <c:pt idx="116">
                  <c:v>9.2158129711898198E-2</c:v>
                </c:pt>
                <c:pt idx="117">
                  <c:v>8.4967671775974557E-2</c:v>
                </c:pt>
                <c:pt idx="118">
                  <c:v>8.1464912523275673E-2</c:v>
                </c:pt>
                <c:pt idx="119">
                  <c:v>0.10769442986528996</c:v>
                </c:pt>
                <c:pt idx="120">
                  <c:v>9.069215423417E-2</c:v>
                </c:pt>
                <c:pt idx="121">
                  <c:v>0.10005185871310852</c:v>
                </c:pt>
                <c:pt idx="122">
                  <c:v>9.6013547191453955E-2</c:v>
                </c:pt>
                <c:pt idx="123">
                  <c:v>8.9317117645850652E-2</c:v>
                </c:pt>
                <c:pt idx="124">
                  <c:v>8.4868693864135009E-2</c:v>
                </c:pt>
                <c:pt idx="125">
                  <c:v>8.9525280946957275E-2</c:v>
                </c:pt>
                <c:pt idx="126">
                  <c:v>0.10232133766810322</c:v>
                </c:pt>
                <c:pt idx="127">
                  <c:v>9.1149779024281716E-2</c:v>
                </c:pt>
                <c:pt idx="128">
                  <c:v>8.5360739053476228E-2</c:v>
                </c:pt>
                <c:pt idx="129">
                  <c:v>9.9580381769731677E-2</c:v>
                </c:pt>
                <c:pt idx="130">
                  <c:v>8.5507964342441303E-2</c:v>
                </c:pt>
                <c:pt idx="131">
                  <c:v>9.052116386111006E-2</c:v>
                </c:pt>
                <c:pt idx="132">
                  <c:v>9.4423377724069293E-2</c:v>
                </c:pt>
                <c:pt idx="133">
                  <c:v>8.7174228205039936E-2</c:v>
                </c:pt>
                <c:pt idx="134">
                  <c:v>0.10484188839028363</c:v>
                </c:pt>
                <c:pt idx="135">
                  <c:v>8.7120383155894918E-2</c:v>
                </c:pt>
                <c:pt idx="136">
                  <c:v>8.9709928824868848E-2</c:v>
                </c:pt>
                <c:pt idx="137">
                  <c:v>8.2448533521975301E-2</c:v>
                </c:pt>
                <c:pt idx="138">
                  <c:v>0.10463287288338383</c:v>
                </c:pt>
                <c:pt idx="139">
                  <c:v>8.8370561316901908E-2</c:v>
                </c:pt>
                <c:pt idx="140">
                  <c:v>0.10657812363686631</c:v>
                </c:pt>
                <c:pt idx="141">
                  <c:v>7.7727941564686445E-2</c:v>
                </c:pt>
                <c:pt idx="142">
                  <c:v>9.8620422036560976E-2</c:v>
                </c:pt>
                <c:pt idx="143">
                  <c:v>9.117751114050468E-2</c:v>
                </c:pt>
                <c:pt idx="144">
                  <c:v>9.5329603726947695E-2</c:v>
                </c:pt>
                <c:pt idx="145">
                  <c:v>9.68529332503167E-2</c:v>
                </c:pt>
                <c:pt idx="146">
                  <c:v>9.1877470747752307E-2</c:v>
                </c:pt>
                <c:pt idx="147">
                  <c:v>0.1031885835362453</c:v>
                </c:pt>
                <c:pt idx="148">
                  <c:v>9.3542905760102518E-2</c:v>
                </c:pt>
                <c:pt idx="149">
                  <c:v>9.4972665391215794E-2</c:v>
                </c:pt>
                <c:pt idx="150">
                  <c:v>8.9759171714762859E-2</c:v>
                </c:pt>
                <c:pt idx="151">
                  <c:v>8.1902348333362227E-2</c:v>
                </c:pt>
                <c:pt idx="152">
                  <c:v>0.10796853312226834</c:v>
                </c:pt>
                <c:pt idx="153">
                  <c:v>9.9851475789364402E-2</c:v>
                </c:pt>
                <c:pt idx="154">
                  <c:v>0.10069576895000401</c:v>
                </c:pt>
                <c:pt idx="155">
                  <c:v>8.7713427161897589E-2</c:v>
                </c:pt>
                <c:pt idx="156">
                  <c:v>8.4966263581686199E-2</c:v>
                </c:pt>
                <c:pt idx="157">
                  <c:v>0.10713790901433749</c:v>
                </c:pt>
                <c:pt idx="158">
                  <c:v>8.9653815909108217E-2</c:v>
                </c:pt>
                <c:pt idx="159">
                  <c:v>9.3196601588131617E-2</c:v>
                </c:pt>
                <c:pt idx="160">
                  <c:v>8.8801646006114232E-2</c:v>
                </c:pt>
                <c:pt idx="161">
                  <c:v>9.1376069265848348E-2</c:v>
                </c:pt>
                <c:pt idx="162">
                  <c:v>8.8738943546790378E-2</c:v>
                </c:pt>
                <c:pt idx="163">
                  <c:v>8.2107610344937257E-2</c:v>
                </c:pt>
                <c:pt idx="164">
                  <c:v>9.7095125381365638E-2</c:v>
                </c:pt>
                <c:pt idx="165">
                  <c:v>8.6108024614511142E-2</c:v>
                </c:pt>
                <c:pt idx="166">
                  <c:v>0.10487797743532122</c:v>
                </c:pt>
                <c:pt idx="167">
                  <c:v>8.585739125219663E-2</c:v>
                </c:pt>
                <c:pt idx="168">
                  <c:v>9.3639737642362025E-2</c:v>
                </c:pt>
                <c:pt idx="169">
                  <c:v>9.1830084594860764E-2</c:v>
                </c:pt>
                <c:pt idx="170">
                  <c:v>8.5794429995048355E-2</c:v>
                </c:pt>
                <c:pt idx="171">
                  <c:v>9.1690145532978842E-2</c:v>
                </c:pt>
                <c:pt idx="172">
                  <c:v>8.8907982963911988E-2</c:v>
                </c:pt>
                <c:pt idx="173">
                  <c:v>9.8854249329497018E-2</c:v>
                </c:pt>
                <c:pt idx="174">
                  <c:v>9.5775473764682942E-2</c:v>
                </c:pt>
                <c:pt idx="175">
                  <c:v>8.9417873932335926E-2</c:v>
                </c:pt>
                <c:pt idx="176">
                  <c:v>9.5529325904179327E-2</c:v>
                </c:pt>
                <c:pt idx="177">
                  <c:v>8.0583459309269592E-2</c:v>
                </c:pt>
                <c:pt idx="178">
                  <c:v>9.752071658927923E-2</c:v>
                </c:pt>
                <c:pt idx="179">
                  <c:v>7.9085894219232691E-2</c:v>
                </c:pt>
                <c:pt idx="180">
                  <c:v>8.3327022005506693E-2</c:v>
                </c:pt>
                <c:pt idx="181">
                  <c:v>9.9994254211073302E-2</c:v>
                </c:pt>
                <c:pt idx="182">
                  <c:v>9.0250390142739861E-2</c:v>
                </c:pt>
                <c:pt idx="183">
                  <c:v>8.838549541912645E-2</c:v>
                </c:pt>
                <c:pt idx="184">
                  <c:v>8.612839172371814E-2</c:v>
                </c:pt>
                <c:pt idx="185">
                  <c:v>8.8617610992432871E-2</c:v>
                </c:pt>
                <c:pt idx="186">
                  <c:v>7.6276798436756874E-2</c:v>
                </c:pt>
                <c:pt idx="187">
                  <c:v>9.2137960300851224E-2</c:v>
                </c:pt>
                <c:pt idx="188">
                  <c:v>9.0105265119840253E-2</c:v>
                </c:pt>
                <c:pt idx="189">
                  <c:v>0.10679647614052917</c:v>
                </c:pt>
                <c:pt idx="190">
                  <c:v>9.7864794685215944E-2</c:v>
                </c:pt>
                <c:pt idx="191">
                  <c:v>8.5064858532275189E-2</c:v>
                </c:pt>
                <c:pt idx="192">
                  <c:v>9.2747038605056953E-2</c:v>
                </c:pt>
                <c:pt idx="193">
                  <c:v>9.5592936707410314E-2</c:v>
                </c:pt>
                <c:pt idx="194">
                  <c:v>9.0522541362863404E-2</c:v>
                </c:pt>
                <c:pt idx="195">
                  <c:v>8.7538864565120736E-2</c:v>
                </c:pt>
                <c:pt idx="196">
                  <c:v>9.9697060638229279E-2</c:v>
                </c:pt>
                <c:pt idx="197">
                  <c:v>9.0166060230128645E-2</c:v>
                </c:pt>
                <c:pt idx="198">
                  <c:v>9.1389916267648696E-2</c:v>
                </c:pt>
                <c:pt idx="199">
                  <c:v>8.9552553349211916E-2</c:v>
                </c:pt>
                <c:pt idx="200">
                  <c:v>9.6140770382933602E-2</c:v>
                </c:pt>
                <c:pt idx="201">
                  <c:v>9.1035089019698229E-2</c:v>
                </c:pt>
                <c:pt idx="202">
                  <c:v>9.0191361006617135E-2</c:v>
                </c:pt>
                <c:pt idx="203">
                  <c:v>8.6643138674974779E-2</c:v>
                </c:pt>
                <c:pt idx="204">
                  <c:v>9.6841821685739002E-2</c:v>
                </c:pt>
                <c:pt idx="205">
                  <c:v>0.10544575118783804</c:v>
                </c:pt>
                <c:pt idx="206">
                  <c:v>8.7951496570194451E-2</c:v>
                </c:pt>
                <c:pt idx="207">
                  <c:v>9.5379470608697059E-2</c:v>
                </c:pt>
                <c:pt idx="208">
                  <c:v>0.10712370111947277</c:v>
                </c:pt>
                <c:pt idx="209">
                  <c:v>9.6153407061780702E-2</c:v>
                </c:pt>
                <c:pt idx="210">
                  <c:v>9.8019515332764817E-2</c:v>
                </c:pt>
                <c:pt idx="211">
                  <c:v>7.9655864993206246E-2</c:v>
                </c:pt>
                <c:pt idx="212">
                  <c:v>9.4216235458697867E-2</c:v>
                </c:pt>
                <c:pt idx="213">
                  <c:v>9.4784592084260308E-2</c:v>
                </c:pt>
                <c:pt idx="214">
                  <c:v>7.9732255416226375E-2</c:v>
                </c:pt>
                <c:pt idx="215">
                  <c:v>9.7564994539141622E-2</c:v>
                </c:pt>
                <c:pt idx="216">
                  <c:v>8.2345842752457599E-2</c:v>
                </c:pt>
                <c:pt idx="217">
                  <c:v>0.10417739180768255</c:v>
                </c:pt>
                <c:pt idx="218">
                  <c:v>8.6103948734570335E-2</c:v>
                </c:pt>
                <c:pt idx="219">
                  <c:v>9.1847686562347305E-2</c:v>
                </c:pt>
                <c:pt idx="220">
                  <c:v>9.8320796001598584E-2</c:v>
                </c:pt>
                <c:pt idx="221">
                  <c:v>0.10709344823895307</c:v>
                </c:pt>
                <c:pt idx="222">
                  <c:v>8.2296571731113682E-2</c:v>
                </c:pt>
                <c:pt idx="223">
                  <c:v>8.6885818095723863E-2</c:v>
                </c:pt>
                <c:pt idx="224">
                  <c:v>9.6990427729122433E-2</c:v>
                </c:pt>
                <c:pt idx="225">
                  <c:v>9.8429542795925612E-2</c:v>
                </c:pt>
                <c:pt idx="226">
                  <c:v>8.5776488959187977E-2</c:v>
                </c:pt>
                <c:pt idx="227">
                  <c:v>9.9110718650338062E-2</c:v>
                </c:pt>
                <c:pt idx="228">
                  <c:v>0.10128109100050603</c:v>
                </c:pt>
                <c:pt idx="229">
                  <c:v>8.6390917873017531E-2</c:v>
                </c:pt>
                <c:pt idx="230">
                  <c:v>8.8534476030675907E-2</c:v>
                </c:pt>
                <c:pt idx="231">
                  <c:v>8.0738040093672706E-2</c:v>
                </c:pt>
                <c:pt idx="232">
                  <c:v>8.9149216105470122E-2</c:v>
                </c:pt>
                <c:pt idx="233">
                  <c:v>8.5742023618236657E-2</c:v>
                </c:pt>
                <c:pt idx="234">
                  <c:v>9.2096600550500035E-2</c:v>
                </c:pt>
                <c:pt idx="235">
                  <c:v>9.5390492832531745E-2</c:v>
                </c:pt>
                <c:pt idx="236">
                  <c:v>9.1098361638309283E-2</c:v>
                </c:pt>
                <c:pt idx="237">
                  <c:v>0.1052491400642505</c:v>
                </c:pt>
                <c:pt idx="238">
                  <c:v>9.9492026115897331E-2</c:v>
                </c:pt>
                <c:pt idx="239">
                  <c:v>9.7909951604739337E-2</c:v>
                </c:pt>
                <c:pt idx="240">
                  <c:v>9.7493241781615531E-2</c:v>
                </c:pt>
                <c:pt idx="241">
                  <c:v>8.3573561873763857E-2</c:v>
                </c:pt>
                <c:pt idx="242">
                  <c:v>9.0666479346939347E-2</c:v>
                </c:pt>
                <c:pt idx="243">
                  <c:v>0.10302382213893316</c:v>
                </c:pt>
                <c:pt idx="244">
                  <c:v>0.10658582013280554</c:v>
                </c:pt>
                <c:pt idx="245">
                  <c:v>9.5172052036700219E-2</c:v>
                </c:pt>
                <c:pt idx="246">
                  <c:v>9.6453296875750452E-2</c:v>
                </c:pt>
                <c:pt idx="247">
                  <c:v>8.8781435875079154E-2</c:v>
                </c:pt>
                <c:pt idx="248">
                  <c:v>9.7215631012923992E-2</c:v>
                </c:pt>
                <c:pt idx="249">
                  <c:v>8.3992543660928662E-2</c:v>
                </c:pt>
                <c:pt idx="250">
                  <c:v>8.7306488270468552E-2</c:v>
                </c:pt>
                <c:pt idx="251">
                  <c:v>9.0886382398240637E-2</c:v>
                </c:pt>
                <c:pt idx="252">
                  <c:v>7.8593206188445411E-2</c:v>
                </c:pt>
                <c:pt idx="253">
                  <c:v>8.9330706060707754E-2</c:v>
                </c:pt>
                <c:pt idx="254">
                  <c:v>0.10503255502745147</c:v>
                </c:pt>
                <c:pt idx="255">
                  <c:v>9.8408855468488418E-2</c:v>
                </c:pt>
                <c:pt idx="256">
                  <c:v>8.6246256382346911E-2</c:v>
                </c:pt>
                <c:pt idx="257">
                  <c:v>9.6123378475020144E-2</c:v>
                </c:pt>
                <c:pt idx="258">
                  <c:v>8.3527786652502795E-2</c:v>
                </c:pt>
                <c:pt idx="259">
                  <c:v>8.336007278098985E-2</c:v>
                </c:pt>
                <c:pt idx="260">
                  <c:v>0.11164387747535214</c:v>
                </c:pt>
                <c:pt idx="261">
                  <c:v>8.4915471350333366E-2</c:v>
                </c:pt>
                <c:pt idx="262">
                  <c:v>9.1280128350240616E-2</c:v>
                </c:pt>
                <c:pt idx="263">
                  <c:v>8.513827604473323E-2</c:v>
                </c:pt>
                <c:pt idx="264">
                  <c:v>9.2366316373636931E-2</c:v>
                </c:pt>
                <c:pt idx="265">
                  <c:v>9.7540152435188529E-2</c:v>
                </c:pt>
                <c:pt idx="266">
                  <c:v>8.6821357068326249E-2</c:v>
                </c:pt>
                <c:pt idx="267">
                  <c:v>9.0518597681192248E-2</c:v>
                </c:pt>
                <c:pt idx="268">
                  <c:v>9.5970070131692606E-2</c:v>
                </c:pt>
                <c:pt idx="269">
                  <c:v>8.8883612995403261E-2</c:v>
                </c:pt>
                <c:pt idx="270">
                  <c:v>9.9187850019193044E-2</c:v>
                </c:pt>
                <c:pt idx="271">
                  <c:v>9.1413782109546857E-2</c:v>
                </c:pt>
                <c:pt idx="272">
                  <c:v>9.1724058624673338E-2</c:v>
                </c:pt>
                <c:pt idx="273">
                  <c:v>9.3123082146733899E-2</c:v>
                </c:pt>
                <c:pt idx="274">
                  <c:v>8.5515575882131351E-2</c:v>
                </c:pt>
                <c:pt idx="275">
                  <c:v>9.6369542891366719E-2</c:v>
                </c:pt>
                <c:pt idx="276">
                  <c:v>8.7413129621475447E-2</c:v>
                </c:pt>
                <c:pt idx="277">
                  <c:v>9.8781910302037909E-2</c:v>
                </c:pt>
                <c:pt idx="278">
                  <c:v>8.6378778808141071E-2</c:v>
                </c:pt>
                <c:pt idx="279">
                  <c:v>0.10004889457978433</c:v>
                </c:pt>
                <c:pt idx="280">
                  <c:v>9.2391788823120838E-2</c:v>
                </c:pt>
                <c:pt idx="281">
                  <c:v>9.2640162526797923E-2</c:v>
                </c:pt>
                <c:pt idx="282">
                  <c:v>9.5683785169170768E-2</c:v>
                </c:pt>
                <c:pt idx="283">
                  <c:v>8.4130768889547375E-2</c:v>
                </c:pt>
                <c:pt idx="284">
                  <c:v>9.4864749721855338E-2</c:v>
                </c:pt>
                <c:pt idx="285">
                  <c:v>8.7956368715065458E-2</c:v>
                </c:pt>
                <c:pt idx="286">
                  <c:v>9.3361966211336633E-2</c:v>
                </c:pt>
                <c:pt idx="287">
                  <c:v>0.1026716642024933</c:v>
                </c:pt>
                <c:pt idx="288">
                  <c:v>0.1039861092934852</c:v>
                </c:pt>
                <c:pt idx="289">
                  <c:v>8.4149815188605898E-2</c:v>
                </c:pt>
                <c:pt idx="290">
                  <c:v>8.8279999191773109E-2</c:v>
                </c:pt>
                <c:pt idx="291">
                  <c:v>8.5835147477659593E-2</c:v>
                </c:pt>
                <c:pt idx="292">
                  <c:v>0.10149785416486315</c:v>
                </c:pt>
                <c:pt idx="293">
                  <c:v>0.10650653462192129</c:v>
                </c:pt>
                <c:pt idx="294">
                  <c:v>8.4708376299228186E-2</c:v>
                </c:pt>
                <c:pt idx="295">
                  <c:v>9.9621709297079225E-2</c:v>
                </c:pt>
                <c:pt idx="296">
                  <c:v>9.2272523730909245E-2</c:v>
                </c:pt>
                <c:pt idx="297">
                  <c:v>9.1465705394005128E-2</c:v>
                </c:pt>
                <c:pt idx="298">
                  <c:v>8.9419890148088321E-2</c:v>
                </c:pt>
                <c:pt idx="299">
                  <c:v>9.8771931515182765E-2</c:v>
                </c:pt>
                <c:pt idx="300">
                  <c:v>8.700160000273674E-2</c:v>
                </c:pt>
                <c:pt idx="301">
                  <c:v>0.10047639382634832</c:v>
                </c:pt>
                <c:pt idx="302">
                  <c:v>9.4319728785454554E-2</c:v>
                </c:pt>
                <c:pt idx="303">
                  <c:v>9.8371905623129863E-2</c:v>
                </c:pt>
                <c:pt idx="304">
                  <c:v>8.1167506260280187E-2</c:v>
                </c:pt>
                <c:pt idx="305">
                  <c:v>0.10141171195004747</c:v>
                </c:pt>
                <c:pt idx="306">
                  <c:v>0.10198889476465174</c:v>
                </c:pt>
                <c:pt idx="307">
                  <c:v>9.7278770198579126E-2</c:v>
                </c:pt>
                <c:pt idx="308">
                  <c:v>9.0288473800904254E-2</c:v>
                </c:pt>
                <c:pt idx="309">
                  <c:v>0.10600144136799455</c:v>
                </c:pt>
                <c:pt idx="310">
                  <c:v>0.10312421708628207</c:v>
                </c:pt>
                <c:pt idx="311">
                  <c:v>9.2523782934015947E-2</c:v>
                </c:pt>
                <c:pt idx="312">
                  <c:v>9.1270162605444086E-2</c:v>
                </c:pt>
                <c:pt idx="313">
                  <c:v>8.7443924066900686E-2</c:v>
                </c:pt>
                <c:pt idx="314">
                  <c:v>8.048041012803997E-2</c:v>
                </c:pt>
                <c:pt idx="315">
                  <c:v>7.6705291423094762E-2</c:v>
                </c:pt>
                <c:pt idx="316">
                  <c:v>8.4079029276848627E-2</c:v>
                </c:pt>
                <c:pt idx="317">
                  <c:v>0.10385780102872959</c:v>
                </c:pt>
                <c:pt idx="318">
                  <c:v>0.10603163247443786</c:v>
                </c:pt>
                <c:pt idx="319">
                  <c:v>9.5662124891053094E-2</c:v>
                </c:pt>
                <c:pt idx="320">
                  <c:v>8.693159638205103E-2</c:v>
                </c:pt>
                <c:pt idx="321">
                  <c:v>9.5404678756909528E-2</c:v>
                </c:pt>
                <c:pt idx="322">
                  <c:v>7.6330865882539942E-2</c:v>
                </c:pt>
                <c:pt idx="323">
                  <c:v>9.0511667225717629E-2</c:v>
                </c:pt>
                <c:pt idx="324">
                  <c:v>8.5146365502239557E-2</c:v>
                </c:pt>
                <c:pt idx="325">
                  <c:v>0.10156142541054947</c:v>
                </c:pt>
                <c:pt idx="326">
                  <c:v>8.3488971568575016E-2</c:v>
                </c:pt>
                <c:pt idx="327">
                  <c:v>8.9534944356367718E-2</c:v>
                </c:pt>
                <c:pt idx="328">
                  <c:v>9.0356896800883407E-2</c:v>
                </c:pt>
                <c:pt idx="329">
                  <c:v>8.4187805254008319E-2</c:v>
                </c:pt>
                <c:pt idx="330">
                  <c:v>9.1899064837356909E-2</c:v>
                </c:pt>
                <c:pt idx="331">
                  <c:v>8.2901939881061038E-2</c:v>
                </c:pt>
                <c:pt idx="332">
                  <c:v>9.6951789577814418E-2</c:v>
                </c:pt>
                <c:pt idx="333">
                  <c:v>9.9939970481914789E-2</c:v>
                </c:pt>
                <c:pt idx="334">
                  <c:v>9.418648466486923E-2</c:v>
                </c:pt>
                <c:pt idx="335">
                  <c:v>9.0114754976614628E-2</c:v>
                </c:pt>
                <c:pt idx="336">
                  <c:v>8.9418598725170287E-2</c:v>
                </c:pt>
                <c:pt idx="337">
                  <c:v>9.2760975604899459E-2</c:v>
                </c:pt>
                <c:pt idx="338">
                  <c:v>9.8166655603830949E-2</c:v>
                </c:pt>
                <c:pt idx="339">
                  <c:v>0.10380096384845343</c:v>
                </c:pt>
                <c:pt idx="340">
                  <c:v>8.3280469065636353E-2</c:v>
                </c:pt>
                <c:pt idx="341">
                  <c:v>8.8292014294502216E-2</c:v>
                </c:pt>
                <c:pt idx="342">
                  <c:v>9.1061167102948787E-2</c:v>
                </c:pt>
                <c:pt idx="343">
                  <c:v>8.4187399857153344E-2</c:v>
                </c:pt>
                <c:pt idx="344">
                  <c:v>9.36080513039423E-2</c:v>
                </c:pt>
                <c:pt idx="345">
                  <c:v>0.10129410414606996</c:v>
                </c:pt>
                <c:pt idx="346">
                  <c:v>9.3188009104578903E-2</c:v>
                </c:pt>
                <c:pt idx="347">
                  <c:v>9.589724421228453E-2</c:v>
                </c:pt>
                <c:pt idx="348">
                  <c:v>8.1587278589528231E-2</c:v>
                </c:pt>
                <c:pt idx="349">
                  <c:v>9.1473275131372989E-2</c:v>
                </c:pt>
                <c:pt idx="350">
                  <c:v>9.8449853880088894E-2</c:v>
                </c:pt>
                <c:pt idx="351">
                  <c:v>9.4063289419964016E-2</c:v>
                </c:pt>
                <c:pt idx="352">
                  <c:v>8.6671957637266789E-2</c:v>
                </c:pt>
                <c:pt idx="353">
                  <c:v>9.9500422150240644E-2</c:v>
                </c:pt>
                <c:pt idx="354">
                  <c:v>8.8828053468092971E-2</c:v>
                </c:pt>
                <c:pt idx="355">
                  <c:v>8.0810338673608845E-2</c:v>
                </c:pt>
                <c:pt idx="356">
                  <c:v>8.928511199943874E-2</c:v>
                </c:pt>
                <c:pt idx="357">
                  <c:v>0.10421069421815468</c:v>
                </c:pt>
                <c:pt idx="358">
                  <c:v>8.9041858645551447E-2</c:v>
                </c:pt>
                <c:pt idx="359">
                  <c:v>8.9890138127945371E-2</c:v>
                </c:pt>
                <c:pt idx="360">
                  <c:v>8.8865619555566738E-2</c:v>
                </c:pt>
                <c:pt idx="361">
                  <c:v>9.7891452229052905E-2</c:v>
                </c:pt>
                <c:pt idx="362">
                  <c:v>9.0576971850534121E-2</c:v>
                </c:pt>
                <c:pt idx="363">
                  <c:v>0.10079246530175527</c:v>
                </c:pt>
                <c:pt idx="364">
                  <c:v>9.5893117213848328E-2</c:v>
                </c:pt>
                <c:pt idx="365">
                  <c:v>9.1056030346158653E-2</c:v>
                </c:pt>
                <c:pt idx="366">
                  <c:v>8.2051855640813506E-2</c:v>
                </c:pt>
                <c:pt idx="367">
                  <c:v>8.7301197307724815E-2</c:v>
                </c:pt>
                <c:pt idx="368">
                  <c:v>9.1473613623180558E-2</c:v>
                </c:pt>
                <c:pt idx="369">
                  <c:v>9.0803777566544883E-2</c:v>
                </c:pt>
                <c:pt idx="370">
                  <c:v>9.9737812538603865E-2</c:v>
                </c:pt>
                <c:pt idx="371">
                  <c:v>8.8960705800363304E-2</c:v>
                </c:pt>
                <c:pt idx="372">
                  <c:v>0.10459623665698278</c:v>
                </c:pt>
                <c:pt idx="373">
                  <c:v>9.5778340040432258E-2</c:v>
                </c:pt>
                <c:pt idx="374">
                  <c:v>0.10768331946367843</c:v>
                </c:pt>
                <c:pt idx="375">
                  <c:v>8.7159363889184938E-2</c:v>
                </c:pt>
                <c:pt idx="376">
                  <c:v>9.2709344679027916E-2</c:v>
                </c:pt>
                <c:pt idx="377">
                  <c:v>8.8666021306459814E-2</c:v>
                </c:pt>
                <c:pt idx="378">
                  <c:v>8.2863165737642186E-2</c:v>
                </c:pt>
                <c:pt idx="379">
                  <c:v>9.0528501394572775E-2</c:v>
                </c:pt>
                <c:pt idx="380">
                  <c:v>8.0435128143902676E-2</c:v>
                </c:pt>
                <c:pt idx="381">
                  <c:v>9.5840617079033463E-2</c:v>
                </c:pt>
                <c:pt idx="382">
                  <c:v>8.8432692595091067E-2</c:v>
                </c:pt>
                <c:pt idx="383">
                  <c:v>9.2042104038943348E-2</c:v>
                </c:pt>
                <c:pt idx="384">
                  <c:v>0.10227424614787545</c:v>
                </c:pt>
                <c:pt idx="385">
                  <c:v>0.10344805944588259</c:v>
                </c:pt>
                <c:pt idx="386">
                  <c:v>9.0948687175538154E-2</c:v>
                </c:pt>
                <c:pt idx="387">
                  <c:v>8.7700317697851582E-2</c:v>
                </c:pt>
                <c:pt idx="388">
                  <c:v>8.239196243588949E-2</c:v>
                </c:pt>
                <c:pt idx="389">
                  <c:v>9.3582738059575149E-2</c:v>
                </c:pt>
                <c:pt idx="390">
                  <c:v>8.9262912119173074E-2</c:v>
                </c:pt>
                <c:pt idx="391">
                  <c:v>9.0447248410119571E-2</c:v>
                </c:pt>
                <c:pt idx="392">
                  <c:v>0.10191437128901332</c:v>
                </c:pt>
                <c:pt idx="393">
                  <c:v>7.6575616037133351E-2</c:v>
                </c:pt>
                <c:pt idx="394">
                  <c:v>9.1398185799816414E-2</c:v>
                </c:pt>
                <c:pt idx="395">
                  <c:v>8.529779835739279E-2</c:v>
                </c:pt>
                <c:pt idx="396">
                  <c:v>0.10007827248150346</c:v>
                </c:pt>
                <c:pt idx="397">
                  <c:v>9.9006076575128832E-2</c:v>
                </c:pt>
                <c:pt idx="398">
                  <c:v>8.3682996247701494E-2</c:v>
                </c:pt>
                <c:pt idx="399">
                  <c:v>9.6271153895584868E-2</c:v>
                </c:pt>
                <c:pt idx="400">
                  <c:v>8.7008755480852989E-2</c:v>
                </c:pt>
                <c:pt idx="401">
                  <c:v>9.4762117374268165E-2</c:v>
                </c:pt>
                <c:pt idx="402">
                  <c:v>9.4303436080342765E-2</c:v>
                </c:pt>
                <c:pt idx="403">
                  <c:v>9.1738328043548811E-2</c:v>
                </c:pt>
                <c:pt idx="404">
                  <c:v>9.0004118461738489E-2</c:v>
                </c:pt>
                <c:pt idx="405">
                  <c:v>9.2088202046502435E-2</c:v>
                </c:pt>
                <c:pt idx="406">
                  <c:v>9.6031318265009255E-2</c:v>
                </c:pt>
                <c:pt idx="407">
                  <c:v>9.5486274981119945E-2</c:v>
                </c:pt>
                <c:pt idx="408">
                  <c:v>0.10086062171826282</c:v>
                </c:pt>
                <c:pt idx="409">
                  <c:v>8.9168820201177335E-2</c:v>
                </c:pt>
                <c:pt idx="410">
                  <c:v>9.9121684162540399E-2</c:v>
                </c:pt>
                <c:pt idx="411">
                  <c:v>9.9658531735757117E-2</c:v>
                </c:pt>
                <c:pt idx="412">
                  <c:v>9.0624652854464111E-2</c:v>
                </c:pt>
                <c:pt idx="413">
                  <c:v>9.5434597998531309E-2</c:v>
                </c:pt>
                <c:pt idx="414">
                  <c:v>9.7717942378806988E-2</c:v>
                </c:pt>
                <c:pt idx="415">
                  <c:v>0.10489301623199444</c:v>
                </c:pt>
                <c:pt idx="416">
                  <c:v>9.6600904435313634E-2</c:v>
                </c:pt>
                <c:pt idx="417">
                  <c:v>0.10563426324834302</c:v>
                </c:pt>
                <c:pt idx="418">
                  <c:v>8.6064254490151926E-2</c:v>
                </c:pt>
                <c:pt idx="419">
                  <c:v>0.10283111617658451</c:v>
                </c:pt>
                <c:pt idx="420">
                  <c:v>7.2882337923701759E-2</c:v>
                </c:pt>
                <c:pt idx="421">
                  <c:v>9.879383872557071E-2</c:v>
                </c:pt>
                <c:pt idx="422">
                  <c:v>0.1059382014412204</c:v>
                </c:pt>
                <c:pt idx="423">
                  <c:v>9.6816560320967443E-2</c:v>
                </c:pt>
                <c:pt idx="424">
                  <c:v>9.4159227957156394E-2</c:v>
                </c:pt>
                <c:pt idx="425">
                  <c:v>9.4816079225023581E-2</c:v>
                </c:pt>
                <c:pt idx="426">
                  <c:v>9.6344614310740678E-2</c:v>
                </c:pt>
                <c:pt idx="427">
                  <c:v>9.7944374127421907E-2</c:v>
                </c:pt>
                <c:pt idx="428">
                  <c:v>9.3710907398126139E-2</c:v>
                </c:pt>
                <c:pt idx="429">
                  <c:v>8.6448863660521194E-2</c:v>
                </c:pt>
                <c:pt idx="430">
                  <c:v>0.10216766792503848</c:v>
                </c:pt>
                <c:pt idx="431">
                  <c:v>0.10046578948689716</c:v>
                </c:pt>
                <c:pt idx="432">
                  <c:v>8.665322118953836E-2</c:v>
                </c:pt>
                <c:pt idx="433">
                  <c:v>9.8372043881400001E-2</c:v>
                </c:pt>
                <c:pt idx="434">
                  <c:v>9.058130897773542E-2</c:v>
                </c:pt>
                <c:pt idx="435">
                  <c:v>9.9885552167793948E-2</c:v>
                </c:pt>
                <c:pt idx="436">
                  <c:v>9.0926217742976406E-2</c:v>
                </c:pt>
                <c:pt idx="437">
                  <c:v>8.2851209713537932E-2</c:v>
                </c:pt>
                <c:pt idx="438">
                  <c:v>9.7601942582039622E-2</c:v>
                </c:pt>
                <c:pt idx="439">
                  <c:v>9.3381708939787852E-2</c:v>
                </c:pt>
                <c:pt idx="440">
                  <c:v>9.0360657496170949E-2</c:v>
                </c:pt>
                <c:pt idx="441">
                  <c:v>8.8358646844375555E-2</c:v>
                </c:pt>
                <c:pt idx="442">
                  <c:v>7.6370957872913439E-2</c:v>
                </c:pt>
                <c:pt idx="443">
                  <c:v>9.4559272306613165E-2</c:v>
                </c:pt>
                <c:pt idx="444">
                  <c:v>8.7500231689266489E-2</c:v>
                </c:pt>
                <c:pt idx="445">
                  <c:v>8.7724522376297492E-2</c:v>
                </c:pt>
                <c:pt idx="446">
                  <c:v>6.9656325559966939E-2</c:v>
                </c:pt>
                <c:pt idx="447">
                  <c:v>8.7703307145352835E-2</c:v>
                </c:pt>
                <c:pt idx="448">
                  <c:v>0.10751246725567168</c:v>
                </c:pt>
                <c:pt idx="449">
                  <c:v>0.10492346014816833</c:v>
                </c:pt>
                <c:pt idx="450">
                  <c:v>0.10129790343549674</c:v>
                </c:pt>
                <c:pt idx="451">
                  <c:v>9.5347096101655496E-2</c:v>
                </c:pt>
                <c:pt idx="452">
                  <c:v>8.2268483898647729E-2</c:v>
                </c:pt>
                <c:pt idx="453">
                  <c:v>9.3668516215859837E-2</c:v>
                </c:pt>
                <c:pt idx="454">
                  <c:v>7.4048062638187181E-2</c:v>
                </c:pt>
                <c:pt idx="455">
                  <c:v>0.10703243059205267</c:v>
                </c:pt>
                <c:pt idx="456">
                  <c:v>9.1455480039118298E-2</c:v>
                </c:pt>
                <c:pt idx="457">
                  <c:v>9.7484409584237069E-2</c:v>
                </c:pt>
                <c:pt idx="458">
                  <c:v>0.10334152786192269</c:v>
                </c:pt>
                <c:pt idx="459">
                  <c:v>9.804460446176512E-2</c:v>
                </c:pt>
                <c:pt idx="460">
                  <c:v>9.7562474389675385E-2</c:v>
                </c:pt>
                <c:pt idx="461">
                  <c:v>9.1163584192605993E-2</c:v>
                </c:pt>
                <c:pt idx="462">
                  <c:v>8.3372267463012753E-2</c:v>
                </c:pt>
                <c:pt idx="463">
                  <c:v>0.10426468769123365</c:v>
                </c:pt>
                <c:pt idx="464">
                  <c:v>0.10505966689501228</c:v>
                </c:pt>
                <c:pt idx="465">
                  <c:v>9.2426286443688235E-2</c:v>
                </c:pt>
                <c:pt idx="466">
                  <c:v>8.5240419406153067E-2</c:v>
                </c:pt>
                <c:pt idx="467">
                  <c:v>9.9685848286366535E-2</c:v>
                </c:pt>
                <c:pt idx="468">
                  <c:v>8.7795921217262152E-2</c:v>
                </c:pt>
                <c:pt idx="469">
                  <c:v>9.8747695490229589E-2</c:v>
                </c:pt>
                <c:pt idx="470">
                  <c:v>0.10177476825912414</c:v>
                </c:pt>
                <c:pt idx="471">
                  <c:v>9.3795662656837114E-2</c:v>
                </c:pt>
                <c:pt idx="472">
                  <c:v>9.4077328311851602E-2</c:v>
                </c:pt>
                <c:pt idx="473">
                  <c:v>9.973362135386199E-2</c:v>
                </c:pt>
                <c:pt idx="474">
                  <c:v>0.10566975745885937</c:v>
                </c:pt>
                <c:pt idx="475">
                  <c:v>9.1760931875089366E-2</c:v>
                </c:pt>
                <c:pt idx="476">
                  <c:v>9.7685734994579471E-2</c:v>
                </c:pt>
                <c:pt idx="477">
                  <c:v>8.4096083219686174E-2</c:v>
                </c:pt>
                <c:pt idx="478">
                  <c:v>9.8834038972162724E-2</c:v>
                </c:pt>
                <c:pt idx="479">
                  <c:v>6.7053351225585867E-2</c:v>
                </c:pt>
                <c:pt idx="480">
                  <c:v>0.10018585616517781</c:v>
                </c:pt>
                <c:pt idx="481">
                  <c:v>9.5884023397967921E-2</c:v>
                </c:pt>
                <c:pt idx="482">
                  <c:v>8.8572495651865826E-2</c:v>
                </c:pt>
                <c:pt idx="483">
                  <c:v>8.5640385019662535E-2</c:v>
                </c:pt>
                <c:pt idx="484">
                  <c:v>8.739232660918092E-2</c:v>
                </c:pt>
                <c:pt idx="485">
                  <c:v>0.10408958282471276</c:v>
                </c:pt>
                <c:pt idx="486">
                  <c:v>9.0355153137809549E-2</c:v>
                </c:pt>
                <c:pt idx="487">
                  <c:v>9.2619788527235458E-2</c:v>
                </c:pt>
                <c:pt idx="488">
                  <c:v>9.6754796434015841E-2</c:v>
                </c:pt>
                <c:pt idx="489">
                  <c:v>9.5834765391495699E-2</c:v>
                </c:pt>
                <c:pt idx="490">
                  <c:v>8.625970621492203E-2</c:v>
                </c:pt>
                <c:pt idx="491">
                  <c:v>9.0686404970433621E-2</c:v>
                </c:pt>
                <c:pt idx="492">
                  <c:v>9.4753576563011629E-2</c:v>
                </c:pt>
                <c:pt idx="493">
                  <c:v>9.9459547261340625E-2</c:v>
                </c:pt>
                <c:pt idx="494">
                  <c:v>8.9256242118781415E-2</c:v>
                </c:pt>
                <c:pt idx="495">
                  <c:v>9.5943854492517577E-2</c:v>
                </c:pt>
                <c:pt idx="496">
                  <c:v>9.9035874462684456E-2</c:v>
                </c:pt>
                <c:pt idx="497">
                  <c:v>9.5245542000855873E-2</c:v>
                </c:pt>
                <c:pt idx="498">
                  <c:v>9.2748447703110831E-2</c:v>
                </c:pt>
                <c:pt idx="499">
                  <c:v>9.0126267928744619E-2</c:v>
                </c:pt>
                <c:pt idx="500">
                  <c:v>9.2775065134223483E-2</c:v>
                </c:pt>
                <c:pt idx="501">
                  <c:v>9.1594961521951346E-2</c:v>
                </c:pt>
                <c:pt idx="502">
                  <c:v>8.6376033245448805E-2</c:v>
                </c:pt>
                <c:pt idx="503">
                  <c:v>0.10241857067645496</c:v>
                </c:pt>
                <c:pt idx="504">
                  <c:v>8.3361921992177165E-2</c:v>
                </c:pt>
                <c:pt idx="505">
                  <c:v>9.6445923893104454E-2</c:v>
                </c:pt>
                <c:pt idx="506">
                  <c:v>9.2575056598008729E-2</c:v>
                </c:pt>
                <c:pt idx="507">
                  <c:v>8.8157182370543902E-2</c:v>
                </c:pt>
                <c:pt idx="508">
                  <c:v>8.8618445740834342E-2</c:v>
                </c:pt>
                <c:pt idx="509">
                  <c:v>8.6335031239243354E-2</c:v>
                </c:pt>
                <c:pt idx="510">
                  <c:v>8.4894295299240002E-2</c:v>
                </c:pt>
                <c:pt idx="511">
                  <c:v>8.8237294686544926E-2</c:v>
                </c:pt>
                <c:pt idx="512">
                  <c:v>9.8979237229185668E-2</c:v>
                </c:pt>
                <c:pt idx="513">
                  <c:v>9.8320782855923189E-2</c:v>
                </c:pt>
                <c:pt idx="514">
                  <c:v>7.7346002617316278E-2</c:v>
                </c:pt>
                <c:pt idx="515">
                  <c:v>9.8997216745724037E-2</c:v>
                </c:pt>
                <c:pt idx="516">
                  <c:v>9.1093553890686629E-2</c:v>
                </c:pt>
                <c:pt idx="517">
                  <c:v>9.584136567926245E-2</c:v>
                </c:pt>
                <c:pt idx="518">
                  <c:v>9.5699519371724592E-2</c:v>
                </c:pt>
                <c:pt idx="519">
                  <c:v>9.1343147653171655E-2</c:v>
                </c:pt>
                <c:pt idx="520">
                  <c:v>9.1935125205235363E-2</c:v>
                </c:pt>
                <c:pt idx="521">
                  <c:v>8.7296042895062265E-2</c:v>
                </c:pt>
                <c:pt idx="522">
                  <c:v>9.5024728061304131E-2</c:v>
                </c:pt>
                <c:pt idx="523">
                  <c:v>0.10062609823542704</c:v>
                </c:pt>
                <c:pt idx="524">
                  <c:v>0.10212507824839764</c:v>
                </c:pt>
                <c:pt idx="525">
                  <c:v>0.10197602868771655</c:v>
                </c:pt>
                <c:pt idx="526">
                  <c:v>8.8655177923991912E-2</c:v>
                </c:pt>
                <c:pt idx="527">
                  <c:v>8.3056261222259453E-2</c:v>
                </c:pt>
                <c:pt idx="528">
                  <c:v>8.4634220285560335E-2</c:v>
                </c:pt>
                <c:pt idx="529">
                  <c:v>9.2435921561805343E-2</c:v>
                </c:pt>
                <c:pt idx="530">
                  <c:v>8.8488781315129772E-2</c:v>
                </c:pt>
                <c:pt idx="531">
                  <c:v>0.10336762152428666</c:v>
                </c:pt>
                <c:pt idx="532">
                  <c:v>9.3839850016503121E-2</c:v>
                </c:pt>
                <c:pt idx="533">
                  <c:v>9.8368247006840326E-2</c:v>
                </c:pt>
                <c:pt idx="534">
                  <c:v>9.7116957454293329E-2</c:v>
                </c:pt>
                <c:pt idx="535">
                  <c:v>8.9427066698831575E-2</c:v>
                </c:pt>
                <c:pt idx="536">
                  <c:v>0.10422651234922267</c:v>
                </c:pt>
                <c:pt idx="537">
                  <c:v>9.1558799411939479E-2</c:v>
                </c:pt>
                <c:pt idx="538">
                  <c:v>9.0709129399253741E-2</c:v>
                </c:pt>
                <c:pt idx="539">
                  <c:v>8.6410744312089824E-2</c:v>
                </c:pt>
                <c:pt idx="540">
                  <c:v>8.036832492916135E-2</c:v>
                </c:pt>
                <c:pt idx="541">
                  <c:v>8.9692131790740093E-2</c:v>
                </c:pt>
                <c:pt idx="542">
                  <c:v>8.9179032235504135E-2</c:v>
                </c:pt>
                <c:pt idx="543">
                  <c:v>8.4242717481421314E-2</c:v>
                </c:pt>
                <c:pt idx="544">
                  <c:v>9.5159176143999546E-2</c:v>
                </c:pt>
                <c:pt idx="545">
                  <c:v>8.8200806536052334E-2</c:v>
                </c:pt>
                <c:pt idx="546">
                  <c:v>7.6154276008182642E-2</c:v>
                </c:pt>
                <c:pt idx="547">
                  <c:v>9.8284465473695903E-2</c:v>
                </c:pt>
                <c:pt idx="548">
                  <c:v>0.10431560639756321</c:v>
                </c:pt>
                <c:pt idx="549">
                  <c:v>0.10070356911148864</c:v>
                </c:pt>
                <c:pt idx="550">
                  <c:v>9.0094170374672905E-2</c:v>
                </c:pt>
                <c:pt idx="551">
                  <c:v>8.71455636754465E-2</c:v>
                </c:pt>
                <c:pt idx="552">
                  <c:v>8.3548738025555208E-2</c:v>
                </c:pt>
                <c:pt idx="553">
                  <c:v>9.9653677395345128E-2</c:v>
                </c:pt>
                <c:pt idx="554">
                  <c:v>8.6329719336277741E-2</c:v>
                </c:pt>
                <c:pt idx="555">
                  <c:v>7.2440257015294121E-2</c:v>
                </c:pt>
                <c:pt idx="556">
                  <c:v>7.8565182483331483E-2</c:v>
                </c:pt>
                <c:pt idx="557">
                  <c:v>0.10237969872726757</c:v>
                </c:pt>
                <c:pt idx="558">
                  <c:v>8.7636167250934788E-2</c:v>
                </c:pt>
                <c:pt idx="559">
                  <c:v>0.10217915717851284</c:v>
                </c:pt>
                <c:pt idx="560">
                  <c:v>9.803317893720262E-2</c:v>
                </c:pt>
                <c:pt idx="561">
                  <c:v>9.6095884340095111E-2</c:v>
                </c:pt>
                <c:pt idx="562">
                  <c:v>8.8816528654462407E-2</c:v>
                </c:pt>
                <c:pt idx="563">
                  <c:v>0.10153056327364823</c:v>
                </c:pt>
                <c:pt idx="564">
                  <c:v>9.4068862097727773E-2</c:v>
                </c:pt>
                <c:pt idx="565">
                  <c:v>8.3676066082210537E-2</c:v>
                </c:pt>
                <c:pt idx="566">
                  <c:v>8.4733839404065203E-2</c:v>
                </c:pt>
                <c:pt idx="567">
                  <c:v>9.3722321351748378E-2</c:v>
                </c:pt>
                <c:pt idx="568">
                  <c:v>9.0363435397908781E-2</c:v>
                </c:pt>
                <c:pt idx="569">
                  <c:v>0.10056142461646304</c:v>
                </c:pt>
                <c:pt idx="570">
                  <c:v>9.0403443495311944E-2</c:v>
                </c:pt>
                <c:pt idx="571">
                  <c:v>8.5248091026229739E-2</c:v>
                </c:pt>
                <c:pt idx="572">
                  <c:v>8.1444976635954222E-2</c:v>
                </c:pt>
                <c:pt idx="573">
                  <c:v>9.8310151417707548E-2</c:v>
                </c:pt>
                <c:pt idx="574">
                  <c:v>7.9610262628780473E-2</c:v>
                </c:pt>
                <c:pt idx="575">
                  <c:v>8.4245237466459247E-2</c:v>
                </c:pt>
                <c:pt idx="576">
                  <c:v>7.9525470171520882E-2</c:v>
                </c:pt>
                <c:pt idx="577">
                  <c:v>9.8789438780313946E-2</c:v>
                </c:pt>
                <c:pt idx="578">
                  <c:v>9.3209374204710205E-2</c:v>
                </c:pt>
                <c:pt idx="579">
                  <c:v>0.10050564460317202</c:v>
                </c:pt>
                <c:pt idx="580">
                  <c:v>9.9335053147955238E-2</c:v>
                </c:pt>
                <c:pt idx="581">
                  <c:v>7.8197550973185259E-2</c:v>
                </c:pt>
                <c:pt idx="582">
                  <c:v>9.9169960104349184E-2</c:v>
                </c:pt>
                <c:pt idx="583">
                  <c:v>9.0860773565862113E-2</c:v>
                </c:pt>
                <c:pt idx="584">
                  <c:v>9.4892259214252039E-2</c:v>
                </c:pt>
                <c:pt idx="585">
                  <c:v>8.0845999040131483E-2</c:v>
                </c:pt>
                <c:pt idx="586">
                  <c:v>8.6119833238411492E-2</c:v>
                </c:pt>
                <c:pt idx="587">
                  <c:v>9.3301433884452889E-2</c:v>
                </c:pt>
                <c:pt idx="588">
                  <c:v>8.4578294162761136E-2</c:v>
                </c:pt>
                <c:pt idx="589">
                  <c:v>8.9296260368543642E-2</c:v>
                </c:pt>
                <c:pt idx="590">
                  <c:v>8.7475640589795012E-2</c:v>
                </c:pt>
                <c:pt idx="591">
                  <c:v>9.3580493127704029E-2</c:v>
                </c:pt>
                <c:pt idx="592">
                  <c:v>7.552051867171633E-2</c:v>
                </c:pt>
                <c:pt idx="593">
                  <c:v>8.4866309622786781E-2</c:v>
                </c:pt>
                <c:pt idx="594">
                  <c:v>8.4720482617270249E-2</c:v>
                </c:pt>
                <c:pt idx="595">
                  <c:v>9.9490786343188836E-2</c:v>
                </c:pt>
                <c:pt idx="596">
                  <c:v>8.9565678021298806E-2</c:v>
                </c:pt>
                <c:pt idx="597">
                  <c:v>9.7927961261423307E-2</c:v>
                </c:pt>
                <c:pt idx="598">
                  <c:v>0.10122141870609203</c:v>
                </c:pt>
                <c:pt idx="599">
                  <c:v>9.3177169175136645E-2</c:v>
                </c:pt>
                <c:pt idx="600">
                  <c:v>0.10287628942571828</c:v>
                </c:pt>
                <c:pt idx="601">
                  <c:v>9.7208231200700629E-2</c:v>
                </c:pt>
                <c:pt idx="602">
                  <c:v>8.9097827913746708E-2</c:v>
                </c:pt>
                <c:pt idx="603">
                  <c:v>9.731372186009947E-2</c:v>
                </c:pt>
                <c:pt idx="604">
                  <c:v>7.3768680110417609E-2</c:v>
                </c:pt>
                <c:pt idx="605">
                  <c:v>0.10136655328170781</c:v>
                </c:pt>
                <c:pt idx="606">
                  <c:v>0.10071426331663015</c:v>
                </c:pt>
                <c:pt idx="607">
                  <c:v>8.2762092005610369E-2</c:v>
                </c:pt>
                <c:pt idx="608">
                  <c:v>8.7563795718147749E-2</c:v>
                </c:pt>
                <c:pt idx="609">
                  <c:v>8.2123576956792108E-2</c:v>
                </c:pt>
                <c:pt idx="610">
                  <c:v>9.0117220178884488E-2</c:v>
                </c:pt>
                <c:pt idx="611">
                  <c:v>0.10139968010488468</c:v>
                </c:pt>
                <c:pt idx="612">
                  <c:v>7.9590897826359225E-2</c:v>
                </c:pt>
                <c:pt idx="613">
                  <c:v>0.10117232409926655</c:v>
                </c:pt>
                <c:pt idx="614">
                  <c:v>9.0225652299545323E-2</c:v>
                </c:pt>
                <c:pt idx="615">
                  <c:v>0.10038993899554174</c:v>
                </c:pt>
                <c:pt idx="616">
                  <c:v>8.6829407569418093E-2</c:v>
                </c:pt>
                <c:pt idx="617">
                  <c:v>9.7172072296263123E-2</c:v>
                </c:pt>
                <c:pt idx="618">
                  <c:v>8.6324270172134732E-2</c:v>
                </c:pt>
                <c:pt idx="619">
                  <c:v>9.0314066821722883E-2</c:v>
                </c:pt>
                <c:pt idx="620">
                  <c:v>8.9024171423054341E-2</c:v>
                </c:pt>
                <c:pt idx="621">
                  <c:v>8.4661379664211223E-2</c:v>
                </c:pt>
                <c:pt idx="622">
                  <c:v>6.7003609922676038E-2</c:v>
                </c:pt>
                <c:pt idx="623">
                  <c:v>8.3916734291949957E-2</c:v>
                </c:pt>
                <c:pt idx="624">
                  <c:v>9.2078705339504838E-2</c:v>
                </c:pt>
                <c:pt idx="625">
                  <c:v>0.10610426217240283</c:v>
                </c:pt>
                <c:pt idx="626">
                  <c:v>7.4414175099433405E-2</c:v>
                </c:pt>
                <c:pt idx="627">
                  <c:v>0.1016674063151385</c:v>
                </c:pt>
                <c:pt idx="628">
                  <c:v>0.10430096493143028</c:v>
                </c:pt>
                <c:pt idx="629">
                  <c:v>9.1092319893018414E-2</c:v>
                </c:pt>
                <c:pt idx="630">
                  <c:v>8.5555444135439709E-2</c:v>
                </c:pt>
                <c:pt idx="631">
                  <c:v>0.10094802858819492</c:v>
                </c:pt>
                <c:pt idx="632">
                  <c:v>0.10131430576369273</c:v>
                </c:pt>
                <c:pt idx="633">
                  <c:v>9.3460927998217369E-2</c:v>
                </c:pt>
                <c:pt idx="634">
                  <c:v>0.10349725543983254</c:v>
                </c:pt>
                <c:pt idx="635">
                  <c:v>8.9336168454040576E-2</c:v>
                </c:pt>
                <c:pt idx="636">
                  <c:v>0.10504671632935517</c:v>
                </c:pt>
                <c:pt idx="637">
                  <c:v>8.109959180245549E-2</c:v>
                </c:pt>
                <c:pt idx="638">
                  <c:v>8.3207950954418741E-2</c:v>
                </c:pt>
                <c:pt idx="639">
                  <c:v>8.8664338511402402E-2</c:v>
                </c:pt>
                <c:pt idx="640">
                  <c:v>8.3076652673407136E-2</c:v>
                </c:pt>
                <c:pt idx="641">
                  <c:v>7.8673450484874563E-2</c:v>
                </c:pt>
                <c:pt idx="642">
                  <c:v>8.3948566377308076E-2</c:v>
                </c:pt>
                <c:pt idx="643">
                  <c:v>8.615695148217492E-2</c:v>
                </c:pt>
                <c:pt idx="644">
                  <c:v>9.3314584950665747E-2</c:v>
                </c:pt>
                <c:pt idx="645">
                  <c:v>8.6052924685185522E-2</c:v>
                </c:pt>
                <c:pt idx="646">
                  <c:v>0.10124507214205565</c:v>
                </c:pt>
                <c:pt idx="647">
                  <c:v>7.4056414828127914E-2</c:v>
                </c:pt>
                <c:pt idx="648">
                  <c:v>0.10051825175124213</c:v>
                </c:pt>
                <c:pt idx="649">
                  <c:v>8.8772799082567577E-2</c:v>
                </c:pt>
                <c:pt idx="650">
                  <c:v>9.1671511992168761E-2</c:v>
                </c:pt>
                <c:pt idx="651">
                  <c:v>9.7231447917534547E-2</c:v>
                </c:pt>
                <c:pt idx="652">
                  <c:v>8.9676993513361281E-2</c:v>
                </c:pt>
                <c:pt idx="653">
                  <c:v>8.77157545949801E-2</c:v>
                </c:pt>
                <c:pt idx="654">
                  <c:v>8.4903132763176681E-2</c:v>
                </c:pt>
                <c:pt idx="655">
                  <c:v>7.6544043821694274E-2</c:v>
                </c:pt>
                <c:pt idx="656">
                  <c:v>8.0421389254002246E-2</c:v>
                </c:pt>
                <c:pt idx="657">
                  <c:v>8.5189513386776633E-2</c:v>
                </c:pt>
                <c:pt idx="658">
                  <c:v>7.9707803613367795E-2</c:v>
                </c:pt>
                <c:pt idx="659">
                  <c:v>9.5056475343910846E-2</c:v>
                </c:pt>
                <c:pt idx="660">
                  <c:v>9.5139694713178263E-2</c:v>
                </c:pt>
                <c:pt idx="661">
                  <c:v>0.10095456932528064</c:v>
                </c:pt>
                <c:pt idx="662">
                  <c:v>0.10523654923047049</c:v>
                </c:pt>
                <c:pt idx="663">
                  <c:v>7.4750501155895752E-2</c:v>
                </c:pt>
                <c:pt idx="664">
                  <c:v>8.660046237439982E-2</c:v>
                </c:pt>
                <c:pt idx="665">
                  <c:v>8.9201527830063493E-2</c:v>
                </c:pt>
                <c:pt idx="666">
                  <c:v>0.10533283883189334</c:v>
                </c:pt>
                <c:pt idx="667">
                  <c:v>9.1408214205743035E-2</c:v>
                </c:pt>
                <c:pt idx="668">
                  <c:v>9.9776562424490331E-2</c:v>
                </c:pt>
                <c:pt idx="669">
                  <c:v>9.8995615300673065E-2</c:v>
                </c:pt>
                <c:pt idx="670">
                  <c:v>8.3884386843772182E-2</c:v>
                </c:pt>
                <c:pt idx="671">
                  <c:v>9.3529110520658737E-2</c:v>
                </c:pt>
                <c:pt idx="672">
                  <c:v>9.7369897717550724E-2</c:v>
                </c:pt>
                <c:pt idx="673">
                  <c:v>8.3419393063391217E-2</c:v>
                </c:pt>
                <c:pt idx="674">
                  <c:v>8.5523688960485705E-2</c:v>
                </c:pt>
                <c:pt idx="675">
                  <c:v>8.799576992101675E-2</c:v>
                </c:pt>
                <c:pt idx="676">
                  <c:v>8.9304737324823358E-2</c:v>
                </c:pt>
                <c:pt idx="677">
                  <c:v>8.4896821652783352E-2</c:v>
                </c:pt>
                <c:pt idx="678">
                  <c:v>0.10033999255750722</c:v>
                </c:pt>
                <c:pt idx="679">
                  <c:v>8.5968862322671827E-2</c:v>
                </c:pt>
                <c:pt idx="680">
                  <c:v>9.1336256743763916E-2</c:v>
                </c:pt>
                <c:pt idx="681">
                  <c:v>8.2097077734925999E-2</c:v>
                </c:pt>
                <c:pt idx="682">
                  <c:v>0.10154615686088025</c:v>
                </c:pt>
                <c:pt idx="683">
                  <c:v>9.0593351415974688E-2</c:v>
                </c:pt>
                <c:pt idx="684">
                  <c:v>9.2869832238057115E-2</c:v>
                </c:pt>
                <c:pt idx="685">
                  <c:v>8.583459762345505E-2</c:v>
                </c:pt>
                <c:pt idx="686">
                  <c:v>9.3818709363819364E-2</c:v>
                </c:pt>
                <c:pt idx="687">
                  <c:v>8.0826319178594883E-2</c:v>
                </c:pt>
                <c:pt idx="688">
                  <c:v>9.7535053987729825E-2</c:v>
                </c:pt>
                <c:pt idx="689">
                  <c:v>9.3348532957593364E-2</c:v>
                </c:pt>
                <c:pt idx="690">
                  <c:v>8.3800037307263806E-2</c:v>
                </c:pt>
                <c:pt idx="691">
                  <c:v>8.34410099125001E-2</c:v>
                </c:pt>
                <c:pt idx="692">
                  <c:v>8.1438567947175883E-2</c:v>
                </c:pt>
                <c:pt idx="693">
                  <c:v>9.9813878497748754E-2</c:v>
                </c:pt>
                <c:pt idx="694">
                  <c:v>8.3946336924852691E-2</c:v>
                </c:pt>
                <c:pt idx="695">
                  <c:v>8.693268792167308E-2</c:v>
                </c:pt>
                <c:pt idx="696">
                  <c:v>8.7268408086762297E-2</c:v>
                </c:pt>
                <c:pt idx="697">
                  <c:v>7.9092933180176003E-2</c:v>
                </c:pt>
                <c:pt idx="698">
                  <c:v>9.7730837071959759E-2</c:v>
                </c:pt>
                <c:pt idx="699">
                  <c:v>8.7412513977451131E-2</c:v>
                </c:pt>
                <c:pt idx="700">
                  <c:v>7.4858297248076702E-2</c:v>
                </c:pt>
                <c:pt idx="701">
                  <c:v>0.10164074434081205</c:v>
                </c:pt>
                <c:pt idx="702">
                  <c:v>7.268537002991754E-2</c:v>
                </c:pt>
                <c:pt idx="703">
                  <c:v>9.4115589199202487E-2</c:v>
                </c:pt>
                <c:pt idx="704">
                  <c:v>8.4216602242467936E-2</c:v>
                </c:pt>
                <c:pt idx="705">
                  <c:v>9.3457322237074106E-2</c:v>
                </c:pt>
                <c:pt idx="706">
                  <c:v>9.7461556005610656E-2</c:v>
                </c:pt>
                <c:pt idx="707">
                  <c:v>9.7020394233210919E-2</c:v>
                </c:pt>
                <c:pt idx="708">
                  <c:v>7.699850137976734E-2</c:v>
                </c:pt>
                <c:pt idx="709">
                  <c:v>9.3810170340800997E-2</c:v>
                </c:pt>
                <c:pt idx="710">
                  <c:v>8.4704441972722574E-2</c:v>
                </c:pt>
                <c:pt idx="711">
                  <c:v>8.1017264764980251E-2</c:v>
                </c:pt>
                <c:pt idx="712">
                  <c:v>9.981381982276076E-2</c:v>
                </c:pt>
                <c:pt idx="713">
                  <c:v>8.4898563717889841E-2</c:v>
                </c:pt>
                <c:pt idx="714">
                  <c:v>8.2552744535308933E-2</c:v>
                </c:pt>
                <c:pt idx="715">
                  <c:v>8.7567516704772697E-2</c:v>
                </c:pt>
                <c:pt idx="716">
                  <c:v>9.2947685088146742E-2</c:v>
                </c:pt>
                <c:pt idx="717">
                  <c:v>0.10285736912627491</c:v>
                </c:pt>
                <c:pt idx="718">
                  <c:v>6.875144914786796E-2</c:v>
                </c:pt>
                <c:pt idx="719">
                  <c:v>0.1014795918498281</c:v>
                </c:pt>
                <c:pt idx="720">
                  <c:v>9.841287970521595E-2</c:v>
                </c:pt>
                <c:pt idx="721">
                  <c:v>9.3682942307866182E-2</c:v>
                </c:pt>
                <c:pt idx="722">
                  <c:v>0.10729257709804008</c:v>
                </c:pt>
                <c:pt idx="723">
                  <c:v>9.4526856330096137E-2</c:v>
                </c:pt>
                <c:pt idx="724">
                  <c:v>8.9006110723500495E-2</c:v>
                </c:pt>
                <c:pt idx="725">
                  <c:v>9.7141513046446443E-2</c:v>
                </c:pt>
                <c:pt idx="726">
                  <c:v>9.2864227259553289E-2</c:v>
                </c:pt>
                <c:pt idx="727">
                  <c:v>7.4063979472850067E-2</c:v>
                </c:pt>
                <c:pt idx="728">
                  <c:v>8.8423351367980699E-2</c:v>
                </c:pt>
                <c:pt idx="729">
                  <c:v>9.4941288061257331E-2</c:v>
                </c:pt>
                <c:pt idx="730">
                  <c:v>9.2018077456748712E-2</c:v>
                </c:pt>
                <c:pt idx="731">
                  <c:v>8.7104943866867679E-2</c:v>
                </c:pt>
                <c:pt idx="732">
                  <c:v>8.8900056683061793E-2</c:v>
                </c:pt>
                <c:pt idx="733">
                  <c:v>8.1843170114916763E-2</c:v>
                </c:pt>
                <c:pt idx="734">
                  <c:v>9.3858002649695738E-2</c:v>
                </c:pt>
                <c:pt idx="735">
                  <c:v>9.1421904878374538E-2</c:v>
                </c:pt>
                <c:pt idx="736">
                  <c:v>8.071462656471097E-2</c:v>
                </c:pt>
                <c:pt idx="737">
                  <c:v>7.5411616196916831E-2</c:v>
                </c:pt>
                <c:pt idx="738">
                  <c:v>8.4948722108926067E-2</c:v>
                </c:pt>
                <c:pt idx="739">
                  <c:v>8.3023465296043611E-2</c:v>
                </c:pt>
                <c:pt idx="740">
                  <c:v>0.10138657118020779</c:v>
                </c:pt>
                <c:pt idx="741">
                  <c:v>8.3224833253324734E-2</c:v>
                </c:pt>
                <c:pt idx="742">
                  <c:v>7.692150919289753E-2</c:v>
                </c:pt>
                <c:pt idx="743">
                  <c:v>8.1682334991725961E-2</c:v>
                </c:pt>
                <c:pt idx="744">
                  <c:v>7.3358927663690926E-2</c:v>
                </c:pt>
                <c:pt idx="745">
                  <c:v>8.2058068288254279E-2</c:v>
                </c:pt>
                <c:pt idx="746">
                  <c:v>7.8502237582318821E-2</c:v>
                </c:pt>
                <c:pt idx="747">
                  <c:v>8.90908143689636E-2</c:v>
                </c:pt>
                <c:pt idx="748">
                  <c:v>8.7563119153601626E-2</c:v>
                </c:pt>
                <c:pt idx="749">
                  <c:v>7.8145572869840266E-2</c:v>
                </c:pt>
                <c:pt idx="750">
                  <c:v>7.5257669041565819E-2</c:v>
                </c:pt>
                <c:pt idx="751">
                  <c:v>7.9767805283849719E-2</c:v>
                </c:pt>
                <c:pt idx="752">
                  <c:v>7.5532557447105603E-2</c:v>
                </c:pt>
                <c:pt idx="753">
                  <c:v>7.9976083331290609E-2</c:v>
                </c:pt>
                <c:pt idx="754">
                  <c:v>8.3258866764530565E-2</c:v>
                </c:pt>
                <c:pt idx="755">
                  <c:v>8.2304184096504168E-2</c:v>
                </c:pt>
                <c:pt idx="756">
                  <c:v>8.3084343588258225E-2</c:v>
                </c:pt>
                <c:pt idx="757">
                  <c:v>8.8160081854658359E-2</c:v>
                </c:pt>
                <c:pt idx="758">
                  <c:v>8.1790947322953847E-2</c:v>
                </c:pt>
                <c:pt idx="759">
                  <c:v>7.8072103328285403E-2</c:v>
                </c:pt>
                <c:pt idx="760">
                  <c:v>9.7829636930980152E-2</c:v>
                </c:pt>
                <c:pt idx="761">
                  <c:v>8.3835016903947915E-2</c:v>
                </c:pt>
                <c:pt idx="762">
                  <c:v>8.2016357517949695E-2</c:v>
                </c:pt>
                <c:pt idx="763">
                  <c:v>8.2255383314878749E-2</c:v>
                </c:pt>
                <c:pt idx="764">
                  <c:v>8.2154985075665682E-2</c:v>
                </c:pt>
                <c:pt idx="765">
                  <c:v>9.1767841037571379E-2</c:v>
                </c:pt>
                <c:pt idx="766">
                  <c:v>8.621035322742715E-2</c:v>
                </c:pt>
                <c:pt idx="767">
                  <c:v>9.6395659819034279E-2</c:v>
                </c:pt>
                <c:pt idx="768">
                  <c:v>8.1343083817118814E-2</c:v>
                </c:pt>
                <c:pt idx="769">
                  <c:v>9.9586536950224583E-2</c:v>
                </c:pt>
                <c:pt idx="770">
                  <c:v>8.2774933321093258E-2</c:v>
                </c:pt>
                <c:pt idx="771">
                  <c:v>8.2842776543345639E-2</c:v>
                </c:pt>
                <c:pt idx="772">
                  <c:v>8.7441557360572519E-2</c:v>
                </c:pt>
                <c:pt idx="773">
                  <c:v>9.2804216541019349E-2</c:v>
                </c:pt>
                <c:pt idx="774">
                  <c:v>6.6321098114480947E-2</c:v>
                </c:pt>
                <c:pt idx="775">
                  <c:v>8.6458115224032434E-2</c:v>
                </c:pt>
                <c:pt idx="776">
                  <c:v>9.2511846650172841E-2</c:v>
                </c:pt>
                <c:pt idx="777">
                  <c:v>7.7587739983280085E-2</c:v>
                </c:pt>
                <c:pt idx="778">
                  <c:v>7.5934113604255171E-2</c:v>
                </c:pt>
                <c:pt idx="779">
                  <c:v>7.926734970701077E-2</c:v>
                </c:pt>
                <c:pt idx="780">
                  <c:v>9.0162835730492386E-2</c:v>
                </c:pt>
                <c:pt idx="781">
                  <c:v>9.5648430650919825E-2</c:v>
                </c:pt>
                <c:pt idx="782">
                  <c:v>8.8036706207293647E-2</c:v>
                </c:pt>
                <c:pt idx="783">
                  <c:v>8.8883327353659128E-2</c:v>
                </c:pt>
                <c:pt idx="784">
                  <c:v>8.796271977063945E-2</c:v>
                </c:pt>
                <c:pt idx="785">
                  <c:v>8.1727940666668886E-2</c:v>
                </c:pt>
                <c:pt idx="786">
                  <c:v>9.1867231920741158E-2</c:v>
                </c:pt>
                <c:pt idx="787">
                  <c:v>8.5558556030278746E-2</c:v>
                </c:pt>
                <c:pt idx="788">
                  <c:v>9.8278726988147713E-2</c:v>
                </c:pt>
                <c:pt idx="789">
                  <c:v>8.4062580834656717E-2</c:v>
                </c:pt>
                <c:pt idx="790">
                  <c:v>9.3336602108015976E-2</c:v>
                </c:pt>
                <c:pt idx="791">
                  <c:v>8.3316390726557554E-2</c:v>
                </c:pt>
                <c:pt idx="792">
                  <c:v>7.7806697162525418E-2</c:v>
                </c:pt>
                <c:pt idx="793">
                  <c:v>0.10065060257514533</c:v>
                </c:pt>
                <c:pt idx="794">
                  <c:v>0.10125996989282704</c:v>
                </c:pt>
                <c:pt idx="795">
                  <c:v>8.5921675422846192E-2</c:v>
                </c:pt>
                <c:pt idx="796">
                  <c:v>8.9628685724966517E-2</c:v>
                </c:pt>
                <c:pt idx="797">
                  <c:v>7.6725583141760756E-2</c:v>
                </c:pt>
                <c:pt idx="798">
                  <c:v>8.2548685900081756E-2</c:v>
                </c:pt>
                <c:pt idx="799">
                  <c:v>8.806747681133259E-2</c:v>
                </c:pt>
                <c:pt idx="800">
                  <c:v>9.7108372946627289E-2</c:v>
                </c:pt>
                <c:pt idx="801">
                  <c:v>7.9338281840908326E-2</c:v>
                </c:pt>
                <c:pt idx="802">
                  <c:v>8.2188637434099071E-2</c:v>
                </c:pt>
                <c:pt idx="803">
                  <c:v>7.944753791674411E-2</c:v>
                </c:pt>
                <c:pt idx="804">
                  <c:v>9.8602927874588658E-2</c:v>
                </c:pt>
                <c:pt idx="805">
                  <c:v>9.1742498090631702E-2</c:v>
                </c:pt>
                <c:pt idx="806">
                  <c:v>7.947261934432083E-2</c:v>
                </c:pt>
                <c:pt idx="807">
                  <c:v>9.4795511120654097E-2</c:v>
                </c:pt>
                <c:pt idx="808">
                  <c:v>8.483583027566316E-2</c:v>
                </c:pt>
                <c:pt idx="809">
                  <c:v>7.9985741982666586E-2</c:v>
                </c:pt>
                <c:pt idx="810">
                  <c:v>8.5671620418995453E-2</c:v>
                </c:pt>
                <c:pt idx="811">
                  <c:v>9.1915735233082552E-2</c:v>
                </c:pt>
                <c:pt idx="812">
                  <c:v>9.4212145479003875E-2</c:v>
                </c:pt>
                <c:pt idx="813">
                  <c:v>8.6522190481433156E-2</c:v>
                </c:pt>
                <c:pt idx="814">
                  <c:v>7.7888313951118365E-2</c:v>
                </c:pt>
                <c:pt idx="815">
                  <c:v>8.5924382749303585E-2</c:v>
                </c:pt>
                <c:pt idx="816">
                  <c:v>8.1823481439370627E-2</c:v>
                </c:pt>
                <c:pt idx="817">
                  <c:v>6.0530920278577274E-2</c:v>
                </c:pt>
                <c:pt idx="818">
                  <c:v>8.016533559752477E-2</c:v>
                </c:pt>
                <c:pt idx="819">
                  <c:v>9.2006207780668592E-2</c:v>
                </c:pt>
                <c:pt idx="820">
                  <c:v>9.7796210837988742E-2</c:v>
                </c:pt>
                <c:pt idx="821">
                  <c:v>8.008775206331406E-2</c:v>
                </c:pt>
                <c:pt idx="822">
                  <c:v>8.503288481492427E-2</c:v>
                </c:pt>
                <c:pt idx="823">
                  <c:v>9.6807333084860919E-2</c:v>
                </c:pt>
                <c:pt idx="824">
                  <c:v>6.8914100336736367E-2</c:v>
                </c:pt>
                <c:pt idx="825">
                  <c:v>7.7735398672441003E-2</c:v>
                </c:pt>
                <c:pt idx="826">
                  <c:v>9.8191846715373177E-2</c:v>
                </c:pt>
                <c:pt idx="827">
                  <c:v>7.6225551587203066E-2</c:v>
                </c:pt>
                <c:pt idx="828">
                  <c:v>0.10560753265586434</c:v>
                </c:pt>
                <c:pt idx="829">
                  <c:v>8.3841051305287864E-2</c:v>
                </c:pt>
                <c:pt idx="830">
                  <c:v>8.3952132382804245E-2</c:v>
                </c:pt>
                <c:pt idx="831">
                  <c:v>7.9258272153554965E-2</c:v>
                </c:pt>
                <c:pt idx="832">
                  <c:v>9.0104787015602678E-2</c:v>
                </c:pt>
                <c:pt idx="833">
                  <c:v>8.491801817368938E-2</c:v>
                </c:pt>
                <c:pt idx="834">
                  <c:v>8.7703280548504653E-2</c:v>
                </c:pt>
                <c:pt idx="835">
                  <c:v>8.0829392891647173E-2</c:v>
                </c:pt>
                <c:pt idx="836">
                  <c:v>9.3033448655860773E-2</c:v>
                </c:pt>
                <c:pt idx="837">
                  <c:v>7.8652374859271318E-2</c:v>
                </c:pt>
                <c:pt idx="838">
                  <c:v>8.5515770507513716E-2</c:v>
                </c:pt>
                <c:pt idx="839">
                  <c:v>8.9404508361116561E-2</c:v>
                </c:pt>
                <c:pt idx="840">
                  <c:v>7.5195096051652449E-2</c:v>
                </c:pt>
                <c:pt idx="841">
                  <c:v>7.0737100580705883E-2</c:v>
                </c:pt>
                <c:pt idx="842">
                  <c:v>8.0519177671283026E-2</c:v>
                </c:pt>
                <c:pt idx="843">
                  <c:v>9.629662966486216E-2</c:v>
                </c:pt>
                <c:pt idx="844">
                  <c:v>8.0438259297058362E-2</c:v>
                </c:pt>
                <c:pt idx="845">
                  <c:v>8.3611407210032421E-2</c:v>
                </c:pt>
                <c:pt idx="846">
                  <c:v>7.4822418088413695E-2</c:v>
                </c:pt>
                <c:pt idx="847">
                  <c:v>8.1779812209259756E-2</c:v>
                </c:pt>
                <c:pt idx="848">
                  <c:v>9.1299396944202416E-2</c:v>
                </c:pt>
                <c:pt idx="849">
                  <c:v>7.5763319991895839E-2</c:v>
                </c:pt>
                <c:pt idx="850">
                  <c:v>6.9143752338368086E-2</c:v>
                </c:pt>
                <c:pt idx="851">
                  <c:v>0.10010398904040142</c:v>
                </c:pt>
                <c:pt idx="852">
                  <c:v>9.3032854940696949E-2</c:v>
                </c:pt>
                <c:pt idx="853">
                  <c:v>9.7871342989569288E-2</c:v>
                </c:pt>
                <c:pt idx="854">
                  <c:v>8.0316296760647277E-2</c:v>
                </c:pt>
                <c:pt idx="855">
                  <c:v>8.9229763407595142E-2</c:v>
                </c:pt>
                <c:pt idx="856">
                  <c:v>9.4010638805888586E-2</c:v>
                </c:pt>
                <c:pt idx="857">
                  <c:v>7.5773616532542165E-2</c:v>
                </c:pt>
                <c:pt idx="858">
                  <c:v>6.9986752501150357E-2</c:v>
                </c:pt>
                <c:pt idx="859">
                  <c:v>8.554775122726857E-2</c:v>
                </c:pt>
                <c:pt idx="860">
                  <c:v>7.8169884946314327E-2</c:v>
                </c:pt>
                <c:pt idx="861">
                  <c:v>8.4451024602632416E-2</c:v>
                </c:pt>
                <c:pt idx="862">
                  <c:v>9.9123413759091825E-2</c:v>
                </c:pt>
                <c:pt idx="863">
                  <c:v>8.2014957965888285E-2</c:v>
                </c:pt>
                <c:pt idx="864">
                  <c:v>8.304693547172444E-2</c:v>
                </c:pt>
                <c:pt idx="865">
                  <c:v>8.5223639925012543E-2</c:v>
                </c:pt>
                <c:pt idx="866">
                  <c:v>8.7602925273789239E-2</c:v>
                </c:pt>
                <c:pt idx="867">
                  <c:v>7.8276444090816133E-2</c:v>
                </c:pt>
                <c:pt idx="868">
                  <c:v>7.2033793770106269E-2</c:v>
                </c:pt>
                <c:pt idx="869">
                  <c:v>8.9986739835901774E-2</c:v>
                </c:pt>
                <c:pt idx="870">
                  <c:v>7.9266566535185976E-2</c:v>
                </c:pt>
                <c:pt idx="871">
                  <c:v>7.3028376711288145E-2</c:v>
                </c:pt>
                <c:pt idx="872">
                  <c:v>8.4736032106906875E-2</c:v>
                </c:pt>
                <c:pt idx="873">
                  <c:v>8.2319935593263532E-2</c:v>
                </c:pt>
                <c:pt idx="874">
                  <c:v>9.3126971799371711E-2</c:v>
                </c:pt>
                <c:pt idx="875">
                  <c:v>7.7651411498906558E-2</c:v>
                </c:pt>
                <c:pt idx="876">
                  <c:v>8.7787593907940928E-2</c:v>
                </c:pt>
                <c:pt idx="877">
                  <c:v>8.1121245784474244E-2</c:v>
                </c:pt>
                <c:pt idx="878">
                  <c:v>8.8963385197021655E-2</c:v>
                </c:pt>
                <c:pt idx="879">
                  <c:v>8.6901608334074704E-2</c:v>
                </c:pt>
                <c:pt idx="880">
                  <c:v>8.2473560206262383E-2</c:v>
                </c:pt>
                <c:pt idx="881">
                  <c:v>0.10245465143335283</c:v>
                </c:pt>
                <c:pt idx="882">
                  <c:v>8.2840510305173962E-2</c:v>
                </c:pt>
                <c:pt idx="883">
                  <c:v>9.7364099250141639E-2</c:v>
                </c:pt>
                <c:pt idx="884">
                  <c:v>7.8798454217270913E-2</c:v>
                </c:pt>
                <c:pt idx="885">
                  <c:v>8.2681746554628635E-2</c:v>
                </c:pt>
                <c:pt idx="886">
                  <c:v>7.8586130079442207E-2</c:v>
                </c:pt>
                <c:pt idx="887">
                  <c:v>8.20222170768726E-2</c:v>
                </c:pt>
                <c:pt idx="888">
                  <c:v>9.7483424098573024E-2</c:v>
                </c:pt>
                <c:pt idx="889">
                  <c:v>6.8607665851843344E-2</c:v>
                </c:pt>
                <c:pt idx="890">
                  <c:v>8.9370256822434768E-2</c:v>
                </c:pt>
                <c:pt idx="891">
                  <c:v>7.2748199770042321E-2</c:v>
                </c:pt>
                <c:pt idx="892">
                  <c:v>8.9153684408373957E-2</c:v>
                </c:pt>
                <c:pt idx="893">
                  <c:v>7.5345808791280416E-2</c:v>
                </c:pt>
                <c:pt idx="894">
                  <c:v>7.4896907526905171E-2</c:v>
                </c:pt>
                <c:pt idx="895">
                  <c:v>9.0535987186662392E-2</c:v>
                </c:pt>
                <c:pt idx="896">
                  <c:v>8.0133391696980444E-2</c:v>
                </c:pt>
                <c:pt idx="897">
                  <c:v>7.8147164628096621E-2</c:v>
                </c:pt>
                <c:pt idx="898">
                  <c:v>8.3679487375120598E-2</c:v>
                </c:pt>
                <c:pt idx="899">
                  <c:v>7.398838166957078E-2</c:v>
                </c:pt>
                <c:pt idx="900">
                  <c:v>8.2206575510759092E-2</c:v>
                </c:pt>
                <c:pt idx="901">
                  <c:v>7.508129887799031E-2</c:v>
                </c:pt>
                <c:pt idx="902">
                  <c:v>8.2734241373709619E-2</c:v>
                </c:pt>
                <c:pt idx="903">
                  <c:v>8.9670317624984952E-2</c:v>
                </c:pt>
                <c:pt idx="904">
                  <c:v>7.5762345074084039E-2</c:v>
                </c:pt>
                <c:pt idx="905">
                  <c:v>8.0748948246362182E-2</c:v>
                </c:pt>
                <c:pt idx="906">
                  <c:v>8.4379151057526386E-2</c:v>
                </c:pt>
                <c:pt idx="907">
                  <c:v>7.7012400806319728E-2</c:v>
                </c:pt>
                <c:pt idx="908">
                  <c:v>7.8381207697791916E-2</c:v>
                </c:pt>
                <c:pt idx="909">
                  <c:v>8.7512262159030657E-2</c:v>
                </c:pt>
                <c:pt idx="910">
                  <c:v>8.2339762869950789E-2</c:v>
                </c:pt>
                <c:pt idx="911">
                  <c:v>8.278851128920621E-2</c:v>
                </c:pt>
                <c:pt idx="912">
                  <c:v>9.8512064554109408E-2</c:v>
                </c:pt>
                <c:pt idx="913">
                  <c:v>7.8597528138316164E-2</c:v>
                </c:pt>
                <c:pt idx="914">
                  <c:v>8.2415511706892375E-2</c:v>
                </c:pt>
                <c:pt idx="915">
                  <c:v>8.53352919377421E-2</c:v>
                </c:pt>
                <c:pt idx="916">
                  <c:v>9.3116418213025381E-2</c:v>
                </c:pt>
                <c:pt idx="917">
                  <c:v>7.2408448198834269E-2</c:v>
                </c:pt>
                <c:pt idx="918">
                  <c:v>0.1002519745819351</c:v>
                </c:pt>
                <c:pt idx="919">
                  <c:v>7.5857501574119718E-2</c:v>
                </c:pt>
                <c:pt idx="920">
                  <c:v>7.7650691858888413E-2</c:v>
                </c:pt>
                <c:pt idx="921">
                  <c:v>9.473325947718883E-2</c:v>
                </c:pt>
                <c:pt idx="922">
                  <c:v>9.6263531016094139E-2</c:v>
                </c:pt>
                <c:pt idx="923">
                  <c:v>7.5698143323214284E-2</c:v>
                </c:pt>
                <c:pt idx="924">
                  <c:v>8.2781846760055011E-2</c:v>
                </c:pt>
                <c:pt idx="925">
                  <c:v>7.5873379198350355E-2</c:v>
                </c:pt>
                <c:pt idx="926">
                  <c:v>8.7165845903030004E-2</c:v>
                </c:pt>
                <c:pt idx="927">
                  <c:v>8.6916762782867307E-2</c:v>
                </c:pt>
                <c:pt idx="928">
                  <c:v>7.1962446606574026E-2</c:v>
                </c:pt>
                <c:pt idx="929">
                  <c:v>9.6281110672642861E-2</c:v>
                </c:pt>
                <c:pt idx="930">
                  <c:v>7.8324802022096712E-2</c:v>
                </c:pt>
                <c:pt idx="931">
                  <c:v>8.3557815251070172E-2</c:v>
                </c:pt>
                <c:pt idx="932">
                  <c:v>7.4260195275637278E-2</c:v>
                </c:pt>
                <c:pt idx="933">
                  <c:v>9.667616992836911E-2</c:v>
                </c:pt>
                <c:pt idx="934">
                  <c:v>7.9186174311862034E-2</c:v>
                </c:pt>
                <c:pt idx="935">
                  <c:v>8.0833890913875037E-2</c:v>
                </c:pt>
                <c:pt idx="936">
                  <c:v>8.1220556679231504E-2</c:v>
                </c:pt>
                <c:pt idx="937">
                  <c:v>7.8596260015504821E-2</c:v>
                </c:pt>
                <c:pt idx="938">
                  <c:v>8.1663681732922738E-2</c:v>
                </c:pt>
                <c:pt idx="939">
                  <c:v>9.1820375667123783E-2</c:v>
                </c:pt>
                <c:pt idx="940">
                  <c:v>7.7715406164228173E-2</c:v>
                </c:pt>
                <c:pt idx="941">
                  <c:v>8.1595037160467718E-2</c:v>
                </c:pt>
                <c:pt idx="942">
                  <c:v>9.8726111721580231E-2</c:v>
                </c:pt>
                <c:pt idx="943">
                  <c:v>8.6788062344345843E-2</c:v>
                </c:pt>
                <c:pt idx="944">
                  <c:v>9.7024789580169191E-2</c:v>
                </c:pt>
                <c:pt idx="945">
                  <c:v>9.0281101225677229E-2</c:v>
                </c:pt>
                <c:pt idx="946">
                  <c:v>7.9638277804433111E-2</c:v>
                </c:pt>
                <c:pt idx="947">
                  <c:v>8.6564844665446838E-2</c:v>
                </c:pt>
                <c:pt idx="948">
                  <c:v>7.7424061198893154E-2</c:v>
                </c:pt>
                <c:pt idx="949">
                  <c:v>8.3780289754538981E-2</c:v>
                </c:pt>
                <c:pt idx="950">
                  <c:v>9.6533095692092508E-2</c:v>
                </c:pt>
                <c:pt idx="951">
                  <c:v>7.6929098493861814E-2</c:v>
                </c:pt>
                <c:pt idx="952">
                  <c:v>8.4154537347474023E-2</c:v>
                </c:pt>
                <c:pt idx="953">
                  <c:v>8.8912787521741532E-2</c:v>
                </c:pt>
                <c:pt idx="954">
                  <c:v>7.8675672024967142E-2</c:v>
                </c:pt>
                <c:pt idx="955">
                  <c:v>8.3802492067160034E-2</c:v>
                </c:pt>
                <c:pt idx="956">
                  <c:v>9.010769576165048E-2</c:v>
                </c:pt>
                <c:pt idx="957">
                  <c:v>8.0517186698808474E-2</c:v>
                </c:pt>
                <c:pt idx="958">
                  <c:v>9.0440014345318259E-2</c:v>
                </c:pt>
                <c:pt idx="959">
                  <c:v>9.380158558676957E-2</c:v>
                </c:pt>
                <c:pt idx="960">
                  <c:v>8.0960849098065543E-2</c:v>
                </c:pt>
                <c:pt idx="961">
                  <c:v>9.3835637301555488E-2</c:v>
                </c:pt>
                <c:pt idx="962">
                  <c:v>8.2491320418383418E-2</c:v>
                </c:pt>
                <c:pt idx="963">
                  <c:v>9.1754182543938467E-2</c:v>
                </c:pt>
                <c:pt idx="964">
                  <c:v>8.8765937008447149E-2</c:v>
                </c:pt>
                <c:pt idx="965">
                  <c:v>8.4774639468932239E-2</c:v>
                </c:pt>
                <c:pt idx="966">
                  <c:v>8.4489642081747515E-2</c:v>
                </c:pt>
                <c:pt idx="967">
                  <c:v>8.4667555987680332E-2</c:v>
                </c:pt>
                <c:pt idx="968">
                  <c:v>8.8942676704750256E-2</c:v>
                </c:pt>
                <c:pt idx="969">
                  <c:v>7.8283889254148697E-2</c:v>
                </c:pt>
                <c:pt idx="970">
                  <c:v>9.4432195243713074E-2</c:v>
                </c:pt>
                <c:pt idx="971">
                  <c:v>8.3814015729938574E-2</c:v>
                </c:pt>
                <c:pt idx="972">
                  <c:v>8.4645485693525646E-2</c:v>
                </c:pt>
                <c:pt idx="973">
                  <c:v>9.5793558699649811E-2</c:v>
                </c:pt>
                <c:pt idx="974">
                  <c:v>8.0065389143069307E-2</c:v>
                </c:pt>
                <c:pt idx="975">
                  <c:v>8.0392463089813931E-2</c:v>
                </c:pt>
                <c:pt idx="976">
                  <c:v>8.7869345030984661E-2</c:v>
                </c:pt>
                <c:pt idx="977">
                  <c:v>9.6276915208794042E-2</c:v>
                </c:pt>
                <c:pt idx="978">
                  <c:v>9.1467895176356145E-2</c:v>
                </c:pt>
                <c:pt idx="979">
                  <c:v>7.6127850737594788E-2</c:v>
                </c:pt>
                <c:pt idx="980">
                  <c:v>8.5883775159663445E-2</c:v>
                </c:pt>
                <c:pt idx="981">
                  <c:v>8.909710244230476E-2</c:v>
                </c:pt>
                <c:pt idx="982">
                  <c:v>9.1729834064655014E-2</c:v>
                </c:pt>
                <c:pt idx="983">
                  <c:v>8.8295900860774323E-2</c:v>
                </c:pt>
                <c:pt idx="984">
                  <c:v>7.9923724011242106E-2</c:v>
                </c:pt>
                <c:pt idx="985">
                  <c:v>8.7296158755938991E-2</c:v>
                </c:pt>
                <c:pt idx="986">
                  <c:v>8.9610733905798851E-2</c:v>
                </c:pt>
                <c:pt idx="987">
                  <c:v>8.1897313333740632E-2</c:v>
                </c:pt>
                <c:pt idx="988">
                  <c:v>9.4213398230518525E-2</c:v>
                </c:pt>
                <c:pt idx="989">
                  <c:v>9.5440071779244906E-2</c:v>
                </c:pt>
                <c:pt idx="990">
                  <c:v>9.3722590549222398E-2</c:v>
                </c:pt>
                <c:pt idx="991">
                  <c:v>8.6596755688707103E-2</c:v>
                </c:pt>
                <c:pt idx="992">
                  <c:v>7.867606117007743E-2</c:v>
                </c:pt>
                <c:pt idx="993">
                  <c:v>8.770963792785974E-2</c:v>
                </c:pt>
                <c:pt idx="994">
                  <c:v>8.9895551924718736E-2</c:v>
                </c:pt>
                <c:pt idx="995">
                  <c:v>9.4248264228241854E-2</c:v>
                </c:pt>
                <c:pt idx="996">
                  <c:v>9.1221640367543752E-2</c:v>
                </c:pt>
                <c:pt idx="997">
                  <c:v>9.2197114469538391E-2</c:v>
                </c:pt>
                <c:pt idx="998">
                  <c:v>9.1584338029903456E-2</c:v>
                </c:pt>
                <c:pt idx="999">
                  <c:v>8.7254970894595094E-2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2BC-4829-8BEC-FD6133A2F34A}"/>
            </c:ext>
          </c:extLst>
        </c:ser>
        <c:ser>
          <c:idx val="1"/>
          <c:order val="1"/>
          <c:tx>
            <c:v>Assets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'EffFrontier 4 Assets'!$C$3:$C$6</c:f>
              <c:numCache>
                <c:formatCode>0.00%</c:formatCode>
                <c:ptCount val="4"/>
                <c:pt idx="0">
                  <c:v>6.9999999999999993E-2</c:v>
                </c:pt>
                <c:pt idx="1">
                  <c:v>8.7549985722443158E-2</c:v>
                </c:pt>
                <c:pt idx="2">
                  <c:v>0.14348170615099334</c:v>
                </c:pt>
                <c:pt idx="3">
                  <c:v>0.15706686474237652</c:v>
                </c:pt>
              </c:numCache>
            </c:numRef>
          </c:xVal>
          <c:yVal>
            <c:numRef>
              <c:f>'EffFrontier 4 Assets'!$B$3:$B$6</c:f>
              <c:numCache>
                <c:formatCode>0.00%</c:formatCode>
                <c:ptCount val="4"/>
                <c:pt idx="0">
                  <c:v>5.04697411694357E-2</c:v>
                </c:pt>
                <c:pt idx="1">
                  <c:v>0.12353320047005689</c:v>
                </c:pt>
                <c:pt idx="2">
                  <c:v>9.2609819612241351E-2</c:v>
                </c:pt>
                <c:pt idx="3">
                  <c:v>9.6254527972403636E-2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7B3-4328-ACC8-365AD4DFB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5757039"/>
        <c:axId val="1125761359"/>
      </c:scatterChart>
      <c:valAx>
        <c:axId val="1125757039"/>
        <c:scaling>
          <c:orientation val="minMax"/>
          <c:max val="0.16000000000000003"/>
          <c:min val="6.0000000000000012E-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761359"/>
        <c:crosses val="autoZero"/>
        <c:crossBetween val="midCat"/>
      </c:valAx>
      <c:valAx>
        <c:axId val="1125761359"/>
        <c:scaling>
          <c:orientation val="minMax"/>
          <c:max val="0.13"/>
          <c:min val="5.000000000000001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7570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Efficient Frontier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Efficient Frontier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dash"/>
              </a:ln>
              <a:effectLst/>
            </c:spPr>
            <c:trendlineType val="log"/>
            <c:dispRSqr val="0"/>
            <c:dispEq val="0"/>
          </c:trendline>
          <c:xVal>
            <c:numRef>
              <c:f>'OptimOnSmplxGrid 4 Assets'!$V$3:$V$751</c:f>
              <c:numCache>
                <c:formatCode>0.00%</c:formatCode>
                <c:ptCount val="749"/>
                <c:pt idx="0">
                  <c:v>7.8372862815321839E-2</c:v>
                </c:pt>
                <c:pt idx="1">
                  <c:v>7.838120709270445E-2</c:v>
                </c:pt>
                <c:pt idx="2">
                  <c:v>7.8380128263453475E-2</c:v>
                </c:pt>
                <c:pt idx="3">
                  <c:v>7.8389661510382486E-2</c:v>
                </c:pt>
                <c:pt idx="4">
                  <c:v>7.8385155359996808E-2</c:v>
                </c:pt>
                <c:pt idx="5">
                  <c:v>7.8389285424425581E-2</c:v>
                </c:pt>
                <c:pt idx="6">
                  <c:v>7.8388840427264628E-2</c:v>
                </c:pt>
                <c:pt idx="7">
                  <c:v>7.8392923781041748E-2</c:v>
                </c:pt>
                <c:pt idx="8">
                  <c:v>7.8398228262487435E-2</c:v>
                </c:pt>
                <c:pt idx="9">
                  <c:v>7.8392831180341419E-2</c:v>
                </c:pt>
                <c:pt idx="10">
                  <c:v>7.8398574555594791E-2</c:v>
                </c:pt>
                <c:pt idx="11">
                  <c:v>7.8395680825203359E-2</c:v>
                </c:pt>
                <c:pt idx="12">
                  <c:v>7.8398984987093592E-2</c:v>
                </c:pt>
                <c:pt idx="13">
                  <c:v>7.840078670188691E-2</c:v>
                </c:pt>
                <c:pt idx="14">
                  <c:v>7.8406909601792821E-2</c:v>
                </c:pt>
                <c:pt idx="15">
                  <c:v>7.8401298467491026E-2</c:v>
                </c:pt>
                <c:pt idx="16">
                  <c:v>7.839947919451519E-2</c:v>
                </c:pt>
                <c:pt idx="17">
                  <c:v>7.8407998529143499E-2</c:v>
                </c:pt>
                <c:pt idx="18">
                  <c:v>7.8402946731253295E-2</c:v>
                </c:pt>
                <c:pt idx="19">
                  <c:v>7.8401895650305073E-2</c:v>
                </c:pt>
                <c:pt idx="20">
                  <c:v>7.8408745856571205E-2</c:v>
                </c:pt>
                <c:pt idx="21">
                  <c:v>7.8403568267722171E-2</c:v>
                </c:pt>
                <c:pt idx="22">
                  <c:v>7.8409290531413947E-2</c:v>
                </c:pt>
                <c:pt idx="23">
                  <c:v>7.8404794690834848E-2</c:v>
                </c:pt>
                <c:pt idx="24">
                  <c:v>7.8409877411152823E-2</c:v>
                </c:pt>
                <c:pt idx="25">
                  <c:v>7.8410294598151797E-2</c:v>
                </c:pt>
                <c:pt idx="26">
                  <c:v>7.8410848257714563E-2</c:v>
                </c:pt>
                <c:pt idx="27">
                  <c:v>7.8411199055273745E-2</c:v>
                </c:pt>
                <c:pt idx="28">
                  <c:v>7.8411441221294342E-2</c:v>
                </c:pt>
                <c:pt idx="29">
                  <c:v>7.8411618450257556E-2</c:v>
                </c:pt>
                <c:pt idx="30">
                  <c:v>7.8412763080778658E-2</c:v>
                </c:pt>
                <c:pt idx="31">
                  <c:v>7.8412763080778658E-2</c:v>
                </c:pt>
                <c:pt idx="32">
                  <c:v>7.8412763080778658E-2</c:v>
                </c:pt>
                <c:pt idx="33">
                  <c:v>7.8412763080778658E-2</c:v>
                </c:pt>
                <c:pt idx="34">
                  <c:v>7.8412763080778658E-2</c:v>
                </c:pt>
              </c:numCache>
            </c:numRef>
          </c:xVal>
          <c:yVal>
            <c:numRef>
              <c:f>'OptimOnSmplxGrid 4 Assets'!$U$3:$U$751</c:f>
              <c:numCache>
                <c:formatCode>0.00%</c:formatCode>
                <c:ptCount val="749"/>
                <c:pt idx="0">
                  <c:v>0.11396947022933764</c:v>
                </c:pt>
                <c:pt idx="1">
                  <c:v>0.11398103700909747</c:v>
                </c:pt>
                <c:pt idx="2">
                  <c:v>0.1139793511522332</c:v>
                </c:pt>
                <c:pt idx="3">
                  <c:v>0.11399275417067241</c:v>
                </c:pt>
                <c:pt idx="4">
                  <c:v>0.11398618695518545</c:v>
                </c:pt>
                <c:pt idx="5">
                  <c:v>0.11399204118769485</c:v>
                </c:pt>
                <c:pt idx="6">
                  <c:v>0.11399119736495381</c:v>
                </c:pt>
                <c:pt idx="7">
                  <c:v>0.11399695063278617</c:v>
                </c:pt>
                <c:pt idx="8">
                  <c:v>0.11400462466596371</c:v>
                </c:pt>
                <c:pt idx="9">
                  <c:v>0.11399662291163269</c:v>
                </c:pt>
                <c:pt idx="10">
                  <c:v>0.11400491134391609</c:v>
                </c:pt>
                <c:pt idx="11">
                  <c:v>0.11400049677663815</c:v>
                </c:pt>
                <c:pt idx="12">
                  <c:v>0.11400525103812442</c:v>
                </c:pt>
                <c:pt idx="13">
                  <c:v>0.11400784326488662</c:v>
                </c:pt>
                <c:pt idx="14">
                  <c:v>0.11401665152464015</c:v>
                </c:pt>
                <c:pt idx="15">
                  <c:v>0.11400835148959117</c:v>
                </c:pt>
                <c:pt idx="16">
                  <c:v>0.11400565995371591</c:v>
                </c:pt>
                <c:pt idx="17">
                  <c:v>0.11401796548322456</c:v>
                </c:pt>
                <c:pt idx="18">
                  <c:v>0.11401056032822689</c:v>
                </c:pt>
                <c:pt idx="19">
                  <c:v>0.11400894443651169</c:v>
                </c:pt>
                <c:pt idx="20">
                  <c:v>0.11401886718286608</c:v>
                </c:pt>
                <c:pt idx="21">
                  <c:v>0.11401121777394756</c:v>
                </c:pt>
                <c:pt idx="22">
                  <c:v>0.11401952433500291</c:v>
                </c:pt>
                <c:pt idx="23">
                  <c:v>0.11401288460981253</c:v>
                </c:pt>
                <c:pt idx="24">
                  <c:v>0.11402023237556248</c:v>
                </c:pt>
                <c:pt idx="25">
                  <c:v>0.11402073567032055</c:v>
                </c:pt>
                <c:pt idx="26">
                  <c:v>0.11402140357985732</c:v>
                </c:pt>
                <c:pt idx="27">
                  <c:v>0.1140218267507136</c:v>
                </c:pt>
                <c:pt idx="28">
                  <c:v>0.11402211887127865</c:v>
                </c:pt>
                <c:pt idx="29">
                  <c:v>0.11402233265585369</c:v>
                </c:pt>
                <c:pt idx="30">
                  <c:v>0.11402371330752287</c:v>
                </c:pt>
                <c:pt idx="31">
                  <c:v>0.11402371330752287</c:v>
                </c:pt>
                <c:pt idx="32">
                  <c:v>0.11402371330752287</c:v>
                </c:pt>
                <c:pt idx="33">
                  <c:v>0.11402371330752287</c:v>
                </c:pt>
                <c:pt idx="34">
                  <c:v>0.11402371330752287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9E-469F-B5E8-E9E412907C94}"/>
            </c:ext>
          </c:extLst>
        </c:ser>
        <c:ser>
          <c:idx val="1"/>
          <c:order val="1"/>
          <c:tx>
            <c:v>Assets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'OptimOnSmplxGrid 4 Assets'!$C$3:$C$6</c:f>
              <c:numCache>
                <c:formatCode>0.00%</c:formatCode>
                <c:ptCount val="4"/>
                <c:pt idx="0">
                  <c:v>6.9999999999999993E-2</c:v>
                </c:pt>
                <c:pt idx="1">
                  <c:v>8.7549985722443158E-2</c:v>
                </c:pt>
                <c:pt idx="2">
                  <c:v>0.14348170615099334</c:v>
                </c:pt>
                <c:pt idx="3">
                  <c:v>0.15706686474237652</c:v>
                </c:pt>
              </c:numCache>
            </c:numRef>
          </c:xVal>
          <c:yVal>
            <c:numRef>
              <c:f>'OptimOnSmplxGrid 4 Assets'!$B$3:$B$6</c:f>
              <c:numCache>
                <c:formatCode>0.00%</c:formatCode>
                <c:ptCount val="4"/>
                <c:pt idx="0">
                  <c:v>5.04697411694357E-2</c:v>
                </c:pt>
                <c:pt idx="1">
                  <c:v>0.12353320047005689</c:v>
                </c:pt>
                <c:pt idx="2">
                  <c:v>9.2609819612241351E-2</c:v>
                </c:pt>
                <c:pt idx="3">
                  <c:v>9.6254527972403636E-2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A9E-469F-B5E8-E9E412907C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5757039"/>
        <c:axId val="1125761359"/>
      </c:scatterChart>
      <c:valAx>
        <c:axId val="1125757039"/>
        <c:scaling>
          <c:orientation val="minMax"/>
          <c:max val="0.16000000000000003"/>
          <c:min val="6.0000000000000012E-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761359"/>
        <c:crosses val="autoZero"/>
        <c:crossBetween val="midCat"/>
      </c:valAx>
      <c:valAx>
        <c:axId val="1125761359"/>
        <c:scaling>
          <c:orientation val="minMax"/>
          <c:max val="0.13"/>
          <c:min val="5.000000000000001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7570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'Uniform Grid over the Simplex'!$AA$1:$AA$41</c:f>
              <c:numCache>
                <c:formatCode>0.000</c:formatCode>
                <c:ptCount val="41"/>
                <c:pt idx="0">
                  <c:v>1</c:v>
                </c:pt>
                <c:pt idx="1">
                  <c:v>1.0249999999999999</c:v>
                </c:pt>
                <c:pt idx="2">
                  <c:v>1.05</c:v>
                </c:pt>
                <c:pt idx="3">
                  <c:v>1.075</c:v>
                </c:pt>
                <c:pt idx="4">
                  <c:v>1.1000000000000001</c:v>
                </c:pt>
                <c:pt idx="5">
                  <c:v>1.125</c:v>
                </c:pt>
                <c:pt idx="6">
                  <c:v>1.1499999999999999</c:v>
                </c:pt>
                <c:pt idx="7">
                  <c:v>1.175</c:v>
                </c:pt>
                <c:pt idx="8">
                  <c:v>1.2</c:v>
                </c:pt>
                <c:pt idx="9">
                  <c:v>1.2250000000000001</c:v>
                </c:pt>
                <c:pt idx="10">
                  <c:v>1.25</c:v>
                </c:pt>
                <c:pt idx="11">
                  <c:v>1.2749999999999999</c:v>
                </c:pt>
                <c:pt idx="12">
                  <c:v>1.3</c:v>
                </c:pt>
                <c:pt idx="13">
                  <c:v>1.325</c:v>
                </c:pt>
                <c:pt idx="14">
                  <c:v>1.35</c:v>
                </c:pt>
                <c:pt idx="15">
                  <c:v>1.375</c:v>
                </c:pt>
                <c:pt idx="16">
                  <c:v>1.4</c:v>
                </c:pt>
                <c:pt idx="17">
                  <c:v>1.425</c:v>
                </c:pt>
                <c:pt idx="18">
                  <c:v>1.45</c:v>
                </c:pt>
                <c:pt idx="19">
                  <c:v>1.4750000000000001</c:v>
                </c:pt>
                <c:pt idx="20">
                  <c:v>1.5</c:v>
                </c:pt>
                <c:pt idx="21">
                  <c:v>1.5249999999999999</c:v>
                </c:pt>
                <c:pt idx="22">
                  <c:v>1.55</c:v>
                </c:pt>
                <c:pt idx="23">
                  <c:v>1.575</c:v>
                </c:pt>
                <c:pt idx="24">
                  <c:v>1.6</c:v>
                </c:pt>
                <c:pt idx="25">
                  <c:v>1.625</c:v>
                </c:pt>
                <c:pt idx="26">
                  <c:v>1.65</c:v>
                </c:pt>
                <c:pt idx="27">
                  <c:v>1.675</c:v>
                </c:pt>
                <c:pt idx="28">
                  <c:v>1.7</c:v>
                </c:pt>
                <c:pt idx="29">
                  <c:v>1.7250000000000001</c:v>
                </c:pt>
                <c:pt idx="30">
                  <c:v>1.75</c:v>
                </c:pt>
                <c:pt idx="31">
                  <c:v>1.7749999999999999</c:v>
                </c:pt>
                <c:pt idx="32">
                  <c:v>1.8</c:v>
                </c:pt>
                <c:pt idx="33">
                  <c:v>1.825</c:v>
                </c:pt>
                <c:pt idx="34">
                  <c:v>1.85</c:v>
                </c:pt>
                <c:pt idx="35">
                  <c:v>1.875</c:v>
                </c:pt>
                <c:pt idx="36">
                  <c:v>1.9</c:v>
                </c:pt>
                <c:pt idx="37">
                  <c:v>1.925</c:v>
                </c:pt>
                <c:pt idx="38">
                  <c:v>1.95</c:v>
                </c:pt>
                <c:pt idx="39">
                  <c:v>1.9750000000000001</c:v>
                </c:pt>
                <c:pt idx="40">
                  <c:v>2</c:v>
                </c:pt>
              </c:numCache>
            </c:numRef>
          </c:xVal>
          <c:yVal>
            <c:numRef>
              <c:f>'Uniform Grid over the Simplex'!$AB$1:$AB$41</c:f>
              <c:numCache>
                <c:formatCode>0.000</c:formatCode>
                <c:ptCount val="41"/>
                <c:pt idx="0">
                  <c:v>1</c:v>
                </c:pt>
                <c:pt idx="1">
                  <c:v>1.0249999999999999</c:v>
                </c:pt>
                <c:pt idx="2">
                  <c:v>1.05</c:v>
                </c:pt>
                <c:pt idx="3">
                  <c:v>1.075</c:v>
                </c:pt>
                <c:pt idx="4">
                  <c:v>1.1000000000000001</c:v>
                </c:pt>
                <c:pt idx="5">
                  <c:v>1.125</c:v>
                </c:pt>
                <c:pt idx="6">
                  <c:v>1.1499999999999999</c:v>
                </c:pt>
                <c:pt idx="7">
                  <c:v>1.175</c:v>
                </c:pt>
                <c:pt idx="8">
                  <c:v>1.2</c:v>
                </c:pt>
                <c:pt idx="9">
                  <c:v>1.2250000000000001</c:v>
                </c:pt>
                <c:pt idx="10">
                  <c:v>1.25</c:v>
                </c:pt>
                <c:pt idx="11">
                  <c:v>1.2749999999999999</c:v>
                </c:pt>
                <c:pt idx="12">
                  <c:v>1.3</c:v>
                </c:pt>
                <c:pt idx="13">
                  <c:v>1.325</c:v>
                </c:pt>
                <c:pt idx="14">
                  <c:v>1.35</c:v>
                </c:pt>
                <c:pt idx="15">
                  <c:v>1.375</c:v>
                </c:pt>
                <c:pt idx="16">
                  <c:v>1.4</c:v>
                </c:pt>
                <c:pt idx="17">
                  <c:v>1.425</c:v>
                </c:pt>
                <c:pt idx="18">
                  <c:v>1.45</c:v>
                </c:pt>
                <c:pt idx="19">
                  <c:v>1.4750000000000001</c:v>
                </c:pt>
                <c:pt idx="20">
                  <c:v>1.5</c:v>
                </c:pt>
                <c:pt idx="21">
                  <c:v>1.5249999999999999</c:v>
                </c:pt>
                <c:pt idx="22">
                  <c:v>1.55</c:v>
                </c:pt>
                <c:pt idx="23">
                  <c:v>1.575</c:v>
                </c:pt>
                <c:pt idx="24">
                  <c:v>1.6</c:v>
                </c:pt>
                <c:pt idx="25">
                  <c:v>1.625</c:v>
                </c:pt>
                <c:pt idx="26">
                  <c:v>1.65</c:v>
                </c:pt>
                <c:pt idx="27">
                  <c:v>1.675</c:v>
                </c:pt>
                <c:pt idx="28">
                  <c:v>1.7</c:v>
                </c:pt>
                <c:pt idx="29">
                  <c:v>1.7250000000000001</c:v>
                </c:pt>
                <c:pt idx="30">
                  <c:v>1.75</c:v>
                </c:pt>
                <c:pt idx="31">
                  <c:v>1.7749999999999999</c:v>
                </c:pt>
                <c:pt idx="32">
                  <c:v>1.8</c:v>
                </c:pt>
                <c:pt idx="33">
                  <c:v>1.825</c:v>
                </c:pt>
                <c:pt idx="34">
                  <c:v>1.85</c:v>
                </c:pt>
                <c:pt idx="35">
                  <c:v>1.875</c:v>
                </c:pt>
                <c:pt idx="36">
                  <c:v>1.9</c:v>
                </c:pt>
                <c:pt idx="37">
                  <c:v>1.925</c:v>
                </c:pt>
                <c:pt idx="38">
                  <c:v>1.95</c:v>
                </c:pt>
                <c:pt idx="39">
                  <c:v>1.9750000000000001</c:v>
                </c:pt>
                <c:pt idx="40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923-4366-A30E-98505BCA5FB8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'Uniform Grid over the Simplex'!$AA$1:$AA$41</c:f>
              <c:numCache>
                <c:formatCode>0.000</c:formatCode>
                <c:ptCount val="41"/>
                <c:pt idx="0">
                  <c:v>1</c:v>
                </c:pt>
                <c:pt idx="1">
                  <c:v>1.0249999999999999</c:v>
                </c:pt>
                <c:pt idx="2">
                  <c:v>1.05</c:v>
                </c:pt>
                <c:pt idx="3">
                  <c:v>1.075</c:v>
                </c:pt>
                <c:pt idx="4">
                  <c:v>1.1000000000000001</c:v>
                </c:pt>
                <c:pt idx="5">
                  <c:v>1.125</c:v>
                </c:pt>
                <c:pt idx="6">
                  <c:v>1.1499999999999999</c:v>
                </c:pt>
                <c:pt idx="7">
                  <c:v>1.175</c:v>
                </c:pt>
                <c:pt idx="8">
                  <c:v>1.2</c:v>
                </c:pt>
                <c:pt idx="9">
                  <c:v>1.2250000000000001</c:v>
                </c:pt>
                <c:pt idx="10">
                  <c:v>1.25</c:v>
                </c:pt>
                <c:pt idx="11">
                  <c:v>1.2749999999999999</c:v>
                </c:pt>
                <c:pt idx="12">
                  <c:v>1.3</c:v>
                </c:pt>
                <c:pt idx="13">
                  <c:v>1.325</c:v>
                </c:pt>
                <c:pt idx="14">
                  <c:v>1.35</c:v>
                </c:pt>
                <c:pt idx="15">
                  <c:v>1.375</c:v>
                </c:pt>
                <c:pt idx="16">
                  <c:v>1.4</c:v>
                </c:pt>
                <c:pt idx="17">
                  <c:v>1.425</c:v>
                </c:pt>
                <c:pt idx="18">
                  <c:v>1.45</c:v>
                </c:pt>
                <c:pt idx="19">
                  <c:v>1.4750000000000001</c:v>
                </c:pt>
                <c:pt idx="20">
                  <c:v>1.5</c:v>
                </c:pt>
                <c:pt idx="21">
                  <c:v>1.5249999999999999</c:v>
                </c:pt>
                <c:pt idx="22">
                  <c:v>1.55</c:v>
                </c:pt>
                <c:pt idx="23">
                  <c:v>1.575</c:v>
                </c:pt>
                <c:pt idx="24">
                  <c:v>1.6</c:v>
                </c:pt>
                <c:pt idx="25">
                  <c:v>1.625</c:v>
                </c:pt>
                <c:pt idx="26">
                  <c:v>1.65</c:v>
                </c:pt>
                <c:pt idx="27">
                  <c:v>1.675</c:v>
                </c:pt>
                <c:pt idx="28">
                  <c:v>1.7</c:v>
                </c:pt>
                <c:pt idx="29">
                  <c:v>1.7250000000000001</c:v>
                </c:pt>
                <c:pt idx="30">
                  <c:v>1.75</c:v>
                </c:pt>
                <c:pt idx="31">
                  <c:v>1.7749999999999999</c:v>
                </c:pt>
                <c:pt idx="32">
                  <c:v>1.8</c:v>
                </c:pt>
                <c:pt idx="33">
                  <c:v>1.825</c:v>
                </c:pt>
                <c:pt idx="34">
                  <c:v>1.85</c:v>
                </c:pt>
                <c:pt idx="35">
                  <c:v>1.875</c:v>
                </c:pt>
                <c:pt idx="36">
                  <c:v>1.9</c:v>
                </c:pt>
                <c:pt idx="37">
                  <c:v>1.925</c:v>
                </c:pt>
                <c:pt idx="38">
                  <c:v>1.95</c:v>
                </c:pt>
                <c:pt idx="39">
                  <c:v>1.9750000000000001</c:v>
                </c:pt>
                <c:pt idx="40">
                  <c:v>2</c:v>
                </c:pt>
              </c:numCache>
            </c:numRef>
          </c:xVal>
          <c:yVal>
            <c:numRef>
              <c:f>'Uniform Grid over the Simplex'!$AC$1:$AC$41</c:f>
              <c:numCache>
                <c:formatCode>0.000</c:formatCode>
                <c:ptCount val="41"/>
                <c:pt idx="0">
                  <c:v>1.5</c:v>
                </c:pt>
                <c:pt idx="1">
                  <c:v>1.4881097560975611</c:v>
                </c:pt>
                <c:pt idx="2">
                  <c:v>1.4773809523809525</c:v>
                </c:pt>
                <c:pt idx="3">
                  <c:v>1.4677325581395348</c:v>
                </c:pt>
                <c:pt idx="4">
                  <c:v>1.459090909090909</c:v>
                </c:pt>
                <c:pt idx="5">
                  <c:v>1.4513888888888888</c:v>
                </c:pt>
                <c:pt idx="6">
                  <c:v>1.4445652173913044</c:v>
                </c:pt>
                <c:pt idx="7">
                  <c:v>1.4385638297872341</c:v>
                </c:pt>
                <c:pt idx="8">
                  <c:v>1.4333333333333333</c:v>
                </c:pt>
                <c:pt idx="9">
                  <c:v>1.4288265306122447</c:v>
                </c:pt>
                <c:pt idx="10">
                  <c:v>1.425</c:v>
                </c:pt>
                <c:pt idx="11">
                  <c:v>1.4218137254901961</c:v>
                </c:pt>
                <c:pt idx="12">
                  <c:v>1.4192307692307691</c:v>
                </c:pt>
                <c:pt idx="13">
                  <c:v>1.4172169811320754</c:v>
                </c:pt>
                <c:pt idx="14">
                  <c:v>1.4157407407407407</c:v>
                </c:pt>
                <c:pt idx="15">
                  <c:v>1.4147727272727273</c:v>
                </c:pt>
                <c:pt idx="16">
                  <c:v>1.4142857142857141</c:v>
                </c:pt>
                <c:pt idx="17">
                  <c:v>1.4142543859649122</c:v>
                </c:pt>
                <c:pt idx="18">
                  <c:v>1.4146551724137932</c:v>
                </c:pt>
                <c:pt idx="19">
                  <c:v>1.4154661016949153</c:v>
                </c:pt>
                <c:pt idx="20">
                  <c:v>1.4166666666666665</c:v>
                </c:pt>
                <c:pt idx="21">
                  <c:v>1.4182377049180328</c:v>
                </c:pt>
                <c:pt idx="22">
                  <c:v>1.4201612903225806</c:v>
                </c:pt>
                <c:pt idx="23">
                  <c:v>1.422420634920635</c:v>
                </c:pt>
                <c:pt idx="24">
                  <c:v>1.425</c:v>
                </c:pt>
                <c:pt idx="25">
                  <c:v>1.4278846153846154</c:v>
                </c:pt>
                <c:pt idx="26">
                  <c:v>1.4310606060606061</c:v>
                </c:pt>
                <c:pt idx="27">
                  <c:v>1.4345149253731342</c:v>
                </c:pt>
                <c:pt idx="28">
                  <c:v>1.4382352941176471</c:v>
                </c:pt>
                <c:pt idx="29">
                  <c:v>1.4422101449275364</c:v>
                </c:pt>
                <c:pt idx="30">
                  <c:v>1.4464285714285714</c:v>
                </c:pt>
                <c:pt idx="31">
                  <c:v>1.4508802816901407</c:v>
                </c:pt>
                <c:pt idx="32">
                  <c:v>1.4555555555555557</c:v>
                </c:pt>
                <c:pt idx="33">
                  <c:v>1.4604452054794521</c:v>
                </c:pt>
                <c:pt idx="34">
                  <c:v>1.4655405405405406</c:v>
                </c:pt>
                <c:pt idx="35">
                  <c:v>1.4708333333333332</c:v>
                </c:pt>
                <c:pt idx="36">
                  <c:v>1.4763157894736842</c:v>
                </c:pt>
                <c:pt idx="37">
                  <c:v>1.4819805194805196</c:v>
                </c:pt>
                <c:pt idx="38">
                  <c:v>1.4878205128205129</c:v>
                </c:pt>
                <c:pt idx="39">
                  <c:v>1.4938291139240505</c:v>
                </c:pt>
                <c:pt idx="40">
                  <c:v>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923-4366-A30E-98505BCA5F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6763087"/>
        <c:axId val="1126769807"/>
      </c:scatterChart>
      <c:valAx>
        <c:axId val="1126763087"/>
        <c:scaling>
          <c:orientation val="minMax"/>
          <c:max val="2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6769807"/>
        <c:crosses val="autoZero"/>
        <c:crossBetween val="midCat"/>
      </c:valAx>
      <c:valAx>
        <c:axId val="1126769807"/>
        <c:scaling>
          <c:orientation val="minMax"/>
          <c:max val="2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676308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'Pagmo NonLinFit'!$A$1:$A$6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'Pagmo NonLinFit'!$B$1:$B$6</c:f>
              <c:numCache>
                <c:formatCode>0.00</c:formatCode>
                <c:ptCount val="6"/>
                <c:pt idx="0">
                  <c:v>2</c:v>
                </c:pt>
                <c:pt idx="1">
                  <c:v>2.7</c:v>
                </c:pt>
                <c:pt idx="2">
                  <c:v>7.4</c:v>
                </c:pt>
                <c:pt idx="3">
                  <c:v>20.100000000000001</c:v>
                </c:pt>
                <c:pt idx="4">
                  <c:v>54.6</c:v>
                </c:pt>
                <c:pt idx="5">
                  <c:v>148.4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26-40DF-A10D-C2BF7142AE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2009759"/>
        <c:axId val="882010239"/>
      </c:scatterChart>
      <c:valAx>
        <c:axId val="8820097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2010239"/>
        <c:crosses val="autoZero"/>
        <c:crossBetween val="midCat"/>
      </c:valAx>
      <c:valAx>
        <c:axId val="8820102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20097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Centroid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355314960629921"/>
          <c:y val="0.15319444444444447"/>
          <c:w val="0.84589129483814518"/>
          <c:h val="0.7394061679790026"/>
        </c:manualLayout>
      </c:layout>
      <c:areaChart>
        <c:grouping val="stacked"/>
        <c:varyColors val="0"/>
        <c:ser>
          <c:idx val="1"/>
          <c:order val="0"/>
          <c:tx>
            <c:v>Upper Limiting Curve</c:v>
          </c:tx>
          <c:spPr>
            <a:solidFill>
              <a:schemeClr val="accent1">
                <a:lumMod val="40000"/>
                <a:lumOff val="60000"/>
              </a:schemeClr>
            </a:solidFill>
            <a:ln w="28575">
              <a:solidFill>
                <a:schemeClr val="accent1">
                  <a:lumMod val="75000"/>
                </a:schemeClr>
              </a:solidFill>
            </a:ln>
            <a:effectLst/>
          </c:spPr>
          <c:cat>
            <c:numRef>
              <c:f>Centroid!$B$7:$B$17</c:f>
              <c:numCache>
                <c:formatCode>0.00</c:formatCode>
                <c:ptCount val="11"/>
                <c:pt idx="0">
                  <c:v>1</c:v>
                </c:pt>
                <c:pt idx="1">
                  <c:v>1.2</c:v>
                </c:pt>
                <c:pt idx="2">
                  <c:v>1.4</c:v>
                </c:pt>
                <c:pt idx="3">
                  <c:v>1.6</c:v>
                </c:pt>
                <c:pt idx="4">
                  <c:v>1.8</c:v>
                </c:pt>
                <c:pt idx="5">
                  <c:v>2</c:v>
                </c:pt>
                <c:pt idx="6">
                  <c:v>2.2000000000000002</c:v>
                </c:pt>
                <c:pt idx="7">
                  <c:v>2.4</c:v>
                </c:pt>
                <c:pt idx="8">
                  <c:v>2.6</c:v>
                </c:pt>
                <c:pt idx="9">
                  <c:v>2.8</c:v>
                </c:pt>
                <c:pt idx="10">
                  <c:v>3</c:v>
                </c:pt>
              </c:numCache>
            </c:numRef>
          </c:cat>
          <c:val>
            <c:numRef>
              <c:f>Centroid!$C$7:$C$17</c:f>
              <c:numCache>
                <c:formatCode>0.00</c:formatCode>
                <c:ptCount val="11"/>
                <c:pt idx="0">
                  <c:v>1</c:v>
                </c:pt>
                <c:pt idx="1">
                  <c:v>1.6399999999999997</c:v>
                </c:pt>
                <c:pt idx="2">
                  <c:v>2.16</c:v>
                </c:pt>
                <c:pt idx="3">
                  <c:v>2.5599999999999996</c:v>
                </c:pt>
                <c:pt idx="4">
                  <c:v>2.8400000000000007</c:v>
                </c:pt>
                <c:pt idx="5">
                  <c:v>3</c:v>
                </c:pt>
                <c:pt idx="6">
                  <c:v>3.0399999999999991</c:v>
                </c:pt>
                <c:pt idx="7">
                  <c:v>2.9599999999999991</c:v>
                </c:pt>
                <c:pt idx="8">
                  <c:v>2.7600000000000016</c:v>
                </c:pt>
                <c:pt idx="9">
                  <c:v>2.4400000000000013</c:v>
                </c:pt>
                <c:pt idx="1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66-4547-BC63-03407E28D3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2736064"/>
        <c:axId val="1022750464"/>
      </c:areaChart>
      <c:scatterChart>
        <c:scatterStyle val="lineMarker"/>
        <c:varyColors val="0"/>
        <c:ser>
          <c:idx val="2"/>
          <c:order val="1"/>
          <c:tx>
            <c:v>Centroid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Centroid!$C$20</c:f>
              <c:numCache>
                <c:formatCode>0.00000</c:formatCode>
                <c:ptCount val="1"/>
                <c:pt idx="0">
                  <c:v>2.0666666666666669</c:v>
                </c:pt>
              </c:numCache>
            </c:numRef>
          </c:xVal>
          <c:yVal>
            <c:numRef>
              <c:f>Centroid!$D$20</c:f>
              <c:numCache>
                <c:formatCode>General</c:formatCode>
                <c:ptCount val="1"/>
                <c:pt idx="0">
                  <c:v>1.30666666666666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66-4547-BC63-03407E28D3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9543343"/>
        <c:axId val="1109541903"/>
      </c:scatterChart>
      <c:catAx>
        <c:axId val="1022736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2750464"/>
        <c:crosses val="autoZero"/>
        <c:auto val="1"/>
        <c:lblAlgn val="ctr"/>
        <c:lblOffset val="100"/>
        <c:tickMarkSkip val="1"/>
        <c:noMultiLvlLbl val="0"/>
      </c:catAx>
      <c:valAx>
        <c:axId val="1022750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2736064"/>
        <c:crosses val="autoZero"/>
        <c:crossBetween val="between"/>
      </c:valAx>
      <c:valAx>
        <c:axId val="1109541903"/>
        <c:scaling>
          <c:orientation val="minMax"/>
          <c:max val="3.5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9543343"/>
        <c:crosses val="max"/>
        <c:crossBetween val="midCat"/>
      </c:valAx>
      <c:valAx>
        <c:axId val="1109543343"/>
        <c:scaling>
          <c:orientation val="minMax"/>
          <c:max val="3.25"/>
          <c:min val="0.9"/>
        </c:scaling>
        <c:delete val="0"/>
        <c:axPos val="t"/>
        <c:numFmt formatCode="0" sourceLinked="0"/>
        <c:majorTickMark val="out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9541903"/>
        <c:crosses val="max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300317</xdr:colOff>
      <xdr:row>14</xdr:row>
      <xdr:rowOff>129987</xdr:rowOff>
    </xdr:from>
    <xdr:to>
      <xdr:col>13</xdr:col>
      <xdr:colOff>322728</xdr:colOff>
      <xdr:row>39</xdr:row>
      <xdr:rowOff>125505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4976099-2ADC-6E34-1637-66FCCCF1EE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0</xdr:col>
      <xdr:colOff>277906</xdr:colOff>
      <xdr:row>7</xdr:row>
      <xdr:rowOff>125505</xdr:rowOff>
    </xdr:from>
    <xdr:ext cx="7604646" cy="609013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36F580A5-C647-0175-699C-DCE93BA2491A}"/>
            </a:ext>
          </a:extLst>
        </xdr:cNvPr>
        <xdr:cNvSpPr txBox="1"/>
      </xdr:nvSpPr>
      <xdr:spPr>
        <a:xfrm>
          <a:off x="277906" y="1380564"/>
          <a:ext cx="7604646" cy="609013"/>
        </a:xfrm>
        <a:prstGeom prst="rect">
          <a:avLst/>
        </a:prstGeom>
        <a:solidFill>
          <a:srgbClr val="E7EDFF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Requested ChatGPT for an example that would definitely result in a curved efficient</a:t>
          </a:r>
          <a:r>
            <a:rPr lang="en-US" sz="1100" baseline="0"/>
            <a:t> frontier (after an example calculation</a:t>
          </a:r>
        </a:p>
        <a:p>
          <a:r>
            <a:rPr lang="en-US" sz="1100" baseline="0"/>
            <a:t>in C++ had lead to an almost linear EF. (Request to ChatGPT: </a:t>
          </a:r>
          <a:r>
            <a:rPr lang="en-US"/>
            <a:t>Could you please provide me with an example of annual returns and </a:t>
          </a:r>
        </a:p>
        <a:p>
          <a:r>
            <a:rPr lang="en-US"/>
            <a:t>a pertaining covariance matrix leading to an efficient frontier, which is distinctly different from a linear one?)</a:t>
          </a:r>
          <a:endParaRPr lang="en-US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336175</xdr:colOff>
      <xdr:row>14</xdr:row>
      <xdr:rowOff>121022</xdr:rowOff>
    </xdr:from>
    <xdr:to>
      <xdr:col>13</xdr:col>
      <xdr:colOff>358586</xdr:colOff>
      <xdr:row>39</xdr:row>
      <xdr:rowOff>116540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42997FA-2827-4473-8F40-FA5FBA0F3E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0</xdr:col>
      <xdr:colOff>277906</xdr:colOff>
      <xdr:row>7</xdr:row>
      <xdr:rowOff>125505</xdr:rowOff>
    </xdr:from>
    <xdr:ext cx="7604646" cy="609013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241C85AB-7D9C-440C-95C4-A0ECF6DB6F52}"/>
            </a:ext>
          </a:extLst>
        </xdr:cNvPr>
        <xdr:cNvSpPr txBox="1"/>
      </xdr:nvSpPr>
      <xdr:spPr>
        <a:xfrm>
          <a:off x="277906" y="1405665"/>
          <a:ext cx="7604646" cy="609013"/>
        </a:xfrm>
        <a:prstGeom prst="rect">
          <a:avLst/>
        </a:prstGeom>
        <a:solidFill>
          <a:srgbClr val="E7EDFF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Requested ChatGPT for an example that would definitely result in a curved efficient</a:t>
          </a:r>
          <a:r>
            <a:rPr lang="en-US" sz="1100" baseline="0"/>
            <a:t> frontier (after an example calculation</a:t>
          </a:r>
        </a:p>
        <a:p>
          <a:r>
            <a:rPr lang="en-US" sz="1100" baseline="0"/>
            <a:t>in C++ had lead to an almost linear EF. (Request to ChatGPT: </a:t>
          </a:r>
          <a:r>
            <a:rPr lang="en-US"/>
            <a:t>Could you please provide me with an example of annual returns and </a:t>
          </a:r>
        </a:p>
        <a:p>
          <a:r>
            <a:rPr lang="en-US"/>
            <a:t>a pertaining covariance matrix leading to an efficient frontier, which is distinctly different from a linear one?)</a:t>
          </a:r>
          <a:endParaRPr lang="en-US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336175</xdr:colOff>
      <xdr:row>14</xdr:row>
      <xdr:rowOff>121022</xdr:rowOff>
    </xdr:from>
    <xdr:to>
      <xdr:col>13</xdr:col>
      <xdr:colOff>358586</xdr:colOff>
      <xdr:row>39</xdr:row>
      <xdr:rowOff>116540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7B6AFF8-62FE-4170-A8BD-25E2BA6927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0</xdr:col>
      <xdr:colOff>277906</xdr:colOff>
      <xdr:row>7</xdr:row>
      <xdr:rowOff>125505</xdr:rowOff>
    </xdr:from>
    <xdr:ext cx="7604646" cy="609013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88BCBE6-D029-42F2-AD8E-76466D958A61}"/>
            </a:ext>
          </a:extLst>
        </xdr:cNvPr>
        <xdr:cNvSpPr txBox="1"/>
      </xdr:nvSpPr>
      <xdr:spPr>
        <a:xfrm>
          <a:off x="277906" y="1405665"/>
          <a:ext cx="7604646" cy="609013"/>
        </a:xfrm>
        <a:prstGeom prst="rect">
          <a:avLst/>
        </a:prstGeom>
        <a:solidFill>
          <a:srgbClr val="E7EDFF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Requested ChatGPT for an example that would definitely result in a curved efficient</a:t>
          </a:r>
          <a:r>
            <a:rPr lang="en-US" sz="1100" baseline="0"/>
            <a:t> frontier (after an example calculation</a:t>
          </a:r>
        </a:p>
        <a:p>
          <a:r>
            <a:rPr lang="en-US" sz="1100" baseline="0"/>
            <a:t>in C++ had lead to an almost linear EF. (Request to ChatGPT: </a:t>
          </a:r>
          <a:r>
            <a:rPr lang="en-US"/>
            <a:t>Could you please provide me with an example of annual returns and </a:t>
          </a:r>
        </a:p>
        <a:p>
          <a:r>
            <a:rPr lang="en-US"/>
            <a:t>a pertaining covariance matrix leading to an efficient frontier, which is distinctly different from a linear one?)</a:t>
          </a:r>
          <a:endParaRPr lang="en-US" sz="1100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298077</xdr:colOff>
      <xdr:row>19</xdr:row>
      <xdr:rowOff>57374</xdr:rowOff>
    </xdr:from>
    <xdr:to>
      <xdr:col>29</xdr:col>
      <xdr:colOff>314214</xdr:colOff>
      <xdr:row>34</xdr:row>
      <xdr:rowOff>57374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A787EA-DB9E-4512-3BFA-A0852EE8A1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533400</xdr:colOff>
      <xdr:row>9</xdr:row>
      <xdr:rowOff>38100</xdr:rowOff>
    </xdr:from>
    <xdr:to>
      <xdr:col>15</xdr:col>
      <xdr:colOff>228600</xdr:colOff>
      <xdr:row>24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992C24F-8F0F-90CA-7836-82B198598A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363071</xdr:colOff>
      <xdr:row>2</xdr:row>
      <xdr:rowOff>121023</xdr:rowOff>
    </xdr:from>
    <xdr:to>
      <xdr:col>14</xdr:col>
      <xdr:colOff>470647</xdr:colOff>
      <xdr:row>17</xdr:row>
      <xdr:rowOff>174811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1BF5E3F-1D8C-44F7-9CBB-C20F6FABDA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6</xdr:row>
      <xdr:rowOff>0</xdr:rowOff>
    </xdr:from>
    <xdr:to>
      <xdr:col>24</xdr:col>
      <xdr:colOff>381000</xdr:colOff>
      <xdr:row>22</xdr:row>
      <xdr:rowOff>38100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9020D6CE-20D8-56FE-CB13-7F23B2844F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50824" y="1183341"/>
          <a:ext cx="4648200" cy="30143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T33"/>
  <sheetViews>
    <sheetView zoomScale="85" zoomScaleNormal="85" workbookViewId="0">
      <selection activeCell="B3" sqref="B3:B6"/>
    </sheetView>
  </sheetViews>
  <sheetFormatPr defaultRowHeight="14.4" x14ac:dyDescent="0.3"/>
  <cols>
    <col min="2" max="2" width="19.21875" customWidth="1"/>
    <col min="3" max="3" width="15.5546875" customWidth="1"/>
    <col min="4" max="4" width="3" customWidth="1"/>
    <col min="16" max="16" width="2.88671875" customWidth="1"/>
    <col min="17" max="17" width="8.88671875" customWidth="1"/>
  </cols>
  <sheetData>
    <row r="1" spans="1:20" x14ac:dyDescent="0.3">
      <c r="A1" s="1"/>
      <c r="B1" s="2"/>
      <c r="C1" s="2"/>
      <c r="D1" s="18"/>
      <c r="E1" s="2" t="s">
        <v>1</v>
      </c>
      <c r="F1" s="2"/>
      <c r="G1" s="2"/>
      <c r="H1" s="2"/>
      <c r="I1" s="2"/>
      <c r="J1" s="2"/>
      <c r="K1" s="2"/>
      <c r="L1" s="2"/>
      <c r="M1" s="2"/>
      <c r="N1" s="2"/>
      <c r="O1" s="2"/>
      <c r="P1" s="18"/>
      <c r="Q1" s="4" t="s">
        <v>2</v>
      </c>
      <c r="R1" s="4" t="s">
        <v>3</v>
      </c>
      <c r="S1" s="3" t="s">
        <v>0</v>
      </c>
      <c r="T1" s="5"/>
    </row>
    <row r="2" spans="1:20" x14ac:dyDescent="0.3">
      <c r="A2" s="6" t="s">
        <v>4</v>
      </c>
      <c r="B2" s="24" t="s">
        <v>5</v>
      </c>
      <c r="C2" s="24" t="s">
        <v>6</v>
      </c>
      <c r="D2" s="20"/>
      <c r="E2" s="22">
        <v>0</v>
      </c>
      <c r="F2" s="22">
        <v>1</v>
      </c>
      <c r="G2" s="22">
        <v>2</v>
      </c>
      <c r="H2" s="22">
        <v>3</v>
      </c>
      <c r="I2" s="22">
        <v>4</v>
      </c>
      <c r="J2" s="22">
        <v>5</v>
      </c>
      <c r="K2" s="22">
        <v>6</v>
      </c>
      <c r="L2" s="22">
        <v>7</v>
      </c>
      <c r="M2" s="22">
        <v>8</v>
      </c>
      <c r="N2" s="22">
        <v>9</v>
      </c>
      <c r="O2" s="22">
        <v>10</v>
      </c>
      <c r="P2" s="20"/>
      <c r="Q2" s="23"/>
      <c r="R2" s="21"/>
      <c r="S2" s="21"/>
    </row>
    <row r="3" spans="1:20" x14ac:dyDescent="0.3">
      <c r="A3" s="6">
        <f>ROW()-ROW($A$2)</f>
        <v>1</v>
      </c>
      <c r="B3" s="7" t="s">
        <v>9</v>
      </c>
      <c r="C3" t="s">
        <v>10</v>
      </c>
      <c r="D3" s="20"/>
      <c r="E3" s="9">
        <v>0</v>
      </c>
      <c r="F3" s="9">
        <v>-8.0600000000000005E-2</v>
      </c>
      <c r="G3" s="9">
        <v>6.6799999999999998E-2</v>
      </c>
      <c r="H3" s="9">
        <v>0.18429999999999999</v>
      </c>
      <c r="I3" s="9">
        <v>0.2039</v>
      </c>
      <c r="J3" s="9">
        <v>0.25240000000000001</v>
      </c>
      <c r="K3" s="9">
        <v>0.24679999999999999</v>
      </c>
      <c r="L3" s="9">
        <v>0.40129999999999999</v>
      </c>
      <c r="M3" s="9">
        <v>0.47399999999999998</v>
      </c>
      <c r="N3" s="9">
        <v>0.61050000000000004</v>
      </c>
      <c r="O3" s="9">
        <v>0.72599999999999998</v>
      </c>
      <c r="P3" s="20"/>
      <c r="Q3" s="9" t="e">
        <f t="array" ref="Q3">EXP( LINEST(LN(1+RowRngBetween($D3,$P3)), RowRngBetween($D$2,$P$2), 0) ) - 1</f>
        <v>#VALUE!</v>
      </c>
      <c r="R3" s="9" t="e">
        <f t="array" ref="R3">SQRT( SUM( ((UpperRowRngBetween($D3,$P3)-LowerRowRngBetween($D3,$P3))/(1+LowerRowRngBetween($D3,$P3)))^2 ) / COUNT(LowerRowRngBetween($D3,$P3)) )</f>
        <v>#VALUE!</v>
      </c>
      <c r="S3" s="8">
        <v>0.11363636363636363</v>
      </c>
    </row>
    <row r="4" spans="1:20" ht="15" thickBot="1" x14ac:dyDescent="0.35">
      <c r="A4" s="6">
        <f>ROW()-ROW($A$2)</f>
        <v>2</v>
      </c>
      <c r="B4" s="25" t="s">
        <v>15</v>
      </c>
      <c r="C4" t="s">
        <v>16</v>
      </c>
      <c r="D4" s="20"/>
      <c r="E4" s="9">
        <v>0</v>
      </c>
      <c r="F4" s="9">
        <v>2.6200000000000001E-2</v>
      </c>
      <c r="G4" s="9">
        <v>0.13919999999999999</v>
      </c>
      <c r="H4" s="9">
        <v>0.2969</v>
      </c>
      <c r="I4" s="9">
        <v>0.30980000000000002</v>
      </c>
      <c r="J4" s="9">
        <v>0.58220000000000005</v>
      </c>
      <c r="K4" s="9">
        <v>0.9335</v>
      </c>
      <c r="L4" s="9">
        <v>1.4879</v>
      </c>
      <c r="M4" s="9">
        <v>1.7845</v>
      </c>
      <c r="N4" s="9">
        <v>2.0384000000000002</v>
      </c>
      <c r="O4" s="9">
        <v>2.2784</v>
      </c>
      <c r="P4" s="20"/>
      <c r="Q4" s="9" t="e">
        <f t="array" ref="Q4">EXP( LINEST(LN(1+RowRngBetween($D4,$P4)), RowRngBetween($D$2,$P$2), 0) ) - 1</f>
        <v>#VALUE!</v>
      </c>
      <c r="R4" s="9" t="e">
        <f t="array" ref="R4">SQRT( SUM( ((UpperRowRngBetween($D4,$P4)-LowerRowRngBetween($D4,$P4))/(1+LowerRowRngBetween($D4,$P4)))^2 ) / COUNT(LowerRowRngBetween($D4,$P4)) )</f>
        <v>#VALUE!</v>
      </c>
      <c r="S4" s="8">
        <v>0.39393939393939392</v>
      </c>
    </row>
    <row r="5" spans="1:20" x14ac:dyDescent="0.3">
      <c r="A5" s="6">
        <f>ROW()-ROW($A$2)</f>
        <v>3</v>
      </c>
      <c r="B5" s="7" t="s">
        <v>17</v>
      </c>
      <c r="C5" t="s">
        <v>18</v>
      </c>
      <c r="D5" s="20"/>
      <c r="E5" s="9">
        <v>0</v>
      </c>
      <c r="F5" s="9">
        <v>3.3599999999999998E-2</v>
      </c>
      <c r="G5" s="9">
        <v>0.2019</v>
      </c>
      <c r="H5" s="9">
        <v>0.2306</v>
      </c>
      <c r="I5" s="9">
        <v>0.2351</v>
      </c>
      <c r="J5" s="9">
        <v>0.61260000000000003</v>
      </c>
      <c r="K5" s="9">
        <v>0.44140000000000001</v>
      </c>
      <c r="L5" s="9">
        <v>0.78680000000000005</v>
      </c>
      <c r="M5" s="9">
        <v>1.1001000000000001</v>
      </c>
      <c r="N5" s="9">
        <v>1.1800999999999999</v>
      </c>
      <c r="O5" s="9">
        <v>1.8965000000000001</v>
      </c>
      <c r="P5" s="20"/>
      <c r="Q5" s="9" t="e">
        <f t="array" ref="Q5">EXP( LINEST(LN(1+RowRngBetween($D5,$P5)), RowRngBetween($D$2,$P$2), 0) ) - 1</f>
        <v>#VALUE!</v>
      </c>
      <c r="R5" s="9" t="e">
        <f t="array" ref="R5">SQRT( SUM( ((UpperRowRngBetween($D5,$P5)-LowerRowRngBetween($D5,$P5))/(1+LowerRowRngBetween($D5,$P5)))^2 ) / COUNT(LowerRowRngBetween($D5,$P5)) )</f>
        <v>#VALUE!</v>
      </c>
      <c r="S5" s="8">
        <v>0.18939393939393939</v>
      </c>
    </row>
    <row r="6" spans="1:20" x14ac:dyDescent="0.3">
      <c r="A6" s="6">
        <f>ROW()-ROW($A$2)</f>
        <v>4</v>
      </c>
      <c r="B6" s="7" t="s">
        <v>7</v>
      </c>
      <c r="C6" t="s">
        <v>8</v>
      </c>
      <c r="D6" s="20"/>
      <c r="E6" s="9">
        <v>0</v>
      </c>
      <c r="F6" s="9">
        <v>6.6699999999999995E-2</v>
      </c>
      <c r="G6" s="9">
        <v>0.12909999999999999</v>
      </c>
      <c r="H6" s="9">
        <v>0.21640000000000001</v>
      </c>
      <c r="I6" s="9">
        <v>0.14799999999999999</v>
      </c>
      <c r="J6" s="9">
        <v>0.51170000000000004</v>
      </c>
      <c r="K6" s="9">
        <v>0.65149999999999997</v>
      </c>
      <c r="L6" s="9">
        <v>1.2296</v>
      </c>
      <c r="M6" s="9">
        <v>0.91769999999999996</v>
      </c>
      <c r="N6" s="9">
        <v>1.2997000000000001</v>
      </c>
      <c r="O6" s="9">
        <v>1.8694</v>
      </c>
      <c r="P6" s="20"/>
      <c r="Q6" s="9" t="e">
        <f t="array" ref="Q6">EXP( LINEST(LN(1+RowRngBetween($D6,$P6)), RowRngBetween($D$2,$P$2), 0) ) - 1</f>
        <v>#VALUE!</v>
      </c>
      <c r="R6" s="9" t="e">
        <f t="array" ref="R6">SQRT( SUM( ((UpperRowRngBetween($D6,$P6)-LowerRowRngBetween($D6,$P6))/(1+LowerRowRngBetween($D6,$P6)))^2 ) / COUNT(LowerRowRngBetween($D6,$P6)) )</f>
        <v>#VALUE!</v>
      </c>
      <c r="S6" s="8">
        <v>0.30303030303030304</v>
      </c>
    </row>
    <row r="7" spans="1:20" x14ac:dyDescent="0.3">
      <c r="A7" s="10">
        <f>ROW()-ROW($A$2)</f>
        <v>5</v>
      </c>
      <c r="B7" s="11" t="s">
        <v>11</v>
      </c>
      <c r="C7" s="12" t="s">
        <v>12</v>
      </c>
      <c r="D7" s="20"/>
      <c r="E7" s="14">
        <v>0</v>
      </c>
      <c r="F7" s="14">
        <v>0</v>
      </c>
      <c r="G7" s="14">
        <v>0</v>
      </c>
      <c r="H7" s="14">
        <v>0</v>
      </c>
      <c r="I7" s="14">
        <v>0</v>
      </c>
      <c r="J7" s="14">
        <v>0</v>
      </c>
      <c r="K7" s="14">
        <v>0</v>
      </c>
      <c r="L7" s="14">
        <v>0</v>
      </c>
      <c r="M7" s="14">
        <v>0</v>
      </c>
      <c r="N7" s="14">
        <v>0</v>
      </c>
      <c r="O7" s="14">
        <v>0</v>
      </c>
      <c r="P7" s="20"/>
      <c r="Q7" s="14">
        <v>0</v>
      </c>
      <c r="R7" s="14">
        <v>0</v>
      </c>
      <c r="S7" s="13">
        <v>0</v>
      </c>
    </row>
    <row r="8" spans="1:20" x14ac:dyDescent="0.3">
      <c r="B8" s="2"/>
      <c r="R8" s="9"/>
      <c r="S8" s="9"/>
    </row>
    <row r="9" spans="1:20" x14ac:dyDescent="0.3">
      <c r="B9" s="2" t="s">
        <v>13</v>
      </c>
      <c r="E9" s="9"/>
      <c r="H9" s="9"/>
      <c r="M9" s="15" t="s">
        <v>25</v>
      </c>
      <c r="Q9" s="9" t="e">
        <f t="array" ref="Q9">SUM(Q3:Q6*S3:S6)</f>
        <v>#VALUE!</v>
      </c>
      <c r="R9" s="16"/>
    </row>
    <row r="10" spans="1:20" x14ac:dyDescent="0.3">
      <c r="N10" s="15" t="s">
        <v>14</v>
      </c>
    </row>
    <row r="11" spans="1:20" x14ac:dyDescent="0.3">
      <c r="E11" s="2" t="s">
        <v>38</v>
      </c>
    </row>
    <row r="12" spans="1:20" x14ac:dyDescent="0.3">
      <c r="B12" t="s">
        <v>9</v>
      </c>
      <c r="E12" t="s">
        <v>39</v>
      </c>
      <c r="F12" s="40">
        <f>(F3-E3)/(1+E3)</f>
        <v>-8.0600000000000005E-2</v>
      </c>
      <c r="G12" s="40">
        <f t="shared" ref="G12:O12" si="0">(G3-F3)/(1+F3)</f>
        <v>0.16032194909723732</v>
      </c>
      <c r="H12" s="40">
        <f t="shared" si="0"/>
        <v>0.11014248218972628</v>
      </c>
      <c r="I12" s="40">
        <f t="shared" si="0"/>
        <v>1.6549860677193284E-2</v>
      </c>
      <c r="J12" s="40">
        <f t="shared" si="0"/>
        <v>4.0285738018107829E-2</v>
      </c>
      <c r="K12" s="40">
        <f t="shared" si="0"/>
        <v>-4.4714148834238436E-3</v>
      </c>
      <c r="L12" s="40">
        <f t="shared" si="0"/>
        <v>0.12391722810394611</v>
      </c>
      <c r="M12" s="40">
        <f t="shared" si="0"/>
        <v>5.1880396774423743E-2</v>
      </c>
      <c r="N12" s="40">
        <f t="shared" si="0"/>
        <v>9.2605156037991909E-2</v>
      </c>
      <c r="O12" s="40">
        <f t="shared" si="0"/>
        <v>7.1716858118596669E-2</v>
      </c>
    </row>
    <row r="13" spans="1:20" x14ac:dyDescent="0.3">
      <c r="B13" t="s">
        <v>15</v>
      </c>
      <c r="E13" t="s">
        <v>39</v>
      </c>
      <c r="F13" s="40">
        <f t="shared" ref="F13:O13" si="1">(F4-E4)/(1+E4)</f>
        <v>2.6200000000000001E-2</v>
      </c>
      <c r="G13" s="40">
        <f t="shared" si="1"/>
        <v>0.1101149873319041</v>
      </c>
      <c r="H13" s="40">
        <f t="shared" si="1"/>
        <v>0.1384304775280899</v>
      </c>
      <c r="I13" s="40">
        <f t="shared" si="1"/>
        <v>9.9467962063382095E-3</v>
      </c>
      <c r="J13" s="40">
        <f t="shared" si="1"/>
        <v>0.20797068254695375</v>
      </c>
      <c r="K13" s="40">
        <f t="shared" si="1"/>
        <v>0.2220326128175957</v>
      </c>
      <c r="L13" s="40">
        <f t="shared" si="1"/>
        <v>0.28673390224980605</v>
      </c>
      <c r="M13" s="40">
        <f t="shared" si="1"/>
        <v>0.11921701032999718</v>
      </c>
      <c r="N13" s="40">
        <f t="shared" si="1"/>
        <v>9.118333632609095E-2</v>
      </c>
      <c r="O13" s="40">
        <f t="shared" si="1"/>
        <v>7.8988941548183172E-2</v>
      </c>
    </row>
    <row r="14" spans="1:20" x14ac:dyDescent="0.3">
      <c r="B14" t="s">
        <v>17</v>
      </c>
      <c r="E14" t="s">
        <v>39</v>
      </c>
      <c r="F14" s="40">
        <f t="shared" ref="F14:O14" si="2">(F5-E5)/(1+E5)</f>
        <v>3.3599999999999998E-2</v>
      </c>
      <c r="G14" s="40">
        <f t="shared" si="2"/>
        <v>0.16282894736842105</v>
      </c>
      <c r="H14" s="40">
        <f t="shared" si="2"/>
        <v>2.3878858474082706E-2</v>
      </c>
      <c r="I14" s="40">
        <f t="shared" si="2"/>
        <v>3.6567528035104861E-3</v>
      </c>
      <c r="J14" s="40">
        <f t="shared" si="2"/>
        <v>0.30564326775159911</v>
      </c>
      <c r="K14" s="40">
        <f t="shared" si="2"/>
        <v>-0.10616395882425897</v>
      </c>
      <c r="L14" s="40">
        <f t="shared" si="2"/>
        <v>0.23962813930900517</v>
      </c>
      <c r="M14" s="40">
        <f t="shared" si="2"/>
        <v>0.17534139243340052</v>
      </c>
      <c r="N14" s="40">
        <f t="shared" si="2"/>
        <v>3.809342412266075E-2</v>
      </c>
      <c r="O14" s="40">
        <f t="shared" si="2"/>
        <v>0.32860877941378841</v>
      </c>
    </row>
    <row r="15" spans="1:20" x14ac:dyDescent="0.3">
      <c r="B15" t="s">
        <v>7</v>
      </c>
      <c r="F15" s="40">
        <f t="shared" ref="F15:O15" si="3">(F6-E6)/(1+E6)</f>
        <v>6.6699999999999995E-2</v>
      </c>
      <c r="G15" s="40">
        <f t="shared" si="3"/>
        <v>5.849817193212712E-2</v>
      </c>
      <c r="H15" s="40">
        <f t="shared" si="3"/>
        <v>7.7318218049774165E-2</v>
      </c>
      <c r="I15" s="40">
        <f t="shared" si="3"/>
        <v>-5.6231502795133198E-2</v>
      </c>
      <c r="J15" s="40">
        <f t="shared" si="3"/>
        <v>0.31681184668989554</v>
      </c>
      <c r="K15" s="40">
        <f t="shared" si="3"/>
        <v>9.2478666402063855E-2</v>
      </c>
      <c r="L15" s="40">
        <f t="shared" si="3"/>
        <v>0.35004541326067218</v>
      </c>
      <c r="M15" s="40">
        <f t="shared" si="3"/>
        <v>-0.13989056332974528</v>
      </c>
      <c r="N15" s="40">
        <f t="shared" si="3"/>
        <v>0.19919695468530016</v>
      </c>
      <c r="O15" s="40">
        <f t="shared" si="3"/>
        <v>0.24772796451711088</v>
      </c>
    </row>
    <row r="16" spans="1:20" x14ac:dyDescent="0.3">
      <c r="F16" s="33"/>
      <c r="G16" s="33"/>
    </row>
    <row r="17" spans="6:20" x14ac:dyDescent="0.3">
      <c r="F17" s="33"/>
      <c r="G17" s="33"/>
      <c r="T17">
        <v>-8.0600000000000005E-2</v>
      </c>
    </row>
    <row r="18" spans="6:20" x14ac:dyDescent="0.3">
      <c r="F18" s="33"/>
      <c r="G18" s="33"/>
      <c r="T18">
        <v>0.16032199999999999</v>
      </c>
    </row>
    <row r="19" spans="6:20" x14ac:dyDescent="0.3">
      <c r="F19" s="33"/>
      <c r="G19" s="33"/>
      <c r="T19">
        <v>0.110142</v>
      </c>
    </row>
    <row r="20" spans="6:20" x14ac:dyDescent="0.3">
      <c r="F20" s="33"/>
      <c r="G20" s="33"/>
      <c r="T20">
        <v>1.6549999999999999E-2</v>
      </c>
    </row>
    <row r="21" spans="6:20" x14ac:dyDescent="0.3">
      <c r="F21" s="33"/>
      <c r="G21" s="33"/>
      <c r="T21">
        <v>4.0286000000000002E-2</v>
      </c>
    </row>
    <row r="22" spans="6:20" x14ac:dyDescent="0.3">
      <c r="F22" s="33"/>
      <c r="G22" s="33"/>
      <c r="T22">
        <v>-4.4710000000000001E-3</v>
      </c>
    </row>
    <row r="23" spans="6:20" x14ac:dyDescent="0.3">
      <c r="F23" s="33"/>
      <c r="G23" s="33"/>
      <c r="T23">
        <v>0.123917</v>
      </c>
    </row>
    <row r="24" spans="6:20" x14ac:dyDescent="0.3">
      <c r="F24" s="33"/>
      <c r="G24" s="33"/>
      <c r="T24">
        <v>5.1880000000000003E-2</v>
      </c>
    </row>
    <row r="25" spans="6:20" x14ac:dyDescent="0.3">
      <c r="F25" s="33"/>
      <c r="G25" s="33"/>
      <c r="T25">
        <v>9.2605000000000007E-2</v>
      </c>
    </row>
    <row r="26" spans="6:20" x14ac:dyDescent="0.3">
      <c r="F26" s="33"/>
      <c r="G26" s="33"/>
      <c r="T26">
        <v>7.1717000000000003E-2</v>
      </c>
    </row>
    <row r="27" spans="6:20" x14ac:dyDescent="0.3">
      <c r="F27" s="33"/>
      <c r="G27" s="33"/>
    </row>
    <row r="28" spans="6:20" x14ac:dyDescent="0.3">
      <c r="F28" s="33"/>
      <c r="G28" s="33"/>
      <c r="T28">
        <f t="array" ref="T28">GEOMEAN(1+T17:T26)-1</f>
        <v>5.6097638513505022E-2</v>
      </c>
    </row>
    <row r="29" spans="6:20" x14ac:dyDescent="0.3">
      <c r="F29" s="33"/>
      <c r="G29" s="33"/>
    </row>
    <row r="30" spans="6:20" x14ac:dyDescent="0.3">
      <c r="F30" s="33"/>
      <c r="G30" s="33"/>
    </row>
    <row r="31" spans="6:20" x14ac:dyDescent="0.3">
      <c r="F31" s="33"/>
      <c r="G31" s="33"/>
    </row>
    <row r="32" spans="6:20" x14ac:dyDescent="0.3">
      <c r="F32" s="33"/>
      <c r="G32" s="33"/>
    </row>
    <row r="33" spans="6:7" x14ac:dyDescent="0.3">
      <c r="F33" s="33"/>
      <c r="G33" s="33"/>
    </row>
  </sheetData>
  <sortState xmlns:xlrd2="http://schemas.microsoft.com/office/spreadsheetml/2017/richdata2" ref="F12:G33">
    <sortCondition ref="F12:F33"/>
    <sortCondition ref="G12:G33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AF863-40B6-484B-A977-523F45A5E38F}">
  <sheetPr codeName="Sheet5"/>
  <dimension ref="A1:X1002"/>
  <sheetViews>
    <sheetView zoomScale="85" zoomScaleNormal="85" workbookViewId="0">
      <selection activeCell="P30" sqref="P29:P30"/>
    </sheetView>
  </sheetViews>
  <sheetFormatPr defaultRowHeight="14.4" x14ac:dyDescent="0.3"/>
  <cols>
    <col min="1" max="1" width="8.88671875" style="6"/>
    <col min="16" max="19" width="8.88671875" style="26"/>
    <col min="21" max="21" width="8.88671875" style="9"/>
    <col min="23" max="23" width="8.88671875" style="9"/>
  </cols>
  <sheetData>
    <row r="1" spans="1:23" s="2" customFormat="1" x14ac:dyDescent="0.3">
      <c r="A1" s="1"/>
      <c r="F1" s="2" t="s">
        <v>47</v>
      </c>
      <c r="K1" s="2" t="s">
        <v>48</v>
      </c>
      <c r="P1" s="42" t="s">
        <v>49</v>
      </c>
      <c r="Q1" s="42"/>
      <c r="R1" s="42"/>
      <c r="S1" s="42"/>
      <c r="U1" s="44" t="s">
        <v>50</v>
      </c>
      <c r="W1" s="44" t="s">
        <v>51</v>
      </c>
    </row>
    <row r="2" spans="1:23" s="2" customFormat="1" x14ac:dyDescent="0.3">
      <c r="A2" s="1" t="s">
        <v>40</v>
      </c>
      <c r="B2" s="2" t="s">
        <v>41</v>
      </c>
      <c r="D2" s="41" t="s">
        <v>46</v>
      </c>
      <c r="F2" s="1" t="s">
        <v>42</v>
      </c>
      <c r="G2" s="1" t="s">
        <v>43</v>
      </c>
      <c r="H2" s="1" t="s">
        <v>44</v>
      </c>
      <c r="I2" s="1" t="s">
        <v>45</v>
      </c>
      <c r="J2" s="1"/>
      <c r="K2" s="1" t="s">
        <v>42</v>
      </c>
      <c r="L2" s="1" t="s">
        <v>43</v>
      </c>
      <c r="M2" s="1" t="s">
        <v>44</v>
      </c>
      <c r="N2" s="1" t="s">
        <v>45</v>
      </c>
      <c r="P2" s="42"/>
      <c r="Q2" s="42"/>
      <c r="R2" s="42"/>
      <c r="S2" s="42"/>
      <c r="U2" s="44"/>
      <c r="W2" s="44"/>
    </row>
    <row r="3" spans="1:23" x14ac:dyDescent="0.3">
      <c r="A3" s="1" t="s">
        <v>42</v>
      </c>
      <c r="B3">
        <v>0.05</v>
      </c>
      <c r="D3" s="31">
        <v>0.1</v>
      </c>
      <c r="F3" s="31">
        <v>1</v>
      </c>
      <c r="G3" s="31">
        <v>0.2</v>
      </c>
      <c r="H3" s="31">
        <v>0.1</v>
      </c>
      <c r="I3" s="31">
        <v>0.05</v>
      </c>
      <c r="K3" s="16">
        <v>0.01</v>
      </c>
      <c r="L3" s="16">
        <v>3.0000000000000001E-3</v>
      </c>
      <c r="M3" s="16">
        <v>2E-3</v>
      </c>
      <c r="N3" s="16">
        <v>1.5E-3</v>
      </c>
      <c r="P3" s="26">
        <v>0.15744692973018262</v>
      </c>
      <c r="Q3" s="26">
        <v>7.7506839822030519E-3</v>
      </c>
      <c r="R3" s="26">
        <v>0.53807418376881089</v>
      </c>
      <c r="S3" s="26">
        <v>0.29672820251880344</v>
      </c>
      <c r="U3" s="9">
        <f t="array" ref="U3">MMULT(TRANSPOSE($B$3:$B$6),TRANSPOSE(P3:S3))</f>
        <v>9.244895520671273E-2</v>
      </c>
      <c r="W3" s="9">
        <f t="array" ref="W3">SQRT(MMULT(MMULT(P3:S3,$K$3:$N$6),TRANSPOSE(P3:S3)))</f>
        <v>0.16733311092188022</v>
      </c>
    </row>
    <row r="4" spans="1:23" x14ac:dyDescent="0.3">
      <c r="A4" s="1" t="s">
        <v>43</v>
      </c>
      <c r="B4">
        <v>7.0000000000000007E-2</v>
      </c>
      <c r="D4" s="31">
        <v>0.15</v>
      </c>
      <c r="F4" s="31">
        <v>0.2</v>
      </c>
      <c r="G4" s="31">
        <v>1</v>
      </c>
      <c r="H4" s="31">
        <v>0.3</v>
      </c>
      <c r="I4" s="31">
        <v>0.1</v>
      </c>
      <c r="K4" s="16">
        <v>3.0000000000000001E-3</v>
      </c>
      <c r="L4" s="16">
        <v>2.2499999999999999E-2</v>
      </c>
      <c r="M4" s="16">
        <v>8.9999999999999993E-3</v>
      </c>
      <c r="N4" s="16">
        <v>4.4999999999999997E-3</v>
      </c>
      <c r="P4" s="26">
        <v>0.10253435456381424</v>
      </c>
      <c r="Q4" s="26">
        <v>0.40558018021498976</v>
      </c>
      <c r="R4" s="26">
        <v>0.17417266046037239</v>
      </c>
      <c r="S4" s="26">
        <v>0.31771280476082364</v>
      </c>
      <c r="U4" s="9">
        <f t="array" ref="U4">MMULT(TRANSPOSE($B$3:$B$6),TRANSPOSE(P4:S4))</f>
        <v>8.731840635597235E-2</v>
      </c>
      <c r="W4" s="9">
        <f t="array" ref="W4">SQRT(MMULT(MMULT(P4:S4,$K$3:$N$6),TRANSPOSE(P4:S4)))</f>
        <v>0.14003770773029797</v>
      </c>
    </row>
    <row r="5" spans="1:23" x14ac:dyDescent="0.3">
      <c r="A5" s="1" t="s">
        <v>44</v>
      </c>
      <c r="B5">
        <v>0.09</v>
      </c>
      <c r="D5" s="31">
        <v>0.2</v>
      </c>
      <c r="F5" s="31">
        <v>0.1</v>
      </c>
      <c r="G5" s="31">
        <v>0.3</v>
      </c>
      <c r="H5" s="31">
        <v>1</v>
      </c>
      <c r="I5" s="31">
        <v>0.4</v>
      </c>
      <c r="K5" s="16">
        <v>2E-3</v>
      </c>
      <c r="L5" s="16">
        <v>8.9999999999999993E-3</v>
      </c>
      <c r="M5" s="16">
        <v>0.04</v>
      </c>
      <c r="N5" s="16">
        <v>2.4E-2</v>
      </c>
      <c r="P5" s="26">
        <v>0.39055065266289041</v>
      </c>
      <c r="Q5" s="26">
        <v>0.39511120843473885</v>
      </c>
      <c r="R5" s="26">
        <v>0.10283325700788844</v>
      </c>
      <c r="S5" s="26">
        <v>0.11150488189448228</v>
      </c>
      <c r="U5" s="9">
        <f t="array" ref="U5">MMULT(TRANSPOSE($B$3:$B$6),TRANSPOSE(P5:S5))</f>
        <v>6.9820896181624084E-2</v>
      </c>
      <c r="W5" s="9">
        <f t="array" ref="W5">SQRT(MMULT(MMULT(P5:S5,$K$3:$N$6),TRANSPOSE(P5:S5)))</f>
        <v>9.7340801572138286E-2</v>
      </c>
    </row>
    <row r="6" spans="1:23" x14ac:dyDescent="0.3">
      <c r="A6" s="1" t="s">
        <v>45</v>
      </c>
      <c r="B6">
        <v>0.12</v>
      </c>
      <c r="D6" s="31">
        <v>0.3</v>
      </c>
      <c r="F6" s="31">
        <v>0.05</v>
      </c>
      <c r="G6" s="31">
        <v>0.1</v>
      </c>
      <c r="H6" s="31">
        <v>0.4</v>
      </c>
      <c r="I6" s="31">
        <v>1</v>
      </c>
      <c r="K6" s="16">
        <v>1.5E-3</v>
      </c>
      <c r="L6" s="16">
        <v>4.4999999999999997E-3</v>
      </c>
      <c r="M6" s="16">
        <v>2.4E-2</v>
      </c>
      <c r="N6" s="16">
        <v>0.09</v>
      </c>
      <c r="P6" s="26">
        <v>0.12080332764187224</v>
      </c>
      <c r="Q6" s="26">
        <v>0.3884557385856639</v>
      </c>
      <c r="R6" s="26">
        <v>0.14477562812871461</v>
      </c>
      <c r="S6" s="26">
        <v>0.34596530564374911</v>
      </c>
      <c r="U6" s="9">
        <f t="array" ref="U6">MMULT(TRANSPOSE($B$3:$B$6),TRANSPOSE(P6:S6))</f>
        <v>8.7777711291924299E-2</v>
      </c>
      <c r="W6" s="9">
        <f t="array" ref="W6">SQRT(MMULT(MMULT(P6:S6,$K$3:$N$6),TRANSPOSE(P6:S6)))</f>
        <v>0.14231913873578508</v>
      </c>
    </row>
    <row r="7" spans="1:23" x14ac:dyDescent="0.3">
      <c r="P7" s="26">
        <v>0.31525753650180327</v>
      </c>
      <c r="Q7" s="26">
        <v>0.32383028001761222</v>
      </c>
      <c r="R7" s="26">
        <v>0.24556623626829008</v>
      </c>
      <c r="S7" s="26">
        <v>0.11534594721229451</v>
      </c>
      <c r="U7" s="9">
        <f t="array" ref="U7">MMULT(TRANSPOSE($B$3:$B$6),TRANSPOSE(P7:S7))</f>
        <v>7.4373471355944465E-2</v>
      </c>
      <c r="W7" s="9">
        <f t="array" ref="W7">SQRT(MMULT(MMULT(P7:S7,$K$3:$N$6),TRANSPOSE(P7:S7)))</f>
        <v>0.10545784629363192</v>
      </c>
    </row>
    <row r="8" spans="1:23" x14ac:dyDescent="0.3">
      <c r="P8" s="26">
        <v>0.30601630057677642</v>
      </c>
      <c r="Q8" s="26">
        <v>0.30534382633509632</v>
      </c>
      <c r="R8" s="26">
        <v>0.27998338412487783</v>
      </c>
      <c r="S8" s="26">
        <v>0.10865648896324956</v>
      </c>
      <c r="U8" s="9">
        <f t="array" ref="U8">MMULT(TRANSPOSE($B$3:$B$6),TRANSPOSE(P8:S8))</f>
        <v>7.4912166119124518E-2</v>
      </c>
      <c r="W8" s="9">
        <f t="array" ref="W8">SQRT(MMULT(MMULT(P8:S8,$K$3:$N$6),TRANSPOSE(P8:S8)))</f>
        <v>0.10739292392565992</v>
      </c>
    </row>
    <row r="9" spans="1:23" x14ac:dyDescent="0.3">
      <c r="P9" s="26">
        <v>0.3852218621579826</v>
      </c>
      <c r="Q9" s="26">
        <v>0.15393259080425306</v>
      </c>
      <c r="R9" s="26">
        <v>0.19006374383810648</v>
      </c>
      <c r="S9" s="26">
        <v>0.27078180319965789</v>
      </c>
      <c r="U9" s="9">
        <f t="array" ref="U9">MMULT(TRANSPOSE($B$3:$B$6),TRANSPOSE(P9:S9))</f>
        <v>7.9635927793585373E-2</v>
      </c>
      <c r="W9" s="9">
        <f t="array" ref="W9">SQRT(MMULT(MMULT(P9:S9,$K$3:$N$6),TRANSPOSE(P9:S9)))</f>
        <v>0.11997847592251919</v>
      </c>
    </row>
    <row r="10" spans="1:23" x14ac:dyDescent="0.3">
      <c r="P10" s="26">
        <v>0.39808643379164022</v>
      </c>
      <c r="Q10" s="26">
        <v>0.21301067886689798</v>
      </c>
      <c r="R10" s="26">
        <v>4.4669674803469409E-2</v>
      </c>
      <c r="S10" s="26">
        <v>0.34423321253799238</v>
      </c>
      <c r="U10" s="9">
        <f t="array" ref="U10">MMULT(TRANSPOSE($B$3:$B$6),TRANSPOSE(P10:S10))</f>
        <v>8.0143325447136204E-2</v>
      </c>
      <c r="W10" s="9">
        <f t="array" ref="W10">SQRT(MMULT(MMULT(P10:S10,$K$3:$N$6),TRANSPOSE(P10:S10)))</f>
        <v>0.12613656405424262</v>
      </c>
    </row>
    <row r="11" spans="1:23" x14ac:dyDescent="0.3">
      <c r="P11" s="26">
        <v>0.14126252971203854</v>
      </c>
      <c r="Q11" s="26">
        <v>0.35890773067301834</v>
      </c>
      <c r="R11" s="26">
        <v>0.32060840655431577</v>
      </c>
      <c r="S11" s="26">
        <v>0.17922133306062743</v>
      </c>
      <c r="U11" s="9">
        <f t="array" ref="U11">MMULT(TRANSPOSE($B$3:$B$6),TRANSPOSE(P11:S11))</f>
        <v>8.2547984189876925E-2</v>
      </c>
      <c r="W11" s="9">
        <f t="array" ref="W11">SQRT(MMULT(MMULT(P11:S11,$K$3:$N$6),TRANSPOSE(P11:S11)))</f>
        <v>0.12676687131895795</v>
      </c>
    </row>
    <row r="12" spans="1:23" x14ac:dyDescent="0.3">
      <c r="P12" s="26">
        <v>0.14023938476451211</v>
      </c>
      <c r="Q12" s="26">
        <v>0.15470008789104123</v>
      </c>
      <c r="R12" s="26">
        <v>0.27992967223658105</v>
      </c>
      <c r="S12" s="26">
        <v>0.42513085510786552</v>
      </c>
      <c r="U12" s="9">
        <f t="array" ref="U12">MMULT(TRANSPOSE($B$3:$B$6),TRANSPOSE(P12:S12))</f>
        <v>9.4050348504834652E-2</v>
      </c>
      <c r="W12" s="9">
        <f t="array" ref="W12">SQRT(MMULT(MMULT(P12:S12,$K$3:$N$6),TRANSPOSE(P12:S12)))</f>
        <v>0.16638995071281434</v>
      </c>
    </row>
    <row r="13" spans="1:23" x14ac:dyDescent="0.3">
      <c r="P13" s="26">
        <v>0.29268955441502065</v>
      </c>
      <c r="Q13" s="26">
        <v>0.52573228490034185</v>
      </c>
      <c r="R13" s="26">
        <v>0.12457507470370573</v>
      </c>
      <c r="S13" s="26">
        <v>5.7003085980931914E-2</v>
      </c>
      <c r="U13" s="9">
        <f t="array" ref="U13">MMULT(TRANSPOSE($B$3:$B$6),TRANSPOSE(P13:S13))</f>
        <v>6.948786470482031E-2</v>
      </c>
      <c r="W13" s="9">
        <f t="array" ref="W13">SQRT(MMULT(MMULT(P13:S13,$K$3:$N$6),TRANSPOSE(P13:S13)))</f>
        <v>0.10439038175811551</v>
      </c>
    </row>
    <row r="14" spans="1:23" x14ac:dyDescent="0.3">
      <c r="P14" s="26">
        <v>0.4235910912686161</v>
      </c>
      <c r="Q14" s="26">
        <v>0.17969427395104612</v>
      </c>
      <c r="R14" s="26">
        <v>8.7070006303419545E-2</v>
      </c>
      <c r="S14" s="26">
        <v>0.30964462847691815</v>
      </c>
      <c r="U14" s="9">
        <f t="array" ref="U14">MMULT(TRANSPOSE($B$3:$B$6),TRANSPOSE(P14:S14))</f>
        <v>7.8751809724541974E-2</v>
      </c>
      <c r="W14" s="9">
        <f t="array" ref="W14">SQRT(MMULT(MMULT(P14:S14,$K$3:$N$6),TRANSPOSE(P14:S14)))</f>
        <v>0.12053000935608477</v>
      </c>
    </row>
    <row r="15" spans="1:23" x14ac:dyDescent="0.3">
      <c r="P15" s="26">
        <v>0.46619745657846468</v>
      </c>
      <c r="Q15" s="26">
        <v>0.40948323675287074</v>
      </c>
      <c r="R15" s="26">
        <v>4.5717786719728003E-2</v>
      </c>
      <c r="S15" s="26">
        <v>7.8601519948936632E-2</v>
      </c>
      <c r="U15" s="9">
        <f t="array" ref="U15">MMULT(TRANSPOSE($B$3:$B$6),TRANSPOSE(P15:S15))</f>
        <v>6.5520482600272101E-2</v>
      </c>
      <c r="W15" s="9">
        <f t="array" ref="W15">SQRT(MMULT(MMULT(P15:S15,$K$3:$N$6),TRANSPOSE(P15:S15)))</f>
        <v>9.3410300412584774E-2</v>
      </c>
    </row>
    <row r="16" spans="1:23" x14ac:dyDescent="0.3">
      <c r="P16" s="26">
        <v>0.14387222953992945</v>
      </c>
      <c r="Q16" s="26">
        <v>0.41135616578302658</v>
      </c>
      <c r="R16" s="26">
        <v>0.11310230483548341</v>
      </c>
      <c r="S16" s="26">
        <v>0.33166929984156063</v>
      </c>
      <c r="U16" s="9">
        <f t="array" ref="U16">MMULT(TRANSPOSE($B$3:$B$6),TRANSPOSE(P16:S16))</f>
        <v>8.5968066497989104E-2</v>
      </c>
      <c r="W16" s="9">
        <f t="array" ref="W16">SQRT(MMULT(MMULT(P16:S16,$K$3:$N$6),TRANSPOSE(P16:S16)))</f>
        <v>0.13731607196665874</v>
      </c>
    </row>
    <row r="17" spans="16:23" x14ac:dyDescent="0.3">
      <c r="P17" s="26">
        <v>0.42448292344906474</v>
      </c>
      <c r="Q17" s="26">
        <v>0.46760850772562934</v>
      </c>
      <c r="R17" s="26">
        <v>1.413575772060475E-2</v>
      </c>
      <c r="S17" s="26">
        <v>9.3772811104701093E-2</v>
      </c>
      <c r="U17" s="9">
        <f t="array" ref="U17">MMULT(TRANSPOSE($B$3:$B$6),TRANSPOSE(P17:S17))</f>
        <v>6.6481697240665855E-2</v>
      </c>
      <c r="W17" s="9">
        <f t="array" ref="W17">SQRT(MMULT(MMULT(P17:S17,$K$3:$N$6),TRANSPOSE(P17:S17)))</f>
        <v>9.7121902760431783E-2</v>
      </c>
    </row>
    <row r="18" spans="16:23" x14ac:dyDescent="0.3">
      <c r="P18" s="26">
        <v>0.18179345332570748</v>
      </c>
      <c r="Q18" s="26">
        <v>4.1072296436466468E-2</v>
      </c>
      <c r="R18" s="26">
        <v>0.20732806509647431</v>
      </c>
      <c r="S18" s="26">
        <v>0.56980618514135173</v>
      </c>
      <c r="U18" s="9">
        <f t="array" ref="U18">MMULT(TRANSPOSE($B$3:$B$6),TRANSPOSE(P18:S18))</f>
        <v>9.9001001492482921E-2</v>
      </c>
      <c r="W18" s="9">
        <f t="array" ref="W18">SQRT(MMULT(MMULT(P18:S18,$K$3:$N$6),TRANSPOSE(P18:S18)))</f>
        <v>0.19455014404334828</v>
      </c>
    </row>
    <row r="19" spans="16:23" x14ac:dyDescent="0.3">
      <c r="P19" s="26">
        <v>0.37760398383736615</v>
      </c>
      <c r="Q19" s="26">
        <v>0.36455191401685044</v>
      </c>
      <c r="R19" s="26">
        <v>0.1172721493080543</v>
      </c>
      <c r="S19" s="26">
        <v>0.14057195283772911</v>
      </c>
      <c r="U19" s="9">
        <f t="array" ref="U19">MMULT(TRANSPOSE($B$3:$B$6),TRANSPOSE(P19:S19))</f>
        <v>7.1821960951300209E-2</v>
      </c>
      <c r="W19" s="9">
        <f t="array" ref="W19">SQRT(MMULT(MMULT(P19:S19,$K$3:$N$6),TRANSPOSE(P19:S19)))</f>
        <v>9.9644112697969217E-2</v>
      </c>
    </row>
    <row r="20" spans="16:23" x14ac:dyDescent="0.3">
      <c r="P20" s="26">
        <v>0.42811483666170064</v>
      </c>
      <c r="Q20" s="26">
        <v>2.3512658732266063E-2</v>
      </c>
      <c r="R20" s="26">
        <v>0.10033095539329061</v>
      </c>
      <c r="S20" s="26">
        <v>0.44804154921274275</v>
      </c>
      <c r="U20" s="9">
        <f t="array" ref="U20">MMULT(TRANSPOSE($B$3:$B$6),TRANSPOSE(P20:S20))</f>
        <v>8.5846399835268927E-2</v>
      </c>
      <c r="W20" s="9">
        <f t="array" ref="W20">SQRT(MMULT(MMULT(P20:S20,$K$3:$N$6),TRANSPOSE(P20:S20)))</f>
        <v>0.15302700938240449</v>
      </c>
    </row>
    <row r="21" spans="16:23" x14ac:dyDescent="0.3">
      <c r="P21" s="26">
        <v>4.1494593866519769E-2</v>
      </c>
      <c r="Q21" s="26">
        <v>0.29560762686414782</v>
      </c>
      <c r="R21" s="26">
        <v>0.34191113729133127</v>
      </c>
      <c r="S21" s="26">
        <v>0.3209866419780012</v>
      </c>
      <c r="U21" s="9">
        <f t="array" ref="U21">MMULT(TRANSPOSE($B$3:$B$6),TRANSPOSE(P21:S21))</f>
        <v>9.2057662967396287E-2</v>
      </c>
      <c r="W21" s="9">
        <f t="array" ref="W21">SQRT(MMULT(MMULT(P21:S21,$K$3:$N$6),TRANSPOSE(P21:S21)))</f>
        <v>0.15506100952206417</v>
      </c>
    </row>
    <row r="22" spans="16:23" x14ac:dyDescent="0.3">
      <c r="P22" s="26">
        <v>0.31880796251623783</v>
      </c>
      <c r="Q22" s="26">
        <v>0.24204700383936206</v>
      </c>
      <c r="R22" s="26">
        <v>0.15293052937261614</v>
      </c>
      <c r="S22" s="26">
        <v>0.28621450427178385</v>
      </c>
      <c r="U22" s="9">
        <f t="array" ref="U22">MMULT(TRANSPOSE($B$3:$B$6),TRANSPOSE(P22:S22))</f>
        <v>8.099317655071675E-2</v>
      </c>
      <c r="W22" s="9">
        <f t="array" ref="W22">SQRT(MMULT(MMULT(P22:S22,$K$3:$N$6),TRANSPOSE(P22:S22)))</f>
        <v>0.12233291905381985</v>
      </c>
    </row>
    <row r="23" spans="16:23" x14ac:dyDescent="0.3">
      <c r="P23" s="26">
        <v>0.34335794973655576</v>
      </c>
      <c r="Q23" s="26">
        <v>0.39167067442506476</v>
      </c>
      <c r="R23" s="26">
        <v>0.22211110336590145</v>
      </c>
      <c r="S23" s="26">
        <v>4.2860272472477881E-2</v>
      </c>
      <c r="U23" s="9">
        <f t="array" ref="U23">MMULT(TRANSPOSE($B$3:$B$6),TRANSPOSE(P23:S23))</f>
        <v>6.9718076696210801E-2</v>
      </c>
      <c r="W23" s="9">
        <f t="array" ref="W23">SQRT(MMULT(MMULT(P23:S23,$K$3:$N$6),TRANSPOSE(P23:S23)))</f>
        <v>0.10049516401090419</v>
      </c>
    </row>
    <row r="24" spans="16:23" x14ac:dyDescent="0.3">
      <c r="P24" s="26">
        <v>0.33885614096939304</v>
      </c>
      <c r="Q24" s="26">
        <v>0.25827608876410779</v>
      </c>
      <c r="R24" s="26">
        <v>0.13287848711935862</v>
      </c>
      <c r="S24" s="26">
        <v>0.26998928314714066</v>
      </c>
      <c r="U24" s="9">
        <f t="array" ref="U24">MMULT(TRANSPOSE($B$3:$B$6),TRANSPOSE(P24:S24))</f>
        <v>7.9379911080356358E-2</v>
      </c>
      <c r="W24" s="9">
        <f t="array" ref="W24">SQRT(MMULT(MMULT(P24:S24,$K$3:$N$6),TRANSPOSE(P24:S24)))</f>
        <v>0.1177409430122365</v>
      </c>
    </row>
    <row r="25" spans="16:23" x14ac:dyDescent="0.3">
      <c r="P25" s="26">
        <v>0.41438532458850436</v>
      </c>
      <c r="Q25" s="26">
        <v>3.9099772414721568E-2</v>
      </c>
      <c r="R25" s="26">
        <v>0.19128076939924785</v>
      </c>
      <c r="S25" s="26">
        <v>0.35523413359752626</v>
      </c>
      <c r="U25" s="9">
        <f t="array" ref="U25">MMULT(TRANSPOSE($B$3:$B$6),TRANSPOSE(P25:S25))</f>
        <v>8.3299615576091196E-2</v>
      </c>
      <c r="W25" s="9">
        <f t="array" ref="W25">SQRT(MMULT(MMULT(P25:S25,$K$3:$N$6),TRANSPOSE(P25:S25)))</f>
        <v>0.13765675939548422</v>
      </c>
    </row>
    <row r="26" spans="16:23" x14ac:dyDescent="0.3">
      <c r="P26" s="26">
        <v>0.12160564565805683</v>
      </c>
      <c r="Q26" s="26">
        <v>0.27001813254723028</v>
      </c>
      <c r="R26" s="26">
        <v>0.16215827278402717</v>
      </c>
      <c r="S26" s="26">
        <v>0.44621794901068573</v>
      </c>
      <c r="U26" s="9">
        <f t="array" ref="U26">MMULT(TRANSPOSE($B$3:$B$6),TRANSPOSE(P26:S26))</f>
        <v>9.3121949993053704E-2</v>
      </c>
      <c r="W26" s="9">
        <f t="array" ref="W26">SQRT(MMULT(MMULT(P26:S26,$K$3:$N$6),TRANSPOSE(P26:S26)))</f>
        <v>0.16292479269097265</v>
      </c>
    </row>
    <row r="27" spans="16:23" x14ac:dyDescent="0.3">
      <c r="P27" s="26">
        <v>0.21279860557898864</v>
      </c>
      <c r="Q27" s="26">
        <v>0.31397755245703052</v>
      </c>
      <c r="R27" s="26">
        <v>5.48868748969541E-3</v>
      </c>
      <c r="S27" s="26">
        <v>0.46773515447428538</v>
      </c>
      <c r="U27" s="9">
        <f t="array" ref="U27">MMULT(TRANSPOSE($B$3:$B$6),TRANSPOSE(P27:S27))</f>
        <v>8.9240559361928401E-2</v>
      </c>
      <c r="W27" s="9">
        <f t="array" ref="W27">SQRT(MMULT(MMULT(P27:S27,$K$3:$N$6),TRANSPOSE(P27:S27)))</f>
        <v>0.15665923228414391</v>
      </c>
    </row>
    <row r="28" spans="16:23" x14ac:dyDescent="0.3">
      <c r="P28" s="26">
        <v>0.24527998829651523</v>
      </c>
      <c r="Q28" s="26">
        <v>0.49718261407981568</v>
      </c>
      <c r="R28" s="26">
        <v>3.0440132301543212E-2</v>
      </c>
      <c r="S28" s="26">
        <v>0.22709726532212596</v>
      </c>
      <c r="U28" s="9">
        <f t="array" ref="U28">MMULT(TRANSPOSE($B$3:$B$6),TRANSPOSE(P28:S28))</f>
        <v>7.7058066146206861E-2</v>
      </c>
      <c r="W28" s="9">
        <f t="array" ref="W28">SQRT(MMULT(MMULT(P28:S28,$K$3:$N$6),TRANSPOSE(P28:S28)))</f>
        <v>0.11572009439851723</v>
      </c>
    </row>
    <row r="29" spans="16:23" x14ac:dyDescent="0.3">
      <c r="P29" s="26">
        <v>0.50977928524714278</v>
      </c>
      <c r="Q29" s="26">
        <v>8.4256791547548324E-2</v>
      </c>
      <c r="R29" s="26">
        <v>0.31520382887952414</v>
      </c>
      <c r="S29" s="26">
        <v>9.0760094325784732E-2</v>
      </c>
      <c r="U29" s="9">
        <f t="array" ref="U29">MMULT(TRANSPOSE($B$3:$B$6),TRANSPOSE(P29:S29))</f>
        <v>7.0646495588936861E-2</v>
      </c>
      <c r="W29" s="9">
        <f t="array" ref="W29">SQRT(MMULT(MMULT(P29:S29,$K$3:$N$6),TRANSPOSE(P29:S29)))</f>
        <v>0.10214347624517413</v>
      </c>
    </row>
    <row r="30" spans="16:23" x14ac:dyDescent="0.3">
      <c r="P30" s="26">
        <v>0.11853711114069962</v>
      </c>
      <c r="Q30" s="26">
        <v>0.33212979478443749</v>
      </c>
      <c r="R30" s="26">
        <v>0.39441773856263784</v>
      </c>
      <c r="S30" s="26">
        <v>0.15491535551222502</v>
      </c>
      <c r="U30" s="9">
        <f t="array" ref="U30">MMULT(TRANSPOSE($B$3:$B$6),TRANSPOSE(P30:S30))</f>
        <v>8.3263380324050021E-2</v>
      </c>
      <c r="W30" s="9">
        <f t="array" ref="W30">SQRT(MMULT(MMULT(P30:S30,$K$3:$N$6),TRANSPOSE(P30:S30)))</f>
        <v>0.13129055186821115</v>
      </c>
    </row>
    <row r="31" spans="16:23" x14ac:dyDescent="0.3">
      <c r="P31" s="26">
        <v>0.17453128853604374</v>
      </c>
      <c r="Q31" s="26">
        <v>0.16465110259883367</v>
      </c>
      <c r="R31" s="26">
        <v>0.23030056851647704</v>
      </c>
      <c r="S31" s="26">
        <v>0.43051704034864557</v>
      </c>
      <c r="U31" s="9">
        <f t="array" ref="U31">MMULT(TRANSPOSE($B$3:$B$6),TRANSPOSE(P31:S31))</f>
        <v>9.2641237617040947E-2</v>
      </c>
      <c r="W31" s="9">
        <f t="array" ref="W31">SQRT(MMULT(MMULT(P31:S31,$K$3:$N$6),TRANSPOSE(P31:S31)))</f>
        <v>0.16234349506099188</v>
      </c>
    </row>
    <row r="32" spans="16:23" x14ac:dyDescent="0.3">
      <c r="P32" s="26">
        <v>2.6098088503911258E-2</v>
      </c>
      <c r="Q32" s="26">
        <v>0.39467241179945839</v>
      </c>
      <c r="R32" s="26">
        <v>0.21019655042496921</v>
      </c>
      <c r="S32" s="26">
        <v>0.36903294927166119</v>
      </c>
      <c r="U32" s="9">
        <f t="array" ref="U32">MMULT(TRANSPOSE($B$3:$B$6),TRANSPOSE(P32:S32))</f>
        <v>9.2133616702004234E-2</v>
      </c>
      <c r="W32" s="9">
        <f t="array" ref="W32">SQRT(MMULT(MMULT(P32:S32,$K$3:$N$6),TRANSPOSE(P32:S32)))</f>
        <v>0.15548501038942741</v>
      </c>
    </row>
    <row r="33" spans="16:23" x14ac:dyDescent="0.3">
      <c r="P33" s="26">
        <v>6.8232706460391868E-2</v>
      </c>
      <c r="Q33" s="26">
        <v>0.1232055024922553</v>
      </c>
      <c r="R33" s="26">
        <v>0.48237909747407648</v>
      </c>
      <c r="S33" s="26">
        <v>0.32618269357327634</v>
      </c>
      <c r="U33" s="9">
        <f t="array" ref="U33">MMULT(TRANSPOSE($B$3:$B$6),TRANSPOSE(P33:S33))</f>
        <v>9.4592062498937507E-2</v>
      </c>
      <c r="W33" s="9">
        <f t="array" ref="W33">SQRT(MMULT(MMULT(P33:S33,$K$3:$N$6),TRANSPOSE(P33:S33)))</f>
        <v>0.16883147676141277</v>
      </c>
    </row>
    <row r="34" spans="16:23" x14ac:dyDescent="0.3">
      <c r="P34" s="26">
        <v>0.20379135499625925</v>
      </c>
      <c r="Q34" s="26">
        <v>0.25203476372031342</v>
      </c>
      <c r="R34" s="26">
        <v>0.28098074625996183</v>
      </c>
      <c r="S34" s="26">
        <v>0.26319313502346547</v>
      </c>
      <c r="U34" s="9">
        <f t="array" ref="U34">MMULT(TRANSPOSE($B$3:$B$6),TRANSPOSE(P34:S34))</f>
        <v>8.4703444576447323E-2</v>
      </c>
      <c r="W34" s="9">
        <f t="array" ref="W34">SQRT(MMULT(MMULT(P34:S34,$K$3:$N$6),TRANSPOSE(P34:S34)))</f>
        <v>0.13174388746357993</v>
      </c>
    </row>
    <row r="35" spans="16:23" x14ac:dyDescent="0.3">
      <c r="P35" s="26">
        <v>0.32590158064305841</v>
      </c>
      <c r="Q35" s="26">
        <v>0.24435193045491421</v>
      </c>
      <c r="R35" s="26">
        <v>0.13678959478426217</v>
      </c>
      <c r="S35" s="26">
        <v>0.29295689411776527</v>
      </c>
      <c r="U35" s="9">
        <f t="array" ref="U35">MMULT(TRANSPOSE($B$3:$B$6),TRANSPOSE(P35:S35))</f>
        <v>8.0865604988712342E-2</v>
      </c>
      <c r="W35" s="9">
        <f t="array" ref="W35">SQRT(MMULT(MMULT(P35:S35,$K$3:$N$6),TRANSPOSE(P35:S35)))</f>
        <v>0.12243416430651366</v>
      </c>
    </row>
    <row r="36" spans="16:23" x14ac:dyDescent="0.3">
      <c r="P36" s="26">
        <v>0.22169117002900018</v>
      </c>
      <c r="Q36" s="26">
        <v>9.8448555048463407E-2</v>
      </c>
      <c r="R36" s="26">
        <v>0.27502804080983179</v>
      </c>
      <c r="S36" s="26">
        <v>0.40483223411270469</v>
      </c>
      <c r="U36" s="9">
        <f t="array" ref="U36">MMULT(TRANSPOSE($B$3:$B$6),TRANSPOSE(P36:S36))</f>
        <v>9.1308349121251867E-2</v>
      </c>
      <c r="W36" s="9">
        <f t="array" ref="W36">SQRT(MMULT(MMULT(P36:S36,$K$3:$N$6),TRANSPOSE(P36:S36)))</f>
        <v>0.15912151923746515</v>
      </c>
    </row>
    <row r="37" spans="16:23" x14ac:dyDescent="0.3">
      <c r="P37" s="26">
        <v>0.22313403448491037</v>
      </c>
      <c r="Q37" s="26">
        <v>0.10671009230132029</v>
      </c>
      <c r="R37" s="26">
        <v>0.34186902310830208</v>
      </c>
      <c r="S37" s="26">
        <v>0.32828685010546726</v>
      </c>
      <c r="U37" s="9">
        <f t="array" ref="U37">MMULT(TRANSPOSE($B$3:$B$6),TRANSPOSE(P37:S37))</f>
        <v>8.8789042277741204E-2</v>
      </c>
      <c r="W37" s="9">
        <f t="array" ref="W37">SQRT(MMULT(MMULT(P37:S37,$K$3:$N$6),TRANSPOSE(P37:S37)))</f>
        <v>0.14884676482126524</v>
      </c>
    </row>
    <row r="38" spans="16:23" x14ac:dyDescent="0.3">
      <c r="P38" s="26">
        <v>0.43731043061847624</v>
      </c>
      <c r="Q38" s="26">
        <v>0.1016305062443472</v>
      </c>
      <c r="R38" s="26">
        <v>0.13786311645841864</v>
      </c>
      <c r="S38" s="26">
        <v>0.32319594667875789</v>
      </c>
      <c r="U38" s="9">
        <f t="array" ref="U38">MMULT(TRANSPOSE($B$3:$B$6),TRANSPOSE(P38:S38))</f>
        <v>8.0170851050736736E-2</v>
      </c>
      <c r="W38" s="9">
        <f t="array" ref="W38">SQRT(MMULT(MMULT(P38:S38,$K$3:$N$6),TRANSPOSE(P38:S38)))</f>
        <v>0.12619204866789224</v>
      </c>
    </row>
    <row r="39" spans="16:23" x14ac:dyDescent="0.3">
      <c r="P39" s="26">
        <v>0.42837584302195925</v>
      </c>
      <c r="Q39" s="26">
        <v>0.17110192914754724</v>
      </c>
      <c r="R39" s="26">
        <v>5.7418315513550859E-2</v>
      </c>
      <c r="S39" s="26">
        <v>0.34310391231694254</v>
      </c>
      <c r="U39" s="9">
        <f t="array" ref="U39">MMULT(TRANSPOSE($B$3:$B$6),TRANSPOSE(P39:S39))</f>
        <v>7.973604506567894E-2</v>
      </c>
      <c r="W39" s="9">
        <f t="array" ref="W39">SQRT(MMULT(MMULT(P39:S39,$K$3:$N$6),TRANSPOSE(P39:S39)))</f>
        <v>0.12589826541239282</v>
      </c>
    </row>
    <row r="40" spans="16:23" x14ac:dyDescent="0.3">
      <c r="P40" s="26">
        <v>0.13168998891933048</v>
      </c>
      <c r="Q40" s="26">
        <v>0.40730673282620405</v>
      </c>
      <c r="R40" s="26">
        <v>0.44965360087132217</v>
      </c>
      <c r="S40" s="26">
        <v>1.1349677383143353E-2</v>
      </c>
      <c r="U40" s="9">
        <f t="array" ref="U40">MMULT(TRANSPOSE($B$3:$B$6),TRANSPOSE(P40:S40))</f>
        <v>7.692675610819702E-2</v>
      </c>
      <c r="W40" s="9">
        <f t="array" ref="W40">SQRT(MMULT(MMULT(P40:S40,$K$3:$N$6),TRANSPOSE(P40:S40)))</f>
        <v>0.12708918097851576</v>
      </c>
    </row>
    <row r="41" spans="16:23" x14ac:dyDescent="0.3">
      <c r="P41" s="26">
        <v>1.8308652328769638E-2</v>
      </c>
      <c r="Q41" s="26">
        <v>0.32857577599037652</v>
      </c>
      <c r="R41" s="26">
        <v>0.548653633682885</v>
      </c>
      <c r="S41" s="26">
        <v>0.10446193799796863</v>
      </c>
      <c r="U41" s="9">
        <f t="array" ref="U41">MMULT(TRANSPOSE($B$3:$B$6),TRANSPOSE(P41:S41))</f>
        <v>8.5829996526980729E-2</v>
      </c>
      <c r="W41" s="9">
        <f t="array" ref="W41">SQRT(MMULT(MMULT(P41:S41,$K$3:$N$6),TRANSPOSE(P41:S41)))</f>
        <v>0.14779155703639657</v>
      </c>
    </row>
    <row r="42" spans="16:23" x14ac:dyDescent="0.3">
      <c r="P42" s="26">
        <v>1.997228662128147E-2</v>
      </c>
      <c r="Q42" s="26">
        <v>0.40378347392963732</v>
      </c>
      <c r="R42" s="26">
        <v>0.18794940670696408</v>
      </c>
      <c r="S42" s="26">
        <v>0.38829483274211712</v>
      </c>
      <c r="U42" s="9">
        <f t="array" ref="U42">MMULT(TRANSPOSE($B$3:$B$6),TRANSPOSE(P42:S42))</f>
        <v>9.2774284038819516E-2</v>
      </c>
      <c r="W42" s="9">
        <f t="array" ref="W42">SQRT(MMULT(MMULT(P42:S42,$K$3:$N$6),TRANSPOSE(P42:S42)))</f>
        <v>0.15818276627679129</v>
      </c>
    </row>
    <row r="43" spans="16:23" x14ac:dyDescent="0.3">
      <c r="P43" s="26">
        <v>0.24502074187204959</v>
      </c>
      <c r="Q43" s="26">
        <v>0.35035717177153974</v>
      </c>
      <c r="R43" s="26">
        <v>0.26170720749853893</v>
      </c>
      <c r="S43" s="26">
        <v>0.14291487885787166</v>
      </c>
      <c r="U43" s="9">
        <f t="array" ref="U43">MMULT(TRANSPOSE($B$3:$B$6),TRANSPOSE(P43:S43))</f>
        <v>7.747947325542337E-2</v>
      </c>
      <c r="W43" s="9">
        <f t="array" ref="W43">SQRT(MMULT(MMULT(P43:S43,$K$3:$N$6),TRANSPOSE(P43:S43)))</f>
        <v>0.11275220199454633</v>
      </c>
    </row>
    <row r="44" spans="16:23" x14ac:dyDescent="0.3">
      <c r="P44" s="26">
        <v>0.24167773112004737</v>
      </c>
      <c r="Q44" s="26">
        <v>2.0473529529800177E-2</v>
      </c>
      <c r="R44" s="26">
        <v>0.29640212344267686</v>
      </c>
      <c r="S44" s="26">
        <v>0.44144661590747569</v>
      </c>
      <c r="U44" s="9">
        <f t="array" ref="U44">MMULT(TRANSPOSE($B$3:$B$6),TRANSPOSE(P44:S44))</f>
        <v>9.3166818641826382E-2</v>
      </c>
      <c r="W44" s="9">
        <f t="array" ref="W44">SQRT(MMULT(MMULT(P44:S44,$K$3:$N$6),TRANSPOSE(P44:S44)))</f>
        <v>0.16956973588723717</v>
      </c>
    </row>
    <row r="45" spans="16:23" x14ac:dyDescent="0.3">
      <c r="P45" s="26">
        <v>5.505275061681246E-2</v>
      </c>
      <c r="Q45" s="26">
        <v>0.19073046458109535</v>
      </c>
      <c r="R45" s="26">
        <v>0.50167263709960264</v>
      </c>
      <c r="S45" s="26">
        <v>0.25254414770248945</v>
      </c>
      <c r="U45" s="9">
        <f t="array" ref="U45">MMULT(TRANSPOSE($B$3:$B$6),TRANSPOSE(P45:S45))</f>
        <v>9.1559605114780257E-2</v>
      </c>
      <c r="W45" s="9">
        <f t="array" ref="W45">SQRT(MMULT(MMULT(P45:S45,$K$3:$N$6),TRANSPOSE(P45:S45)))</f>
        <v>0.15845582956721629</v>
      </c>
    </row>
    <row r="46" spans="16:23" x14ac:dyDescent="0.3">
      <c r="P46" s="26">
        <v>0.15005844257212558</v>
      </c>
      <c r="Q46" s="26">
        <v>0.17050941264561589</v>
      </c>
      <c r="R46" s="26">
        <v>0.33780152865406987</v>
      </c>
      <c r="S46" s="26">
        <v>0.34163061612818868</v>
      </c>
      <c r="U46" s="9">
        <f t="array" ref="U46">MMULT(TRANSPOSE($B$3:$B$6),TRANSPOSE(P46:S46))</f>
        <v>9.0836392528048315E-2</v>
      </c>
      <c r="W46" s="9">
        <f t="array" ref="W46">SQRT(MMULT(MMULT(P46:S46,$K$3:$N$6),TRANSPOSE(P46:S46)))</f>
        <v>0.1534868715001379</v>
      </c>
    </row>
    <row r="47" spans="16:23" x14ac:dyDescent="0.3">
      <c r="P47" s="26">
        <v>0.24417301164245556</v>
      </c>
      <c r="Q47" s="26">
        <v>0.55061639208540025</v>
      </c>
      <c r="R47" s="26">
        <v>6.7466703504577619E-2</v>
      </c>
      <c r="S47" s="26">
        <v>0.13774389276756666</v>
      </c>
      <c r="U47" s="9">
        <f t="array" ref="U47">MMULT(TRANSPOSE($B$3:$B$6),TRANSPOSE(P47:S47))</f>
        <v>7.3353068475620786E-2</v>
      </c>
      <c r="W47" s="9">
        <f t="array" ref="W47">SQRT(MMULT(MMULT(P47:S47,$K$3:$N$6),TRANSPOSE(P47:S47)))</f>
        <v>0.10990085017441964</v>
      </c>
    </row>
    <row r="48" spans="16:23" x14ac:dyDescent="0.3">
      <c r="P48" s="26">
        <v>0.25451054818501179</v>
      </c>
      <c r="Q48" s="26">
        <v>3.2346737827370464E-2</v>
      </c>
      <c r="R48" s="26">
        <v>0.36481807962089791</v>
      </c>
      <c r="S48" s="26">
        <v>0.34832463436671984</v>
      </c>
      <c r="U48" s="9">
        <f t="array" ref="U48">MMULT(TRANSPOSE($B$3:$B$6),TRANSPOSE(P48:S48))</f>
        <v>8.962238234705372E-2</v>
      </c>
      <c r="W48" s="9">
        <f t="array" ref="W48">SQRT(MMULT(MMULT(P48:S48,$K$3:$N$6),TRANSPOSE(P48:S48)))</f>
        <v>0.15496731017131898</v>
      </c>
    </row>
    <row r="49" spans="1:24" x14ac:dyDescent="0.3">
      <c r="P49" s="26">
        <v>0.43253583752204927</v>
      </c>
      <c r="Q49" s="26">
        <v>8.4335286398089862E-2</v>
      </c>
      <c r="R49" s="26">
        <v>0.18641222535211707</v>
      </c>
      <c r="S49" s="26">
        <v>0.29671665072774372</v>
      </c>
      <c r="U49" s="9">
        <f t="array" ref="U49">MMULT(TRANSPOSE($B$3:$B$6),TRANSPOSE(P49:S49))</f>
        <v>7.9913360292988539E-2</v>
      </c>
      <c r="W49" s="9">
        <f t="array" ref="W49">SQRT(MMULT(MMULT(P49:S49,$K$3:$N$6),TRANSPOSE(P49:S49)))</f>
        <v>0.12423410616141525</v>
      </c>
    </row>
    <row r="50" spans="1:24" x14ac:dyDescent="0.3">
      <c r="P50" s="26">
        <v>0.59534462466186666</v>
      </c>
      <c r="Q50" s="26">
        <v>1.878593495711909E-2</v>
      </c>
      <c r="R50" s="26">
        <v>0.16329325413068299</v>
      </c>
      <c r="S50" s="26">
        <v>0.22257618625033124</v>
      </c>
      <c r="U50" s="9">
        <f t="array" ref="U50">MMULT(TRANSPOSE($B$3:$B$6),TRANSPOSE(P50:S50))</f>
        <v>7.2487781901892895E-2</v>
      </c>
      <c r="W50" s="9">
        <f t="array" ref="W50">SQRT(MMULT(MMULT(P50:S50,$K$3:$N$6),TRANSPOSE(P50:S50)))</f>
        <v>0.10848229665100252</v>
      </c>
    </row>
    <row r="51" spans="1:24" x14ac:dyDescent="0.3">
      <c r="P51" s="26">
        <v>0.3127148543494534</v>
      </c>
      <c r="Q51" s="26">
        <v>0.1953567063392303</v>
      </c>
      <c r="R51" s="26">
        <v>0.23466139173147113</v>
      </c>
      <c r="S51" s="26">
        <v>0.25726704757984525</v>
      </c>
      <c r="U51" s="9">
        <f t="array" ref="U51">MMULT(TRANSPOSE($B$3:$B$6),TRANSPOSE(P51:S51))</f>
        <v>8.1302283126632624E-2</v>
      </c>
      <c r="W51" s="9">
        <f t="array" ref="W51">SQRT(MMULT(MMULT(P51:S51,$K$3:$N$6),TRANSPOSE(P51:S51)))</f>
        <v>0.12277103266213919</v>
      </c>
    </row>
    <row r="52" spans="1:24" x14ac:dyDescent="0.3">
      <c r="P52" s="26">
        <v>0.2789811872383483</v>
      </c>
      <c r="Q52" s="26">
        <v>0.11775232782836284</v>
      </c>
      <c r="R52" s="26">
        <v>0.21103971950868386</v>
      </c>
      <c r="S52" s="26">
        <v>0.392226765424605</v>
      </c>
      <c r="U52" s="9">
        <f t="array" ref="U52">MMULT(TRANSPOSE($B$3:$B$6),TRANSPOSE(P52:S52))</f>
        <v>8.8252508916636968E-2</v>
      </c>
      <c r="W52" s="9">
        <f t="array" ref="W52">SQRT(MMULT(MMULT(P52:S52,$K$3:$N$6),TRANSPOSE(P52:S52)))</f>
        <v>0.14938084129677318</v>
      </c>
    </row>
    <row r="53" spans="1:24" x14ac:dyDescent="0.3">
      <c r="A53" s="6" t="s">
        <v>52</v>
      </c>
      <c r="P53" s="26">
        <v>0.38213855321276913</v>
      </c>
      <c r="Q53" s="26">
        <v>7.7297528904949936E-4</v>
      </c>
      <c r="R53" s="26">
        <v>0.3718871830852426</v>
      </c>
      <c r="S53" s="26">
        <v>0.24520128841293884</v>
      </c>
      <c r="T53" s="26"/>
      <c r="U53" s="9">
        <f t="array" ref="U53">MMULT(TRANSPOSE($B$3:$B$6),TRANSPOSE(P53:S53))</f>
        <v>8.2055037018096411E-2</v>
      </c>
      <c r="V53" s="26"/>
      <c r="W53" s="9">
        <f t="array" ref="W53">SQRT(MMULT(MMULT(P53:S53,$K$3:$N$6),TRANSPOSE(P53:S53)))</f>
        <v>0.13281052976753438</v>
      </c>
      <c r="X53" s="26"/>
    </row>
    <row r="54" spans="1:24" x14ac:dyDescent="0.3">
      <c r="P54" s="26">
        <v>0.32384059650525965</v>
      </c>
      <c r="Q54" s="26">
        <v>0.26975746597491063</v>
      </c>
      <c r="R54" s="26">
        <v>3.5943327820345809E-2</v>
      </c>
      <c r="S54" s="26">
        <v>0.3704586096994838</v>
      </c>
      <c r="T54" s="26"/>
      <c r="U54" s="9">
        <f t="array" ref="U54">MMULT(TRANSPOSE($B$3:$B$6),TRANSPOSE(P54:S54))</f>
        <v>8.2764985111275904E-2</v>
      </c>
      <c r="V54" s="26"/>
      <c r="W54" s="9">
        <f t="array" ref="W54">SQRT(MMULT(MMULT(P54:S54,$K$3:$N$6),TRANSPOSE(P54:S54)))</f>
        <v>0.13316519077281611</v>
      </c>
      <c r="X54" s="26"/>
    </row>
    <row r="55" spans="1:24" x14ac:dyDescent="0.3">
      <c r="P55" s="26">
        <v>0.35744900188028805</v>
      </c>
      <c r="Q55" s="26">
        <v>0.21654527761276973</v>
      </c>
      <c r="R55" s="26">
        <v>0.15239900597020989</v>
      </c>
      <c r="S55" s="26">
        <v>0.2736067145367323</v>
      </c>
      <c r="T55" s="26"/>
      <c r="U55" s="9">
        <f t="array" ref="U55">MMULT(TRANSPOSE($B$3:$B$6),TRANSPOSE(P55:S55))</f>
        <v>7.9579335808635049E-2</v>
      </c>
      <c r="V55" s="26"/>
      <c r="W55" s="9">
        <f t="array" ref="W55">SQRT(MMULT(MMULT(P55:S55,$K$3:$N$6),TRANSPOSE(P55:S55)))</f>
        <v>0.11875898418054341</v>
      </c>
      <c r="X55" s="26"/>
    </row>
    <row r="56" spans="1:24" x14ac:dyDescent="0.3">
      <c r="P56" s="26">
        <v>0.46410540565480951</v>
      </c>
      <c r="Q56" s="26">
        <v>0.27660327276216312</v>
      </c>
      <c r="R56" s="26">
        <v>0.17795187224808154</v>
      </c>
      <c r="S56" s="26">
        <v>8.1339449334945912E-2</v>
      </c>
      <c r="T56" s="26"/>
      <c r="U56" s="9">
        <f t="array" ref="U56">MMULT(TRANSPOSE($B$3:$B$6),TRANSPOSE(P56:S56))</f>
        <v>6.8343901798612744E-2</v>
      </c>
      <c r="V56" s="26"/>
      <c r="W56" s="9">
        <f t="array" ref="W56">SQRT(MMULT(MMULT(P56:S56,$K$3:$N$6),TRANSPOSE(P56:S56)))</f>
        <v>9.3459232959459973E-2</v>
      </c>
      <c r="X56" s="26"/>
    </row>
    <row r="57" spans="1:24" x14ac:dyDescent="0.3">
      <c r="P57" s="26">
        <v>0.10624669327718121</v>
      </c>
      <c r="Q57" s="26">
        <v>0.32628455878663992</v>
      </c>
      <c r="R57" s="26">
        <v>0.17476789199016035</v>
      </c>
      <c r="S57" s="26">
        <v>0.3927008559460185</v>
      </c>
      <c r="T57" s="26"/>
      <c r="U57" s="9">
        <f t="array" ref="U57">MMULT(TRANSPOSE($B$3:$B$6),TRANSPOSE(P57:S57))</f>
        <v>9.1005466771560517E-2</v>
      </c>
      <c r="V57" s="26"/>
      <c r="W57" s="9">
        <f t="array" ref="W57">SQRT(MMULT(MMULT(P57:S57,$K$3:$N$6),TRANSPOSE(P57:S57)))</f>
        <v>0.1532666234038613</v>
      </c>
      <c r="X57" s="26"/>
    </row>
    <row r="58" spans="1:24" x14ac:dyDescent="0.3">
      <c r="P58" s="26">
        <v>0.30798640296733837</v>
      </c>
      <c r="Q58" s="26">
        <v>6.555580686586876E-2</v>
      </c>
      <c r="R58" s="26">
        <v>0.44496728040231481</v>
      </c>
      <c r="S58" s="26">
        <v>0.18149050976447817</v>
      </c>
      <c r="T58" s="26"/>
      <c r="U58" s="9">
        <f t="array" ref="U58">MMULT(TRANSPOSE($B$3:$B$6),TRANSPOSE(P58:S58))</f>
        <v>8.1814143036923442E-2</v>
      </c>
      <c r="V58" s="26"/>
      <c r="W58" s="9">
        <f t="array" ref="W58">SQRT(MMULT(MMULT(P58:S58,$K$3:$N$6),TRANSPOSE(P58:S58)))</f>
        <v>0.13143470501262419</v>
      </c>
      <c r="X58" s="26"/>
    </row>
    <row r="59" spans="1:24" x14ac:dyDescent="0.3">
      <c r="P59" s="26">
        <v>0.30181534713449254</v>
      </c>
      <c r="Q59" s="26">
        <v>0.44706215947072753</v>
      </c>
      <c r="R59" s="26">
        <v>3.5091043618543059E-2</v>
      </c>
      <c r="S59" s="26">
        <v>0.21603144977623689</v>
      </c>
      <c r="T59" s="26"/>
      <c r="U59" s="9">
        <f t="array" ref="U59">MMULT(TRANSPOSE($B$3:$B$6),TRANSPOSE(P59:S59))</f>
        <v>7.5467086418492868E-2</v>
      </c>
      <c r="V59" s="26"/>
      <c r="W59" s="9">
        <f t="array" ref="W59">SQRT(MMULT(MMULT(P59:S59,$K$3:$N$6),TRANSPOSE(P59:S59)))</f>
        <v>0.11054601020013671</v>
      </c>
      <c r="X59" s="26"/>
    </row>
    <row r="60" spans="1:24" x14ac:dyDescent="0.3">
      <c r="P60" s="26">
        <v>0.17268483292204984</v>
      </c>
      <c r="Q60" s="26">
        <v>0.63275259150148078</v>
      </c>
      <c r="R60" s="26">
        <v>0.13877038191577459</v>
      </c>
      <c r="S60" s="26">
        <v>5.5792193660694822E-2</v>
      </c>
      <c r="T60" s="26"/>
      <c r="U60" s="9">
        <f t="array" ref="U60">MMULT(TRANSPOSE($B$3:$B$6),TRANSPOSE(P60:S60))</f>
        <v>7.2111320662909234E-2</v>
      </c>
      <c r="V60" s="26"/>
      <c r="W60" s="9">
        <f t="array" ref="W60">SQRT(MMULT(MMULT(P60:S60,$K$3:$N$6),TRANSPOSE(P60:S60)))</f>
        <v>0.11579006586994453</v>
      </c>
      <c r="X60" s="26"/>
    </row>
    <row r="61" spans="1:24" x14ac:dyDescent="0.3">
      <c r="P61" s="26">
        <v>0.33096256532776319</v>
      </c>
      <c r="Q61" s="26">
        <v>0.38646380425386945</v>
      </c>
      <c r="R61" s="26">
        <v>0.19194287476636668</v>
      </c>
      <c r="S61" s="26">
        <v>9.0630755652000572E-2</v>
      </c>
      <c r="T61" s="26"/>
      <c r="U61" s="9">
        <f t="array" ref="U61">MMULT(TRANSPOSE($B$3:$B$6),TRANSPOSE(P61:S61))</f>
        <v>7.1751143971372097E-2</v>
      </c>
      <c r="V61" s="26"/>
      <c r="W61" s="9">
        <f t="array" ref="W61">SQRT(MMULT(MMULT(P61:S61,$K$3:$N$6),TRANSPOSE(P61:S61)))</f>
        <v>0.10132001662388053</v>
      </c>
      <c r="X61" s="26"/>
    </row>
    <row r="62" spans="1:24" x14ac:dyDescent="0.3">
      <c r="P62" s="26">
        <v>0.35255140400228369</v>
      </c>
      <c r="Q62" s="26">
        <v>5.3095655946937922E-2</v>
      </c>
      <c r="R62" s="26">
        <v>0.34162386369754688</v>
      </c>
      <c r="S62" s="26">
        <v>0.25272907635323161</v>
      </c>
      <c r="T62" s="26"/>
      <c r="U62" s="9">
        <f t="array" ref="U62">MMULT(TRANSPOSE($B$3:$B$6),TRANSPOSE(P62:S62))</f>
        <v>8.2417903011566845E-2</v>
      </c>
      <c r="V62" s="26"/>
      <c r="W62" s="9">
        <f t="array" ref="W62">SQRT(MMULT(MMULT(P62:S62,$K$3:$N$6),TRANSPOSE(P62:S62)))</f>
        <v>0.13105718967373173</v>
      </c>
      <c r="X62" s="26"/>
    </row>
    <row r="63" spans="1:24" x14ac:dyDescent="0.3">
      <c r="P63" s="26">
        <v>3.2285921956587492E-2</v>
      </c>
      <c r="Q63" s="26">
        <v>0.24849785872036753</v>
      </c>
      <c r="R63" s="26">
        <v>0.24814414728629694</v>
      </c>
      <c r="S63" s="26">
        <v>0.47107207203674806</v>
      </c>
      <c r="T63" s="26"/>
      <c r="U63" s="9">
        <f t="array" ref="U63">MMULT(TRANSPOSE($B$3:$B$6),TRANSPOSE(P63:S63))</f>
        <v>9.7870768108431594E-2</v>
      </c>
      <c r="V63" s="26"/>
      <c r="W63" s="9">
        <f t="array" ref="W63">SQRT(MMULT(MMULT(P63:S63,$K$3:$N$6),TRANSPOSE(P63:S63)))</f>
        <v>0.17814275795814721</v>
      </c>
      <c r="X63" s="26"/>
    </row>
    <row r="64" spans="1:24" x14ac:dyDescent="0.3">
      <c r="P64" s="26">
        <v>0.14419687342015169</v>
      </c>
      <c r="Q64" s="26">
        <v>0.25942447548571701</v>
      </c>
      <c r="R64" s="26">
        <v>9.1530053397374772E-2</v>
      </c>
      <c r="S64" s="26">
        <v>0.5048485976967565</v>
      </c>
      <c r="T64" s="26"/>
      <c r="U64" s="9">
        <f t="array" ref="U64">MMULT(TRANSPOSE($B$3:$B$6),TRANSPOSE(P64:S64))</f>
        <v>9.4189093484382286E-2</v>
      </c>
      <c r="V64" s="26"/>
      <c r="W64" s="9">
        <f t="array" ref="W64">SQRT(MMULT(MMULT(P64:S64,$K$3:$N$6),TRANSPOSE(P64:S64)))</f>
        <v>0.17121799752888511</v>
      </c>
    </row>
    <row r="65" spans="16:23" x14ac:dyDescent="0.3">
      <c r="P65" s="26">
        <v>0.29629153481466419</v>
      </c>
      <c r="Q65" s="26">
        <v>7.0866872659715821E-2</v>
      </c>
      <c r="R65" s="26">
        <v>0.43216131504491823</v>
      </c>
      <c r="S65" s="26">
        <v>0.2006802774807018</v>
      </c>
      <c r="T65" s="26"/>
      <c r="U65" s="9">
        <f t="array" ref="U65">MMULT(TRANSPOSE($B$3:$B$6),TRANSPOSE(P65:S65))</f>
        <v>8.2751409478640181E-2</v>
      </c>
      <c r="V65" s="26"/>
      <c r="W65" s="9">
        <f t="array" ref="W65">SQRT(MMULT(MMULT(P65:S65,$K$3:$N$6),TRANSPOSE(P65:S65)))</f>
        <v>0.13320893011383375</v>
      </c>
    </row>
    <row r="66" spans="16:23" x14ac:dyDescent="0.3">
      <c r="P66" s="26">
        <v>0.15037196562408348</v>
      </c>
      <c r="Q66" s="26">
        <v>0.63689721873389737</v>
      </c>
      <c r="R66" s="26">
        <v>0.19846571257171428</v>
      </c>
      <c r="S66" s="26">
        <v>1.4265103070304883E-2</v>
      </c>
      <c r="T66" s="26"/>
      <c r="U66" s="9">
        <f t="array" ref="U66">MMULT(TRANSPOSE($B$3:$B$6),TRANSPOSE(P66:S66))</f>
        <v>7.1675130092467856E-2</v>
      </c>
      <c r="V66" s="26"/>
      <c r="W66" s="9">
        <f t="array" ref="W66">SQRT(MMULT(MMULT(P66:S66,$K$3:$N$6),TRANSPOSE(P66:S66)))</f>
        <v>0.11891247345824488</v>
      </c>
    </row>
    <row r="67" spans="16:23" x14ac:dyDescent="0.3">
      <c r="P67" s="26">
        <v>5.0099038343551422E-2</v>
      </c>
      <c r="Q67" s="26">
        <v>0.52786197432795734</v>
      </c>
      <c r="R67" s="26">
        <v>0.18264787560335952</v>
      </c>
      <c r="S67" s="26">
        <v>0.23939111172513175</v>
      </c>
      <c r="T67" s="26"/>
      <c r="U67" s="9">
        <f t="array" ref="U67">MMULT(TRANSPOSE($B$3:$B$6),TRANSPOSE(P67:S67))</f>
        <v>8.4620532331452752E-2</v>
      </c>
      <c r="V67" s="26"/>
      <c r="W67" s="9">
        <f t="array" ref="W67">SQRT(MMULT(MMULT(P67:S67,$K$3:$N$6),TRANSPOSE(P67:S67)))</f>
        <v>0.13412434332249734</v>
      </c>
    </row>
    <row r="68" spans="16:23" x14ac:dyDescent="0.3">
      <c r="P68" s="26">
        <v>0.26496148044913864</v>
      </c>
      <c r="Q68" s="26">
        <v>8.825690221538636E-2</v>
      </c>
      <c r="R68" s="26">
        <v>0.26973433422246401</v>
      </c>
      <c r="S68" s="26">
        <v>0.37704728311301094</v>
      </c>
      <c r="T68" s="26"/>
      <c r="U68" s="9">
        <f t="array" ref="U68">MMULT(TRANSPOSE($B$3:$B$6),TRANSPOSE(P68:S68))</f>
        <v>8.8947821231117052E-2</v>
      </c>
      <c r="V68" s="26"/>
      <c r="W68" s="9">
        <f t="array" ref="W68">SQRT(MMULT(MMULT(P68:S68,$K$3:$N$6),TRANSPOSE(P68:S68)))</f>
        <v>0.15138694234048414</v>
      </c>
    </row>
    <row r="69" spans="16:23" x14ac:dyDescent="0.3">
      <c r="P69" s="26">
        <v>0.41845419044572746</v>
      </c>
      <c r="Q69" s="26">
        <v>9.669340212368055E-2</v>
      </c>
      <c r="R69" s="26">
        <v>0.12785934351732928</v>
      </c>
      <c r="S69" s="26">
        <v>0.35699306391326274</v>
      </c>
      <c r="T69" s="26"/>
      <c r="U69" s="9">
        <f t="array" ref="U69">MMULT(TRANSPOSE($B$3:$B$6),TRANSPOSE(P69:S69))</f>
        <v>8.2037756257095168E-2</v>
      </c>
      <c r="V69" s="26"/>
      <c r="W69" s="9">
        <f t="array" ref="W69">SQRT(MMULT(MMULT(P69:S69,$K$3:$N$6),TRANSPOSE(P69:S69)))</f>
        <v>0.13309542202894911</v>
      </c>
    </row>
    <row r="70" spans="16:23" x14ac:dyDescent="0.3">
      <c r="P70" s="26">
        <v>8.8709741863250785E-2</v>
      </c>
      <c r="Q70" s="26">
        <v>0.4861713428211023</v>
      </c>
      <c r="R70" s="26">
        <v>0.15833989994815892</v>
      </c>
      <c r="S70" s="26">
        <v>0.26677901536748799</v>
      </c>
      <c r="T70" s="26"/>
      <c r="U70" s="9">
        <f t="array" ref="U70">MMULT(TRANSPOSE($B$3:$B$6),TRANSPOSE(P70:S70))</f>
        <v>8.4731553930072562E-2</v>
      </c>
      <c r="V70" s="26"/>
      <c r="W70" s="9">
        <f t="array" ref="W70">SQRT(MMULT(MMULT(P70:S70,$K$3:$N$6),TRANSPOSE(P70:S70)))</f>
        <v>0.13331020895939522</v>
      </c>
    </row>
    <row r="71" spans="16:23" x14ac:dyDescent="0.3">
      <c r="P71" s="26">
        <v>0.35228561066400299</v>
      </c>
      <c r="Q71" s="26">
        <v>0.10141355457232881</v>
      </c>
      <c r="R71" s="26">
        <v>0.24014980952047127</v>
      </c>
      <c r="S71" s="26">
        <v>0.30615102524319693</v>
      </c>
      <c r="T71" s="26"/>
      <c r="U71" s="9">
        <f t="array" ref="U71">MMULT(TRANSPOSE($B$3:$B$6),TRANSPOSE(P71:S71))</f>
        <v>8.3064835239289203E-2</v>
      </c>
      <c r="V71" s="26"/>
      <c r="W71" s="9">
        <f t="array" ref="W71">SQRT(MMULT(MMULT(P71:S71,$K$3:$N$6),TRANSPOSE(P71:S71)))</f>
        <v>0.13167417984184404</v>
      </c>
    </row>
    <row r="72" spans="16:23" x14ac:dyDescent="0.3">
      <c r="P72" s="26">
        <v>0.33732124361798582</v>
      </c>
      <c r="Q72" s="26">
        <v>0.37994968912818533</v>
      </c>
      <c r="R72" s="26">
        <v>0.15910181148189284</v>
      </c>
      <c r="S72" s="26">
        <v>0.12362725577193605</v>
      </c>
      <c r="T72" s="26"/>
      <c r="U72" s="9">
        <f t="array" ref="U72">MMULT(TRANSPOSE($B$3:$B$6),TRANSPOSE(P72:S72))</f>
        <v>7.2616974145874952E-2</v>
      </c>
      <c r="V72" s="26"/>
      <c r="W72" s="9">
        <f t="array" ref="W72">SQRT(MMULT(MMULT(P72:S72,$K$3:$N$6),TRANSPOSE(P72:S72)))</f>
        <v>0.10167508927504205</v>
      </c>
    </row>
    <row r="73" spans="16:23" x14ac:dyDescent="0.3">
      <c r="P73" s="26">
        <v>0.27851476984500517</v>
      </c>
      <c r="Q73" s="26">
        <v>0.20273462558093799</v>
      </c>
      <c r="R73" s="26">
        <v>4.1098683424797139E-2</v>
      </c>
      <c r="S73" s="26">
        <v>0.4776519211492597</v>
      </c>
      <c r="T73" s="26"/>
      <c r="U73" s="9">
        <f t="array" ref="U73">MMULT(TRANSPOSE($B$3:$B$6),TRANSPOSE(P73:S73))</f>
        <v>8.9134274329058821E-2</v>
      </c>
      <c r="V73" s="26"/>
      <c r="W73" s="9">
        <f t="array" ref="W73">SQRT(MMULT(MMULT(P73:S73,$K$3:$N$6),TRANSPOSE(P73:S73)))</f>
        <v>0.15826917959209202</v>
      </c>
    </row>
    <row r="74" spans="16:23" x14ac:dyDescent="0.3">
      <c r="P74" s="26">
        <v>0.57539214221671542</v>
      </c>
      <c r="Q74" s="26">
        <v>0.25338602232107027</v>
      </c>
      <c r="R74" s="26">
        <v>0.14968475955280339</v>
      </c>
      <c r="S74" s="26">
        <v>2.1537075909411028E-2</v>
      </c>
      <c r="T74" s="26"/>
      <c r="U74" s="9">
        <f t="array" ref="U74">MMULT(TRANSPOSE($B$3:$B$6),TRANSPOSE(P74:S74))</f>
        <v>6.2562706142192323E-2</v>
      </c>
      <c r="V74" s="26"/>
      <c r="W74" s="9">
        <f t="array" ref="W74">SQRT(MMULT(MMULT(P74:S74,$K$3:$N$6),TRANSPOSE(P74:S74)))</f>
        <v>8.8523182518899554E-2</v>
      </c>
    </row>
    <row r="75" spans="16:23" x14ac:dyDescent="0.3">
      <c r="P75" s="26">
        <v>2.8267712939345616E-2</v>
      </c>
      <c r="Q75" s="26">
        <v>0.41644973621033665</v>
      </c>
      <c r="R75" s="26">
        <v>0.18828103972370702</v>
      </c>
      <c r="S75" s="26">
        <v>0.36700151112661072</v>
      </c>
      <c r="T75" s="26"/>
      <c r="U75" s="9">
        <f t="array" ref="U75">MMULT(TRANSPOSE($B$3:$B$6),TRANSPOSE(P75:S75))</f>
        <v>9.1550342092017761E-2</v>
      </c>
      <c r="V75" s="26"/>
      <c r="W75" s="9">
        <f t="array" ref="W75">SQRT(MMULT(MMULT(P75:S75,$K$3:$N$6),TRANSPOSE(P75:S75)))</f>
        <v>0.15387333342995249</v>
      </c>
    </row>
    <row r="76" spans="16:23" x14ac:dyDescent="0.3">
      <c r="P76" s="26">
        <v>0.45105663154673231</v>
      </c>
      <c r="Q76" s="26">
        <v>3.985613377452979E-4</v>
      </c>
      <c r="R76" s="26">
        <v>0.37140782629770186</v>
      </c>
      <c r="S76" s="26">
        <v>0.17713698081782051</v>
      </c>
      <c r="T76" s="26"/>
      <c r="U76" s="9">
        <f t="array" ref="U76">MMULT(TRANSPOSE($B$3:$B$6),TRANSPOSE(P76:S76))</f>
        <v>7.7263872935910416E-2</v>
      </c>
      <c r="V76" s="26"/>
      <c r="W76" s="9">
        <f t="array" ref="W76">SQRT(MMULT(MMULT(P76:S76,$K$3:$N$6),TRANSPOSE(P76:S76)))</f>
        <v>0.12020130210683937</v>
      </c>
    </row>
    <row r="77" spans="16:23" x14ac:dyDescent="0.3">
      <c r="P77" s="26">
        <v>9.9790104445595953E-2</v>
      </c>
      <c r="Q77" s="26">
        <v>0.46301582418128417</v>
      </c>
      <c r="R77" s="26">
        <v>9.0544158350292975E-2</v>
      </c>
      <c r="S77" s="26">
        <v>0.34664991302282688</v>
      </c>
      <c r="T77" s="26"/>
      <c r="U77" s="9">
        <f t="array" ref="U77">MMULT(TRANSPOSE($B$3:$B$6),TRANSPOSE(P77:S77))</f>
        <v>8.7147576729235288E-2</v>
      </c>
      <c r="V77" s="26"/>
      <c r="W77" s="9">
        <f t="array" ref="W77">SQRT(MMULT(MMULT(P77:S77,$K$3:$N$6),TRANSPOSE(P77:S77)))</f>
        <v>0.14208794565417676</v>
      </c>
    </row>
    <row r="78" spans="16:23" x14ac:dyDescent="0.3">
      <c r="P78" s="26">
        <v>0.29750930281702542</v>
      </c>
      <c r="Q78" s="26">
        <v>0.18827187865799169</v>
      </c>
      <c r="R78" s="26">
        <v>0.49388658540124991</v>
      </c>
      <c r="S78" s="26">
        <v>2.0332233123732876E-2</v>
      </c>
      <c r="T78" s="26"/>
      <c r="U78" s="9">
        <f t="array" ref="U78">MMULT(TRANSPOSE($B$3:$B$6),TRANSPOSE(P78:S78))</f>
        <v>7.4944157307871129E-2</v>
      </c>
      <c r="V78" s="26"/>
      <c r="W78" s="9">
        <f t="array" ref="W78">SQRT(MMULT(MMULT(P78:S78,$K$3:$N$6),TRANSPOSE(P78:S78)))</f>
        <v>0.12086760763037763</v>
      </c>
    </row>
    <row r="79" spans="16:23" x14ac:dyDescent="0.3">
      <c r="P79" s="26">
        <v>0.22976562867045813</v>
      </c>
      <c r="Q79" s="26">
        <v>0.30197277209722551</v>
      </c>
      <c r="R79" s="26">
        <v>0.39739560074021135</v>
      </c>
      <c r="S79" s="26">
        <v>7.0865998492105009E-2</v>
      </c>
      <c r="T79" s="26"/>
      <c r="U79" s="9">
        <f t="array" ref="U79">MMULT(TRANSPOSE($B$3:$B$6),TRANSPOSE(P79:S79))</f>
        <v>7.6895899366000317E-2</v>
      </c>
      <c r="V79" s="26"/>
      <c r="W79" s="9">
        <f t="array" ref="W79">SQRT(MMULT(MMULT(P79:S79,$K$3:$N$6),TRANSPOSE(P79:S79)))</f>
        <v>0.11782759104490761</v>
      </c>
    </row>
    <row r="80" spans="16:23" x14ac:dyDescent="0.3">
      <c r="P80" s="26">
        <v>0.49455703925228822</v>
      </c>
      <c r="Q80" s="26">
        <v>0.34282021443196209</v>
      </c>
      <c r="R80" s="26">
        <v>1.448123536647534E-2</v>
      </c>
      <c r="S80" s="26">
        <v>0.1481415109492743</v>
      </c>
      <c r="T80" s="26"/>
      <c r="U80" s="9">
        <f t="array" ref="U80">MMULT(TRANSPOSE($B$3:$B$6),TRANSPOSE(P80:S80))</f>
        <v>6.7805559469747465E-2</v>
      </c>
      <c r="V80" s="26"/>
      <c r="W80" s="9">
        <f t="array" ref="W80">SQRT(MMULT(MMULT(P80:S80,$K$3:$N$6),TRANSPOSE(P80:S80)))</f>
        <v>9.4809422759542947E-2</v>
      </c>
    </row>
    <row r="81" spans="16:23" x14ac:dyDescent="0.3">
      <c r="P81" s="26">
        <v>0.30885823277363511</v>
      </c>
      <c r="Q81" s="26">
        <v>0.2140634208768592</v>
      </c>
      <c r="R81" s="26">
        <v>0.13094188818230273</v>
      </c>
      <c r="S81" s="26">
        <v>0.34613645816720306</v>
      </c>
      <c r="T81" s="26"/>
      <c r="U81" s="9">
        <f t="array" ref="U81">MMULT(TRANSPOSE($B$3:$B$6),TRANSPOSE(P81:S81))</f>
        <v>8.3748496016533502E-2</v>
      </c>
      <c r="V81" s="26"/>
      <c r="W81" s="9">
        <f t="array" ref="W81">SQRT(MMULT(MMULT(P81:S81,$K$3:$N$6),TRANSPOSE(P81:S81)))</f>
        <v>0.13296557299030048</v>
      </c>
    </row>
    <row r="82" spans="16:23" x14ac:dyDescent="0.3">
      <c r="P82" s="26">
        <v>0.2155668325386414</v>
      </c>
      <c r="Q82" s="26">
        <v>0.28352200980088538</v>
      </c>
      <c r="R82" s="26">
        <v>0.10882330302543217</v>
      </c>
      <c r="S82" s="26">
        <v>0.39208785463504109</v>
      </c>
      <c r="T82" s="26"/>
      <c r="U82" s="9">
        <f t="array" ref="U82">MMULT(TRANSPOSE($B$3:$B$6),TRANSPOSE(P82:S82))</f>
        <v>8.7469522141487871E-2</v>
      </c>
      <c r="V82" s="26"/>
      <c r="W82" s="9">
        <f t="array" ref="W82">SQRT(MMULT(MMULT(P82:S82,$K$3:$N$6),TRANSPOSE(P82:S82)))</f>
        <v>0.14457195255235236</v>
      </c>
    </row>
    <row r="83" spans="16:23" x14ac:dyDescent="0.3">
      <c r="P83" s="26">
        <v>0.35048438752990185</v>
      </c>
      <c r="Q83" s="26">
        <v>0.24965046102188709</v>
      </c>
      <c r="R83" s="26">
        <v>0.10003186842853651</v>
      </c>
      <c r="S83" s="26">
        <v>0.2998332830196746</v>
      </c>
      <c r="T83" s="26"/>
      <c r="U83" s="9">
        <f t="array" ref="U83">MMULT(TRANSPOSE($B$3:$B$6),TRANSPOSE(P83:S83))</f>
        <v>7.9982613768956434E-2</v>
      </c>
      <c r="V83" s="26"/>
      <c r="W83" s="9">
        <f t="array" ref="W83">SQRT(MMULT(MMULT(P83:S83,$K$3:$N$6),TRANSPOSE(P83:S83)))</f>
        <v>0.12110042522247666</v>
      </c>
    </row>
    <row r="84" spans="16:23" x14ac:dyDescent="0.3">
      <c r="P84" s="26">
        <v>0.21494651573490314</v>
      </c>
      <c r="Q84" s="26">
        <v>0.26734729273619262</v>
      </c>
      <c r="R84" s="26">
        <v>0.13629420061275352</v>
      </c>
      <c r="S84" s="26">
        <v>0.38141199091615069</v>
      </c>
      <c r="T84" s="26"/>
      <c r="U84" s="9">
        <f t="array" ref="U84">MMULT(TRANSPOSE($B$3:$B$6),TRANSPOSE(P84:S84))</f>
        <v>8.7497553243364529E-2</v>
      </c>
      <c r="V84" s="26"/>
      <c r="W84" s="9">
        <f t="array" ref="W84">SQRT(MMULT(MMULT(P84:S84,$K$3:$N$6),TRANSPOSE(P84:S84)))</f>
        <v>0.14381508373095767</v>
      </c>
    </row>
    <row r="85" spans="16:23" x14ac:dyDescent="0.3">
      <c r="P85" s="26">
        <v>0.29681064011498054</v>
      </c>
      <c r="Q85" s="26">
        <v>0.48309355185317943</v>
      </c>
      <c r="R85" s="26">
        <v>0.17770078121866406</v>
      </c>
      <c r="S85" s="26">
        <v>4.239502681317589E-2</v>
      </c>
      <c r="T85" s="26"/>
      <c r="U85" s="9">
        <f t="array" ref="U85">MMULT(TRANSPOSE($B$3:$B$6),TRANSPOSE(P85:S85))</f>
        <v>6.9737554162732474E-2</v>
      </c>
      <c r="V85" s="26"/>
      <c r="W85" s="9">
        <f t="array" ref="W85">SQRT(MMULT(MMULT(P85:S85,$K$3:$N$6),TRANSPOSE(P85:S85)))</f>
        <v>0.10371635998814085</v>
      </c>
    </row>
    <row r="86" spans="16:23" x14ac:dyDescent="0.3">
      <c r="P86" s="26">
        <v>0.47166953240852505</v>
      </c>
      <c r="Q86" s="26">
        <v>2.6872723458081248E-2</v>
      </c>
      <c r="R86" s="26">
        <v>0.13591860749854609</v>
      </c>
      <c r="S86" s="26">
        <v>0.36553913663484755</v>
      </c>
      <c r="T86" s="26"/>
      <c r="U86" s="9">
        <f t="array" ref="U86">MMULT(TRANSPOSE($B$3:$B$6),TRANSPOSE(P86:S86))</f>
        <v>8.1561938333542805E-2</v>
      </c>
      <c r="V86" s="26"/>
      <c r="W86" s="9">
        <f t="array" ref="W86">SQRT(MMULT(MMULT(P86:S86,$K$3:$N$6),TRANSPOSE(P86:S86)))</f>
        <v>0.13562563008023304</v>
      </c>
    </row>
    <row r="87" spans="16:23" x14ac:dyDescent="0.3">
      <c r="P87" s="26">
        <v>0.55434088337026066</v>
      </c>
      <c r="Q87" s="26">
        <v>8.2888610454339207E-2</v>
      </c>
      <c r="R87" s="26">
        <v>0.12343101151699332</v>
      </c>
      <c r="S87" s="26">
        <v>0.23933949465840684</v>
      </c>
      <c r="T87" s="26"/>
      <c r="U87" s="9">
        <f t="array" ref="U87">MMULT(TRANSPOSE($B$3:$B$6),TRANSPOSE(P87:S87))</f>
        <v>7.3348777295854997E-2</v>
      </c>
      <c r="V87" s="26"/>
      <c r="W87" s="9">
        <f t="array" ref="W87">SQRT(MMULT(MMULT(P87:S87,$K$3:$N$6),TRANSPOSE(P87:S87)))</f>
        <v>0.10826156142540208</v>
      </c>
    </row>
    <row r="88" spans="16:23" x14ac:dyDescent="0.3">
      <c r="P88" s="26">
        <v>0.19267055175496775</v>
      </c>
      <c r="Q88" s="26">
        <v>0.25068648989512105</v>
      </c>
      <c r="R88" s="26">
        <v>0.12424399594155257</v>
      </c>
      <c r="S88" s="26">
        <v>0.43239896240835857</v>
      </c>
      <c r="T88" s="26"/>
      <c r="U88" s="9">
        <f t="array" ref="U88">MMULT(TRANSPOSE($B$3:$B$6),TRANSPOSE(P88:S88))</f>
        <v>9.0251417004149626E-2</v>
      </c>
      <c r="V88" s="26"/>
      <c r="W88" s="9">
        <f t="array" ref="W88">SQRT(MMULT(MMULT(P88:S88,$K$3:$N$6),TRANSPOSE(P88:S88)))</f>
        <v>0.15485558575091743</v>
      </c>
    </row>
    <row r="89" spans="16:23" x14ac:dyDescent="0.3">
      <c r="P89" s="26">
        <v>0.26781638473837482</v>
      </c>
      <c r="Q89" s="26">
        <v>0.27380041705611663</v>
      </c>
      <c r="R89" s="26">
        <v>0.36951346766620063</v>
      </c>
      <c r="S89" s="26">
        <v>8.8869730539307953E-2</v>
      </c>
      <c r="T89" s="26"/>
      <c r="U89" s="9">
        <f t="array" ref="U89">MMULT(TRANSPOSE($B$3:$B$6),TRANSPOSE(P89:S89))</f>
        <v>7.6477428185521917E-2</v>
      </c>
      <c r="V89" s="26"/>
      <c r="W89" s="9">
        <f t="array" ref="W89">SQRT(MMULT(MMULT(P89:S89,$K$3:$N$6),TRANSPOSE(P89:S89)))</f>
        <v>0.11445520854428398</v>
      </c>
    </row>
    <row r="90" spans="16:23" x14ac:dyDescent="0.3">
      <c r="P90" s="26">
        <v>0.41386162227793388</v>
      </c>
      <c r="Q90" s="26">
        <v>0.48199889749410418</v>
      </c>
      <c r="R90" s="26">
        <v>9.0506708171758057E-2</v>
      </c>
      <c r="S90" s="26">
        <v>1.3632772056203866E-2</v>
      </c>
      <c r="T90" s="26"/>
      <c r="U90" s="9">
        <f t="array" ref="U90">MMULT(TRANSPOSE($B$3:$B$6),TRANSPOSE(P90:S90))</f>
        <v>6.4214540320686686E-2</v>
      </c>
      <c r="V90" s="26"/>
      <c r="W90" s="9">
        <f t="array" ref="W90">SQRT(MMULT(MMULT(P90:S90,$K$3:$N$6),TRANSPOSE(P90:S90)))</f>
        <v>9.7732822108377956E-2</v>
      </c>
    </row>
    <row r="91" spans="16:23" x14ac:dyDescent="0.3">
      <c r="P91" s="26">
        <v>0.3582950288674136</v>
      </c>
      <c r="Q91" s="26">
        <v>0.10902283653626463</v>
      </c>
      <c r="R91" s="26">
        <v>0.2691284195982605</v>
      </c>
      <c r="S91" s="26">
        <v>0.26355371499806113</v>
      </c>
      <c r="T91" s="26"/>
      <c r="U91" s="9">
        <f t="array" ref="U91">MMULT(TRANSPOSE($B$3:$B$6),TRANSPOSE(P91:S91))</f>
        <v>8.1394353564519989E-2</v>
      </c>
      <c r="V91" s="26"/>
      <c r="W91" s="9">
        <f t="array" ref="W91">SQRT(MMULT(MMULT(P91:S91,$K$3:$N$6),TRANSPOSE(P91:S91)))</f>
        <v>0.12567651774307803</v>
      </c>
    </row>
    <row r="92" spans="16:23" x14ac:dyDescent="0.3">
      <c r="P92" s="26">
        <v>0.10686610126302531</v>
      </c>
      <c r="Q92" s="26">
        <v>0.25387812566277973</v>
      </c>
      <c r="R92" s="26">
        <v>0.28965188213389187</v>
      </c>
      <c r="S92" s="26">
        <v>0.3496038909403032</v>
      </c>
      <c r="T92" s="26"/>
      <c r="U92" s="9">
        <f t="array" ref="U92">MMULT(TRANSPOSE($B$3:$B$6),TRANSPOSE(P92:S92))</f>
        <v>9.1135910164432496E-2</v>
      </c>
      <c r="V92" s="26"/>
      <c r="W92" s="9">
        <f t="array" ref="W92">SQRT(MMULT(MMULT(P92:S92,$K$3:$N$6),TRANSPOSE(P92:S92)))</f>
        <v>0.15265058531523121</v>
      </c>
    </row>
    <row r="93" spans="16:23" x14ac:dyDescent="0.3">
      <c r="P93" s="26">
        <v>0.28950700037768806</v>
      </c>
      <c r="Q93" s="26">
        <v>0.19402916350200874</v>
      </c>
      <c r="R93" s="26">
        <v>0.31464959594511344</v>
      </c>
      <c r="S93" s="26">
        <v>0.20181424017518973</v>
      </c>
      <c r="T93" s="26"/>
      <c r="U93" s="9">
        <f t="array" ref="U93">MMULT(TRANSPOSE($B$3:$B$6),TRANSPOSE(P93:S93))</f>
        <v>8.0593563920107997E-2</v>
      </c>
      <c r="V93" s="26"/>
      <c r="W93" s="9">
        <f t="array" ref="W93">SQRT(MMULT(MMULT(P93:S93,$K$3:$N$6),TRANSPOSE(P93:S93)))</f>
        <v>0.12119018164085589</v>
      </c>
    </row>
    <row r="94" spans="16:23" x14ac:dyDescent="0.3">
      <c r="P94" s="26">
        <v>0.11018476289889395</v>
      </c>
      <c r="Q94" s="26">
        <v>0.77652330669168479</v>
      </c>
      <c r="R94" s="26">
        <v>1.4246716389759925E-2</v>
      </c>
      <c r="S94" s="26">
        <v>9.9045214019661182E-2</v>
      </c>
      <c r="T94" s="26"/>
      <c r="U94" s="9">
        <f t="array" ref="U94">MMULT(TRANSPOSE($B$3:$B$6),TRANSPOSE(P94:S94))</f>
        <v>7.303349977080037E-2</v>
      </c>
      <c r="V94" s="26"/>
      <c r="W94" s="9">
        <f t="array" ref="W94">SQRT(MMULT(MMULT(P94:S94,$K$3:$N$6),TRANSPOSE(P94:S94)))</f>
        <v>0.12685073326693122</v>
      </c>
    </row>
    <row r="95" spans="16:23" x14ac:dyDescent="0.3">
      <c r="P95" s="26">
        <v>0.36130308460509469</v>
      </c>
      <c r="Q95" s="26">
        <v>0.33366789452917783</v>
      </c>
      <c r="R95" s="26">
        <v>0.1217653456985982</v>
      </c>
      <c r="S95" s="26">
        <v>0.18326367516712927</v>
      </c>
      <c r="T95" s="26"/>
      <c r="U95" s="9">
        <f t="array" ref="U95">MMULT(TRANSPOSE($B$3:$B$6),TRANSPOSE(P95:S95))</f>
        <v>7.4372428980226529E-2</v>
      </c>
      <c r="V95" s="26"/>
      <c r="W95" s="9">
        <f t="array" ref="W95">SQRT(MMULT(MMULT(P95:S95,$K$3:$N$6),TRANSPOSE(P95:S95)))</f>
        <v>0.10429256607186438</v>
      </c>
    </row>
    <row r="96" spans="16:23" x14ac:dyDescent="0.3">
      <c r="P96" s="26">
        <v>0.40990520617033532</v>
      </c>
      <c r="Q96" s="26">
        <v>6.410285947531566E-2</v>
      </c>
      <c r="R96" s="26">
        <v>0.16005987073301803</v>
      </c>
      <c r="S96" s="26">
        <v>0.36593206362133102</v>
      </c>
      <c r="T96" s="26"/>
      <c r="U96" s="9">
        <f t="array" ref="U96">MMULT(TRANSPOSE($B$3:$B$6),TRANSPOSE(P96:S96))</f>
        <v>8.3299696472320217E-2</v>
      </c>
      <c r="V96" s="26"/>
      <c r="W96" s="9">
        <f t="array" ref="W96">SQRT(MMULT(MMULT(P96:S96,$K$3:$N$6),TRANSPOSE(P96:S96)))</f>
        <v>0.13757291797440177</v>
      </c>
    </row>
    <row r="97" spans="16:23" x14ac:dyDescent="0.3">
      <c r="P97" s="26">
        <v>0.40501814891404936</v>
      </c>
      <c r="Q97" s="26">
        <v>0.2910864699412809</v>
      </c>
      <c r="R97" s="26">
        <v>0.18795667737614474</v>
      </c>
      <c r="S97" s="26">
        <v>0.11593870376852496</v>
      </c>
      <c r="T97" s="26"/>
      <c r="U97" s="9">
        <f t="array" ref="U97">MMULT(TRANSPOSE($B$3:$B$6),TRANSPOSE(P97:S97))</f>
        <v>7.1455705757668159E-2</v>
      </c>
      <c r="V97" s="26"/>
      <c r="W97" s="9">
        <f t="array" ref="W97">SQRT(MMULT(MMULT(P97:S97,$K$3:$N$6),TRANSPOSE(P97:S97)))</f>
        <v>9.8270042135561647E-2</v>
      </c>
    </row>
    <row r="98" spans="16:23" x14ac:dyDescent="0.3">
      <c r="P98" s="26">
        <v>9.4357919035092816E-2</v>
      </c>
      <c r="Q98" s="26">
        <v>0.5986729567730672</v>
      </c>
      <c r="R98" s="26">
        <v>0.25530007983687802</v>
      </c>
      <c r="S98" s="26">
        <v>5.1669044354962022E-2</v>
      </c>
      <c r="T98" s="26"/>
      <c r="U98" s="9">
        <f t="array" ref="U98">MMULT(TRANSPOSE($B$3:$B$6),TRANSPOSE(P98:S98))</f>
        <v>7.5802295433783806E-2</v>
      </c>
      <c r="V98" s="26"/>
      <c r="W98" s="9">
        <f t="array" ref="W98">SQRT(MMULT(MMULT(P98:S98,$K$3:$N$6),TRANSPOSE(P98:S98)))</f>
        <v>0.12293605776874321</v>
      </c>
    </row>
    <row r="99" spans="16:23" x14ac:dyDescent="0.3">
      <c r="P99" s="26">
        <v>0.31471567637253506</v>
      </c>
      <c r="Q99" s="26">
        <v>6.0049935292875216E-2</v>
      </c>
      <c r="R99" s="26">
        <v>0.19249100754075965</v>
      </c>
      <c r="S99" s="26">
        <v>0.43274338079383007</v>
      </c>
      <c r="T99" s="26"/>
      <c r="U99" s="9">
        <f t="array" ref="U99">MMULT(TRANSPOSE($B$3:$B$6),TRANSPOSE(P99:S99))</f>
        <v>8.9192675663055998E-2</v>
      </c>
      <c r="V99" s="26"/>
      <c r="W99" s="9">
        <f t="array" ref="W99">SQRT(MMULT(MMULT(P99:S99,$K$3:$N$6),TRANSPOSE(P99:S99)))</f>
        <v>0.15688310082380155</v>
      </c>
    </row>
    <row r="100" spans="16:23" x14ac:dyDescent="0.3">
      <c r="P100" s="26">
        <v>0.31217767208889946</v>
      </c>
      <c r="Q100" s="26">
        <v>4.7265154093759313E-3</v>
      </c>
      <c r="R100" s="26">
        <v>0.59449169912059718</v>
      </c>
      <c r="S100" s="26">
        <v>8.86041133811276E-2</v>
      </c>
      <c r="T100" s="26"/>
      <c r="U100" s="9">
        <f t="array" ref="U100">MMULT(TRANSPOSE($B$3:$B$6),TRANSPOSE(P100:S100))</f>
        <v>8.0076486209690351E-2</v>
      </c>
      <c r="V100" s="26"/>
      <c r="W100" s="9">
        <f t="array" ref="W100">SQRT(MMULT(MMULT(P100:S100,$K$3:$N$6),TRANSPOSE(P100:S100)))</f>
        <v>0.13869148948013171</v>
      </c>
    </row>
    <row r="101" spans="16:23" x14ac:dyDescent="0.3">
      <c r="P101" s="26">
        <v>0.33250497831230952</v>
      </c>
      <c r="Q101" s="26">
        <v>8.2979349142073222E-2</v>
      </c>
      <c r="R101" s="26">
        <v>0.4035833142292844</v>
      </c>
      <c r="S101" s="26">
        <v>0.18093235831633292</v>
      </c>
      <c r="T101" s="26"/>
      <c r="U101" s="9">
        <f t="array" ref="U101">MMULT(TRANSPOSE($B$3:$B$6),TRANSPOSE(P101:S101))</f>
        <v>8.0468184634156142E-2</v>
      </c>
      <c r="V101" s="26"/>
      <c r="W101" s="9">
        <f t="array" ref="W101">SQRT(MMULT(MMULT(P101:S101,$K$3:$N$6),TRANSPOSE(P101:S101)))</f>
        <v>0.12588779894171287</v>
      </c>
    </row>
    <row r="102" spans="16:23" x14ac:dyDescent="0.3">
      <c r="P102" s="26">
        <v>0.16754906847777626</v>
      </c>
      <c r="Q102" s="26">
        <v>0.19457527607782654</v>
      </c>
      <c r="R102" s="26">
        <v>0.28173929553619076</v>
      </c>
      <c r="S102" s="26">
        <v>0.35613635990820652</v>
      </c>
      <c r="T102" s="26"/>
      <c r="U102" s="9">
        <f t="array" ref="U102">MMULT(TRANSPOSE($B$3:$B$6),TRANSPOSE(P102:S102))</f>
        <v>9.0090622536578624E-2</v>
      </c>
      <c r="V102" s="26"/>
      <c r="W102" s="9">
        <f t="array" ref="W102">SQRT(MMULT(MMULT(P102:S102,$K$3:$N$6),TRANSPOSE(P102:S102)))</f>
        <v>0.15070726094677783</v>
      </c>
    </row>
    <row r="103" spans="16:23" x14ac:dyDescent="0.3">
      <c r="P103" s="26">
        <v>0.16456832857058085</v>
      </c>
      <c r="Q103" s="26">
        <v>0.30403892666768079</v>
      </c>
      <c r="R103" s="26">
        <v>0.33891337217917633</v>
      </c>
      <c r="S103" s="26">
        <v>0.19247937258256206</v>
      </c>
      <c r="T103" s="26"/>
      <c r="U103" s="9">
        <f t="array" ref="U103">MMULT(TRANSPOSE($B$3:$B$6),TRANSPOSE(P103:S103))</f>
        <v>8.3110869501300005E-2</v>
      </c>
      <c r="V103" s="26"/>
      <c r="W103" s="9">
        <f t="array" ref="W103">SQRT(MMULT(MMULT(P103:S103,$K$3:$N$6),TRANSPOSE(P103:S103)))</f>
        <v>0.12810379310334039</v>
      </c>
    </row>
    <row r="104" spans="16:23" x14ac:dyDescent="0.3">
      <c r="P104" s="26">
        <v>6.3472048270909645E-2</v>
      </c>
      <c r="Q104" s="26">
        <v>5.4656929778591642E-2</v>
      </c>
      <c r="R104" s="26">
        <v>0.30643102326509364</v>
      </c>
      <c r="S104" s="26">
        <v>0.57543999868540496</v>
      </c>
      <c r="T104" s="26"/>
      <c r="U104" s="9">
        <f t="array" ref="U104">MMULT(TRANSPOSE($B$3:$B$6),TRANSPOSE(P104:S104))</f>
        <v>0.10363117943415391</v>
      </c>
      <c r="V104" s="26"/>
      <c r="W104" s="9">
        <f t="array" ref="W104">SQRT(MMULT(MMULT(P104:S104,$K$3:$N$6),TRANSPOSE(P104:S104)))</f>
        <v>0.20717626590589036</v>
      </c>
    </row>
    <row r="105" spans="16:23" x14ac:dyDescent="0.3">
      <c r="P105" s="26">
        <v>0.3409385291484785</v>
      </c>
      <c r="Q105" s="26">
        <v>0.26873038657637616</v>
      </c>
      <c r="R105" s="26">
        <v>4.922673449177082E-2</v>
      </c>
      <c r="S105" s="26">
        <v>0.34110434978337456</v>
      </c>
      <c r="T105" s="26"/>
      <c r="U105" s="9">
        <f t="array" ref="U105">MMULT(TRANSPOSE($B$3:$B$6),TRANSPOSE(P105:S105))</f>
        <v>8.122098159603458E-2</v>
      </c>
      <c r="V105" s="26"/>
      <c r="W105" s="9">
        <f t="array" ref="W105">SQRT(MMULT(MMULT(P105:S105,$K$3:$N$6),TRANSPOSE(P105:S105)))</f>
        <v>0.12724273653370194</v>
      </c>
    </row>
    <row r="106" spans="16:23" x14ac:dyDescent="0.3">
      <c r="P106" s="26">
        <v>0.17604133306362346</v>
      </c>
      <c r="Q106" s="26">
        <v>0.31619195893094021</v>
      </c>
      <c r="R106" s="26">
        <v>0.38827008004321539</v>
      </c>
      <c r="S106" s="26">
        <v>0.11949662796222094</v>
      </c>
      <c r="T106" s="26"/>
      <c r="U106" s="9">
        <f t="array" ref="U106">MMULT(TRANSPOSE($B$3:$B$6),TRANSPOSE(P106:S106))</f>
        <v>8.0219406337702887E-2</v>
      </c>
      <c r="V106" s="26"/>
      <c r="W106" s="9">
        <f t="array" ref="W106">SQRT(MMULT(MMULT(P106:S106,$K$3:$N$6),TRANSPOSE(P106:S106)))</f>
        <v>0.12378253364741149</v>
      </c>
    </row>
    <row r="107" spans="16:23" x14ac:dyDescent="0.3">
      <c r="P107" s="26">
        <v>0.4650651116774881</v>
      </c>
      <c r="Q107" s="26">
        <v>0.32138118662474902</v>
      </c>
      <c r="R107" s="26">
        <v>0.20676435836603135</v>
      </c>
      <c r="S107" s="26">
        <v>6.7893433317313288E-3</v>
      </c>
      <c r="T107" s="26"/>
      <c r="U107" s="9">
        <f t="array" ref="U107">MMULT(TRANSPOSE($B$3:$B$6),TRANSPOSE(P107:S107))</f>
        <v>6.5173452100357424E-2</v>
      </c>
      <c r="V107" s="26"/>
      <c r="W107" s="9">
        <f t="array" ref="W107">SQRT(MMULT(MMULT(P107:S107,$K$3:$N$6),TRANSPOSE(P107:S107)))</f>
        <v>9.3675003123913969E-2</v>
      </c>
    </row>
    <row r="108" spans="16:23" x14ac:dyDescent="0.3">
      <c r="P108" s="26">
        <v>0.30044028487180968</v>
      </c>
      <c r="Q108" s="26">
        <v>4.419348689349694E-2</v>
      </c>
      <c r="R108" s="26">
        <v>0.3744360956250436</v>
      </c>
      <c r="S108" s="26">
        <v>0.28093013260964972</v>
      </c>
      <c r="T108" s="26"/>
      <c r="U108" s="9">
        <f t="array" ref="U108">MMULT(TRANSPOSE($B$3:$B$6),TRANSPOSE(P108:S108))</f>
        <v>8.5526422845547165E-2</v>
      </c>
      <c r="V108" s="26"/>
      <c r="W108" s="9">
        <f t="array" ref="W108">SQRT(MMULT(MMULT(P108:S108,$K$3:$N$6),TRANSPOSE(P108:S108)))</f>
        <v>0.14106462711625523</v>
      </c>
    </row>
    <row r="109" spans="16:23" x14ac:dyDescent="0.3">
      <c r="P109" s="26">
        <v>0.38312801441388383</v>
      </c>
      <c r="Q109" s="26">
        <v>8.8822053530213552E-2</v>
      </c>
      <c r="R109" s="26">
        <v>0.51292847139354192</v>
      </c>
      <c r="S109" s="26">
        <v>1.5121460662360761E-2</v>
      </c>
      <c r="T109" s="26"/>
      <c r="U109" s="9">
        <f t="array" ref="U109">MMULT(TRANSPOSE($B$3:$B$6),TRANSPOSE(P109:S109))</f>
        <v>7.3352082172711205E-2</v>
      </c>
      <c r="V109" s="26"/>
      <c r="W109" s="9">
        <f t="array" ref="W109">SQRT(MMULT(MMULT(P109:S109,$K$3:$N$6),TRANSPOSE(P109:S109)))</f>
        <v>0.1200077974678028</v>
      </c>
    </row>
    <row r="110" spans="16:23" x14ac:dyDescent="0.3">
      <c r="P110" s="26">
        <v>0.35466305486869593</v>
      </c>
      <c r="Q110" s="26">
        <v>5.8818204062050607E-2</v>
      </c>
      <c r="R110" s="26">
        <v>0.30226299712161342</v>
      </c>
      <c r="S110" s="26">
        <v>0.28425574394763997</v>
      </c>
      <c r="T110" s="26"/>
      <c r="U110" s="9">
        <f t="array" ref="U110">MMULT(TRANSPOSE($B$3:$B$6),TRANSPOSE(P110:S110))</f>
        <v>8.3164786042440347E-2</v>
      </c>
      <c r="V110" s="26"/>
      <c r="W110" s="9">
        <f t="array" ref="W110">SQRT(MMULT(MMULT(P110:S110,$K$3:$N$6),TRANSPOSE(P110:S110)))</f>
        <v>0.13309169486362205</v>
      </c>
    </row>
    <row r="111" spans="16:23" x14ac:dyDescent="0.3">
      <c r="P111" s="26">
        <v>0.36351799723837946</v>
      </c>
      <c r="Q111" s="26">
        <v>0.40383772036314358</v>
      </c>
      <c r="R111" s="26">
        <v>0.2228339313103882</v>
      </c>
      <c r="S111" s="26">
        <v>9.8103510880888714E-3</v>
      </c>
      <c r="T111" s="26"/>
      <c r="U111" s="9">
        <f t="array" ref="U111">MMULT(TRANSPOSE($B$3:$B$6),TRANSPOSE(P111:S111))</f>
        <v>6.7676836235844626E-2</v>
      </c>
      <c r="V111" s="26"/>
      <c r="W111" s="9">
        <f t="array" ref="W111">SQRT(MMULT(MMULT(P111:S111,$K$3:$N$6),TRANSPOSE(P111:S111)))</f>
        <v>9.9808007284205122E-2</v>
      </c>
    </row>
    <row r="112" spans="16:23" x14ac:dyDescent="0.3">
      <c r="P112" s="26">
        <v>0.17258847467912364</v>
      </c>
      <c r="Q112" s="26">
        <v>0.38947236394406715</v>
      </c>
      <c r="R112" s="26">
        <v>5.0223988815577512E-2</v>
      </c>
      <c r="S112" s="26">
        <v>0.38771517256123156</v>
      </c>
      <c r="T112" s="26"/>
      <c r="U112" s="9">
        <f t="array" ref="U112">MMULT(TRANSPOSE($B$3:$B$6),TRANSPOSE(P112:S112))</f>
        <v>8.6938468910790656E-2</v>
      </c>
      <c r="V112" s="26"/>
      <c r="W112" s="9">
        <f t="array" ref="W112">SQRT(MMULT(MMULT(P112:S112,$K$3:$N$6),TRANSPOSE(P112:S112)))</f>
        <v>0.14361540617657861</v>
      </c>
    </row>
    <row r="113" spans="16:23" x14ac:dyDescent="0.3">
      <c r="P113" s="26">
        <v>0.22254594302813063</v>
      </c>
      <c r="Q113" s="26">
        <v>0.36536355572428536</v>
      </c>
      <c r="R113" s="26">
        <v>0.290634174338471</v>
      </c>
      <c r="S113" s="26">
        <v>0.12145632690911293</v>
      </c>
      <c r="T113" s="26"/>
      <c r="U113" s="9">
        <f t="array" ref="U113">MMULT(TRANSPOSE($B$3:$B$6),TRANSPOSE(P113:S113))</f>
        <v>7.7434580971662448E-2</v>
      </c>
      <c r="V113" s="26"/>
      <c r="W113" s="9">
        <f t="array" ref="W113">SQRT(MMULT(MMULT(P113:S113,$K$3:$N$6),TRANSPOSE(P113:S113)))</f>
        <v>0.11418391815366249</v>
      </c>
    </row>
    <row r="114" spans="16:23" x14ac:dyDescent="0.3">
      <c r="P114" s="26">
        <v>2.5167705315589792E-2</v>
      </c>
      <c r="Q114" s="26">
        <v>0.43164830274902083</v>
      </c>
      <c r="R114" s="26">
        <v>0.2319500154992829</v>
      </c>
      <c r="S114" s="26">
        <v>0.31123397643610656</v>
      </c>
      <c r="T114" s="26"/>
      <c r="U114" s="9">
        <f t="array" ref="U114">MMULT(TRANSPOSE($B$3:$B$6),TRANSPOSE(P114:S114))</f>
        <v>8.9697345025479214E-2</v>
      </c>
      <c r="V114" s="26"/>
      <c r="W114" s="9">
        <f t="array" ref="W114">SQRT(MMULT(MMULT(P114:S114,$K$3:$N$6),TRANSPOSE(P114:S114)))</f>
        <v>0.14716323893965788</v>
      </c>
    </row>
    <row r="115" spans="16:23" x14ac:dyDescent="0.3">
      <c r="P115" s="26">
        <v>0.24379643227592485</v>
      </c>
      <c r="Q115" s="26">
        <v>0.42153898935952577</v>
      </c>
      <c r="R115" s="26">
        <v>0.32565620650549904</v>
      </c>
      <c r="S115" s="26">
        <v>9.008371859050299E-3</v>
      </c>
      <c r="T115" s="26"/>
      <c r="U115" s="9">
        <f t="array" ref="U115">MMULT(TRANSPOSE($B$3:$B$6),TRANSPOSE(P115:S115))</f>
        <v>7.2087614077544007E-2</v>
      </c>
      <c r="V115" s="26"/>
      <c r="W115" s="9">
        <f t="array" ref="W115">SQRT(MMULT(MMULT(P115:S115,$K$3:$N$6),TRANSPOSE(P115:S115)))</f>
        <v>0.11148383035473619</v>
      </c>
    </row>
    <row r="116" spans="16:23" x14ac:dyDescent="0.3">
      <c r="P116" s="26">
        <v>0.1058321138362093</v>
      </c>
      <c r="Q116" s="26">
        <v>0.1632030691732784</v>
      </c>
      <c r="R116" s="26">
        <v>0.45239416605003058</v>
      </c>
      <c r="S116" s="26">
        <v>0.27857065094048167</v>
      </c>
      <c r="T116" s="26"/>
      <c r="U116" s="9">
        <f t="array" ref="U116">MMULT(TRANSPOSE($B$3:$B$6),TRANSPOSE(P116:S116))</f>
        <v>9.0859773591300499E-2</v>
      </c>
      <c r="V116" s="26"/>
      <c r="W116" s="9">
        <f t="array" ref="W116">SQRT(MMULT(MMULT(P116:S116,$K$3:$N$6),TRANSPOSE(P116:S116)))</f>
        <v>0.15508945882015215</v>
      </c>
    </row>
    <row r="117" spans="16:23" x14ac:dyDescent="0.3">
      <c r="P117" s="26">
        <v>9.2910937459534756E-2</v>
      </c>
      <c r="Q117" s="26">
        <v>0.57109132446194255</v>
      </c>
      <c r="R117" s="26">
        <v>0.13550187074326442</v>
      </c>
      <c r="S117" s="26">
        <v>0.20049586733525845</v>
      </c>
      <c r="T117" s="26"/>
      <c r="U117" s="9">
        <f t="array" ref="U117">MMULT(TRANSPOSE($B$3:$B$6),TRANSPOSE(P117:S117))</f>
        <v>8.0876612032437539E-2</v>
      </c>
      <c r="V117" s="26"/>
      <c r="W117" s="9">
        <f t="array" ref="W117">SQRT(MMULT(MMULT(P117:S117,$K$3:$N$6),TRANSPOSE(P117:S117)))</f>
        <v>0.12621002914686164</v>
      </c>
    </row>
    <row r="118" spans="16:23" x14ac:dyDescent="0.3">
      <c r="P118" s="26">
        <v>0.2757670734888048</v>
      </c>
      <c r="Q118" s="26">
        <v>0.27279160394167568</v>
      </c>
      <c r="R118" s="26">
        <v>0.17086023292341634</v>
      </c>
      <c r="S118" s="26">
        <v>0.28058108964610318</v>
      </c>
      <c r="T118" s="26"/>
      <c r="U118" s="9">
        <f t="array" ref="U118">MMULT(TRANSPOSE($B$3:$B$6),TRANSPOSE(P118:S118))</f>
        <v>8.1930917670997389E-2</v>
      </c>
      <c r="V118" s="26"/>
      <c r="W118" s="9">
        <f t="array" ref="W118">SQRT(MMULT(MMULT(P118:S118,$K$3:$N$6),TRANSPOSE(P118:S118)))</f>
        <v>0.12405150706012343</v>
      </c>
    </row>
    <row r="119" spans="16:23" x14ac:dyDescent="0.3">
      <c r="P119" s="26">
        <v>0.27821485527426731</v>
      </c>
      <c r="Q119" s="26">
        <v>0.2103341798496953</v>
      </c>
      <c r="R119" s="26">
        <v>0.1320704471526104</v>
      </c>
      <c r="S119" s="26">
        <v>0.37938051772342707</v>
      </c>
      <c r="T119" s="26"/>
      <c r="U119" s="9">
        <f t="array" ref="U119">MMULT(TRANSPOSE($B$3:$B$6),TRANSPOSE(P119:S119))</f>
        <v>8.6046137723738217E-2</v>
      </c>
      <c r="V119" s="26"/>
      <c r="W119" s="9">
        <f t="array" ref="W119">SQRT(MMULT(MMULT(P119:S119,$K$3:$N$6),TRANSPOSE(P119:S119)))</f>
        <v>0.14092115769766411</v>
      </c>
    </row>
    <row r="120" spans="16:23" x14ac:dyDescent="0.3">
      <c r="P120" s="26">
        <v>2.7495382792008839E-2</v>
      </c>
      <c r="Q120" s="26">
        <v>0.15673427403595785</v>
      </c>
      <c r="R120" s="26">
        <v>0.49050195202373809</v>
      </c>
      <c r="S120" s="26">
        <v>0.3252683911482952</v>
      </c>
      <c r="T120" s="26"/>
      <c r="U120" s="9">
        <f t="array" ref="U120">MMULT(TRANSPOSE($B$3:$B$6),TRANSPOSE(P120:S120))</f>
        <v>9.552355094204934E-2</v>
      </c>
      <c r="V120" s="26"/>
      <c r="W120" s="9">
        <f t="array" ref="W120">SQRT(MMULT(MMULT(P120:S120,$K$3:$N$6),TRANSPOSE(P120:S120)))</f>
        <v>0.17121142485486443</v>
      </c>
    </row>
    <row r="121" spans="16:23" x14ac:dyDescent="0.3">
      <c r="P121" s="26">
        <v>0.26325185048395749</v>
      </c>
      <c r="Q121" s="26">
        <v>0.33979681263272188</v>
      </c>
      <c r="R121" s="26">
        <v>0.19857980762393521</v>
      </c>
      <c r="S121" s="26">
        <v>0.1983715292593855</v>
      </c>
      <c r="T121" s="26"/>
      <c r="U121" s="9">
        <f t="array" ref="U121">MMULT(TRANSPOSE($B$3:$B$6),TRANSPOSE(P121:S121))</f>
        <v>7.8625135605768837E-2</v>
      </c>
      <c r="V121" s="26"/>
      <c r="W121" s="9">
        <f t="array" ref="W121">SQRT(MMULT(MMULT(P121:S121,$K$3:$N$6),TRANSPOSE(P121:S121)))</f>
        <v>0.11412468105553153</v>
      </c>
    </row>
    <row r="122" spans="16:23" x14ac:dyDescent="0.3">
      <c r="P122" s="26">
        <v>0.38017998397827718</v>
      </c>
      <c r="Q122" s="26">
        <v>1.3572347461375485E-2</v>
      </c>
      <c r="R122" s="26">
        <v>0.4123506650969963</v>
      </c>
      <c r="S122" s="26">
        <v>0.19389700346335106</v>
      </c>
      <c r="T122" s="26"/>
      <c r="U122" s="9">
        <f t="array" ref="U122">MMULT(TRANSPOSE($B$3:$B$6),TRANSPOSE(P122:S122))</f>
        <v>8.0338263795541931E-2</v>
      </c>
      <c r="V122" s="26"/>
      <c r="W122" s="9">
        <f t="array" ref="W122">SQRT(MMULT(MMULT(P122:S122,$K$3:$N$6),TRANSPOSE(P122:S122)))</f>
        <v>0.1283582897666572</v>
      </c>
    </row>
    <row r="123" spans="16:23" x14ac:dyDescent="0.3">
      <c r="P123" s="26">
        <v>0.36898116605452191</v>
      </c>
      <c r="Q123" s="26">
        <v>0.34094707076690084</v>
      </c>
      <c r="R123" s="26">
        <v>0.1339854452505502</v>
      </c>
      <c r="S123" s="26">
        <v>0.15608631792802702</v>
      </c>
      <c r="T123" s="26"/>
      <c r="U123" s="9">
        <f t="array" ref="U123">MMULT(TRANSPOSE($B$3:$B$6),TRANSPOSE(P123:S123))</f>
        <v>7.3104401480321921E-2</v>
      </c>
      <c r="V123" s="26"/>
      <c r="W123" s="9">
        <f t="array" ref="W123">SQRT(MMULT(MMULT(P123:S123,$K$3:$N$6),TRANSPOSE(P123:S123)))</f>
        <v>0.10157828013468288</v>
      </c>
    </row>
    <row r="124" spans="16:23" x14ac:dyDescent="0.3">
      <c r="P124" s="26">
        <v>0.33362407642729958</v>
      </c>
      <c r="Q124" s="26">
        <v>0.29339503637073056</v>
      </c>
      <c r="R124" s="26">
        <v>0.28302711720848861</v>
      </c>
      <c r="S124" s="26">
        <v>8.9953769993481217E-2</v>
      </c>
      <c r="T124" s="26"/>
      <c r="U124" s="9">
        <f t="array" ref="U124">MMULT(TRANSPOSE($B$3:$B$6),TRANSPOSE(P124:S124))</f>
        <v>7.3485749315297832E-2</v>
      </c>
      <c r="V124" s="26"/>
      <c r="W124" s="9">
        <f t="array" ref="W124">SQRT(MMULT(MMULT(P124:S124,$K$3:$N$6),TRANSPOSE(P124:S124)))</f>
        <v>0.10484081899801664</v>
      </c>
    </row>
    <row r="125" spans="16:23" x14ac:dyDescent="0.3">
      <c r="P125" s="26">
        <v>4.0746396412335115E-2</v>
      </c>
      <c r="Q125" s="26">
        <v>0.49100473113933774</v>
      </c>
      <c r="R125" s="26">
        <v>0.18087017412877832</v>
      </c>
      <c r="S125" s="26">
        <v>0.28737869831954888</v>
      </c>
      <c r="T125" s="26"/>
      <c r="U125" s="9">
        <f t="array" ref="U125">MMULT(TRANSPOSE($B$3:$B$6),TRANSPOSE(P125:S125))</f>
        <v>8.7171410470306326E-2</v>
      </c>
      <c r="V125" s="26"/>
      <c r="W125" s="9">
        <f t="array" ref="W125">SQRT(MMULT(MMULT(P125:S125,$K$3:$N$6),TRANSPOSE(P125:S125)))</f>
        <v>0.14046517428997565</v>
      </c>
    </row>
    <row r="126" spans="16:23" x14ac:dyDescent="0.3">
      <c r="P126" s="26">
        <v>0.30907226426775036</v>
      </c>
      <c r="Q126" s="26">
        <v>0.20424896505725909</v>
      </c>
      <c r="R126" s="26">
        <v>0.36774674412431663</v>
      </c>
      <c r="S126" s="26">
        <v>0.11893202655067393</v>
      </c>
      <c r="T126" s="26"/>
      <c r="U126" s="9">
        <f t="array" ref="U126">MMULT(TRANSPOSE($B$3:$B$6),TRANSPOSE(P126:S126))</f>
        <v>7.7120090924665013E-2</v>
      </c>
      <c r="V126" s="26"/>
      <c r="W126" s="9">
        <f t="array" ref="W126">SQRT(MMULT(MMULT(P126:S126,$K$3:$N$6),TRANSPOSE(P126:S126)))</f>
        <v>0.11484832238446692</v>
      </c>
    </row>
    <row r="127" spans="16:23" x14ac:dyDescent="0.3">
      <c r="P127" s="26">
        <v>0.3214202974449365</v>
      </c>
      <c r="Q127" s="26">
        <v>3.3818887536828046E-2</v>
      </c>
      <c r="R127" s="26">
        <v>0.23756780819261344</v>
      </c>
      <c r="S127" s="26">
        <v>0.40719300682562193</v>
      </c>
      <c r="T127" s="26"/>
      <c r="U127" s="9">
        <f t="array" ref="U127">MMULT(TRANSPOSE($B$3:$B$6),TRANSPOSE(P127:S127))</f>
        <v>8.8682600556234628E-2</v>
      </c>
      <c r="V127" s="26"/>
      <c r="W127" s="9">
        <f t="array" ref="W127">SQRT(MMULT(MMULT(P127:S127,$K$3:$N$6),TRANSPOSE(P127:S127)))</f>
        <v>0.15464188455673628</v>
      </c>
    </row>
    <row r="128" spans="16:23" x14ac:dyDescent="0.3">
      <c r="P128" s="26">
        <v>0.51222509130521676</v>
      </c>
      <c r="Q128" s="26">
        <v>0.3887151256623439</v>
      </c>
      <c r="R128" s="26">
        <v>1.2767749956096849E-2</v>
      </c>
      <c r="S128" s="26">
        <v>8.629203307634252E-2</v>
      </c>
      <c r="T128" s="26"/>
      <c r="U128" s="9">
        <f t="array" ref="U128">MMULT(TRANSPOSE($B$3:$B$6),TRANSPOSE(P128:S128))</f>
        <v>6.432545482683473E-2</v>
      </c>
      <c r="V128" s="26"/>
      <c r="W128" s="9">
        <f t="array" ref="W128">SQRT(MMULT(MMULT(P128:S128,$K$3:$N$6),TRANSPOSE(P128:S128)))</f>
        <v>9.2182960787818402E-2</v>
      </c>
    </row>
    <row r="129" spans="16:23" x14ac:dyDescent="0.3">
      <c r="P129" s="26">
        <v>8.7210482701604156E-2</v>
      </c>
      <c r="Q129" s="26">
        <v>0.536640046724145</v>
      </c>
      <c r="R129" s="26">
        <v>0.300717459447707</v>
      </c>
      <c r="S129" s="26">
        <v>7.5432011126543935E-2</v>
      </c>
      <c r="T129" s="26"/>
      <c r="U129" s="9">
        <f t="array" ref="U129">MMULT(TRANSPOSE($B$3:$B$6),TRANSPOSE(P129:S129))</f>
        <v>7.8041740091249256E-2</v>
      </c>
      <c r="V129" s="26"/>
      <c r="W129" s="9">
        <f t="array" ref="W129">SQRT(MMULT(MMULT(P129:S129,$K$3:$N$6),TRANSPOSE(P129:S129)))</f>
        <v>0.12429146496100682</v>
      </c>
    </row>
    <row r="130" spans="16:23" x14ac:dyDescent="0.3">
      <c r="P130" s="26">
        <v>0.73748426469721551</v>
      </c>
      <c r="Q130" s="26">
        <v>0.17505446027935176</v>
      </c>
      <c r="R130" s="26">
        <v>5.785653816117714E-2</v>
      </c>
      <c r="S130" s="26">
        <v>2.9604736862255798E-2</v>
      </c>
      <c r="T130" s="26"/>
      <c r="U130" s="9">
        <f t="array" ref="U130">MMULT(TRANSPOSE($B$3:$B$6),TRANSPOSE(P130:S130))</f>
        <v>5.7887682312392039E-2</v>
      </c>
      <c r="V130" s="26"/>
      <c r="W130" s="9">
        <f t="array" ref="W130">SQRT(MMULT(MMULT(P130:S130,$K$3:$N$6),TRANSPOSE(P130:S130)))</f>
        <v>8.7538739100436039E-2</v>
      </c>
    </row>
    <row r="131" spans="16:23" x14ac:dyDescent="0.3">
      <c r="P131" s="26">
        <v>0.27428390860878127</v>
      </c>
      <c r="Q131" s="26">
        <v>7.4406921018064023E-2</v>
      </c>
      <c r="R131" s="26">
        <v>0.3498757636090209</v>
      </c>
      <c r="S131" s="26">
        <v>0.30143340676413388</v>
      </c>
      <c r="T131" s="26"/>
      <c r="U131" s="9">
        <f t="array" ref="U131">MMULT(TRANSPOSE($B$3:$B$6),TRANSPOSE(P131:S131))</f>
        <v>8.6583507438211485E-2</v>
      </c>
      <c r="V131" s="26"/>
      <c r="W131" s="9">
        <f t="array" ref="W131">SQRT(MMULT(MMULT(P131:S131,$K$3:$N$6),TRANSPOSE(P131:S131)))</f>
        <v>0.14296182585077699</v>
      </c>
    </row>
    <row r="132" spans="16:23" x14ac:dyDescent="0.3">
      <c r="P132" s="26">
        <v>0.34126976147860089</v>
      </c>
      <c r="Q132" s="26">
        <v>0.10489780473714612</v>
      </c>
      <c r="R132" s="26">
        <v>0.3256374305340976</v>
      </c>
      <c r="S132" s="26">
        <v>0.22819500325015529</v>
      </c>
      <c r="T132" s="26"/>
      <c r="U132" s="9">
        <f t="array" ref="U132">MMULT(TRANSPOSE($B$3:$B$6),TRANSPOSE(P132:S132))</f>
        <v>8.1097103543617696E-2</v>
      </c>
      <c r="V132" s="26"/>
      <c r="W132" s="9">
        <f t="array" ref="W132">SQRT(MMULT(MMULT(P132:S132,$K$3:$N$6),TRANSPOSE(P132:S132)))</f>
        <v>0.12502175824357037</v>
      </c>
    </row>
    <row r="133" spans="16:23" x14ac:dyDescent="0.3">
      <c r="P133" s="26">
        <v>0.35328996028648435</v>
      </c>
      <c r="Q133" s="26">
        <v>0.10705570615628056</v>
      </c>
      <c r="R133" s="26">
        <v>0.20418003853351957</v>
      </c>
      <c r="S133" s="26">
        <v>0.33547429502371562</v>
      </c>
      <c r="T133" s="26"/>
      <c r="U133" s="9">
        <f t="array" ref="U133">MMULT(TRANSPOSE($B$3:$B$6),TRANSPOSE(P133:S133))</f>
        <v>8.3791516316126496E-2</v>
      </c>
      <c r="V133" s="26"/>
      <c r="W133" s="9">
        <f t="array" ref="W133">SQRT(MMULT(MMULT(P133:S133,$K$3:$N$6),TRANSPOSE(P133:S133)))</f>
        <v>0.13482594604410583</v>
      </c>
    </row>
    <row r="134" spans="16:23" x14ac:dyDescent="0.3">
      <c r="P134" s="26">
        <v>0.50965387664689288</v>
      </c>
      <c r="Q134" s="26">
        <v>0.22563615503007306</v>
      </c>
      <c r="R134" s="26">
        <v>0.13224171248854746</v>
      </c>
      <c r="S134" s="26">
        <v>0.13246825583448649</v>
      </c>
      <c r="T134" s="26"/>
      <c r="U134" s="9">
        <f t="array" ref="U134">MMULT(TRANSPOSE($B$3:$B$6),TRANSPOSE(P134:S134))</f>
        <v>6.907516950855741E-2</v>
      </c>
      <c r="V134" s="26"/>
      <c r="W134" s="9">
        <f t="array" ref="W134">SQRT(MMULT(MMULT(P134:S134,$K$3:$N$6),TRANSPOSE(P134:S134)))</f>
        <v>9.3972689182077615E-2</v>
      </c>
    </row>
    <row r="135" spans="16:23" x14ac:dyDescent="0.3">
      <c r="P135" s="26">
        <v>0.31027658472445718</v>
      </c>
      <c r="Q135" s="26">
        <v>0.35616251418322037</v>
      </c>
      <c r="R135" s="26">
        <v>0.20873653858141769</v>
      </c>
      <c r="S135" s="26">
        <v>0.12482436251090491</v>
      </c>
      <c r="T135" s="26"/>
      <c r="U135" s="9">
        <f t="array" ref="U135">MMULT(TRANSPOSE($B$3:$B$6),TRANSPOSE(P135:S135))</f>
        <v>7.4210417202684467E-2</v>
      </c>
      <c r="V135" s="26"/>
      <c r="W135" s="9">
        <f t="array" ref="W135">SQRT(MMULT(MMULT(P135:S135,$K$3:$N$6),TRANSPOSE(P135:S135)))</f>
        <v>0.10482986088110781</v>
      </c>
    </row>
    <row r="136" spans="16:23" x14ac:dyDescent="0.3">
      <c r="P136" s="26">
        <v>0.23351914240282728</v>
      </c>
      <c r="Q136" s="26">
        <v>0.13135856227868606</v>
      </c>
      <c r="R136" s="26">
        <v>0.3247094515263203</v>
      </c>
      <c r="S136" s="26">
        <v>0.31041284379216627</v>
      </c>
      <c r="T136" s="26"/>
      <c r="U136" s="9">
        <f t="array" ref="U136">MMULT(TRANSPOSE($B$3:$B$6),TRANSPOSE(P136:S136))</f>
        <v>8.7344448372078165E-2</v>
      </c>
      <c r="V136" s="26"/>
      <c r="W136" s="9">
        <f t="array" ref="W136">SQRT(MMULT(MMULT(P136:S136,$K$3:$N$6),TRANSPOSE(P136:S136)))</f>
        <v>0.14318071242752015</v>
      </c>
    </row>
    <row r="137" spans="16:23" x14ac:dyDescent="0.3">
      <c r="P137" s="26">
        <v>0.15710645484774668</v>
      </c>
      <c r="Q137" s="26">
        <v>0.27750427892816659</v>
      </c>
      <c r="R137" s="26">
        <v>0.25567790604849239</v>
      </c>
      <c r="S137" s="26">
        <v>0.30971136017559431</v>
      </c>
      <c r="T137" s="26"/>
      <c r="U137" s="9">
        <f t="array" ref="U137">MMULT(TRANSPOSE($B$3:$B$6),TRANSPOSE(P137:S137))</f>
        <v>8.7456997032794637E-2</v>
      </c>
      <c r="V137" s="26"/>
      <c r="W137" s="9">
        <f t="array" ref="W137">SQRT(MMULT(MMULT(P137:S137,$K$3:$N$6),TRANSPOSE(P137:S137)))</f>
        <v>0.1401680888157934</v>
      </c>
    </row>
    <row r="138" spans="16:23" x14ac:dyDescent="0.3">
      <c r="P138" s="26">
        <v>6.8603271662654758E-2</v>
      </c>
      <c r="Q138" s="26">
        <v>6.2440663980215779E-3</v>
      </c>
      <c r="R138" s="26">
        <v>0.56581516992282599</v>
      </c>
      <c r="S138" s="26">
        <v>0.35933749201649762</v>
      </c>
      <c r="T138" s="26"/>
      <c r="U138" s="9">
        <f t="array" ref="U138">MMULT(TRANSPOSE($B$3:$B$6),TRANSPOSE(P138:S138))</f>
        <v>9.7911112566028302E-2</v>
      </c>
      <c r="V138" s="26"/>
      <c r="W138" s="9">
        <f t="array" ref="W138">SQRT(MMULT(MMULT(P138:S138,$K$3:$N$6),TRANSPOSE(P138:S138)))</f>
        <v>0.18587575242461304</v>
      </c>
    </row>
    <row r="139" spans="16:23" x14ac:dyDescent="0.3">
      <c r="P139" s="26">
        <v>0.15948320751849912</v>
      </c>
      <c r="Q139" s="26">
        <v>0.10554862708068788</v>
      </c>
      <c r="R139" s="26">
        <v>0.35554629712720753</v>
      </c>
      <c r="S139" s="26">
        <v>0.37942186827360547</v>
      </c>
      <c r="T139" s="26"/>
      <c r="U139" s="9">
        <f t="array" ref="U139">MMULT(TRANSPOSE($B$3:$B$6),TRANSPOSE(P139:S139))</f>
        <v>9.2892355205854427E-2</v>
      </c>
      <c r="V139" s="26"/>
      <c r="W139" s="9">
        <f t="array" ref="W139">SQRT(MMULT(MMULT(P139:S139,$K$3:$N$6),TRANSPOSE(P139:S139)))</f>
        <v>0.16290669138535124</v>
      </c>
    </row>
    <row r="140" spans="16:23" x14ac:dyDescent="0.3">
      <c r="P140" s="26">
        <v>0.26161252459726753</v>
      </c>
      <c r="Q140" s="26">
        <v>0.10461350671451</v>
      </c>
      <c r="R140" s="26">
        <v>0.4002381902971533</v>
      </c>
      <c r="S140" s="26">
        <v>0.23353577839106926</v>
      </c>
      <c r="T140" s="26"/>
      <c r="U140" s="9">
        <f t="array" ref="U140">MMULT(TRANSPOSE($B$3:$B$6),TRANSPOSE(P140:S140))</f>
        <v>8.4449302233551182E-2</v>
      </c>
      <c r="V140" s="26"/>
      <c r="W140" s="9">
        <f t="array" ref="W140">SQRT(MMULT(MMULT(P140:S140,$K$3:$N$6),TRANSPOSE(P140:S140)))</f>
        <v>0.13591618539273859</v>
      </c>
    </row>
    <row r="141" spans="16:23" x14ac:dyDescent="0.3">
      <c r="P141" s="26">
        <v>2.4822533463951559E-2</v>
      </c>
      <c r="Q141" s="26">
        <v>0.38278950686195523</v>
      </c>
      <c r="R141" s="26">
        <v>0.37021588878452361</v>
      </c>
      <c r="S141" s="26">
        <v>0.22217207088956953</v>
      </c>
      <c r="T141" s="26"/>
      <c r="U141" s="9">
        <f t="array" ref="U141">MMULT(TRANSPOSE($B$3:$B$6),TRANSPOSE(P141:S141))</f>
        <v>8.8016470650889911E-2</v>
      </c>
      <c r="V141" s="26"/>
      <c r="W141" s="9">
        <f t="array" ref="W141">SQRT(MMULT(MMULT(P141:S141,$K$3:$N$6),TRANSPOSE(P141:S141)))</f>
        <v>0.14353582271510401</v>
      </c>
    </row>
    <row r="142" spans="16:23" x14ac:dyDescent="0.3">
      <c r="P142" s="26">
        <v>3.6831544576599339E-2</v>
      </c>
      <c r="Q142" s="26">
        <v>0.28757709531635672</v>
      </c>
      <c r="R142" s="26">
        <v>0.3204242150100815</v>
      </c>
      <c r="S142" s="26">
        <v>0.35516714509696246</v>
      </c>
      <c r="T142" s="26"/>
      <c r="U142" s="9">
        <f t="array" ref="U142">MMULT(TRANSPOSE($B$3:$B$6),TRANSPOSE(P142:S142))</f>
        <v>9.3430210663517768E-2</v>
      </c>
      <c r="V142" s="26"/>
      <c r="W142" s="9">
        <f t="array" ref="W142">SQRT(MMULT(MMULT(P142:S142,$K$3:$N$6),TRANSPOSE(P142:S142)))</f>
        <v>0.15976423928666891</v>
      </c>
    </row>
    <row r="143" spans="16:23" x14ac:dyDescent="0.3">
      <c r="P143" s="26">
        <v>0.69257243358089726</v>
      </c>
      <c r="Q143" s="26">
        <v>0.10462467503083761</v>
      </c>
      <c r="R143" s="26">
        <v>0.10855712963973781</v>
      </c>
      <c r="S143" s="26">
        <v>9.4245761748527307E-2</v>
      </c>
      <c r="T143" s="26"/>
      <c r="U143" s="9">
        <f t="array" ref="U143">MMULT(TRANSPOSE($B$3:$B$6),TRANSPOSE(P143:S143))</f>
        <v>6.3031982008603174E-2</v>
      </c>
      <c r="V143" s="26"/>
      <c r="W143" s="9">
        <f t="array" ref="W143">SQRT(MMULT(MMULT(P143:S143,$K$3:$N$6),TRANSPOSE(P143:S143)))</f>
        <v>8.9605989435287692E-2</v>
      </c>
    </row>
    <row r="144" spans="16:23" x14ac:dyDescent="0.3">
      <c r="P144" s="26">
        <v>0.24159835606005911</v>
      </c>
      <c r="Q144" s="26">
        <v>0.22135305507430222</v>
      </c>
      <c r="R144" s="26">
        <v>0.2380933562612306</v>
      </c>
      <c r="S144" s="26">
        <v>0.29895523260440809</v>
      </c>
      <c r="T144" s="26"/>
      <c r="U144" s="9">
        <f t="array" ref="U144">MMULT(TRANSPOSE($B$3:$B$6),TRANSPOSE(P144:S144))</f>
        <v>8.4877661634243831E-2</v>
      </c>
      <c r="V144" s="26"/>
      <c r="W144" s="9">
        <f t="array" ref="W144">SQRT(MMULT(MMULT(P144:S144,$K$3:$N$6),TRANSPOSE(P144:S144)))</f>
        <v>0.13313835528074122</v>
      </c>
    </row>
    <row r="145" spans="16:23" x14ac:dyDescent="0.3">
      <c r="P145" s="26">
        <v>5.5718660854824381E-2</v>
      </c>
      <c r="Q145" s="26">
        <v>0.40517839985155424</v>
      </c>
      <c r="R145" s="26">
        <v>0.24649127430398693</v>
      </c>
      <c r="S145" s="26">
        <v>0.29261166498963453</v>
      </c>
      <c r="T145" s="26"/>
      <c r="U145" s="9">
        <f t="array" ref="U145">MMULT(TRANSPOSE($B$3:$B$6),TRANSPOSE(P145:S145))</f>
        <v>8.8446035518464985E-2</v>
      </c>
      <c r="V145" s="26"/>
      <c r="W145" s="9">
        <f t="array" ref="W145">SQRT(MMULT(MMULT(P145:S145,$K$3:$N$6),TRANSPOSE(P145:S145)))</f>
        <v>0.14292388294412312</v>
      </c>
    </row>
    <row r="146" spans="16:23" x14ac:dyDescent="0.3">
      <c r="P146" s="26">
        <v>0.1778733736374693</v>
      </c>
      <c r="Q146" s="26">
        <v>0.26580933934654011</v>
      </c>
      <c r="R146" s="26">
        <v>0.35235496467281086</v>
      </c>
      <c r="S146" s="26">
        <v>0.20396232234317971</v>
      </c>
      <c r="T146" s="26"/>
      <c r="U146" s="9">
        <f t="array" ref="U146">MMULT(TRANSPOSE($B$3:$B$6),TRANSPOSE(P146:S146))</f>
        <v>8.368774793786582E-2</v>
      </c>
      <c r="V146" s="26"/>
      <c r="W146" s="9">
        <f t="array" ref="W146">SQRT(MMULT(MMULT(P146:S146,$K$3:$N$6),TRANSPOSE(P146:S146)))</f>
        <v>0.12993451899390276</v>
      </c>
    </row>
    <row r="147" spans="16:23" x14ac:dyDescent="0.3">
      <c r="P147" s="26">
        <v>0.10392801894047986</v>
      </c>
      <c r="Q147" s="26">
        <v>0.19450359928518307</v>
      </c>
      <c r="R147" s="26">
        <v>0.31650683729960999</v>
      </c>
      <c r="S147" s="26">
        <v>0.38506154447472701</v>
      </c>
      <c r="T147" s="26"/>
      <c r="U147" s="9">
        <f t="array" ref="U147">MMULT(TRANSPOSE($B$3:$B$6),TRANSPOSE(P147:S147))</f>
        <v>9.3504653590918946E-2</v>
      </c>
      <c r="V147" s="26"/>
      <c r="W147" s="9">
        <f t="array" ref="W147">SQRT(MMULT(MMULT(P147:S147,$K$3:$N$6),TRANSPOSE(P147:S147)))</f>
        <v>0.16222168156278349</v>
      </c>
    </row>
    <row r="148" spans="16:23" x14ac:dyDescent="0.3">
      <c r="P148" s="26">
        <v>0.27445780362831523</v>
      </c>
      <c r="Q148" s="26">
        <v>0.40414574785682689</v>
      </c>
      <c r="R148" s="26">
        <v>0.17126386357892906</v>
      </c>
      <c r="S148" s="26">
        <v>0.15013258493592874</v>
      </c>
      <c r="T148" s="26"/>
      <c r="U148" s="9">
        <f t="array" ref="U148">MMULT(TRANSPOSE($B$3:$B$6),TRANSPOSE(P148:S148))</f>
        <v>7.5442750445808698E-2</v>
      </c>
      <c r="V148" s="26"/>
      <c r="W148" s="9">
        <f t="array" ref="W148">SQRT(MMULT(MMULT(P148:S148,$K$3:$N$6),TRANSPOSE(P148:S148)))</f>
        <v>0.10785834902368004</v>
      </c>
    </row>
    <row r="149" spans="16:23" x14ac:dyDescent="0.3">
      <c r="P149" s="26">
        <v>0.23899170562151115</v>
      </c>
      <c r="Q149" s="26">
        <v>0.30223042180079907</v>
      </c>
      <c r="R149" s="26">
        <v>0.31964136488659028</v>
      </c>
      <c r="S149" s="26">
        <v>0.13913650769109948</v>
      </c>
      <c r="T149" s="26"/>
      <c r="U149" s="9">
        <f t="array" ref="U149">MMULT(TRANSPOSE($B$3:$B$6),TRANSPOSE(P149:S149))</f>
        <v>7.856981856985655E-2</v>
      </c>
      <c r="V149" s="26"/>
      <c r="W149" s="9">
        <f t="array" ref="W149">SQRT(MMULT(MMULT(P149:S149,$K$3:$N$6),TRANSPOSE(P149:S149)))</f>
        <v>0.11638870593251165</v>
      </c>
    </row>
    <row r="150" spans="16:23" x14ac:dyDescent="0.3">
      <c r="P150" s="26">
        <v>0.25934114373109046</v>
      </c>
      <c r="Q150" s="26">
        <v>0.15861760199196764</v>
      </c>
      <c r="R150" s="26">
        <v>0.39485149031606098</v>
      </c>
      <c r="S150" s="26">
        <v>0.18718976396088083</v>
      </c>
      <c r="T150" s="26"/>
      <c r="U150" s="9">
        <f t="array" ref="U150">MMULT(TRANSPOSE($B$3:$B$6),TRANSPOSE(P150:S150))</f>
        <v>8.206969512974345E-2</v>
      </c>
      <c r="V150" s="26"/>
      <c r="W150" s="9">
        <f t="array" ref="W150">SQRT(MMULT(MMULT(P150:S150,$K$3:$N$6),TRANSPOSE(P150:S150)))</f>
        <v>0.12795698924056237</v>
      </c>
    </row>
    <row r="151" spans="16:23" x14ac:dyDescent="0.3">
      <c r="P151" s="26">
        <v>0.38926906563877189</v>
      </c>
      <c r="Q151" s="26">
        <v>0.31536068411770996</v>
      </c>
      <c r="R151" s="26">
        <v>9.0398484137209426E-3</v>
      </c>
      <c r="S151" s="26">
        <v>0.28633040182979724</v>
      </c>
      <c r="T151" s="26"/>
      <c r="U151" s="9">
        <f t="array" ref="U151">MMULT(TRANSPOSE($B$3:$B$6),TRANSPOSE(P151:S151))</f>
        <v>7.6711935746988855E-2</v>
      </c>
      <c r="V151" s="26"/>
      <c r="W151" s="9">
        <f t="array" ref="W151">SQRT(MMULT(MMULT(P151:S151,$K$3:$N$6),TRANSPOSE(P151:S151)))</f>
        <v>0.11492675246531632</v>
      </c>
    </row>
    <row r="152" spans="16:23" x14ac:dyDescent="0.3">
      <c r="P152" s="26">
        <v>0.21180022011250202</v>
      </c>
      <c r="Q152" s="26">
        <v>0.39418787382040227</v>
      </c>
      <c r="R152" s="26">
        <v>0.12851515956799767</v>
      </c>
      <c r="S152" s="26">
        <v>0.26549674649909805</v>
      </c>
      <c r="T152" s="26"/>
      <c r="U152" s="9">
        <f t="array" ref="U152">MMULT(TRANSPOSE($B$3:$B$6),TRANSPOSE(P152:S152))</f>
        <v>8.1609136114064812E-2</v>
      </c>
      <c r="V152" s="26"/>
      <c r="W152" s="9">
        <f t="array" ref="W152">SQRT(MMULT(MMULT(P152:S152,$K$3:$N$6),TRANSPOSE(P152:S152)))</f>
        <v>0.12336692851346875</v>
      </c>
    </row>
    <row r="153" spans="16:23" x14ac:dyDescent="0.3">
      <c r="P153" s="26">
        <v>0.39931080431812416</v>
      </c>
      <c r="Q153" s="26">
        <v>0.25022476154953915</v>
      </c>
      <c r="R153" s="26">
        <v>0.22098437218318631</v>
      </c>
      <c r="S153" s="26">
        <v>0.12948006194915043</v>
      </c>
      <c r="T153" s="26"/>
      <c r="U153" s="9">
        <f t="array" ref="U153">MMULT(TRANSPOSE($B$3:$B$6),TRANSPOSE(P153:S153))</f>
        <v>7.2907474454758772E-2</v>
      </c>
      <c r="V153" s="26"/>
      <c r="W153" s="9">
        <f t="array" ref="W153">SQRT(MMULT(MMULT(P153:S153,$K$3:$N$6),TRANSPOSE(P153:S153)))</f>
        <v>0.10116033994110879</v>
      </c>
    </row>
    <row r="154" spans="16:23" x14ac:dyDescent="0.3">
      <c r="P154" s="26">
        <v>0.39231505450071275</v>
      </c>
      <c r="Q154" s="26">
        <v>0.32038238497043453</v>
      </c>
      <c r="R154" s="26">
        <v>4.012801188540948E-2</v>
      </c>
      <c r="S154" s="26">
        <v>0.24717454864344326</v>
      </c>
      <c r="T154" s="26"/>
      <c r="U154" s="9">
        <f t="array" ref="U154">MMULT(TRANSPOSE($B$3:$B$6),TRANSPOSE(P154:S154))</f>
        <v>7.53149865798661E-2</v>
      </c>
      <c r="V154" s="26"/>
      <c r="W154" s="9">
        <f t="array" ref="W154">SQRT(MMULT(MMULT(P154:S154,$K$3:$N$6),TRANSPOSE(P154:S154)))</f>
        <v>0.10926963029563129</v>
      </c>
    </row>
    <row r="155" spans="16:23" x14ac:dyDescent="0.3">
      <c r="P155" s="26">
        <v>0.25597252636725937</v>
      </c>
      <c r="Q155" s="26">
        <v>0.24811380796722732</v>
      </c>
      <c r="R155" s="26">
        <v>0.25857713310490943</v>
      </c>
      <c r="S155" s="26">
        <v>0.23733653256060397</v>
      </c>
      <c r="T155" s="26"/>
      <c r="U155" s="9">
        <f t="array" ref="U155">MMULT(TRANSPOSE($B$3:$B$6),TRANSPOSE(P155:S155))</f>
        <v>8.1918918762783205E-2</v>
      </c>
      <c r="V155" s="26"/>
      <c r="W155" s="9">
        <f t="array" ref="W155">SQRT(MMULT(MMULT(P155:S155,$K$3:$N$6),TRANSPOSE(P155:S155)))</f>
        <v>0.12346258462029647</v>
      </c>
    </row>
    <row r="156" spans="16:23" x14ac:dyDescent="0.3">
      <c r="P156" s="26">
        <v>0.32122490025425049</v>
      </c>
      <c r="Q156" s="26">
        <v>0.3298737952368313</v>
      </c>
      <c r="R156" s="26">
        <v>0.22934751338390091</v>
      </c>
      <c r="S156" s="26">
        <v>0.11955379112501723</v>
      </c>
      <c r="T156" s="26"/>
      <c r="U156" s="9">
        <f t="array" ref="U156">MMULT(TRANSPOSE($B$3:$B$6),TRANSPOSE(P156:S156))</f>
        <v>7.4140141818843874E-2</v>
      </c>
      <c r="V156" s="26"/>
      <c r="W156" s="9">
        <f t="array" ref="W156">SQRT(MMULT(MMULT(P156:S156,$K$3:$N$6),TRANSPOSE(P156:S156)))</f>
        <v>0.10463830520411768</v>
      </c>
    </row>
    <row r="157" spans="16:23" x14ac:dyDescent="0.3">
      <c r="P157" s="26">
        <v>0.466211110100482</v>
      </c>
      <c r="Q157" s="26">
        <v>6.3730642766040319E-2</v>
      </c>
      <c r="R157" s="26">
        <v>0.1957702369006166</v>
      </c>
      <c r="S157" s="26">
        <v>0.27428801023286103</v>
      </c>
      <c r="T157" s="26"/>
      <c r="U157" s="9">
        <f t="array" ref="U157">MMULT(TRANSPOSE($B$3:$B$6),TRANSPOSE(P157:S157))</f>
        <v>7.8305583047645747E-2</v>
      </c>
      <c r="V157" s="26"/>
      <c r="W157" s="9">
        <f t="array" ref="W157">SQRT(MMULT(MMULT(P157:S157,$K$3:$N$6),TRANSPOSE(P157:S157)))</f>
        <v>0.12023047076417076</v>
      </c>
    </row>
    <row r="158" spans="16:23" x14ac:dyDescent="0.3">
      <c r="P158" s="26">
        <v>0.28982627260166871</v>
      </c>
      <c r="Q158" s="26">
        <v>0.19419953919643906</v>
      </c>
      <c r="R158" s="26">
        <v>0.15547057525526531</v>
      </c>
      <c r="S158" s="26">
        <v>0.36050361294662692</v>
      </c>
      <c r="T158" s="26"/>
      <c r="U158" s="9">
        <f t="array" ref="U158">MMULT(TRANSPOSE($B$3:$B$6),TRANSPOSE(P158:S158))</f>
        <v>8.5338066700403281E-2</v>
      </c>
      <c r="V158" s="26"/>
      <c r="W158" s="9">
        <f t="array" ref="W158">SQRT(MMULT(MMULT(P158:S158,$K$3:$N$6),TRANSPOSE(P158:S158)))</f>
        <v>0.13801187455119052</v>
      </c>
    </row>
    <row r="159" spans="16:23" x14ac:dyDescent="0.3">
      <c r="P159" s="26">
        <v>0.3489413303681031</v>
      </c>
      <c r="Q159" s="26">
        <v>1.3898155248272709E-2</v>
      </c>
      <c r="R159" s="26">
        <v>0.27962977416846979</v>
      </c>
      <c r="S159" s="26">
        <v>0.35753074021515446</v>
      </c>
      <c r="T159" s="26"/>
      <c r="U159" s="9">
        <f t="array" ref="U159">MMULT(TRANSPOSE($B$3:$B$6),TRANSPOSE(P159:S159))</f>
        <v>8.6490305886765068E-2</v>
      </c>
      <c r="V159" s="26"/>
      <c r="W159" s="9">
        <f t="array" ref="W159">SQRT(MMULT(MMULT(P159:S159,$K$3:$N$6),TRANSPOSE(P159:S159)))</f>
        <v>0.14683801158778961</v>
      </c>
    </row>
    <row r="160" spans="16:23" x14ac:dyDescent="0.3">
      <c r="P160" s="26">
        <v>0.41407210171935382</v>
      </c>
      <c r="Q160" s="26">
        <v>0.33297620998628741</v>
      </c>
      <c r="R160" s="26">
        <v>0.15610106626312847</v>
      </c>
      <c r="S160" s="26">
        <v>9.6850622031230391E-2</v>
      </c>
      <c r="T160" s="26"/>
      <c r="U160" s="9">
        <f t="array" ref="U160">MMULT(TRANSPOSE($B$3:$B$6),TRANSPOSE(P160:S160))</f>
        <v>6.968311039243702E-2</v>
      </c>
      <c r="V160" s="26"/>
      <c r="W160" s="9">
        <f t="array" ref="W160">SQRT(MMULT(MMULT(P160:S160,$K$3:$N$6),TRANSPOSE(P160:S160)))</f>
        <v>9.584234054688387E-2</v>
      </c>
    </row>
    <row r="161" spans="16:23" x14ac:dyDescent="0.3">
      <c r="P161" s="26">
        <v>0.41198249068714798</v>
      </c>
      <c r="Q161" s="26">
        <v>0.20859228209669192</v>
      </c>
      <c r="R161" s="26">
        <v>0.28267347506817625</v>
      </c>
      <c r="S161" s="26">
        <v>9.6751752147983955E-2</v>
      </c>
      <c r="T161" s="26"/>
      <c r="U161" s="9">
        <f t="array" ref="U161">MMULT(TRANSPOSE($B$3:$B$6),TRANSPOSE(P161:S161))</f>
        <v>7.2251407295019776E-2</v>
      </c>
      <c r="V161" s="26"/>
      <c r="W161" s="9">
        <f t="array" ref="W161">SQRT(MMULT(MMULT(P161:S161,$K$3:$N$6),TRANSPOSE(P161:S161)))</f>
        <v>0.10184155411533907</v>
      </c>
    </row>
    <row r="162" spans="16:23" x14ac:dyDescent="0.3">
      <c r="P162" s="26">
        <v>0.33633814694974179</v>
      </c>
      <c r="Q162" s="26">
        <v>0.27153878082617372</v>
      </c>
      <c r="R162" s="26">
        <v>2.891664084340104E-2</v>
      </c>
      <c r="S162" s="26">
        <v>0.36320643138068348</v>
      </c>
      <c r="T162" s="26"/>
      <c r="U162" s="9">
        <f t="array" ref="U162">MMULT(TRANSPOSE($B$3:$B$6),TRANSPOSE(P162:S162))</f>
        <v>8.2011891446907376E-2</v>
      </c>
      <c r="V162" s="26"/>
      <c r="W162" s="9">
        <f t="array" ref="W162">SQRT(MMULT(MMULT(P162:S162,$K$3:$N$6),TRANSPOSE(P162:S162)))</f>
        <v>0.13108327957756102</v>
      </c>
    </row>
    <row r="163" spans="16:23" x14ac:dyDescent="0.3">
      <c r="P163" s="26">
        <v>0.12166128889771</v>
      </c>
      <c r="Q163" s="26">
        <v>0.36567024919210173</v>
      </c>
      <c r="R163" s="26">
        <v>0.40371975019579837</v>
      </c>
      <c r="S163" s="26">
        <v>0.10894871171438991</v>
      </c>
      <c r="T163" s="26"/>
      <c r="U163" s="9">
        <f t="array" ref="U163">MMULT(TRANSPOSE($B$3:$B$6),TRANSPOSE(P163:S163))</f>
        <v>8.1088604811681259E-2</v>
      </c>
      <c r="V163" s="26"/>
      <c r="W163" s="9">
        <f t="array" ref="W163">SQRT(MMULT(MMULT(P163:S163,$K$3:$N$6),TRANSPOSE(P163:S163)))</f>
        <v>0.1279638887753973</v>
      </c>
    </row>
    <row r="164" spans="16:23" x14ac:dyDescent="0.3">
      <c r="P164" s="26">
        <v>8.5892366634631567E-2</v>
      </c>
      <c r="Q164" s="26">
        <v>0.22417791539279908</v>
      </c>
      <c r="R164" s="26">
        <v>0.35550914881357004</v>
      </c>
      <c r="S164" s="26">
        <v>0.33442056915899926</v>
      </c>
      <c r="T164" s="26"/>
      <c r="U164" s="9">
        <f t="array" ref="U164">MMULT(TRANSPOSE($B$3:$B$6),TRANSPOSE(P164:S164))</f>
        <v>9.2113364101528733E-2</v>
      </c>
      <c r="V164" s="26"/>
      <c r="W164" s="9">
        <f t="array" ref="W164">SQRT(MMULT(MMULT(P164:S164,$K$3:$N$6),TRANSPOSE(P164:S164)))</f>
        <v>0.15641343824170828</v>
      </c>
    </row>
    <row r="165" spans="16:23" x14ac:dyDescent="0.3">
      <c r="P165" s="26">
        <v>0.29798798082145406</v>
      </c>
      <c r="Q165" s="26">
        <v>0.30414329844345589</v>
      </c>
      <c r="R165" s="26">
        <v>0.10869731302897781</v>
      </c>
      <c r="S165" s="26">
        <v>0.28917140770611222</v>
      </c>
      <c r="T165" s="26"/>
      <c r="U165" s="9">
        <f t="array" ref="U165">MMULT(TRANSPOSE($B$3:$B$6),TRANSPOSE(P165:S165))</f>
        <v>8.0672757029456088E-2</v>
      </c>
      <c r="V165" s="26"/>
      <c r="W165" s="9">
        <f t="array" ref="W165">SQRT(MMULT(MMULT(P165:S165,$K$3:$N$6),TRANSPOSE(P165:S165)))</f>
        <v>0.1216343748586881</v>
      </c>
    </row>
    <row r="166" spans="16:23" x14ac:dyDescent="0.3">
      <c r="P166" s="26">
        <v>0.12975119480301814</v>
      </c>
      <c r="Q166" s="26">
        <v>0.3850612777383447</v>
      </c>
      <c r="R166" s="26">
        <v>0.21098069093536789</v>
      </c>
      <c r="S166" s="26">
        <v>0.27420683652326922</v>
      </c>
      <c r="T166" s="26"/>
      <c r="U166" s="9">
        <f t="array" ref="U166">MMULT(TRANSPOSE($B$3:$B$6),TRANSPOSE(P166:S166))</f>
        <v>8.5334931748810461E-2</v>
      </c>
      <c r="V166" s="26"/>
      <c r="W166" s="9">
        <f t="array" ref="W166">SQRT(MMULT(MMULT(P166:S166,$K$3:$N$6),TRANSPOSE(P166:S166)))</f>
        <v>0.13325751576360181</v>
      </c>
    </row>
    <row r="167" spans="16:23" x14ac:dyDescent="0.3">
      <c r="P167" s="26">
        <v>0.39671442354914105</v>
      </c>
      <c r="Q167" s="26">
        <v>0.40831554295960099</v>
      </c>
      <c r="R167" s="26">
        <v>5.5114807713108338E-2</v>
      </c>
      <c r="S167" s="26">
        <v>0.13985522577814971</v>
      </c>
      <c r="T167" s="26"/>
      <c r="U167" s="9">
        <f t="array" ref="U167">MMULT(TRANSPOSE($B$3:$B$6),TRANSPOSE(P167:S167))</f>
        <v>7.0160768972186843E-2</v>
      </c>
      <c r="V167" s="26"/>
      <c r="W167" s="9">
        <f t="array" ref="W167">SQRT(MMULT(MMULT(P167:S167,$K$3:$N$6),TRANSPOSE(P167:S167)))</f>
        <v>9.8598902449525044E-2</v>
      </c>
    </row>
    <row r="168" spans="16:23" x14ac:dyDescent="0.3">
      <c r="P168" s="26">
        <v>0.15932531558566951</v>
      </c>
      <c r="Q168" s="26">
        <v>0.3729852282779656</v>
      </c>
      <c r="R168" s="26">
        <v>0.30588974801835173</v>
      </c>
      <c r="S168" s="26">
        <v>0.16179970811801317</v>
      </c>
      <c r="T168" s="26"/>
      <c r="U168" s="9">
        <f t="array" ref="U168">MMULT(TRANSPOSE($B$3:$B$6),TRANSPOSE(P168:S168))</f>
        <v>8.1021274054554296E-2</v>
      </c>
      <c r="V168" s="26"/>
      <c r="W168" s="9">
        <f t="array" ref="W168">SQRT(MMULT(MMULT(P168:S168,$K$3:$N$6),TRANSPOSE(P168:S168)))</f>
        <v>0.12281759387270144</v>
      </c>
    </row>
    <row r="169" spans="16:23" x14ac:dyDescent="0.3">
      <c r="P169" s="26">
        <v>0.14760776017505522</v>
      </c>
      <c r="Q169" s="26">
        <v>0.37137848681026453</v>
      </c>
      <c r="R169" s="26">
        <v>0.3583974699801874</v>
      </c>
      <c r="S169" s="26">
        <v>0.12261628303449298</v>
      </c>
      <c r="T169" s="26"/>
      <c r="U169" s="9">
        <f t="array" ref="U169">MMULT(TRANSPOSE($B$3:$B$6),TRANSPOSE(P169:S169))</f>
        <v>8.0346608347827309E-2</v>
      </c>
      <c r="V169" s="26"/>
      <c r="W169" s="9">
        <f t="array" ref="W169">SQRT(MMULT(MMULT(P169:S169,$K$3:$N$6),TRANSPOSE(P169:S169)))</f>
        <v>0.12378226884336355</v>
      </c>
    </row>
    <row r="170" spans="16:23" x14ac:dyDescent="0.3">
      <c r="P170" s="26">
        <v>0.21020268881039406</v>
      </c>
      <c r="Q170" s="26">
        <v>0.43216437002438812</v>
      </c>
      <c r="R170" s="26">
        <v>0.18553692688613252</v>
      </c>
      <c r="S170" s="26">
        <v>0.17209601427908536</v>
      </c>
      <c r="T170" s="26"/>
      <c r="U170" s="9">
        <f t="array" ref="U170">MMULT(TRANSPOSE($B$3:$B$6),TRANSPOSE(P170:S170))</f>
        <v>7.8111485475469047E-2</v>
      </c>
      <c r="V170" s="26"/>
      <c r="W170" s="9">
        <f t="array" ref="W170">SQRT(MMULT(MMULT(P170:S170,$K$3:$N$6),TRANSPOSE(P170:S170)))</f>
        <v>0.11463618244049262</v>
      </c>
    </row>
    <row r="171" spans="16:23" x14ac:dyDescent="0.3">
      <c r="P171" s="26">
        <v>8.2660620194861381E-2</v>
      </c>
      <c r="Q171" s="26">
        <v>0.47504876088707731</v>
      </c>
      <c r="R171" s="26">
        <v>0.10867087345398938</v>
      </c>
      <c r="S171" s="26">
        <v>0.33361974546407192</v>
      </c>
      <c r="T171" s="26"/>
      <c r="U171" s="9">
        <f t="array" ref="U171">MMULT(TRANSPOSE($B$3:$B$6),TRANSPOSE(P171:S171))</f>
        <v>8.7201192338386163E-2</v>
      </c>
      <c r="V171" s="26"/>
      <c r="W171" s="9">
        <f t="array" ref="W171">SQRT(MMULT(MMULT(P171:S171,$K$3:$N$6),TRANSPOSE(P171:S171)))</f>
        <v>0.14172367123934487</v>
      </c>
    </row>
    <row r="172" spans="16:23" x14ac:dyDescent="0.3">
      <c r="P172" s="26">
        <v>8.4907451959958732E-2</v>
      </c>
      <c r="Q172" s="26">
        <v>0.44092631120152742</v>
      </c>
      <c r="R172" s="26">
        <v>0.33098925067339963</v>
      </c>
      <c r="S172" s="26">
        <v>0.14317698616511418</v>
      </c>
      <c r="T172" s="26"/>
      <c r="U172" s="9">
        <f t="array" ref="U172">MMULT(TRANSPOSE($B$3:$B$6),TRANSPOSE(P172:S172))</f>
        <v>8.2080485282524512E-2</v>
      </c>
      <c r="V172" s="26"/>
      <c r="W172" s="9">
        <f t="array" ref="W172">SQRT(MMULT(MMULT(P172:S172,$K$3:$N$6),TRANSPOSE(P172:S172)))</f>
        <v>0.12851824319051275</v>
      </c>
    </row>
    <row r="173" spans="16:23" x14ac:dyDescent="0.3">
      <c r="P173" s="26">
        <v>0.2207256243079152</v>
      </c>
      <c r="Q173" s="26">
        <v>0.23393062317789845</v>
      </c>
      <c r="R173" s="26">
        <v>0.26646021312191936</v>
      </c>
      <c r="S173" s="26">
        <v>0.27888353939226701</v>
      </c>
      <c r="T173" s="26"/>
      <c r="U173" s="9">
        <f t="array" ref="U173">MMULT(TRANSPOSE($B$3:$B$6),TRANSPOSE(P173:S173))</f>
        <v>8.4858868745893434E-2</v>
      </c>
      <c r="V173" s="26"/>
      <c r="W173" s="9">
        <f t="array" ref="W173">SQRT(MMULT(MMULT(P173:S173,$K$3:$N$6),TRANSPOSE(P173:S173)))</f>
        <v>0.13252997915187364</v>
      </c>
    </row>
    <row r="174" spans="16:23" x14ac:dyDescent="0.3">
      <c r="P174" s="26">
        <v>0.13158563210083285</v>
      </c>
      <c r="Q174" s="26">
        <v>0.58433130169659397</v>
      </c>
      <c r="R174" s="26">
        <v>0.12583947360479369</v>
      </c>
      <c r="S174" s="26">
        <v>0.15824359259777959</v>
      </c>
      <c r="T174" s="26"/>
      <c r="U174" s="9">
        <f t="array" ref="U174">MMULT(TRANSPOSE($B$3:$B$6),TRANSPOSE(P174:S174))</f>
        <v>7.7797256459968211E-2</v>
      </c>
      <c r="V174" s="26"/>
      <c r="W174" s="9">
        <f t="array" ref="W174">SQRT(MMULT(MMULT(P174:S174,$K$3:$N$6),TRANSPOSE(P174:S174)))</f>
        <v>0.1201847994599916</v>
      </c>
    </row>
    <row r="175" spans="16:23" x14ac:dyDescent="0.3">
      <c r="P175" s="26">
        <v>0.17595062137368331</v>
      </c>
      <c r="Q175" s="26">
        <v>0.20599022597870253</v>
      </c>
      <c r="R175" s="26">
        <v>0.23873545508177474</v>
      </c>
      <c r="S175" s="26">
        <v>0.3793236975658395</v>
      </c>
      <c r="T175" s="26"/>
      <c r="U175" s="9">
        <f t="array" ref="U175">MMULT(TRANSPOSE($B$3:$B$6),TRANSPOSE(P175:S175))</f>
        <v>9.0221881552453809E-2</v>
      </c>
      <c r="V175" s="26"/>
      <c r="W175" s="9">
        <f t="array" ref="W175">SQRT(MMULT(MMULT(P175:S175,$K$3:$N$6),TRANSPOSE(P175:S175)))</f>
        <v>0.15170627193716477</v>
      </c>
    </row>
    <row r="176" spans="16:23" x14ac:dyDescent="0.3">
      <c r="P176" s="26">
        <v>0.3851248868671765</v>
      </c>
      <c r="Q176" s="26">
        <v>0.35981994676672058</v>
      </c>
      <c r="R176" s="26">
        <v>1.4152627980491796E-2</v>
      </c>
      <c r="S176" s="26">
        <v>0.24090253838561107</v>
      </c>
      <c r="T176" s="26"/>
      <c r="U176" s="9">
        <f t="array" ref="U176">MMULT(TRANSPOSE($B$3:$B$6),TRANSPOSE(P176:S176))</f>
        <v>7.4625681741546851E-2</v>
      </c>
      <c r="V176" s="26"/>
      <c r="W176" s="9">
        <f t="array" ref="W176">SQRT(MMULT(MMULT(P176:S176,$K$3:$N$6),TRANSPOSE(P176:S176)))</f>
        <v>0.10860205983640198</v>
      </c>
    </row>
    <row r="177" spans="16:23" x14ac:dyDescent="0.3">
      <c r="P177" s="26">
        <v>0.20607358862233799</v>
      </c>
      <c r="Q177" s="26">
        <v>0.12181368126977635</v>
      </c>
      <c r="R177" s="26">
        <v>0.25040268546022826</v>
      </c>
      <c r="S177" s="26">
        <v>0.42171004464765738</v>
      </c>
      <c r="T177" s="26"/>
      <c r="U177" s="9">
        <f t="array" ref="U177">MMULT(TRANSPOSE($B$3:$B$6),TRANSPOSE(P177:S177))</f>
        <v>9.1972084169140669E-2</v>
      </c>
      <c r="V177" s="26"/>
      <c r="W177" s="9">
        <f t="array" ref="W177">SQRT(MMULT(MMULT(P177:S177,$K$3:$N$6),TRANSPOSE(P177:S177)))</f>
        <v>0.16115182754963833</v>
      </c>
    </row>
    <row r="178" spans="16:23" x14ac:dyDescent="0.3">
      <c r="P178" s="26">
        <v>0.18641139223750294</v>
      </c>
      <c r="Q178" s="26">
        <v>3.2033039639776423E-5</v>
      </c>
      <c r="R178" s="26">
        <v>0.30834847131785859</v>
      </c>
      <c r="S178" s="26">
        <v>0.50520810340499867</v>
      </c>
      <c r="T178" s="26"/>
      <c r="U178" s="9">
        <f t="array" ref="U178">MMULT(TRANSPOSE($B$3:$B$6),TRANSPOSE(P178:S178))</f>
        <v>9.7699146751857036E-2</v>
      </c>
      <c r="V178" s="26"/>
      <c r="W178" s="9">
        <f t="array" ref="W178">SQRT(MMULT(MMULT(P178:S178,$K$3:$N$6),TRANSPOSE(P178:S178)))</f>
        <v>0.18738214532877723</v>
      </c>
    </row>
    <row r="179" spans="16:23" x14ac:dyDescent="0.3">
      <c r="P179" s="26">
        <v>0.31356201513244192</v>
      </c>
      <c r="Q179" s="26">
        <v>9.6363480645289476E-2</v>
      </c>
      <c r="R179" s="26">
        <v>0.33210752223289286</v>
      </c>
      <c r="S179" s="26">
        <v>0.25796698198937562</v>
      </c>
      <c r="T179" s="26"/>
      <c r="U179" s="9">
        <f t="array" ref="U179">MMULT(TRANSPOSE($B$3:$B$6),TRANSPOSE(P179:S179))</f>
        <v>8.3269259241477794E-2</v>
      </c>
      <c r="V179" s="26"/>
      <c r="W179" s="9">
        <f t="array" ref="W179">SQRT(MMULT(MMULT(P179:S179,$K$3:$N$6),TRANSPOSE(P179:S179)))</f>
        <v>0.13170333911674076</v>
      </c>
    </row>
    <row r="180" spans="16:23" x14ac:dyDescent="0.3">
      <c r="P180" s="26">
        <v>0.25828886063439022</v>
      </c>
      <c r="Q180" s="26">
        <v>2.7866222908580228E-2</v>
      </c>
      <c r="R180" s="26">
        <v>0.38041152239806952</v>
      </c>
      <c r="S180" s="26">
        <v>0.33343339405896</v>
      </c>
      <c r="T180" s="26"/>
      <c r="U180" s="9">
        <f t="array" ref="U180">MMULT(TRANSPOSE($B$3:$B$6),TRANSPOSE(P180:S180))</f>
        <v>8.9114122938221574E-2</v>
      </c>
      <c r="V180" s="26"/>
      <c r="W180" s="9">
        <f t="array" ref="W180">SQRT(MMULT(MMULT(P180:S180,$K$3:$N$6),TRANSPOSE(P180:S180)))</f>
        <v>0.15341625475935583</v>
      </c>
    </row>
    <row r="181" spans="16:23" x14ac:dyDescent="0.3">
      <c r="P181" s="26">
        <v>0.18795320577963429</v>
      </c>
      <c r="Q181" s="26">
        <v>0.25944559630530784</v>
      </c>
      <c r="R181" s="26">
        <v>0.24326005411225191</v>
      </c>
      <c r="S181" s="26">
        <v>0.30934114380280597</v>
      </c>
      <c r="T181" s="26"/>
      <c r="U181" s="9">
        <f t="array" ref="U181">MMULT(TRANSPOSE($B$3:$B$6),TRANSPOSE(P181:S181))</f>
        <v>8.6573194156792654E-2</v>
      </c>
      <c r="V181" s="26"/>
      <c r="W181" s="9">
        <f t="array" ref="W181">SQRT(MMULT(MMULT(P181:S181,$K$3:$N$6),TRANSPOSE(P181:S181)))</f>
        <v>0.13772193387450948</v>
      </c>
    </row>
    <row r="182" spans="16:23" x14ac:dyDescent="0.3">
      <c r="P182" s="26">
        <v>0.25352111788523324</v>
      </c>
      <c r="Q182" s="26">
        <v>0.17871936069973959</v>
      </c>
      <c r="R182" s="26">
        <v>0.17073735534954576</v>
      </c>
      <c r="S182" s="26">
        <v>0.39702216606548141</v>
      </c>
      <c r="T182" s="26"/>
      <c r="U182" s="9">
        <f t="array" ref="U182">MMULT(TRANSPOSE($B$3:$B$6),TRANSPOSE(P182:S182))</f>
        <v>8.8195433052560321E-2</v>
      </c>
      <c r="V182" s="26"/>
      <c r="W182" s="9">
        <f t="array" ref="W182">SQRT(MMULT(MMULT(P182:S182,$K$3:$N$6),TRANSPOSE(P182:S182)))</f>
        <v>0.14799459591593117</v>
      </c>
    </row>
    <row r="183" spans="16:23" x14ac:dyDescent="0.3">
      <c r="P183" s="26">
        <v>0.18120021693137278</v>
      </c>
      <c r="Q183" s="26">
        <v>0.32933772066307071</v>
      </c>
      <c r="R183" s="26">
        <v>0.34527462861635061</v>
      </c>
      <c r="S183" s="26">
        <v>0.14418743378920593</v>
      </c>
      <c r="T183" s="26"/>
      <c r="U183" s="9">
        <f t="array" ref="U183">MMULT(TRANSPOSE($B$3:$B$6),TRANSPOSE(P183:S183))</f>
        <v>8.0490859923159852E-2</v>
      </c>
      <c r="V183" s="26"/>
      <c r="W183" s="9">
        <f t="array" ref="W183">SQRT(MMULT(MMULT(P183:S183,$K$3:$N$6),TRANSPOSE(P183:S183)))</f>
        <v>0.12230688317037353</v>
      </c>
    </row>
    <row r="184" spans="16:23" x14ac:dyDescent="0.3">
      <c r="P184" s="26">
        <v>0.30422771917475194</v>
      </c>
      <c r="Q184" s="26">
        <v>0.17915709458297463</v>
      </c>
      <c r="R184" s="26">
        <v>0.2998487321312952</v>
      </c>
      <c r="S184" s="26">
        <v>0.21676645411097825</v>
      </c>
      <c r="T184" s="26"/>
      <c r="U184" s="9">
        <f t="array" ref="U184">MMULT(TRANSPOSE($B$3:$B$6),TRANSPOSE(P184:S184))</f>
        <v>8.0750742964679781E-2</v>
      </c>
      <c r="V184" s="26"/>
      <c r="W184" s="9">
        <f t="array" ref="W184">SQRT(MMULT(MMULT(P184:S184,$K$3:$N$6),TRANSPOSE(P184:S184)))</f>
        <v>0.1216515226246571</v>
      </c>
    </row>
    <row r="185" spans="16:23" x14ac:dyDescent="0.3">
      <c r="P185" s="26">
        <v>0.3545107845902799</v>
      </c>
      <c r="Q185" s="26">
        <v>0.1057362281222707</v>
      </c>
      <c r="R185" s="26">
        <v>0.20651477940752039</v>
      </c>
      <c r="S185" s="26">
        <v>0.33323820787992897</v>
      </c>
      <c r="T185" s="26"/>
      <c r="U185" s="9">
        <f t="array" ref="U185">MMULT(TRANSPOSE($B$3:$B$6),TRANSPOSE(P185:S185))</f>
        <v>8.3701990290341255E-2</v>
      </c>
      <c r="V185" s="26"/>
      <c r="W185" s="9">
        <f t="array" ref="W185">SQRT(MMULT(MMULT(P185:S185,$K$3:$N$6),TRANSPOSE(P185:S185)))</f>
        <v>0.13451462908848544</v>
      </c>
    </row>
    <row r="186" spans="16:23" x14ac:dyDescent="0.3">
      <c r="P186" s="26">
        <v>0.28005523178873487</v>
      </c>
      <c r="Q186" s="26">
        <v>9.7667806667423446E-2</v>
      </c>
      <c r="R186" s="26">
        <v>0.34589234674077146</v>
      </c>
      <c r="S186" s="26">
        <v>0.27638461480307025</v>
      </c>
      <c r="T186" s="26"/>
      <c r="U186" s="9">
        <f t="array" ref="U186">MMULT(TRANSPOSE($B$3:$B$6),TRANSPOSE(P186:S186))</f>
        <v>8.5135973039194249E-2</v>
      </c>
      <c r="V186" s="26"/>
      <c r="W186" s="9">
        <f t="array" ref="W186">SQRT(MMULT(MMULT(P186:S186,$K$3:$N$6),TRANSPOSE(P186:S186)))</f>
        <v>0.13741599505255206</v>
      </c>
    </row>
    <row r="187" spans="16:23" x14ac:dyDescent="0.3">
      <c r="P187" s="26">
        <v>0.42443930736496366</v>
      </c>
      <c r="Q187" s="26">
        <v>6.6772952021536783E-2</v>
      </c>
      <c r="R187" s="26">
        <v>0.22949575620742693</v>
      </c>
      <c r="S187" s="26">
        <v>0.27929198440607239</v>
      </c>
      <c r="T187" s="26"/>
      <c r="U187" s="9">
        <f t="array" ref="U187">MMULT(TRANSPOSE($B$3:$B$6),TRANSPOSE(P187:S187))</f>
        <v>8.0065728197152866E-2</v>
      </c>
      <c r="V187" s="26"/>
      <c r="W187" s="9">
        <f t="array" ref="W187">SQRT(MMULT(MMULT(P187:S187,$K$3:$N$6),TRANSPOSE(P187:S187)))</f>
        <v>0.12435634872048472</v>
      </c>
    </row>
    <row r="188" spans="16:23" x14ac:dyDescent="0.3">
      <c r="P188" s="26">
        <v>0.13399174120406396</v>
      </c>
      <c r="Q188" s="26">
        <v>0.36845260135637375</v>
      </c>
      <c r="R188" s="26">
        <v>0.14050802559854583</v>
      </c>
      <c r="S188" s="26">
        <v>0.35704763184101646</v>
      </c>
      <c r="T188" s="26"/>
      <c r="U188" s="9">
        <f t="array" ref="U188">MMULT(TRANSPOSE($B$3:$B$6),TRANSPOSE(P188:S188))</f>
        <v>8.7982707279940453E-2</v>
      </c>
      <c r="V188" s="26"/>
      <c r="W188" s="9">
        <f t="array" ref="W188">SQRT(MMULT(MMULT(P188:S188,$K$3:$N$6),TRANSPOSE(P188:S188)))</f>
        <v>0.14330467953040499</v>
      </c>
    </row>
    <row r="189" spans="16:23" x14ac:dyDescent="0.3">
      <c r="P189" s="26">
        <v>0.13243669763975072</v>
      </c>
      <c r="Q189" s="26">
        <v>7.9235792144009387E-2</v>
      </c>
      <c r="R189" s="26">
        <v>0.17081069427029724</v>
      </c>
      <c r="S189" s="26">
        <v>0.61751681594594265</v>
      </c>
      <c r="T189" s="26"/>
      <c r="U189" s="9">
        <f t="array" ref="U189">MMULT(TRANSPOSE($B$3:$B$6),TRANSPOSE(P189:S189))</f>
        <v>0.10164332072990806</v>
      </c>
      <c r="V189" s="26"/>
      <c r="W189" s="9">
        <f t="array" ref="W189">SQRT(MMULT(MMULT(P189:S189,$K$3:$N$6),TRANSPOSE(P189:S189)))</f>
        <v>0.20481426732427538</v>
      </c>
    </row>
    <row r="190" spans="16:23" x14ac:dyDescent="0.3">
      <c r="P190" s="26">
        <v>0.11771212540248614</v>
      </c>
      <c r="Q190" s="26">
        <v>0.3018404263971956</v>
      </c>
      <c r="R190" s="26">
        <v>0.22345932535340993</v>
      </c>
      <c r="S190" s="26">
        <v>0.3569881228469084</v>
      </c>
      <c r="T190" s="26"/>
      <c r="U190" s="9">
        <f t="array" ref="U190">MMULT(TRANSPOSE($B$3:$B$6),TRANSPOSE(P190:S190))</f>
        <v>8.9964350141363891E-2</v>
      </c>
      <c r="V190" s="26"/>
      <c r="W190" s="9">
        <f t="array" ref="W190">SQRT(MMULT(MMULT(P190:S190,$K$3:$N$6),TRANSPOSE(P190:S190)))</f>
        <v>0.14870403937400026</v>
      </c>
    </row>
    <row r="191" spans="16:23" x14ac:dyDescent="0.3">
      <c r="P191" s="26">
        <v>0.26221656800218762</v>
      </c>
      <c r="Q191" s="26">
        <v>0.1443798243190853</v>
      </c>
      <c r="R191" s="26">
        <v>0.29701810933665662</v>
      </c>
      <c r="S191" s="26">
        <v>0.29638549834207056</v>
      </c>
      <c r="T191" s="26"/>
      <c r="U191" s="9">
        <f t="array" ref="U191">MMULT(TRANSPOSE($B$3:$B$6),TRANSPOSE(P191:S191))</f>
        <v>8.5515305743792916E-2</v>
      </c>
      <c r="V191" s="26"/>
      <c r="W191" s="9">
        <f t="array" ref="W191">SQRT(MMULT(MMULT(P191:S191,$K$3:$N$6),TRANSPOSE(P191:S191)))</f>
        <v>0.13691522567143935</v>
      </c>
    </row>
    <row r="192" spans="16:23" x14ac:dyDescent="0.3">
      <c r="P192" s="26">
        <v>0.39949852877523179</v>
      </c>
      <c r="Q192" s="26">
        <v>0.31086897310669226</v>
      </c>
      <c r="R192" s="26">
        <v>8.6501897138722209E-2</v>
      </c>
      <c r="S192" s="26">
        <v>0.20313060097935365</v>
      </c>
      <c r="T192" s="26"/>
      <c r="U192" s="9">
        <f t="array" ref="U192">MMULT(TRANSPOSE($B$3:$B$6),TRANSPOSE(P192:S192))</f>
        <v>7.3896597416237483E-2</v>
      </c>
      <c r="V192" s="26"/>
      <c r="W192" s="9">
        <f t="array" ref="W192">SQRT(MMULT(MMULT(P192:S192,$K$3:$N$6),TRANSPOSE(P192:S192)))</f>
        <v>0.10395129119189987</v>
      </c>
    </row>
    <row r="193" spans="16:23" x14ac:dyDescent="0.3">
      <c r="P193" s="26">
        <v>0.30303366479972416</v>
      </c>
      <c r="Q193" s="26">
        <v>0.28603754917718849</v>
      </c>
      <c r="R193" s="26">
        <v>0.23382249457030052</v>
      </c>
      <c r="S193" s="26">
        <v>0.17710629145278681</v>
      </c>
      <c r="T193" s="26"/>
      <c r="U193" s="9">
        <f t="array" ref="U193">MMULT(TRANSPOSE($B$3:$B$6),TRANSPOSE(P193:S193))</f>
        <v>7.7471091168050871E-2</v>
      </c>
      <c r="V193" s="26"/>
      <c r="W193" s="9">
        <f t="array" ref="W193">SQRT(MMULT(MMULT(P193:S193,$K$3:$N$6),TRANSPOSE(P193:S193)))</f>
        <v>0.11127068610403777</v>
      </c>
    </row>
    <row r="194" spans="16:23" x14ac:dyDescent="0.3">
      <c r="P194" s="26">
        <v>0.13868193767370157</v>
      </c>
      <c r="Q194" s="26">
        <v>0.38538419788777162</v>
      </c>
      <c r="R194" s="26">
        <v>6.3631477321792002E-2</v>
      </c>
      <c r="S194" s="26">
        <v>0.41230238711673467</v>
      </c>
      <c r="T194" s="26"/>
      <c r="U194" s="9">
        <f t="array" ref="U194">MMULT(TRANSPOSE($B$3:$B$6),TRANSPOSE(P194:S194))</f>
        <v>8.9114110148798525E-2</v>
      </c>
      <c r="V194" s="26"/>
      <c r="W194" s="9">
        <f t="array" ref="W194">SQRT(MMULT(MMULT(P194:S194,$K$3:$N$6),TRANSPOSE(P194:S194)))</f>
        <v>0.15051136097311954</v>
      </c>
    </row>
    <row r="195" spans="16:23" x14ac:dyDescent="0.3">
      <c r="P195" s="26">
        <v>6.0685216532791657E-4</v>
      </c>
      <c r="Q195" s="26">
        <v>0.354395768309612</v>
      </c>
      <c r="R195" s="26">
        <v>0.18043700022284501</v>
      </c>
      <c r="S195" s="26">
        <v>0.46456037930221517</v>
      </c>
      <c r="T195" s="26"/>
      <c r="U195" s="9">
        <f t="array" ref="U195">MMULT(TRANSPOSE($B$3:$B$6),TRANSPOSE(P195:S195))</f>
        <v>9.6824621926261095E-2</v>
      </c>
      <c r="V195" s="26"/>
      <c r="W195" s="9">
        <f t="array" ref="W195">SQRT(MMULT(MMULT(P195:S195,$K$3:$N$6),TRANSPOSE(P195:S195)))</f>
        <v>0.17381193252734456</v>
      </c>
    </row>
    <row r="196" spans="16:23" x14ac:dyDescent="0.3">
      <c r="P196" s="26">
        <v>0.23396206939530523</v>
      </c>
      <c r="Q196" s="26">
        <v>0.23520597905898294</v>
      </c>
      <c r="R196" s="26">
        <v>0.3490886735607015</v>
      </c>
      <c r="S196" s="26">
        <v>0.18174327798501028</v>
      </c>
      <c r="T196" s="26"/>
      <c r="U196" s="9">
        <f t="array" ref="U196">MMULT(TRANSPOSE($B$3:$B$6),TRANSPOSE(P196:S196))</f>
        <v>8.1389695982558449E-2</v>
      </c>
      <c r="V196" s="26"/>
      <c r="W196" s="9">
        <f t="array" ref="W196">SQRT(MMULT(MMULT(P196:S196,$K$3:$N$6),TRANSPOSE(P196:S196)))</f>
        <v>0.12382176328147378</v>
      </c>
    </row>
    <row r="197" spans="16:23" x14ac:dyDescent="0.3">
      <c r="P197" s="26">
        <v>0.21946644493594933</v>
      </c>
      <c r="Q197" s="26">
        <v>0.20730575031738435</v>
      </c>
      <c r="R197" s="26">
        <v>0.42452297297178365</v>
      </c>
      <c r="S197" s="26">
        <v>0.14870483177488267</v>
      </c>
      <c r="T197" s="26"/>
      <c r="U197" s="9">
        <f t="array" ref="U197">MMULT(TRANSPOSE($B$3:$B$6),TRANSPOSE(P197:S197))</f>
        <v>8.1536372149460828E-2</v>
      </c>
      <c r="V197" s="26"/>
      <c r="W197" s="9">
        <f t="array" ref="W197">SQRT(MMULT(MMULT(P197:S197,$K$3:$N$6),TRANSPOSE(P197:S197)))</f>
        <v>0.12760434814636268</v>
      </c>
    </row>
    <row r="198" spans="16:23" x14ac:dyDescent="0.3">
      <c r="P198" s="26">
        <v>0.12443738453240955</v>
      </c>
      <c r="Q198" s="26">
        <v>9.4934167236724543E-2</v>
      </c>
      <c r="R198" s="26">
        <v>0.3639498994025186</v>
      </c>
      <c r="S198" s="26">
        <v>0.41667854882834721</v>
      </c>
      <c r="T198" s="26"/>
      <c r="U198" s="9">
        <f t="array" ref="U198">MMULT(TRANSPOSE($B$3:$B$6),TRANSPOSE(P198:S198))</f>
        <v>9.5624177738819538E-2</v>
      </c>
      <c r="V198" s="26"/>
      <c r="W198" s="9">
        <f t="array" ref="W198">SQRT(MMULT(MMULT(P198:S198,$K$3:$N$6),TRANSPOSE(P198:S198)))</f>
        <v>0.17305094408181093</v>
      </c>
    </row>
    <row r="199" spans="16:23" x14ac:dyDescent="0.3">
      <c r="P199" s="26">
        <v>4.2493300301576123E-2</v>
      </c>
      <c r="Q199" s="26">
        <v>0.40839064462190361</v>
      </c>
      <c r="R199" s="26">
        <v>3.1963350666926592E-2</v>
      </c>
      <c r="S199" s="26">
        <v>0.51715270440959371</v>
      </c>
      <c r="T199" s="26"/>
      <c r="U199" s="9">
        <f t="array" ref="U199">MMULT(TRANSPOSE($B$3:$B$6),TRANSPOSE(P199:S199))</f>
        <v>9.5647036227786697E-2</v>
      </c>
      <c r="V199" s="26"/>
      <c r="W199" s="9">
        <f t="array" ref="W199">SQRT(MMULT(MMULT(P199:S199,$K$3:$N$6),TRANSPOSE(P199:S199)))</f>
        <v>0.17602967788599252</v>
      </c>
    </row>
    <row r="200" spans="16:23" x14ac:dyDescent="0.3">
      <c r="P200" s="26">
        <v>0.38535422854651419</v>
      </c>
      <c r="Q200" s="26">
        <v>0.10077253797601425</v>
      </c>
      <c r="R200" s="26">
        <v>0.37973532226103618</v>
      </c>
      <c r="S200" s="26">
        <v>0.13413791121643537</v>
      </c>
      <c r="T200" s="26"/>
      <c r="U200" s="9">
        <f t="array" ref="U200">MMULT(TRANSPOSE($B$3:$B$6),TRANSPOSE(P200:S200))</f>
        <v>7.6594517435112197E-2</v>
      </c>
      <c r="V200" s="26"/>
      <c r="W200" s="9">
        <f t="array" ref="W200">SQRT(MMULT(MMULT(P200:S200,$K$3:$N$6),TRANSPOSE(P200:S200)))</f>
        <v>0.11545400199940097</v>
      </c>
    </row>
    <row r="201" spans="16:23" x14ac:dyDescent="0.3">
      <c r="P201" s="26">
        <v>0.2030578613954899</v>
      </c>
      <c r="Q201" s="26">
        <v>0.42342755374410546</v>
      </c>
      <c r="R201" s="26">
        <v>0.19144235839788845</v>
      </c>
      <c r="S201" s="26">
        <v>0.18207222646251606</v>
      </c>
      <c r="T201" s="26"/>
      <c r="U201" s="9">
        <f t="array" ref="U201">MMULT(TRANSPOSE($B$3:$B$6),TRANSPOSE(P201:S201))</f>
        <v>7.8871301263173765E-2</v>
      </c>
      <c r="V201" s="26"/>
      <c r="W201" s="9">
        <f t="array" ref="W201">SQRT(MMULT(MMULT(P201:S201,$K$3:$N$6),TRANSPOSE(P201:S201)))</f>
        <v>0.11620784721155192</v>
      </c>
    </row>
    <row r="202" spans="16:23" x14ac:dyDescent="0.3">
      <c r="P202" s="26">
        <v>0.39370404662229647</v>
      </c>
      <c r="Q202" s="26">
        <v>0.15413244724842301</v>
      </c>
      <c r="R202" s="26">
        <v>0.44093555551894448</v>
      </c>
      <c r="S202" s="26">
        <v>1.1227950610336011E-2</v>
      </c>
      <c r="T202" s="26"/>
      <c r="U202" s="9">
        <f t="array" ref="U202">MMULT(TRANSPOSE($B$3:$B$6),TRANSPOSE(P202:S202))</f>
        <v>7.1506027708449771E-2</v>
      </c>
      <c r="V202" s="26"/>
      <c r="W202" s="9">
        <f t="array" ref="W202">SQRT(MMULT(MMULT(P202:S202,$K$3:$N$6),TRANSPOSE(P202:S202)))</f>
        <v>0.11145024608196563</v>
      </c>
    </row>
    <row r="203" spans="16:23" x14ac:dyDescent="0.3">
      <c r="P203" s="26">
        <v>0.40183755293087425</v>
      </c>
      <c r="Q203" s="26">
        <v>0.21998514345755429</v>
      </c>
      <c r="R203" s="26">
        <v>0.26214555165712106</v>
      </c>
      <c r="S203" s="26">
        <v>0.11603175195445029</v>
      </c>
      <c r="T203" s="26"/>
      <c r="U203" s="9">
        <f t="array" ref="U203">MMULT(TRANSPOSE($B$3:$B$6),TRANSPOSE(P203:S203))</f>
        <v>7.3007747572247442E-2</v>
      </c>
      <c r="V203" s="26"/>
      <c r="W203" s="9">
        <f t="array" ref="W203">SQRT(MMULT(MMULT(P203:S203,$K$3:$N$6),TRANSPOSE(P203:S203)))</f>
        <v>0.10238900626088002</v>
      </c>
    </row>
    <row r="204" spans="16:23" x14ac:dyDescent="0.3">
      <c r="P204" s="26">
        <v>0.43450779147634966</v>
      </c>
      <c r="Q204" s="26">
        <v>0.32702465518960455</v>
      </c>
      <c r="R204" s="26">
        <v>8.6099637068690102E-2</v>
      </c>
      <c r="S204" s="26">
        <v>0.15236791626535576</v>
      </c>
      <c r="T204" s="26"/>
      <c r="U204" s="9">
        <f t="array" ref="U204">MMULT(TRANSPOSE($B$3:$B$6),TRANSPOSE(P204:S204))</f>
        <v>7.0650232725114601E-2</v>
      </c>
      <c r="V204" s="26"/>
      <c r="W204" s="9">
        <f t="array" ref="W204">SQRT(MMULT(MMULT(P204:S204,$K$3:$N$6),TRANSPOSE(P204:S204)))</f>
        <v>9.7293391779197838E-2</v>
      </c>
    </row>
    <row r="205" spans="16:23" x14ac:dyDescent="0.3">
      <c r="P205" s="26">
        <v>0.17161992733418141</v>
      </c>
      <c r="Q205" s="26">
        <v>0.35614219922446072</v>
      </c>
      <c r="R205" s="26">
        <v>0.30773515012678759</v>
      </c>
      <c r="S205" s="26">
        <v>0.16450272331457028</v>
      </c>
      <c r="T205" s="26"/>
      <c r="U205" s="9">
        <f t="array" ref="U205">MMULT(TRANSPOSE($B$3:$B$6),TRANSPOSE(P205:S205))</f>
        <v>8.094744062158063E-2</v>
      </c>
      <c r="V205" s="26"/>
      <c r="W205" s="9">
        <f t="array" ref="W205">SQRT(MMULT(MMULT(P205:S205,$K$3:$N$6),TRANSPOSE(P205:S205)))</f>
        <v>0.12232962695384944</v>
      </c>
    </row>
    <row r="206" spans="16:23" x14ac:dyDescent="0.3">
      <c r="P206" s="26">
        <v>0.39327071046220902</v>
      </c>
      <c r="Q206" s="26">
        <v>0.23593688236794147</v>
      </c>
      <c r="R206" s="26">
        <v>0.16619382007193026</v>
      </c>
      <c r="S206" s="26">
        <v>0.20459858709791934</v>
      </c>
      <c r="T206" s="26"/>
      <c r="U206" s="9">
        <f t="array" ref="U206">MMULT(TRANSPOSE($B$3:$B$6),TRANSPOSE(P206:S206))</f>
        <v>7.5688391547090395E-2</v>
      </c>
      <c r="V206" s="26"/>
      <c r="W206" s="9">
        <f t="array" ref="W206">SQRT(MMULT(MMULT(P206:S206,$K$3:$N$6),TRANSPOSE(P206:S206)))</f>
        <v>0.1072535394963042</v>
      </c>
    </row>
    <row r="207" spans="16:23" x14ac:dyDescent="0.3">
      <c r="P207" s="26">
        <v>0.16762198600893852</v>
      </c>
      <c r="Q207" s="26">
        <v>0.21670862124160131</v>
      </c>
      <c r="R207" s="26">
        <v>0.32291462547741018</v>
      </c>
      <c r="S207" s="26">
        <v>0.29275476727204996</v>
      </c>
      <c r="T207" s="26"/>
      <c r="U207" s="9">
        <f t="array" ref="U207">MMULT(TRANSPOSE($B$3:$B$6),TRANSPOSE(P207:S207))</f>
        <v>8.7743591152971923E-2</v>
      </c>
      <c r="V207" s="26"/>
      <c r="W207" s="9">
        <f t="array" ref="W207">SQRT(MMULT(MMULT(P207:S207,$K$3:$N$6),TRANSPOSE(P207:S207)))</f>
        <v>0.14202819242578563</v>
      </c>
    </row>
    <row r="208" spans="16:23" x14ac:dyDescent="0.3">
      <c r="P208" s="26">
        <v>0.27183215212887785</v>
      </c>
      <c r="Q208" s="26">
        <v>0.12591216088614568</v>
      </c>
      <c r="R208" s="26">
        <v>0.28345593440097822</v>
      </c>
      <c r="S208" s="26">
        <v>0.31879975258399817</v>
      </c>
      <c r="T208" s="26"/>
      <c r="U208" s="9">
        <f t="array" ref="U208">MMULT(TRANSPOSE($B$3:$B$6),TRANSPOSE(P208:S208))</f>
        <v>8.6172463274641911E-2</v>
      </c>
      <c r="V208" s="26"/>
      <c r="W208" s="9">
        <f t="array" ref="W208">SQRT(MMULT(MMULT(P208:S208,$K$3:$N$6),TRANSPOSE(P208:S208)))</f>
        <v>0.13989755732822196</v>
      </c>
    </row>
    <row r="209" spans="16:23" x14ac:dyDescent="0.3">
      <c r="P209" s="26">
        <v>0.10829543911467684</v>
      </c>
      <c r="Q209" s="26">
        <v>0.41016901176260973</v>
      </c>
      <c r="R209" s="26">
        <v>8.7096844234223134E-2</v>
      </c>
      <c r="S209" s="26">
        <v>0.39443870488849042</v>
      </c>
      <c r="T209" s="26"/>
      <c r="U209" s="9">
        <f t="array" ref="U209">MMULT(TRANSPOSE($B$3:$B$6),TRANSPOSE(P209:S209))</f>
        <v>8.9297963346815459E-2</v>
      </c>
      <c r="V209" s="26"/>
      <c r="W209" s="9">
        <f t="array" ref="W209">SQRT(MMULT(MMULT(P209:S209,$K$3:$N$6),TRANSPOSE(P209:S209)))</f>
        <v>0.14962945494343147</v>
      </c>
    </row>
    <row r="210" spans="16:23" x14ac:dyDescent="0.3">
      <c r="P210" s="26">
        <v>0.42772813633621032</v>
      </c>
      <c r="Q210" s="26">
        <v>0.27457633897712314</v>
      </c>
      <c r="R210" s="26">
        <v>0.2288639801175068</v>
      </c>
      <c r="S210" s="26">
        <v>6.8831544569159506E-2</v>
      </c>
      <c r="T210" s="26"/>
      <c r="U210" s="9">
        <f t="array" ref="U210">MMULT(TRANSPOSE($B$3:$B$6),TRANSPOSE(P210:S210))</f>
        <v>6.946429410408389E-2</v>
      </c>
      <c r="V210" s="26"/>
      <c r="W210" s="9">
        <f t="array" ref="W210">SQRT(MMULT(MMULT(P210:S210,$K$3:$N$6),TRANSPOSE(P210:S210)))</f>
        <v>9.638108972476904E-2</v>
      </c>
    </row>
    <row r="211" spans="16:23" x14ac:dyDescent="0.3">
      <c r="P211" s="26">
        <v>0.50135527953852621</v>
      </c>
      <c r="Q211" s="26">
        <v>0.24923907112322191</v>
      </c>
      <c r="R211" s="26">
        <v>0.12158157635239118</v>
      </c>
      <c r="S211" s="26">
        <v>0.12782407298586071</v>
      </c>
      <c r="T211" s="26"/>
      <c r="U211" s="9">
        <f t="array" ref="U211">MMULT(TRANSPOSE($B$3:$B$6),TRANSPOSE(P211:S211))</f>
        <v>6.8795729585570342E-2</v>
      </c>
      <c r="V211" s="26"/>
      <c r="W211" s="9">
        <f t="array" ref="W211">SQRT(MMULT(MMULT(P211:S211,$K$3:$N$6),TRANSPOSE(P211:S211)))</f>
        <v>9.3472132197918556E-2</v>
      </c>
    </row>
    <row r="212" spans="16:23" x14ac:dyDescent="0.3">
      <c r="P212" s="26">
        <v>0.21492856185459575</v>
      </c>
      <c r="Q212" s="26">
        <v>0.34721643748444359</v>
      </c>
      <c r="R212" s="26">
        <v>0.19579647169095415</v>
      </c>
      <c r="S212" s="26">
        <v>0.24205852897000665</v>
      </c>
      <c r="T212" s="26"/>
      <c r="U212" s="9">
        <f t="array" ref="U212">MMULT(TRANSPOSE($B$3:$B$6),TRANSPOSE(P212:S212))</f>
        <v>8.1720284645227514E-2</v>
      </c>
      <c r="V212" s="26"/>
      <c r="W212" s="9">
        <f t="array" ref="W212">SQRT(MMULT(MMULT(P212:S212,$K$3:$N$6),TRANSPOSE(P212:S212)))</f>
        <v>0.1225091885097777</v>
      </c>
    </row>
    <row r="213" spans="16:23" x14ac:dyDescent="0.3">
      <c r="P213" s="26">
        <v>0.25134328718841853</v>
      </c>
      <c r="Q213" s="26">
        <v>0.27865899438445041</v>
      </c>
      <c r="R213" s="26">
        <v>0.24007448130956069</v>
      </c>
      <c r="S213" s="26">
        <v>0.22992323711757043</v>
      </c>
      <c r="T213" s="26"/>
      <c r="U213" s="9">
        <f t="array" ref="U213">MMULT(TRANSPOSE($B$3:$B$6),TRANSPOSE(P213:S213))</f>
        <v>8.1270785738301377E-2</v>
      </c>
      <c r="V213" s="26"/>
      <c r="W213" s="9">
        <f t="array" ref="W213">SQRT(MMULT(MMULT(P213:S213,$K$3:$N$6),TRANSPOSE(P213:S213)))</f>
        <v>0.12127427034520259</v>
      </c>
    </row>
    <row r="214" spans="16:23" x14ac:dyDescent="0.3">
      <c r="P214" s="26">
        <v>0.37665394615805453</v>
      </c>
      <c r="Q214" s="26">
        <v>0.2955788362214784</v>
      </c>
      <c r="R214" s="26">
        <v>3.8661320360470014E-2</v>
      </c>
      <c r="S214" s="26">
        <v>0.28910589725999708</v>
      </c>
      <c r="T214" s="26"/>
      <c r="U214" s="9">
        <f t="array" ref="U214">MMULT(TRANSPOSE($B$3:$B$6),TRANSPOSE(P214:S214))</f>
        <v>7.7695442347048171E-2</v>
      </c>
      <c r="V214" s="26"/>
      <c r="W214" s="9">
        <f t="array" ref="W214">SQRT(MMULT(MMULT(P214:S214,$K$3:$N$6),TRANSPOSE(P214:S214)))</f>
        <v>0.1163220476611028</v>
      </c>
    </row>
    <row r="215" spans="16:23" x14ac:dyDescent="0.3">
      <c r="P215" s="26">
        <v>0.13075070589788959</v>
      </c>
      <c r="Q215" s="26">
        <v>0.13611897210804863</v>
      </c>
      <c r="R215" s="26">
        <v>0.23729235398136772</v>
      </c>
      <c r="S215" s="26">
        <v>0.49583796801269414</v>
      </c>
      <c r="T215" s="26"/>
      <c r="U215" s="9">
        <f t="array" ref="U215">MMULT(TRANSPOSE($B$3:$B$6),TRANSPOSE(P215:S215))</f>
        <v>9.6922731362304282E-2</v>
      </c>
      <c r="V215" s="26"/>
      <c r="W215" s="9">
        <f t="array" ref="W215">SQRT(MMULT(MMULT(P215:S215,$K$3:$N$6),TRANSPOSE(P215:S215)))</f>
        <v>0.1795242594156676</v>
      </c>
    </row>
    <row r="216" spans="16:23" x14ac:dyDescent="0.3">
      <c r="P216" s="26">
        <v>0.1623736870617607</v>
      </c>
      <c r="Q216" s="26">
        <v>0.37250242641140535</v>
      </c>
      <c r="R216" s="26">
        <v>6.4191564640579207E-2</v>
      </c>
      <c r="S216" s="26">
        <v>0.40093232188625483</v>
      </c>
      <c r="T216" s="26"/>
      <c r="U216" s="9">
        <f t="array" ref="U216">MMULT(TRANSPOSE($B$3:$B$6),TRANSPOSE(P216:S216))</f>
        <v>8.8082973645889129E-2</v>
      </c>
      <c r="V216" s="26"/>
      <c r="W216" s="9">
        <f t="array" ref="W216">SQRT(MMULT(MMULT(P216:S216,$K$3:$N$6),TRANSPOSE(P216:S216)))</f>
        <v>0.14706301594108109</v>
      </c>
    </row>
    <row r="217" spans="16:23" x14ac:dyDescent="0.3">
      <c r="P217" s="26">
        <v>0.37688203021909111</v>
      </c>
      <c r="Q217" s="26">
        <v>0.11282646212804112</v>
      </c>
      <c r="R217" s="26">
        <v>0.2907107534346377</v>
      </c>
      <c r="S217" s="26">
        <v>0.21958075421823006</v>
      </c>
      <c r="T217" s="26"/>
      <c r="U217" s="9">
        <f t="array" ref="U217">MMULT(TRANSPOSE($B$3:$B$6),TRANSPOSE(P217:S217))</f>
        <v>7.9255612175222437E-2</v>
      </c>
      <c r="V217" s="26"/>
      <c r="W217" s="9">
        <f t="array" ref="W217">SQRT(MMULT(MMULT(P217:S217,$K$3:$N$6),TRANSPOSE(P217:S217)))</f>
        <v>0.11935587427671245</v>
      </c>
    </row>
    <row r="218" spans="16:23" x14ac:dyDescent="0.3">
      <c r="P218" s="26">
        <v>0.25303789686143047</v>
      </c>
      <c r="Q218" s="26">
        <v>0.2781137436835554</v>
      </c>
      <c r="R218" s="26">
        <v>0.21461303404704671</v>
      </c>
      <c r="S218" s="26">
        <v>0.25423532540796728</v>
      </c>
      <c r="T218" s="26"/>
      <c r="U218" s="9">
        <f t="array" ref="U218">MMULT(TRANSPOSE($B$3:$B$6),TRANSPOSE(P218:S218))</f>
        <v>8.194326901411067E-2</v>
      </c>
      <c r="V218" s="26"/>
      <c r="W218" s="9">
        <f t="array" ref="W218">SQRT(MMULT(MMULT(P218:S218,$K$3:$N$6),TRANSPOSE(P218:S218)))</f>
        <v>0.12329764772134282</v>
      </c>
    </row>
    <row r="219" spans="16:23" x14ac:dyDescent="0.3">
      <c r="P219" s="26">
        <v>0.40071271858314639</v>
      </c>
      <c r="Q219" s="26">
        <v>0.15048326468329465</v>
      </c>
      <c r="R219" s="26">
        <v>0.32018096403367896</v>
      </c>
      <c r="S219" s="26">
        <v>0.12862305269987995</v>
      </c>
      <c r="T219" s="26"/>
      <c r="U219" s="9">
        <f t="array" ref="U219">MMULT(TRANSPOSE($B$3:$B$6),TRANSPOSE(P219:S219))</f>
        <v>7.482051754400465E-2</v>
      </c>
      <c r="V219" s="26"/>
      <c r="W219" s="9">
        <f t="array" ref="W219">SQRT(MMULT(MMULT(P219:S219,$K$3:$N$6),TRANSPOSE(P219:S219)))</f>
        <v>0.10840976996914635</v>
      </c>
    </row>
    <row r="220" spans="16:23" x14ac:dyDescent="0.3">
      <c r="P220" s="26">
        <v>0.25112820108511003</v>
      </c>
      <c r="Q220" s="26">
        <v>0.21720715110784483</v>
      </c>
      <c r="R220" s="26">
        <v>0.27153551839851842</v>
      </c>
      <c r="S220" s="26">
        <v>0.26012912940852662</v>
      </c>
      <c r="T220" s="26"/>
      <c r="U220" s="9">
        <f t="array" ref="U220">MMULT(TRANSPOSE($B$3:$B$6),TRANSPOSE(P220:S220))</f>
        <v>8.3414602816694494E-2</v>
      </c>
      <c r="V220" s="26"/>
      <c r="W220" s="9">
        <f t="array" ref="W220">SQRT(MMULT(MMULT(P220:S220,$K$3:$N$6),TRANSPOSE(P220:S220)))</f>
        <v>0.12840599367930869</v>
      </c>
    </row>
    <row r="221" spans="16:23" x14ac:dyDescent="0.3">
      <c r="P221" s="26">
        <v>0.22073897017358715</v>
      </c>
      <c r="Q221" s="26">
        <v>0.14327902344688132</v>
      </c>
      <c r="R221" s="26">
        <v>0.1788879698305188</v>
      </c>
      <c r="S221" s="26">
        <v>0.45709403654901271</v>
      </c>
      <c r="T221" s="26"/>
      <c r="U221" s="9">
        <f t="array" ref="U221">MMULT(TRANSPOSE($B$3:$B$6),TRANSPOSE(P221:S221))</f>
        <v>9.2017681820589253E-2</v>
      </c>
      <c r="V221" s="26"/>
      <c r="W221" s="9">
        <f t="array" ref="W221">SQRT(MMULT(MMULT(P221:S221,$K$3:$N$6),TRANSPOSE(P221:S221)))</f>
        <v>0.16327714559014103</v>
      </c>
    </row>
    <row r="222" spans="16:23" x14ac:dyDescent="0.3">
      <c r="P222" s="26">
        <v>0.43070985312551402</v>
      </c>
      <c r="Q222" s="26">
        <v>0.31860513921057476</v>
      </c>
      <c r="R222" s="26">
        <v>9.795037690146853E-2</v>
      </c>
      <c r="S222" s="26">
        <v>0.15273463076244267</v>
      </c>
      <c r="T222" s="26"/>
      <c r="U222" s="9">
        <f t="array" ref="U222">MMULT(TRANSPOSE($B$3:$B$6),TRANSPOSE(P222:S222))</f>
        <v>7.0981542013641236E-2</v>
      </c>
      <c r="V222" s="26"/>
      <c r="W222" s="9">
        <f t="array" ref="W222">SQRT(MMULT(MMULT(P222:S222,$K$3:$N$6),TRANSPOSE(P222:S222)))</f>
        <v>9.7619689341924012E-2</v>
      </c>
    </row>
    <row r="223" spans="16:23" x14ac:dyDescent="0.3">
      <c r="P223" s="26">
        <v>0.4390650199502199</v>
      </c>
      <c r="Q223" s="26">
        <v>0.25457366536818049</v>
      </c>
      <c r="R223" s="26">
        <v>0.20594748847249442</v>
      </c>
      <c r="S223" s="26">
        <v>0.10041382620910519</v>
      </c>
      <c r="T223" s="26"/>
      <c r="U223" s="9">
        <f t="array" ref="U223">MMULT(TRANSPOSE($B$3:$B$6),TRANSPOSE(P223:S223))</f>
        <v>7.0358340680900744E-2</v>
      </c>
      <c r="V223" s="26"/>
      <c r="W223" s="9">
        <f t="array" ref="W223">SQRT(MMULT(MMULT(P223:S223,$K$3:$N$6),TRANSPOSE(P223:S223)))</f>
        <v>9.654545252169261E-2</v>
      </c>
    </row>
    <row r="224" spans="16:23" x14ac:dyDescent="0.3">
      <c r="P224" s="26">
        <v>0.17696741099023408</v>
      </c>
      <c r="Q224" s="26">
        <v>9.6982647717062831E-2</v>
      </c>
      <c r="R224" s="26">
        <v>0.39164007396007161</v>
      </c>
      <c r="S224" s="26">
        <v>0.33440986733263162</v>
      </c>
      <c r="T224" s="26"/>
      <c r="U224" s="9">
        <f t="array" ref="U224">MMULT(TRANSPOSE($B$3:$B$6),TRANSPOSE(P224:S224))</f>
        <v>9.1013946626028339E-2</v>
      </c>
      <c r="V224" s="26"/>
      <c r="W224" s="9">
        <f t="array" ref="W224">SQRT(MMULT(MMULT(P224:S224,$K$3:$N$6),TRANSPOSE(P224:S224)))</f>
        <v>0.15666706357440843</v>
      </c>
    </row>
    <row r="225" spans="16:23" x14ac:dyDescent="0.3">
      <c r="P225" s="26">
        <v>6.5596869683452255E-2</v>
      </c>
      <c r="Q225" s="26">
        <v>0.30671336023809659</v>
      </c>
      <c r="R225" s="26">
        <v>0.28987174356096007</v>
      </c>
      <c r="S225" s="26">
        <v>0.33781802651749121</v>
      </c>
      <c r="T225" s="26"/>
      <c r="U225" s="9">
        <f t="array" ref="U225">MMULT(TRANSPOSE($B$3:$B$6),TRANSPOSE(P225:S225))</f>
        <v>9.1376398803424713E-2</v>
      </c>
      <c r="V225" s="26"/>
      <c r="W225" s="9">
        <f t="array" ref="W225">SQRT(MMULT(MMULT(P225:S225,$K$3:$N$6),TRANSPOSE(P225:S225)))</f>
        <v>0.15260422037857352</v>
      </c>
    </row>
    <row r="226" spans="16:23" x14ac:dyDescent="0.3">
      <c r="P226" s="26">
        <v>8.5309232133471469E-2</v>
      </c>
      <c r="Q226" s="26">
        <v>0.39244561094882763</v>
      </c>
      <c r="R226" s="26">
        <v>4.8774502038917152E-2</v>
      </c>
      <c r="S226" s="26">
        <v>0.47347065487878376</v>
      </c>
      <c r="T226" s="26"/>
      <c r="U226" s="9">
        <f t="array" ref="U226">MMULT(TRANSPOSE($B$3:$B$6),TRANSPOSE(P226:S226))</f>
        <v>9.2942838142048109E-2</v>
      </c>
      <c r="V226" s="26"/>
      <c r="W226" s="9">
        <f t="array" ref="W226">SQRT(MMULT(MMULT(P226:S226,$K$3:$N$6),TRANSPOSE(P226:S226)))</f>
        <v>0.16514526998609619</v>
      </c>
    </row>
    <row r="227" spans="16:23" x14ac:dyDescent="0.3">
      <c r="P227" s="26">
        <v>0.43043751671347857</v>
      </c>
      <c r="Q227" s="26">
        <v>1.1759415741230092E-2</v>
      </c>
      <c r="R227" s="26">
        <v>0.30330937488605159</v>
      </c>
      <c r="S227" s="26">
        <v>0.25449369265923966</v>
      </c>
      <c r="T227" s="26"/>
      <c r="U227" s="9">
        <f t="array" ref="U227">MMULT(TRANSPOSE($B$3:$B$6),TRANSPOSE(P227:S227))</f>
        <v>8.018212179641343E-2</v>
      </c>
      <c r="V227" s="26"/>
      <c r="W227" s="9">
        <f t="array" ref="W227">SQRT(MMULT(MMULT(P227:S227,$K$3:$N$6),TRANSPOSE(P227:S227)))</f>
        <v>0.12665807393015199</v>
      </c>
    </row>
    <row r="228" spans="16:23" x14ac:dyDescent="0.3">
      <c r="P228" s="26">
        <v>0.24689031654901497</v>
      </c>
      <c r="Q228" s="26">
        <v>0.25670597808309037</v>
      </c>
      <c r="R228" s="26">
        <v>0.21667620538147667</v>
      </c>
      <c r="S228" s="26">
        <v>0.27972749998641799</v>
      </c>
      <c r="T228" s="26"/>
      <c r="U228" s="9">
        <f t="array" ref="U228">MMULT(TRANSPOSE($B$3:$B$6),TRANSPOSE(P228:S228))</f>
        <v>8.338209277597014E-2</v>
      </c>
      <c r="V228" s="26"/>
      <c r="W228" s="9">
        <f t="array" ref="W228">SQRT(MMULT(MMULT(P228:S228,$K$3:$N$6),TRANSPOSE(P228:S228)))</f>
        <v>0.12794790153817046</v>
      </c>
    </row>
    <row r="229" spans="16:23" x14ac:dyDescent="0.3">
      <c r="P229" s="26">
        <v>0.56304495983945713</v>
      </c>
      <c r="Q229" s="26">
        <v>0.1532998228545151</v>
      </c>
      <c r="R229" s="26">
        <v>0.16719789043716879</v>
      </c>
      <c r="S229" s="26">
        <v>0.116457326868859</v>
      </c>
      <c r="T229" s="26"/>
      <c r="U229" s="9">
        <f t="array" ref="U229">MMULT(TRANSPOSE($B$3:$B$6),TRANSPOSE(P229:S229))</f>
        <v>6.7905924955397184E-2</v>
      </c>
      <c r="V229" s="26"/>
      <c r="W229" s="9">
        <f t="array" ref="W229">SQRT(MMULT(MMULT(P229:S229,$K$3:$N$6),TRANSPOSE(P229:S229)))</f>
        <v>9.3196607838015283E-2</v>
      </c>
    </row>
    <row r="230" spans="16:23" x14ac:dyDescent="0.3">
      <c r="P230" s="26">
        <v>1.9417157504793406E-2</v>
      </c>
      <c r="Q230" s="26">
        <v>0.26259523834106718</v>
      </c>
      <c r="R230" s="26">
        <v>0.31338471251992062</v>
      </c>
      <c r="S230" s="26">
        <v>0.40460289163421886</v>
      </c>
      <c r="T230" s="26"/>
      <c r="U230" s="9">
        <f t="array" ref="U230">MMULT(TRANSPOSE($B$3:$B$6),TRANSPOSE(P230:S230))</f>
        <v>9.610949568201349E-2</v>
      </c>
      <c r="V230" s="26"/>
      <c r="W230" s="9">
        <f t="array" ref="W230">SQRT(MMULT(MMULT(P230:S230,$K$3:$N$6),TRANSPOSE(P230:S230)))</f>
        <v>0.16976227100437771</v>
      </c>
    </row>
    <row r="231" spans="16:23" x14ac:dyDescent="0.3">
      <c r="P231" s="26">
        <v>6.3659919746299254E-2</v>
      </c>
      <c r="Q231" s="26">
        <v>0.38469967138494837</v>
      </c>
      <c r="R231" s="26">
        <v>0.12795178494959139</v>
      </c>
      <c r="S231" s="26">
        <v>0.42368862391916107</v>
      </c>
      <c r="T231" s="26"/>
      <c r="U231" s="9">
        <f t="array" ref="U231">MMULT(TRANSPOSE($B$3:$B$6),TRANSPOSE(P231:S231))</f>
        <v>9.2470268500023906E-2</v>
      </c>
      <c r="V231" s="26"/>
      <c r="W231" s="9">
        <f t="array" ref="W231">SQRT(MMULT(MMULT(P231:S231,$K$3:$N$6),TRANSPOSE(P231:S231)))</f>
        <v>0.1593640100977417</v>
      </c>
    </row>
    <row r="232" spans="16:23" x14ac:dyDescent="0.3">
      <c r="P232" s="26">
        <v>0.43517671167582028</v>
      </c>
      <c r="Q232" s="26">
        <v>0.32630373847170213</v>
      </c>
      <c r="R232" s="26">
        <v>0.13117304854924164</v>
      </c>
      <c r="S232" s="26">
        <v>0.10734650130323596</v>
      </c>
      <c r="T232" s="26"/>
      <c r="U232" s="9">
        <f t="array" ref="U232">MMULT(TRANSPOSE($B$3:$B$6),TRANSPOSE(P232:S232))</f>
        <v>6.9287251802630234E-2</v>
      </c>
      <c r="V232" s="26"/>
      <c r="W232" s="9">
        <f t="array" ref="W232">SQRT(MMULT(MMULT(P232:S232,$K$3:$N$6),TRANSPOSE(P232:S232)))</f>
        <v>9.4851761091533843E-2</v>
      </c>
    </row>
    <row r="233" spans="16:23" x14ac:dyDescent="0.3">
      <c r="P233" s="26">
        <v>0.14288041175534169</v>
      </c>
      <c r="Q233" s="26">
        <v>0.29835669263167247</v>
      </c>
      <c r="R233" s="26">
        <v>0.20155133436284439</v>
      </c>
      <c r="S233" s="26">
        <v>0.35721156125014147</v>
      </c>
      <c r="T233" s="26"/>
      <c r="U233" s="9">
        <f t="array" ref="U233">MMULT(TRANSPOSE($B$3:$B$6),TRANSPOSE(P233:S233))</f>
        <v>8.903399651465714E-2</v>
      </c>
      <c r="V233" s="26"/>
      <c r="W233" s="9">
        <f t="array" ref="W233">SQRT(MMULT(MMULT(P233:S233,$K$3:$N$6),TRANSPOSE(P233:S233)))</f>
        <v>0.14607349957297053</v>
      </c>
    </row>
    <row r="234" spans="16:23" x14ac:dyDescent="0.3">
      <c r="P234" s="26">
        <v>0.33296022761126426</v>
      </c>
      <c r="Q234" s="26">
        <v>0.11434469773653254</v>
      </c>
      <c r="R234" s="26">
        <v>0.30337714117115155</v>
      </c>
      <c r="S234" s="26">
        <v>0.24931793348105158</v>
      </c>
      <c r="T234" s="26"/>
      <c r="U234" s="9">
        <f t="array" ref="U234">MMULT(TRANSPOSE($B$3:$B$6),TRANSPOSE(P234:S234))</f>
        <v>8.1874234945250313E-2</v>
      </c>
      <c r="V234" s="26"/>
      <c r="W234" s="9">
        <f t="array" ref="W234">SQRT(MMULT(MMULT(P234:S234,$K$3:$N$6),TRANSPOSE(P234:S234)))</f>
        <v>0.12677446188817687</v>
      </c>
    </row>
    <row r="235" spans="16:23" x14ac:dyDescent="0.3">
      <c r="P235" s="26">
        <v>0.36119045597424321</v>
      </c>
      <c r="Q235" s="26">
        <v>0.15865119273867548</v>
      </c>
      <c r="R235" s="26">
        <v>5.7693772370654921E-2</v>
      </c>
      <c r="S235" s="26">
        <v>0.42246457891642647</v>
      </c>
      <c r="T235" s="26"/>
      <c r="U235" s="9">
        <f t="array" ref="U235">MMULT(TRANSPOSE($B$3:$B$6),TRANSPOSE(P235:S235))</f>
        <v>8.5053295273749552E-2</v>
      </c>
      <c r="V235" s="26"/>
      <c r="W235" s="9">
        <f t="array" ref="W235">SQRT(MMULT(MMULT(P235:S235,$K$3:$N$6),TRANSPOSE(P235:S235)))</f>
        <v>0.1445329729595905</v>
      </c>
    </row>
    <row r="236" spans="16:23" x14ac:dyDescent="0.3">
      <c r="P236" s="26">
        <v>0.41454536677457193</v>
      </c>
      <c r="Q236" s="26">
        <v>7.402316039645189E-2</v>
      </c>
      <c r="R236" s="26">
        <v>0.42760941554659204</v>
      </c>
      <c r="S236" s="26">
        <v>8.3822057282384024E-2</v>
      </c>
      <c r="T236" s="26"/>
      <c r="U236" s="9">
        <f t="array" ref="U236">MMULT(TRANSPOSE($B$3:$B$6),TRANSPOSE(P236:S236))</f>
        <v>7.4452383839559599E-2</v>
      </c>
      <c r="V236" s="26"/>
      <c r="W236" s="9">
        <f t="array" ref="W236">SQRT(MMULT(MMULT(P236:S236,$K$3:$N$6),TRANSPOSE(P236:S236)))</f>
        <v>0.11459315119285592</v>
      </c>
    </row>
    <row r="237" spans="16:23" x14ac:dyDescent="0.3">
      <c r="P237" s="26">
        <v>7.486407936887024E-2</v>
      </c>
      <c r="Q237" s="26">
        <v>0.50834319955155505</v>
      </c>
      <c r="R237" s="26">
        <v>0.41611818038210224</v>
      </c>
      <c r="S237" s="26">
        <v>6.7454069747241734E-4</v>
      </c>
      <c r="T237" s="26"/>
      <c r="U237" s="9">
        <f t="array" ref="U237">MMULT(TRANSPOSE($B$3:$B$6),TRANSPOSE(P237:S237))</f>
        <v>7.6858809055138255E-2</v>
      </c>
      <c r="V237" s="26"/>
      <c r="W237" s="9">
        <f t="array" ref="W237">SQRT(MMULT(MMULT(P237:S237,$K$3:$N$6),TRANSPOSE(P237:S237)))</f>
        <v>0.13028339888388396</v>
      </c>
    </row>
    <row r="238" spans="16:23" x14ac:dyDescent="0.3">
      <c r="P238" s="26">
        <v>2.7788432676405194E-2</v>
      </c>
      <c r="Q238" s="26">
        <v>0.32259624005715654</v>
      </c>
      <c r="R238" s="26">
        <v>0.45467545714628682</v>
      </c>
      <c r="S238" s="26">
        <v>0.19493987012015157</v>
      </c>
      <c r="T238" s="26"/>
      <c r="U238" s="9">
        <f t="array" ref="U238">MMULT(TRANSPOSE($B$3:$B$6),TRANSPOSE(P238:S238))</f>
        <v>8.8284733995405207E-2</v>
      </c>
      <c r="V238" s="26"/>
      <c r="W238" s="9">
        <f t="array" ref="W238">SQRT(MMULT(MMULT(P238:S238,$K$3:$N$6),TRANSPOSE(P238:S238)))</f>
        <v>0.14703665304249183</v>
      </c>
    </row>
    <row r="239" spans="16:23" x14ac:dyDescent="0.3">
      <c r="P239" s="26">
        <v>0.34291284965264313</v>
      </c>
      <c r="Q239" s="26">
        <v>9.1446748519382948E-2</v>
      </c>
      <c r="R239" s="26">
        <v>0.36242721383802595</v>
      </c>
      <c r="S239" s="26">
        <v>0.20321318798994792</v>
      </c>
      <c r="T239" s="26"/>
      <c r="U239" s="9">
        <f t="array" ref="U239">MMULT(TRANSPOSE($B$3:$B$6),TRANSPOSE(P239:S239))</f>
        <v>8.0550946683205046E-2</v>
      </c>
      <c r="V239" s="26"/>
      <c r="W239" s="9">
        <f t="array" ref="W239">SQRT(MMULT(MMULT(P239:S239,$K$3:$N$6),TRANSPOSE(P239:S239)))</f>
        <v>0.12461194589370114</v>
      </c>
    </row>
    <row r="240" spans="16:23" x14ac:dyDescent="0.3">
      <c r="P240" s="26">
        <v>0.25054865647111263</v>
      </c>
      <c r="Q240" s="26">
        <v>0.60343413027361026</v>
      </c>
      <c r="R240" s="26">
        <v>7.6947793161259007E-2</v>
      </c>
      <c r="S240" s="26">
        <v>6.9069420094018161E-2</v>
      </c>
      <c r="T240" s="26"/>
      <c r="U240" s="9">
        <f t="array" ref="U240">MMULT(TRANSPOSE($B$3:$B$6),TRANSPOSE(P240:S240))</f>
        <v>6.998145373850384E-2</v>
      </c>
      <c r="V240" s="26"/>
      <c r="W240" s="9">
        <f t="array" ref="W240">SQRT(MMULT(MMULT(P240:S240,$K$3:$N$6),TRANSPOSE(P240:S240)))</f>
        <v>0.10949476759269594</v>
      </c>
    </row>
    <row r="241" spans="16:23" x14ac:dyDescent="0.3">
      <c r="P241" s="26">
        <v>0.24232447268099686</v>
      </c>
      <c r="Q241" s="26">
        <v>0.20384299569098441</v>
      </c>
      <c r="R241" s="26">
        <v>0.3907197681381599</v>
      </c>
      <c r="S241" s="26">
        <v>0.16311276348985887</v>
      </c>
      <c r="T241" s="26"/>
      <c r="U241" s="9">
        <f t="array" ref="U241">MMULT(TRANSPOSE($B$3:$B$6),TRANSPOSE(P241:S241))</f>
        <v>8.1123544083636201E-2</v>
      </c>
      <c r="V241" s="26"/>
      <c r="W241" s="9">
        <f t="array" ref="W241">SQRT(MMULT(MMULT(P241:S241,$K$3:$N$6),TRANSPOSE(P241:S241)))</f>
        <v>0.12493509061120814</v>
      </c>
    </row>
    <row r="242" spans="16:23" x14ac:dyDescent="0.3">
      <c r="P242" s="26">
        <v>0.39828293699596851</v>
      </c>
      <c r="Q242" s="26">
        <v>6.802828856895167E-2</v>
      </c>
      <c r="R242" s="26">
        <v>0.16919813733715833</v>
      </c>
      <c r="S242" s="26">
        <v>0.36449063709792162</v>
      </c>
      <c r="T242" s="26"/>
      <c r="U242" s="9">
        <f t="array" ref="U242">MMULT(TRANSPOSE($B$3:$B$6),TRANSPOSE(P242:S242))</f>
        <v>8.3642835861719889E-2</v>
      </c>
      <c r="V242" s="26"/>
      <c r="W242" s="9">
        <f t="array" ref="W242">SQRT(MMULT(MMULT(P242:S242,$K$3:$N$6),TRANSPOSE(P242:S242)))</f>
        <v>0.13802369954490515</v>
      </c>
    </row>
    <row r="243" spans="16:23" x14ac:dyDescent="0.3">
      <c r="P243" s="26">
        <v>0.12191352113113987</v>
      </c>
      <c r="Q243" s="26">
        <v>0.31263257567447733</v>
      </c>
      <c r="R243" s="26">
        <v>0.40689199726919478</v>
      </c>
      <c r="S243" s="26">
        <v>0.15856190592518804</v>
      </c>
      <c r="T243" s="26"/>
      <c r="U243" s="9">
        <f t="array" ref="U243">MMULT(TRANSPOSE($B$3:$B$6),TRANSPOSE(P243:S243))</f>
        <v>8.3627664819020495E-2</v>
      </c>
      <c r="V243" s="26"/>
      <c r="W243" s="9">
        <f t="array" ref="W243">SQRT(MMULT(MMULT(P243:S243,$K$3:$N$6),TRANSPOSE(P243:S243)))</f>
        <v>0.13247942732003931</v>
      </c>
    </row>
    <row r="244" spans="16:23" x14ac:dyDescent="0.3">
      <c r="P244" s="26">
        <v>0.3492579689432122</v>
      </c>
      <c r="Q244" s="26">
        <v>0.11023789045866007</v>
      </c>
      <c r="R244" s="26">
        <v>0.40607427715705674</v>
      </c>
      <c r="S244" s="26">
        <v>0.13442986344107102</v>
      </c>
      <c r="T244" s="26"/>
      <c r="U244" s="9">
        <f t="array" ref="U244">MMULT(TRANSPOSE($B$3:$B$6),TRANSPOSE(P244:S244))</f>
        <v>7.7857819336330444E-2</v>
      </c>
      <c r="V244" s="26"/>
      <c r="W244" s="9">
        <f t="array" ref="W244">SQRT(MMULT(MMULT(P244:S244,$K$3:$N$6),TRANSPOSE(P244:S244)))</f>
        <v>0.11922275418384827</v>
      </c>
    </row>
    <row r="245" spans="16:23" x14ac:dyDescent="0.3">
      <c r="P245" s="26">
        <v>0.80714361864530293</v>
      </c>
      <c r="Q245" s="26">
        <v>5.7006248827313234E-2</v>
      </c>
      <c r="R245" s="26">
        <v>8.8831246525497384E-2</v>
      </c>
      <c r="S245" s="26">
        <v>4.7018886001886404E-2</v>
      </c>
      <c r="T245" s="26"/>
      <c r="U245" s="9">
        <f t="array" ref="U245">MMULT(TRANSPOSE($B$3:$B$6),TRANSPOSE(P245:S245))</f>
        <v>5.7984696857698206E-2</v>
      </c>
      <c r="V245" s="26"/>
      <c r="W245" s="9">
        <f t="array" ref="W245">SQRT(MMULT(MMULT(P245:S245,$K$3:$N$6),TRANSPOSE(P245:S245)))</f>
        <v>8.9972322534192434E-2</v>
      </c>
    </row>
    <row r="246" spans="16:23" x14ac:dyDescent="0.3">
      <c r="P246" s="26">
        <v>0.23205198486381587</v>
      </c>
      <c r="Q246" s="26">
        <v>0.16268974767687777</v>
      </c>
      <c r="R246" s="26">
        <v>0.29136129296882657</v>
      </c>
      <c r="S246" s="26">
        <v>0.31389697449047976</v>
      </c>
      <c r="T246" s="26"/>
      <c r="U246" s="9">
        <f t="array" ref="U246">MMULT(TRANSPOSE($B$3:$B$6),TRANSPOSE(P246:S246))</f>
        <v>8.6881034886624214E-2</v>
      </c>
      <c r="V246" s="26"/>
      <c r="W246" s="9">
        <f t="array" ref="W246">SQRT(MMULT(MMULT(P246:S246,$K$3:$N$6),TRANSPOSE(P246:S246)))</f>
        <v>0.14076845567967727</v>
      </c>
    </row>
    <row r="247" spans="16:23" x14ac:dyDescent="0.3">
      <c r="P247" s="26">
        <v>6.0444562405377921E-3</v>
      </c>
      <c r="Q247" s="26">
        <v>0.1994715136810776</v>
      </c>
      <c r="R247" s="26">
        <v>0.36082801586573293</v>
      </c>
      <c r="S247" s="26">
        <v>0.43365601421265171</v>
      </c>
      <c r="T247" s="26"/>
      <c r="U247" s="9">
        <f t="array" ref="U247">MMULT(TRANSPOSE($B$3:$B$6),TRANSPOSE(P247:S247))</f>
        <v>9.8778471903136489E-2</v>
      </c>
      <c r="V247" s="26"/>
      <c r="W247" s="9">
        <f t="array" ref="W247">SQRT(MMULT(MMULT(P247:S247,$K$3:$N$6),TRANSPOSE(P247:S247)))</f>
        <v>0.18065815217849576</v>
      </c>
    </row>
    <row r="248" spans="16:23" x14ac:dyDescent="0.3">
      <c r="P248" s="26">
        <v>0.13653335912260062</v>
      </c>
      <c r="Q248" s="26">
        <v>0.42378036005776015</v>
      </c>
      <c r="R248" s="26">
        <v>0.23809146046266455</v>
      </c>
      <c r="S248" s="26">
        <v>0.20159482035697471</v>
      </c>
      <c r="T248" s="26"/>
      <c r="U248" s="9">
        <f t="array" ref="U248">MMULT(TRANSPOSE($B$3:$B$6),TRANSPOSE(P248:S248))</f>
        <v>8.2110903044650019E-2</v>
      </c>
      <c r="V248" s="26"/>
      <c r="W248" s="9">
        <f t="array" ref="W248">SQRT(MMULT(MMULT(P248:S248,$K$3:$N$6),TRANSPOSE(P248:S248)))</f>
        <v>0.12490418858886737</v>
      </c>
    </row>
    <row r="249" spans="16:23" x14ac:dyDescent="0.3">
      <c r="P249" s="26">
        <v>0.20720506825300378</v>
      </c>
      <c r="Q249" s="26">
        <v>0.37384666415506002</v>
      </c>
      <c r="R249" s="26">
        <v>0.14059614306100821</v>
      </c>
      <c r="S249" s="26">
        <v>0.27835212453092795</v>
      </c>
      <c r="T249" s="26"/>
      <c r="U249" s="9">
        <f t="array" ref="U249">MMULT(TRANSPOSE($B$3:$B$6),TRANSPOSE(P249:S249))</f>
        <v>8.2585427722706481E-2</v>
      </c>
      <c r="V249" s="26"/>
      <c r="W249" s="9">
        <f t="array" ref="W249">SQRT(MMULT(MMULT(P249:S249,$K$3:$N$6),TRANSPOSE(P249:S249)))</f>
        <v>0.12591001451226355</v>
      </c>
    </row>
    <row r="250" spans="16:23" x14ac:dyDescent="0.3">
      <c r="P250" s="26">
        <v>0.13078981363444181</v>
      </c>
      <c r="Q250" s="26">
        <v>0.37330354319010478</v>
      </c>
      <c r="R250" s="26">
        <v>0.2271402694428856</v>
      </c>
      <c r="S250" s="26">
        <v>0.26876637373256779</v>
      </c>
      <c r="T250" s="26"/>
      <c r="U250" s="9">
        <f t="array" ref="U250">MMULT(TRANSPOSE($B$3:$B$6),TRANSPOSE(P250:S250))</f>
        <v>8.5365327802797264E-2</v>
      </c>
      <c r="V250" s="26"/>
      <c r="W250" s="9">
        <f t="array" ref="W250">SQRT(MMULT(MMULT(P250:S250,$K$3:$N$6),TRANSPOSE(P250:S250)))</f>
        <v>0.13322242274522053</v>
      </c>
    </row>
    <row r="251" spans="16:23" x14ac:dyDescent="0.3">
      <c r="P251" s="26">
        <v>5.9214154513829428E-2</v>
      </c>
      <c r="Q251" s="26">
        <v>0.21212676362471539</v>
      </c>
      <c r="R251" s="26">
        <v>0.41164339253983623</v>
      </c>
      <c r="S251" s="26">
        <v>0.31701568932161889</v>
      </c>
      <c r="T251" s="26"/>
      <c r="U251" s="9">
        <f t="array" ref="U251">MMULT(TRANSPOSE($B$3:$B$6),TRANSPOSE(P251:S251))</f>
        <v>9.2899369226601081E-2</v>
      </c>
      <c r="V251" s="26"/>
      <c r="W251" s="9">
        <f t="array" ref="W251">SQRT(MMULT(MMULT(P251:S251,$K$3:$N$6),TRANSPOSE(P251:S251)))</f>
        <v>0.1598139064166855</v>
      </c>
    </row>
    <row r="252" spans="16:23" x14ac:dyDescent="0.3">
      <c r="P252" s="26">
        <v>0.17192760739827267</v>
      </c>
      <c r="Q252" s="26">
        <v>0.23394365667416259</v>
      </c>
      <c r="R252" s="26">
        <v>0.17805054674274914</v>
      </c>
      <c r="S252" s="26">
        <v>0.41607818918481559</v>
      </c>
      <c r="T252" s="26"/>
      <c r="U252" s="9">
        <f t="array" ref="U252">MMULT(TRANSPOSE($B$3:$B$6),TRANSPOSE(P252:S252))</f>
        <v>9.0926368246130318E-2</v>
      </c>
      <c r="V252" s="26"/>
      <c r="W252" s="9">
        <f t="array" ref="W252">SQRT(MMULT(MMULT(P252:S252,$K$3:$N$6),TRANSPOSE(P252:S252)))</f>
        <v>0.15535817983708008</v>
      </c>
    </row>
    <row r="253" spans="16:23" x14ac:dyDescent="0.3">
      <c r="P253" s="26">
        <v>0.33056050424578159</v>
      </c>
      <c r="Q253" s="26">
        <v>0.31411572390535059</v>
      </c>
      <c r="R253" s="26">
        <v>0.2605427041557874</v>
      </c>
      <c r="S253" s="26">
        <v>9.4781067693080326E-2</v>
      </c>
      <c r="T253" s="26"/>
      <c r="U253" s="9">
        <f t="array" ref="U253">MMULT(TRANSPOSE($B$3:$B$6),TRANSPOSE(P253:S253))</f>
        <v>7.3338697382854132E-2</v>
      </c>
      <c r="V253" s="26"/>
      <c r="W253" s="9">
        <f t="array" ref="W253">SQRT(MMULT(MMULT(P253:S253,$K$3:$N$6),TRANSPOSE(P253:S253)))</f>
        <v>0.10404073266047242</v>
      </c>
    </row>
    <row r="254" spans="16:23" x14ac:dyDescent="0.3">
      <c r="P254" s="26">
        <v>0.21826220786336981</v>
      </c>
      <c r="Q254" s="26">
        <v>0.35709528595161316</v>
      </c>
      <c r="R254" s="26">
        <v>1.60973597470143E-2</v>
      </c>
      <c r="S254" s="26">
        <v>0.40854514643800272</v>
      </c>
      <c r="T254" s="26"/>
      <c r="U254" s="9">
        <f t="array" ref="U254">MMULT(TRANSPOSE($B$3:$B$6),TRANSPOSE(P254:S254))</f>
        <v>8.6383960359573034E-2</v>
      </c>
      <c r="V254" s="26"/>
      <c r="W254" s="9">
        <f t="array" ref="W254">SQRT(MMULT(MMULT(P254:S254,$K$3:$N$6),TRANSPOSE(P254:S254)))</f>
        <v>0.14442665220916387</v>
      </c>
    </row>
    <row r="255" spans="16:23" x14ac:dyDescent="0.3">
      <c r="P255" s="26">
        <v>0.38037680223925646</v>
      </c>
      <c r="Q255" s="26">
        <v>0.16486430473171199</v>
      </c>
      <c r="R255" s="26">
        <v>0.15755569172023479</v>
      </c>
      <c r="S255" s="26">
        <v>0.29720320130879679</v>
      </c>
      <c r="T255" s="26"/>
      <c r="U255" s="9">
        <f t="array" ref="U255">MMULT(TRANSPOSE($B$3:$B$6),TRANSPOSE(P255:S255))</f>
        <v>8.0403737855059401E-2</v>
      </c>
      <c r="V255" s="26"/>
      <c r="W255" s="9">
        <f t="array" ref="W255">SQRT(MMULT(MMULT(P255:S255,$K$3:$N$6),TRANSPOSE(P255:S255)))</f>
        <v>0.12293238920431382</v>
      </c>
    </row>
    <row r="256" spans="16:23" x14ac:dyDescent="0.3">
      <c r="P256" s="26">
        <v>4.0670341738537459E-2</v>
      </c>
      <c r="Q256" s="26">
        <v>0.19013717588622162</v>
      </c>
      <c r="R256" s="26">
        <v>0.38063075145327452</v>
      </c>
      <c r="S256" s="26">
        <v>0.38856173092196639</v>
      </c>
      <c r="T256" s="26"/>
      <c r="U256" s="9">
        <f t="array" ref="U256">MMULT(TRANSPOSE($B$3:$B$6),TRANSPOSE(P256:S256))</f>
        <v>9.6227294740393057E-2</v>
      </c>
      <c r="V256" s="26"/>
      <c r="W256" s="9">
        <f t="array" ref="W256">SQRT(MMULT(MMULT(P256:S256,$K$3:$N$6),TRANSPOSE(P256:S256)))</f>
        <v>0.17156879050207616</v>
      </c>
    </row>
    <row r="257" spans="16:23" x14ac:dyDescent="0.3">
      <c r="P257" s="26">
        <v>0.2637841016443252</v>
      </c>
      <c r="Q257" s="26">
        <v>0.23821252172045232</v>
      </c>
      <c r="R257" s="26">
        <v>0.1594586039140157</v>
      </c>
      <c r="S257" s="26">
        <v>0.33854477272120687</v>
      </c>
      <c r="T257" s="26"/>
      <c r="U257" s="9">
        <f t="array" ref="U257">MMULT(TRANSPOSE($B$3:$B$6),TRANSPOSE(P257:S257))</f>
        <v>8.4840728681454161E-2</v>
      </c>
      <c r="V257" s="26"/>
      <c r="W257" s="9">
        <f t="array" ref="W257">SQRT(MMULT(MMULT(P257:S257,$K$3:$N$6),TRANSPOSE(P257:S257)))</f>
        <v>0.13460589206473111</v>
      </c>
    </row>
    <row r="258" spans="16:23" x14ac:dyDescent="0.3">
      <c r="P258" s="26">
        <v>0.32027842183367211</v>
      </c>
      <c r="Q258" s="26">
        <v>4.6573738533088778E-3</v>
      </c>
      <c r="R258" s="26">
        <v>0.32938410148666569</v>
      </c>
      <c r="S258" s="26">
        <v>0.3456801028263532</v>
      </c>
      <c r="T258" s="26"/>
      <c r="U258" s="9">
        <f t="array" ref="U258">MMULT(TRANSPOSE($B$3:$B$6),TRANSPOSE(P258:S258))</f>
        <v>8.7466118734377513E-2</v>
      </c>
      <c r="V258" s="26"/>
      <c r="W258" s="9">
        <f t="array" ref="W258">SQRT(MMULT(MMULT(P258:S258,$K$3:$N$6),TRANSPOSE(P258:S258)))</f>
        <v>0.14963648789363826</v>
      </c>
    </row>
    <row r="259" spans="16:23" x14ac:dyDescent="0.3">
      <c r="P259" s="26">
        <v>0.42296371255319437</v>
      </c>
      <c r="Q259" s="26">
        <v>1.5105996054670619E-2</v>
      </c>
      <c r="R259" s="26">
        <v>0.39177809235636446</v>
      </c>
      <c r="S259" s="26">
        <v>0.17015219903577053</v>
      </c>
      <c r="T259" s="26"/>
      <c r="U259" s="9">
        <f t="array" ref="U259">MMULT(TRANSPOSE($B$3:$B$6),TRANSPOSE(P259:S259))</f>
        <v>7.7883897547851924E-2</v>
      </c>
      <c r="V259" s="26"/>
      <c r="W259" s="9">
        <f t="array" ref="W259">SQRT(MMULT(MMULT(P259:S259,$K$3:$N$6),TRANSPOSE(P259:S259)))</f>
        <v>0.12159721822595536</v>
      </c>
    </row>
    <row r="260" spans="16:23" x14ac:dyDescent="0.3">
      <c r="P260" s="26">
        <v>0.34292656142195121</v>
      </c>
      <c r="Q260" s="26">
        <v>0.15632726424574447</v>
      </c>
      <c r="R260" s="26">
        <v>0.24731043787777632</v>
      </c>
      <c r="S260" s="26">
        <v>0.25343573645452799</v>
      </c>
      <c r="T260" s="26"/>
      <c r="U260" s="9">
        <f t="array" ref="U260">MMULT(TRANSPOSE($B$3:$B$6),TRANSPOSE(P260:S260))</f>
        <v>8.0759464351842891E-2</v>
      </c>
      <c r="V260" s="26"/>
      <c r="W260" s="9">
        <f t="array" ref="W260">SQRT(MMULT(MMULT(P260:S260,$K$3:$N$6),TRANSPOSE(P260:S260)))</f>
        <v>0.12221137211780116</v>
      </c>
    </row>
    <row r="261" spans="16:23" x14ac:dyDescent="0.3">
      <c r="P261" s="26">
        <v>0.25530667565506837</v>
      </c>
      <c r="Q261" s="26">
        <v>0.259738182386057</v>
      </c>
      <c r="R261" s="26">
        <v>0.30789230993068645</v>
      </c>
      <c r="S261" s="26">
        <v>0.17706283202818823</v>
      </c>
      <c r="T261" s="26"/>
      <c r="U261" s="9">
        <f t="array" ref="U261">MMULT(TRANSPOSE($B$3:$B$6),TRANSPOSE(P261:S261))</f>
        <v>7.9904854286921789E-2</v>
      </c>
      <c r="V261" s="26"/>
      <c r="W261" s="9">
        <f t="array" ref="W261">SQRT(MMULT(MMULT(P261:S261,$K$3:$N$6),TRANSPOSE(P261:S261)))</f>
        <v>0.11874918967886976</v>
      </c>
    </row>
    <row r="262" spans="16:23" x14ac:dyDescent="0.3">
      <c r="P262" s="26">
        <v>0.20775216001770835</v>
      </c>
      <c r="Q262" s="26">
        <v>0.34671757938823489</v>
      </c>
      <c r="R262" s="26">
        <v>0.22227898719438538</v>
      </c>
      <c r="S262" s="26">
        <v>0.22325127339967132</v>
      </c>
      <c r="T262" s="26"/>
      <c r="U262" s="9">
        <f t="array" ref="U262">MMULT(TRANSPOSE($B$3:$B$6),TRANSPOSE(P262:S262))</f>
        <v>8.1453100213517107E-2</v>
      </c>
      <c r="V262" s="26"/>
      <c r="W262" s="9">
        <f t="array" ref="W262">SQRT(MMULT(MMULT(P262:S262,$K$3:$N$6),TRANSPOSE(P262:S262)))</f>
        <v>0.1217386389088676</v>
      </c>
    </row>
    <row r="263" spans="16:23" x14ac:dyDescent="0.3">
      <c r="P263" s="26">
        <v>0.47729400005615114</v>
      </c>
      <c r="Q263" s="26">
        <v>0.47001370725780045</v>
      </c>
      <c r="R263" s="26">
        <v>3.9914957718634979E-2</v>
      </c>
      <c r="S263" s="26">
        <v>1.2777334967413475E-2</v>
      </c>
      <c r="T263" s="26"/>
      <c r="U263" s="9">
        <f t="array" ref="U263">MMULT(TRANSPOSE($B$3:$B$6),TRANSPOSE(P263:S263))</f>
        <v>6.1891285901620352E-2</v>
      </c>
      <c r="V263" s="26"/>
      <c r="W263" s="9">
        <f t="array" ref="W263">SQRT(MMULT(MMULT(P263:S263,$K$3:$N$6),TRANSPOSE(P263:S263)))</f>
        <v>9.5832072850437738E-2</v>
      </c>
    </row>
    <row r="264" spans="16:23" x14ac:dyDescent="0.3">
      <c r="P264" s="26">
        <v>0.154793399904641</v>
      </c>
      <c r="Q264" s="26">
        <v>8.1479822810401975E-2</v>
      </c>
      <c r="R264" s="26">
        <v>0.26064972054836777</v>
      </c>
      <c r="S264" s="26">
        <v>0.5030770567365892</v>
      </c>
      <c r="T264" s="26"/>
      <c r="U264" s="9">
        <f t="array" ref="U264">MMULT(TRANSPOSE($B$3:$B$6),TRANSPOSE(P264:S264))</f>
        <v>9.7270979249703987E-2</v>
      </c>
      <c r="V264" s="26"/>
      <c r="W264" s="9">
        <f t="array" ref="W264">SQRT(MMULT(MMULT(P264:S264,$K$3:$N$6),TRANSPOSE(P264:S264)))</f>
        <v>0.18275741208381197</v>
      </c>
    </row>
    <row r="265" spans="16:23" x14ac:dyDescent="0.3">
      <c r="P265" s="26">
        <v>0.20017292656372807</v>
      </c>
      <c r="Q265" s="26">
        <v>0.26163015488579766</v>
      </c>
      <c r="R265" s="26">
        <v>0.44085502338798288</v>
      </c>
      <c r="S265" s="26">
        <v>9.7341895162491462E-2</v>
      </c>
      <c r="T265" s="26"/>
      <c r="U265" s="9">
        <f t="array" ref="U265">MMULT(TRANSPOSE($B$3:$B$6),TRANSPOSE(P265:S265))</f>
        <v>7.9680736694609677E-2</v>
      </c>
      <c r="V265" s="26"/>
      <c r="W265" s="9">
        <f t="array" ref="W265">SQRT(MMULT(MMULT(P265:S265,$K$3:$N$6),TRANSPOSE(P265:S265)))</f>
        <v>0.12513438524969217</v>
      </c>
    </row>
    <row r="266" spans="16:23" x14ac:dyDescent="0.3">
      <c r="P266" s="26">
        <v>0.32853729305024493</v>
      </c>
      <c r="Q266" s="26">
        <v>0.34141734970732662</v>
      </c>
      <c r="R266" s="26">
        <v>0.2322234852361556</v>
      </c>
      <c r="S266" s="26">
        <v>9.7821872006272848E-2</v>
      </c>
      <c r="T266" s="26"/>
      <c r="U266" s="9">
        <f t="array" ref="U266">MMULT(TRANSPOSE($B$3:$B$6),TRANSPOSE(P266:S266))</f>
        <v>7.2964817444031854E-2</v>
      </c>
      <c r="V266" s="26"/>
      <c r="W266" s="9">
        <f t="array" ref="W266">SQRT(MMULT(MMULT(P266:S266,$K$3:$N$6),TRANSPOSE(P266:S266)))</f>
        <v>0.10302008641539233</v>
      </c>
    </row>
    <row r="267" spans="16:23" x14ac:dyDescent="0.3">
      <c r="P267" s="26">
        <v>2.2125904831395159E-2</v>
      </c>
      <c r="Q267" s="26">
        <v>0.37069839138584793</v>
      </c>
      <c r="R267" s="26">
        <v>0.55206894218680636</v>
      </c>
      <c r="S267" s="26">
        <v>5.5106761595950571E-2</v>
      </c>
      <c r="T267" s="26"/>
      <c r="U267" s="9">
        <f t="array" ref="U267">MMULT(TRANSPOSE($B$3:$B$6),TRANSPOSE(P267:S267))</f>
        <v>8.3354198826905757E-2</v>
      </c>
      <c r="V267" s="26"/>
      <c r="W267" s="9">
        <f t="array" ref="W267">SQRT(MMULT(MMULT(P267:S267,$K$3:$N$6),TRANSPOSE(P267:S267)))</f>
        <v>0.1448823309446437</v>
      </c>
    </row>
    <row r="268" spans="16:23" x14ac:dyDescent="0.3">
      <c r="P268" s="26">
        <v>6.5428399202322865E-2</v>
      </c>
      <c r="Q268" s="26">
        <v>0.3078593833217444</v>
      </c>
      <c r="R268" s="26">
        <v>0.19269817015407156</v>
      </c>
      <c r="S268" s="26">
        <v>0.43401404732186122</v>
      </c>
      <c r="T268" s="26"/>
      <c r="U268" s="9">
        <f t="array" ref="U268">MMULT(TRANSPOSE($B$3:$B$6),TRANSPOSE(P268:S268))</f>
        <v>9.4246097785128047E-2</v>
      </c>
      <c r="V268" s="26"/>
      <c r="W268" s="9">
        <f t="array" ref="W268">SQRT(MMULT(MMULT(P268:S268,$K$3:$N$6),TRANSPOSE(P268:S268)))</f>
        <v>0.16478776223643968</v>
      </c>
    </row>
    <row r="269" spans="16:23" x14ac:dyDescent="0.3">
      <c r="P269" s="26">
        <v>0.2661357534078278</v>
      </c>
      <c r="Q269" s="26">
        <v>0.15921916132518765</v>
      </c>
      <c r="R269" s="26">
        <v>0.27446163665729734</v>
      </c>
      <c r="S269" s="26">
        <v>0.30018344860968721</v>
      </c>
      <c r="T269" s="26"/>
      <c r="U269" s="9">
        <f t="array" ref="U269">MMULT(TRANSPOSE($B$3:$B$6),TRANSPOSE(P269:S269))</f>
        <v>8.5175690095473738E-2</v>
      </c>
      <c r="V269" s="26"/>
      <c r="W269" s="9">
        <f t="array" ref="W269">SQRT(MMULT(MMULT(P269:S269,$K$3:$N$6),TRANSPOSE(P269:S269)))</f>
        <v>0.13549631045724564</v>
      </c>
    </row>
    <row r="270" spans="16:23" x14ac:dyDescent="0.3">
      <c r="P270" s="26">
        <v>0.29967554410298253</v>
      </c>
      <c r="Q270" s="26">
        <v>0.25400838991474234</v>
      </c>
      <c r="R270" s="26">
        <v>0.32127247107674733</v>
      </c>
      <c r="S270" s="26">
        <v>0.1250435949055278</v>
      </c>
      <c r="T270" s="26"/>
      <c r="U270" s="9">
        <f t="array" ref="U270">MMULT(TRANSPOSE($B$3:$B$6),TRANSPOSE(P270:S270))</f>
        <v>7.6684118284751676E-2</v>
      </c>
      <c r="V270" s="26"/>
      <c r="W270" s="9">
        <f t="array" ref="W270">SQRT(MMULT(MMULT(P270:S270,$K$3:$N$6),TRANSPOSE(P270:S270)))</f>
        <v>0.11190599585654881</v>
      </c>
    </row>
    <row r="271" spans="16:23" x14ac:dyDescent="0.3">
      <c r="P271" s="26">
        <v>0.33920507285221585</v>
      </c>
      <c r="Q271" s="26">
        <v>0.38816000581212678</v>
      </c>
      <c r="R271" s="26">
        <v>3.706045882508844E-2</v>
      </c>
      <c r="S271" s="26">
        <v>0.23557446251056902</v>
      </c>
      <c r="T271" s="26"/>
      <c r="U271" s="9">
        <f t="array" ref="U271">MMULT(TRANSPOSE($B$3:$B$6),TRANSPOSE(P271:S271))</f>
        <v>7.5735830844985919E-2</v>
      </c>
      <c r="V271" s="26"/>
      <c r="W271" s="9">
        <f t="array" ref="W271">SQRT(MMULT(MMULT(P271:S271,$K$3:$N$6),TRANSPOSE(P271:S271)))</f>
        <v>0.11032281447333671</v>
      </c>
    </row>
    <row r="272" spans="16:23" x14ac:dyDescent="0.3">
      <c r="P272" s="26">
        <v>0.12232365497884852</v>
      </c>
      <c r="Q272" s="26">
        <v>0.20773980639593764</v>
      </c>
      <c r="R272" s="26">
        <v>0.49221368193693188</v>
      </c>
      <c r="S272" s="26">
        <v>0.17772285668828194</v>
      </c>
      <c r="T272" s="26"/>
      <c r="U272" s="9">
        <f t="array" ref="U272">MMULT(TRANSPOSE($B$3:$B$6),TRANSPOSE(P272:S272))</f>
        <v>8.6283943373575755E-2</v>
      </c>
      <c r="V272" s="26"/>
      <c r="W272" s="9">
        <f t="array" ref="W272">SQRT(MMULT(MMULT(P272:S272,$K$3:$N$6),TRANSPOSE(P272:S272)))</f>
        <v>0.14312432235709771</v>
      </c>
    </row>
    <row r="273" spans="16:23" x14ac:dyDescent="0.3">
      <c r="P273" s="26">
        <v>0.36803124910194046</v>
      </c>
      <c r="Q273" s="26">
        <v>6.4428459093499618E-2</v>
      </c>
      <c r="R273" s="26">
        <v>0.29469201953361668</v>
      </c>
      <c r="S273" s="26">
        <v>0.27284827227094327</v>
      </c>
      <c r="T273" s="26"/>
      <c r="U273" s="9">
        <f t="array" ref="U273">MMULT(TRANSPOSE($B$3:$B$6),TRANSPOSE(P273:S273))</f>
        <v>8.2175629022180688E-2</v>
      </c>
      <c r="V273" s="26"/>
      <c r="W273" s="9">
        <f t="array" ref="W273">SQRT(MMULT(MMULT(P273:S273,$K$3:$N$6),TRANSPOSE(P273:S273)))</f>
        <v>0.12984056413380277</v>
      </c>
    </row>
    <row r="274" spans="16:23" x14ac:dyDescent="0.3">
      <c r="P274" s="26">
        <v>8.2295503705396025E-2</v>
      </c>
      <c r="Q274" s="26">
        <v>0.37474897660579731</v>
      </c>
      <c r="R274" s="26">
        <v>0.21810502089686862</v>
      </c>
      <c r="S274" s="26">
        <v>0.32485049879193811</v>
      </c>
      <c r="T274" s="26"/>
      <c r="U274" s="9">
        <f t="array" ref="U274">MMULT(TRANSPOSE($B$3:$B$6),TRANSPOSE(P274:S274))</f>
        <v>8.8958715283426359E-2</v>
      </c>
      <c r="V274" s="26"/>
      <c r="W274" s="9">
        <f t="array" ref="W274">SQRT(MMULT(MMULT(P274:S274,$K$3:$N$6),TRANSPOSE(P274:S274)))</f>
        <v>0.14468110832192535</v>
      </c>
    </row>
    <row r="275" spans="16:23" x14ac:dyDescent="0.3">
      <c r="P275" s="26">
        <v>0.2632351060143065</v>
      </c>
      <c r="Q275" s="26">
        <v>0.44028811171367577</v>
      </c>
      <c r="R275" s="26">
        <v>5.4680034005969595E-2</v>
      </c>
      <c r="S275" s="26">
        <v>0.24179674826604811</v>
      </c>
      <c r="T275" s="26"/>
      <c r="U275" s="9">
        <f t="array" ref="U275">MMULT(TRANSPOSE($B$3:$B$6),TRANSPOSE(P275:S275))</f>
        <v>7.7918735973135672E-2</v>
      </c>
      <c r="V275" s="26"/>
      <c r="W275" s="9">
        <f t="array" ref="W275">SQRT(MMULT(MMULT(P275:S275,$K$3:$N$6),TRANSPOSE(P275:S275)))</f>
        <v>0.11578505985682855</v>
      </c>
    </row>
    <row r="276" spans="16:23" x14ac:dyDescent="0.3">
      <c r="P276" s="26">
        <v>0.4685293833142064</v>
      </c>
      <c r="Q276" s="26">
        <v>0.23961054706580479</v>
      </c>
      <c r="R276" s="26">
        <v>0.16495904026976835</v>
      </c>
      <c r="S276" s="26">
        <v>0.12690102935022057</v>
      </c>
      <c r="T276" s="26"/>
      <c r="U276" s="9">
        <f t="array" ref="U276">MMULT(TRANSPOSE($B$3:$B$6),TRANSPOSE(P276:S276))</f>
        <v>7.0273644606622276E-2</v>
      </c>
      <c r="V276" s="26"/>
      <c r="W276" s="9">
        <f t="array" ref="W276">SQRT(MMULT(MMULT(P276:S276,$K$3:$N$6),TRANSPOSE(P276:S276)))</f>
        <v>9.5790648887339902E-2</v>
      </c>
    </row>
    <row r="277" spans="16:23" x14ac:dyDescent="0.3">
      <c r="P277" s="26">
        <v>0.29990441381192096</v>
      </c>
      <c r="Q277" s="26">
        <v>0.23046278380090554</v>
      </c>
      <c r="R277" s="26">
        <v>0.15718471378261281</v>
      </c>
      <c r="S277" s="26">
        <v>0.31244808860456064</v>
      </c>
      <c r="T277" s="26"/>
      <c r="U277" s="9">
        <f t="array" ref="U277">MMULT(TRANSPOSE($B$3:$B$6),TRANSPOSE(P277:S277))</f>
        <v>8.2768010429641867E-2</v>
      </c>
      <c r="V277" s="26"/>
      <c r="W277" s="9">
        <f t="array" ref="W277">SQRT(MMULT(MMULT(P277:S277,$K$3:$N$6),TRANSPOSE(P277:S277)))</f>
        <v>0.12810454093534362</v>
      </c>
    </row>
    <row r="278" spans="16:23" x14ac:dyDescent="0.3">
      <c r="P278" s="26">
        <v>0.32611976897708267</v>
      </c>
      <c r="Q278" s="26">
        <v>6.1724996283201237E-2</v>
      </c>
      <c r="R278" s="26">
        <v>0.2721814126578318</v>
      </c>
      <c r="S278" s="26">
        <v>0.33997382208188426</v>
      </c>
      <c r="T278" s="26"/>
      <c r="U278" s="9">
        <f t="array" ref="U278">MMULT(TRANSPOSE($B$3:$B$6),TRANSPOSE(P278:S278))</f>
        <v>8.5919923977709201E-2</v>
      </c>
      <c r="V278" s="26"/>
      <c r="W278" s="9">
        <f t="array" ref="W278">SQRT(MMULT(MMULT(P278:S278,$K$3:$N$6),TRANSPOSE(P278:S278)))</f>
        <v>0.14232481161527916</v>
      </c>
    </row>
    <row r="279" spans="16:23" x14ac:dyDescent="0.3">
      <c r="P279" s="26">
        <v>4.3822930145466121E-2</v>
      </c>
      <c r="Q279" s="26">
        <v>0.29075409357268223</v>
      </c>
      <c r="R279" s="26">
        <v>0.64906985635120573</v>
      </c>
      <c r="S279" s="26">
        <v>1.6353119930645813E-2</v>
      </c>
      <c r="T279" s="26"/>
      <c r="U279" s="9">
        <f t="array" ref="U279">MMULT(TRANSPOSE($B$3:$B$6),TRANSPOSE(P279:S279))</f>
        <v>8.2922594520647083E-2</v>
      </c>
      <c r="V279" s="26"/>
      <c r="W279" s="9">
        <f t="array" ref="W279">SQRT(MMULT(MMULT(P279:S279,$K$3:$N$6),TRANSPOSE(P279:S279)))</f>
        <v>0.15145512537345843</v>
      </c>
    </row>
    <row r="280" spans="16:23" x14ac:dyDescent="0.3">
      <c r="P280" s="26">
        <v>0.25147297410285807</v>
      </c>
      <c r="Q280" s="26">
        <v>0.18369600158840607</v>
      </c>
      <c r="R280" s="26">
        <v>0.29838766616807799</v>
      </c>
      <c r="S280" s="26">
        <v>0.26644335814065778</v>
      </c>
      <c r="T280" s="26"/>
      <c r="U280" s="9">
        <f t="array" ref="U280">MMULT(TRANSPOSE($B$3:$B$6),TRANSPOSE(P280:S280))</f>
        <v>8.426046174833729E-2</v>
      </c>
      <c r="V280" s="26"/>
      <c r="W280" s="9">
        <f t="array" ref="W280">SQRT(MMULT(MMULT(P280:S280,$K$3:$N$6),TRANSPOSE(P280:S280)))</f>
        <v>0.13177230543872823</v>
      </c>
    </row>
    <row r="281" spans="16:23" x14ac:dyDescent="0.3">
      <c r="P281" s="26">
        <v>0.2985948057515132</v>
      </c>
      <c r="Q281" s="26">
        <v>0.31582341929679386</v>
      </c>
      <c r="R281" s="26">
        <v>0.14601791780130463</v>
      </c>
      <c r="S281" s="26">
        <v>0.2395638571503883</v>
      </c>
      <c r="T281" s="26"/>
      <c r="U281" s="9">
        <f t="array" ref="U281">MMULT(TRANSPOSE($B$3:$B$6),TRANSPOSE(P281:S281))</f>
        <v>7.892665509851525E-2</v>
      </c>
      <c r="V281" s="26"/>
      <c r="W281" s="9">
        <f t="array" ref="W281">SQRT(MMULT(MMULT(P281:S281,$K$3:$N$6),TRANSPOSE(P281:S281)))</f>
        <v>0.1153203161681963</v>
      </c>
    </row>
    <row r="282" spans="16:23" x14ac:dyDescent="0.3">
      <c r="P282" s="26">
        <v>0.48838311749590224</v>
      </c>
      <c r="Q282" s="26">
        <v>0.10685815984481566</v>
      </c>
      <c r="R282" s="26">
        <v>0.38338969014642071</v>
      </c>
      <c r="S282" s="26">
        <v>2.1369032512861246E-2</v>
      </c>
      <c r="T282" s="26"/>
      <c r="U282" s="9">
        <f t="array" ref="U282">MMULT(TRANSPOSE($B$3:$B$6),TRANSPOSE(P282:S282))</f>
        <v>6.8968583078653431E-2</v>
      </c>
      <c r="V282" s="26"/>
      <c r="W282" s="9">
        <f t="array" ref="W282">SQRT(MMULT(MMULT(P282:S282,$K$3:$N$6),TRANSPOSE(P282:S282)))</f>
        <v>0.1039583196893698</v>
      </c>
    </row>
    <row r="283" spans="16:23" x14ac:dyDescent="0.3">
      <c r="P283" s="26">
        <v>0.35532739694435106</v>
      </c>
      <c r="Q283" s="26">
        <v>0.33861835682121666</v>
      </c>
      <c r="R283" s="26">
        <v>0.19858347711087554</v>
      </c>
      <c r="S283" s="26">
        <v>0.10747076912355674</v>
      </c>
      <c r="T283" s="26"/>
      <c r="U283" s="9">
        <f t="array" ref="U283">MMULT(TRANSPOSE($B$3:$B$6),TRANSPOSE(P283:S283))</f>
        <v>7.2238660059508325E-2</v>
      </c>
      <c r="V283" s="26"/>
      <c r="W283" s="9">
        <f t="array" ref="W283">SQRT(MMULT(MMULT(P283:S283,$K$3:$N$6),TRANSPOSE(P283:S283)))</f>
        <v>0.10069981896701967</v>
      </c>
    </row>
    <row r="284" spans="16:23" x14ac:dyDescent="0.3">
      <c r="P284" s="26">
        <v>0.41115384789068304</v>
      </c>
      <c r="Q284" s="26">
        <v>0.2441497332271807</v>
      </c>
      <c r="R284" s="26">
        <v>0.20027515605669313</v>
      </c>
      <c r="S284" s="26">
        <v>0.14442126282544318</v>
      </c>
      <c r="T284" s="26"/>
      <c r="U284" s="9">
        <f t="array" ref="U284">MMULT(TRANSPOSE($B$3:$B$6),TRANSPOSE(P284:S284))</f>
        <v>7.3003489304592356E-2</v>
      </c>
      <c r="V284" s="26"/>
      <c r="W284" s="9">
        <f t="array" ref="W284">SQRT(MMULT(MMULT(P284:S284,$K$3:$N$6),TRANSPOSE(P284:S284)))</f>
        <v>0.10103918007401894</v>
      </c>
    </row>
    <row r="285" spans="16:23" x14ac:dyDescent="0.3">
      <c r="P285" s="26">
        <v>0.4999641637830487</v>
      </c>
      <c r="Q285" s="26">
        <v>0.34896602888704376</v>
      </c>
      <c r="R285" s="26">
        <v>0.12600094938652598</v>
      </c>
      <c r="S285" s="26">
        <v>2.5068857943381505E-2</v>
      </c>
      <c r="T285" s="26"/>
      <c r="U285" s="9">
        <f t="array" ref="U285">MMULT(TRANSPOSE($B$3:$B$6),TRANSPOSE(P285:S285))</f>
        <v>6.3774178609238619E-2</v>
      </c>
      <c r="V285" s="26"/>
      <c r="W285" s="9">
        <f t="array" ref="W285">SQRT(MMULT(MMULT(P285:S285,$K$3:$N$6),TRANSPOSE(P285:S285)))</f>
        <v>9.104647236446485E-2</v>
      </c>
    </row>
    <row r="286" spans="16:23" x14ac:dyDescent="0.3">
      <c r="P286" s="26">
        <v>0.23507610263964082</v>
      </c>
      <c r="Q286" s="26">
        <v>0.14184419150602204</v>
      </c>
      <c r="R286" s="26">
        <v>0.32947989332414651</v>
      </c>
      <c r="S286" s="26">
        <v>0.29359981253019063</v>
      </c>
      <c r="T286" s="26"/>
      <c r="U286" s="9">
        <f t="array" ref="U286">MMULT(TRANSPOSE($B$3:$B$6),TRANSPOSE(P286:S286))</f>
        <v>8.6568066440199654E-2</v>
      </c>
      <c r="V286" s="26"/>
      <c r="W286" s="9">
        <f t="array" ref="W286">SQRT(MMULT(MMULT(P286:S286,$K$3:$N$6),TRANSPOSE(P286:S286)))</f>
        <v>0.1402922564966487</v>
      </c>
    </row>
    <row r="287" spans="16:23" x14ac:dyDescent="0.3">
      <c r="P287" s="26">
        <v>0.30564004201404105</v>
      </c>
      <c r="Q287" s="26">
        <v>0.36020278941861722</v>
      </c>
      <c r="R287" s="26">
        <v>6.5583072680824889E-2</v>
      </c>
      <c r="S287" s="26">
        <v>0.26857409588651698</v>
      </c>
      <c r="T287" s="26"/>
      <c r="U287" s="9">
        <f t="array" ref="U287">MMULT(TRANSPOSE($B$3:$B$6),TRANSPOSE(P287:S287))</f>
        <v>7.8627565407661526E-2</v>
      </c>
      <c r="V287" s="26"/>
      <c r="W287" s="9">
        <f t="array" ref="W287">SQRT(MMULT(MMULT(P287:S287,$K$3:$N$6),TRANSPOSE(P287:S287)))</f>
        <v>0.11681491580849623</v>
      </c>
    </row>
    <row r="288" spans="16:23" x14ac:dyDescent="0.3">
      <c r="P288" s="26">
        <v>0.31541552079225132</v>
      </c>
      <c r="Q288" s="26">
        <v>0.24258907785358355</v>
      </c>
      <c r="R288" s="26">
        <v>0.34884539173866308</v>
      </c>
      <c r="S288" s="26">
        <v>9.3150009615502113E-2</v>
      </c>
      <c r="T288" s="26"/>
      <c r="U288" s="9">
        <f t="array" ref="U288">MMULT(TRANSPOSE($B$3:$B$6),TRANSPOSE(P288:S288))</f>
        <v>7.5326097899703348E-2</v>
      </c>
      <c r="V288" s="26"/>
      <c r="W288" s="9">
        <f t="array" ref="W288">SQRT(MMULT(MMULT(P288:S288,$K$3:$N$6),TRANSPOSE(P288:S288)))</f>
        <v>0.11064084968933663</v>
      </c>
    </row>
    <row r="289" spans="16:23" x14ac:dyDescent="0.3">
      <c r="P289" s="26">
        <v>0.27755289782243614</v>
      </c>
      <c r="Q289" s="26">
        <v>6.9126024609150608E-3</v>
      </c>
      <c r="R289" s="26">
        <v>0.34133702792516851</v>
      </c>
      <c r="S289" s="26">
        <v>0.37419747179148033</v>
      </c>
      <c r="T289" s="26"/>
      <c r="U289" s="9">
        <f t="array" ref="U289">MMULT(TRANSPOSE($B$3:$B$6),TRANSPOSE(P289:S289))</f>
        <v>8.9985556191628666E-2</v>
      </c>
      <c r="V289" s="26"/>
      <c r="W289" s="9">
        <f t="array" ref="W289">SQRT(MMULT(MMULT(P289:S289,$K$3:$N$6),TRANSPOSE(P289:S289)))</f>
        <v>0.15790099221044793</v>
      </c>
    </row>
    <row r="290" spans="16:23" x14ac:dyDescent="0.3">
      <c r="P290" s="26">
        <v>0.3794640516922772</v>
      </c>
      <c r="Q290" s="26">
        <v>0.25246905694085514</v>
      </c>
      <c r="R290" s="26">
        <v>0.23387238478306396</v>
      </c>
      <c r="S290" s="26">
        <v>0.13419450658380372</v>
      </c>
      <c r="T290" s="26"/>
      <c r="U290" s="9">
        <f t="array" ref="U290">MMULT(TRANSPOSE($B$3:$B$6),TRANSPOSE(P290:S290))</f>
        <v>7.3797891991005921E-2</v>
      </c>
      <c r="V290" s="26"/>
      <c r="W290" s="9">
        <f t="array" ref="W290">SQRT(MMULT(MMULT(P290:S290,$K$3:$N$6),TRANSPOSE(P290:S290)))</f>
        <v>0.10314765430939968</v>
      </c>
    </row>
    <row r="291" spans="16:23" x14ac:dyDescent="0.3">
      <c r="P291" s="26">
        <v>0.16108053116673282</v>
      </c>
      <c r="Q291" s="26">
        <v>0.39989353622063334</v>
      </c>
      <c r="R291" s="26">
        <v>0.32036389509751484</v>
      </c>
      <c r="S291" s="26">
        <v>0.11866203751511899</v>
      </c>
      <c r="T291" s="26"/>
      <c r="U291" s="9">
        <f t="array" ref="U291">MMULT(TRANSPOSE($B$3:$B$6),TRANSPOSE(P291:S291))</f>
        <v>7.911876915437159E-2</v>
      </c>
      <c r="V291" s="26"/>
      <c r="W291" s="9">
        <f t="array" ref="W291">SQRT(MMULT(MMULT(P291:S291,$K$3:$N$6),TRANSPOSE(P291:S291)))</f>
        <v>0.12015899087354621</v>
      </c>
    </row>
    <row r="292" spans="16:23" x14ac:dyDescent="0.3">
      <c r="P292" s="26">
        <v>0.42457425458749215</v>
      </c>
      <c r="Q292" s="26">
        <v>0.21379587777947212</v>
      </c>
      <c r="R292" s="26">
        <v>0.29090815535247888</v>
      </c>
      <c r="S292" s="26">
        <v>7.0721712280556903E-2</v>
      </c>
      <c r="T292" s="26"/>
      <c r="U292" s="9">
        <f t="array" ref="U292">MMULT(TRANSPOSE($B$3:$B$6),TRANSPOSE(P292:S292))</f>
        <v>7.0862763629327585E-2</v>
      </c>
      <c r="V292" s="26"/>
      <c r="W292" s="9">
        <f t="array" ref="W292">SQRT(MMULT(MMULT(P292:S292,$K$3:$N$6),TRANSPOSE(P292:S292)))</f>
        <v>0.10019082331451569</v>
      </c>
    </row>
    <row r="293" spans="16:23" x14ac:dyDescent="0.3">
      <c r="P293" s="26">
        <v>0.32667289769564006</v>
      </c>
      <c r="Q293" s="26">
        <v>0.37447495788993374</v>
      </c>
      <c r="R293" s="26">
        <v>3.3786644125023309E-2</v>
      </c>
      <c r="S293" s="26">
        <v>0.26506550028940301</v>
      </c>
      <c r="T293" s="26"/>
      <c r="U293" s="9">
        <f t="array" ref="U293">MMULT(TRANSPOSE($B$3:$B$6),TRANSPOSE(P293:S293))</f>
        <v>7.739554994305782E-2</v>
      </c>
      <c r="V293" s="26"/>
      <c r="W293" s="9">
        <f t="array" ref="W293">SQRT(MMULT(MMULT(P293:S293,$K$3:$N$6),TRANSPOSE(P293:S293)))</f>
        <v>0.11480529549254283</v>
      </c>
    </row>
    <row r="294" spans="16:23" x14ac:dyDescent="0.3">
      <c r="P294" s="26">
        <v>0.535592318394018</v>
      </c>
      <c r="Q294" s="26">
        <v>0.16590852754485003</v>
      </c>
      <c r="R294" s="26">
        <v>2.8544462389517244E-2</v>
      </c>
      <c r="S294" s="26">
        <v>0.26995469167161473</v>
      </c>
      <c r="T294" s="26"/>
      <c r="U294" s="9">
        <f t="array" ref="U294">MMULT(TRANSPOSE($B$3:$B$6),TRANSPOSE(P294:S294))</f>
        <v>7.335677746349073E-2</v>
      </c>
      <c r="V294" s="26"/>
      <c r="W294" s="9">
        <f t="array" ref="W294">SQRT(MMULT(MMULT(P294:S294,$K$3:$N$6),TRANSPOSE(P294:S294)))</f>
        <v>0.10938730131698163</v>
      </c>
    </row>
    <row r="295" spans="16:23" x14ac:dyDescent="0.3">
      <c r="P295" s="26">
        <v>7.4167432342536191E-3</v>
      </c>
      <c r="Q295" s="26">
        <v>0.35929403822004491</v>
      </c>
      <c r="R295" s="26">
        <v>0.18363665021196196</v>
      </c>
      <c r="S295" s="26">
        <v>0.44965256833373946</v>
      </c>
      <c r="T295" s="26"/>
      <c r="U295" s="9">
        <f t="array" ref="U295">MMULT(TRANSPOSE($B$3:$B$6),TRANSPOSE(P295:S295))</f>
        <v>9.6007026556241132E-2</v>
      </c>
      <c r="V295" s="26"/>
      <c r="W295" s="9">
        <f t="array" ref="W295">SQRT(MMULT(MMULT(P295:S295,$K$3:$N$6),TRANSPOSE(P295:S295)))</f>
        <v>0.17055049248550752</v>
      </c>
    </row>
    <row r="296" spans="16:23" x14ac:dyDescent="0.3">
      <c r="P296" s="26">
        <v>0.24566247595767859</v>
      </c>
      <c r="Q296" s="26">
        <v>0.11882695606900062</v>
      </c>
      <c r="R296" s="26">
        <v>0.47361128838888789</v>
      </c>
      <c r="S296" s="26">
        <v>0.16189927958443276</v>
      </c>
      <c r="T296" s="26"/>
      <c r="U296" s="9">
        <f t="array" ref="U296">MMULT(TRANSPOSE($B$3:$B$6),TRANSPOSE(P296:S296))</f>
        <v>8.2653940227845807E-2</v>
      </c>
      <c r="V296" s="26"/>
      <c r="W296" s="9">
        <f t="array" ref="W296">SQRT(MMULT(MMULT(P296:S296,$K$3:$N$6),TRANSPOSE(P296:S296)))</f>
        <v>0.13371252988983892</v>
      </c>
    </row>
    <row r="297" spans="16:23" x14ac:dyDescent="0.3">
      <c r="P297" s="26">
        <v>0.33281653334288336</v>
      </c>
      <c r="Q297" s="26">
        <v>0.16601929740699778</v>
      </c>
      <c r="R297" s="26">
        <v>0.17621361283555984</v>
      </c>
      <c r="S297" s="26">
        <v>0.32495055641455911</v>
      </c>
      <c r="T297" s="26"/>
      <c r="U297" s="9">
        <f t="array" ref="U297">MMULT(TRANSPOSE($B$3:$B$6),TRANSPOSE(P297:S297))</f>
        <v>8.3115469410581483E-2</v>
      </c>
      <c r="V297" s="26"/>
      <c r="W297" s="9">
        <f t="array" ref="W297">SQRT(MMULT(MMULT(P297:S297,$K$3:$N$6),TRANSPOSE(P297:S297)))</f>
        <v>0.13086031425978403</v>
      </c>
    </row>
    <row r="298" spans="16:23" x14ac:dyDescent="0.3">
      <c r="P298" s="26">
        <v>0.2987351695135711</v>
      </c>
      <c r="Q298" s="26">
        <v>0.10160542519452168</v>
      </c>
      <c r="R298" s="26">
        <v>0.35286285809393847</v>
      </c>
      <c r="S298" s="26">
        <v>0.24679654719796873</v>
      </c>
      <c r="T298" s="26"/>
      <c r="U298" s="9">
        <f t="array" ref="U298">MMULT(TRANSPOSE($B$3:$B$6),TRANSPOSE(P298:S298))</f>
        <v>8.3422381131505782E-2</v>
      </c>
      <c r="V298" s="26"/>
      <c r="W298" s="9">
        <f t="array" ref="W298">SQRT(MMULT(MMULT(P298:S298,$K$3:$N$6),TRANSPOSE(P298:S298)))</f>
        <v>0.13214781018493726</v>
      </c>
    </row>
    <row r="299" spans="16:23" x14ac:dyDescent="0.3">
      <c r="P299" s="26">
        <v>7.4932354646553678E-2</v>
      </c>
      <c r="Q299" s="26">
        <v>0.61383679463996421</v>
      </c>
      <c r="R299" s="26">
        <v>6.7000775528124418E-2</v>
      </c>
      <c r="S299" s="26">
        <v>0.24423007518535769</v>
      </c>
      <c r="T299" s="26"/>
      <c r="U299" s="9">
        <f t="array" ref="U299">MMULT(TRANSPOSE($B$3:$B$6),TRANSPOSE(P299:S299))</f>
        <v>8.20528721768993E-2</v>
      </c>
      <c r="V299" s="26"/>
      <c r="W299" s="9">
        <f t="array" ref="W299">SQRT(MMULT(MMULT(P299:S299,$K$3:$N$6),TRANSPOSE(P299:S299)))</f>
        <v>0.13155960921504728</v>
      </c>
    </row>
    <row r="300" spans="16:23" x14ac:dyDescent="0.3">
      <c r="P300" s="26">
        <v>0.52404300004993953</v>
      </c>
      <c r="Q300" s="26">
        <v>9.7440185188050851E-2</v>
      </c>
      <c r="R300" s="26">
        <v>0.23676929015484632</v>
      </c>
      <c r="S300" s="26">
        <v>0.14174752460716333</v>
      </c>
      <c r="T300" s="26"/>
      <c r="U300" s="9">
        <f t="array" ref="U300">MMULT(TRANSPOSE($B$3:$B$6),TRANSPOSE(P300:S300))</f>
        <v>7.13419020324563E-2</v>
      </c>
      <c r="V300" s="26"/>
      <c r="W300" s="9">
        <f t="array" ref="W300">SQRT(MMULT(MMULT(P300:S300,$K$3:$N$6),TRANSPOSE(P300:S300)))</f>
        <v>0.10092870424937334</v>
      </c>
    </row>
    <row r="301" spans="16:23" x14ac:dyDescent="0.3">
      <c r="P301" s="26">
        <v>0.24456479259826522</v>
      </c>
      <c r="Q301" s="26">
        <v>0.2737344582650621</v>
      </c>
      <c r="R301" s="26">
        <v>0.21564569806385564</v>
      </c>
      <c r="S301" s="26">
        <v>0.26605505107281713</v>
      </c>
      <c r="T301" s="26"/>
      <c r="U301" s="9">
        <f t="array" ref="U301">MMULT(TRANSPOSE($B$3:$B$6),TRANSPOSE(P301:S301))</f>
        <v>8.2724370662952657E-2</v>
      </c>
      <c r="V301" s="26"/>
      <c r="W301" s="9">
        <f t="array" ref="W301">SQRT(MMULT(MMULT(P301:S301,$K$3:$N$6),TRANSPOSE(P301:S301)))</f>
        <v>0.12567662811042699</v>
      </c>
    </row>
    <row r="302" spans="16:23" x14ac:dyDescent="0.3">
      <c r="P302" s="26">
        <v>0.23669407853615573</v>
      </c>
      <c r="Q302" s="26">
        <v>0.37974616007539325</v>
      </c>
      <c r="R302" s="26">
        <v>0.37125973445769</v>
      </c>
      <c r="S302" s="26">
        <v>1.2300026930761078E-2</v>
      </c>
      <c r="T302" s="26"/>
      <c r="U302" s="9">
        <f t="array" ref="U302">MMULT(TRANSPOSE($B$3:$B$6),TRANSPOSE(P302:S302))</f>
        <v>7.3306314464968741E-2</v>
      </c>
      <c r="V302" s="26"/>
      <c r="W302" s="9">
        <f t="array" ref="W302">SQRT(MMULT(MMULT(P302:S302,$K$3:$N$6),TRANSPOSE(P302:S302)))</f>
        <v>0.11415058415646384</v>
      </c>
    </row>
    <row r="303" spans="16:23" x14ac:dyDescent="0.3">
      <c r="P303" s="26">
        <v>0.20313514220815812</v>
      </c>
      <c r="Q303" s="26">
        <v>9.1843335249800775E-2</v>
      </c>
      <c r="R303" s="26">
        <v>0.53423503505412573</v>
      </c>
      <c r="S303" s="26">
        <v>0.17078648748791525</v>
      </c>
      <c r="T303" s="26"/>
      <c r="U303" s="9">
        <f t="array" ref="U303">MMULT(TRANSPOSE($B$3:$B$6),TRANSPOSE(P303:S303))</f>
        <v>8.5161322231315104E-2</v>
      </c>
      <c r="V303" s="26"/>
      <c r="W303" s="9">
        <f t="array" ref="W303">SQRT(MMULT(MMULT(P303:S303,$K$3:$N$6),TRANSPOSE(P303:S303)))</f>
        <v>0.14386738520595502</v>
      </c>
    </row>
    <row r="304" spans="16:23" x14ac:dyDescent="0.3">
      <c r="P304" s="26">
        <v>0.11998199810574885</v>
      </c>
      <c r="Q304" s="26">
        <v>0.38635962446738992</v>
      </c>
      <c r="R304" s="26">
        <v>2.1712772926636193E-2</v>
      </c>
      <c r="S304" s="26">
        <v>0.47194560450022499</v>
      </c>
      <c r="T304" s="26"/>
      <c r="U304" s="9">
        <f t="array" ref="U304">MMULT(TRANSPOSE($B$3:$B$6),TRANSPOSE(P304:S304))</f>
        <v>9.1631895721428991E-2</v>
      </c>
      <c r="V304" s="26"/>
      <c r="W304" s="9">
        <f t="array" ref="W304">SQRT(MMULT(MMULT(P304:S304,$K$3:$N$6),TRANSPOSE(P304:S304)))</f>
        <v>0.16220290076040295</v>
      </c>
    </row>
    <row r="305" spans="16:23" x14ac:dyDescent="0.3">
      <c r="P305" s="26">
        <v>2.3665623857675889E-2</v>
      </c>
      <c r="Q305" s="26">
        <v>0.11527096954013373</v>
      </c>
      <c r="R305" s="26">
        <v>0.48902287587177645</v>
      </c>
      <c r="S305" s="26">
        <v>0.37204053073041388</v>
      </c>
      <c r="T305" s="26"/>
      <c r="U305" s="9">
        <f t="array" ref="U305">MMULT(TRANSPOSE($B$3:$B$6),TRANSPOSE(P305:S305))</f>
        <v>9.7909171576802706E-2</v>
      </c>
      <c r="V305" s="26"/>
      <c r="W305" s="9">
        <f t="array" ref="W305">SQRT(MMULT(MMULT(P305:S305,$K$3:$N$6),TRANSPOSE(P305:S305)))</f>
        <v>0.18041680988638473</v>
      </c>
    </row>
    <row r="306" spans="16:23" x14ac:dyDescent="0.3">
      <c r="P306" s="26">
        <v>0.13189219008433065</v>
      </c>
      <c r="Q306" s="26">
        <v>0.30954553631509063</v>
      </c>
      <c r="R306" s="26">
        <v>0.29026215271147388</v>
      </c>
      <c r="S306" s="26">
        <v>0.26830012088910488</v>
      </c>
      <c r="T306" s="26"/>
      <c r="U306" s="9">
        <f t="array" ref="U306">MMULT(TRANSPOSE($B$3:$B$6),TRANSPOSE(P306:S306))</f>
        <v>8.6582405296998122E-2</v>
      </c>
      <c r="V306" s="26"/>
      <c r="W306" s="9">
        <f t="array" ref="W306">SQRT(MMULT(MMULT(P306:S306,$K$3:$N$6),TRANSPOSE(P306:S306)))</f>
        <v>0.13706099465976745</v>
      </c>
    </row>
    <row r="307" spans="16:23" x14ac:dyDescent="0.3">
      <c r="P307" s="26">
        <v>0.46725712842261991</v>
      </c>
      <c r="Q307" s="26">
        <v>3.9892871504463641E-2</v>
      </c>
      <c r="R307" s="26">
        <v>6.8960584528832802E-2</v>
      </c>
      <c r="S307" s="26">
        <v>0.4238894155440836</v>
      </c>
      <c r="T307" s="26"/>
      <c r="U307" s="9">
        <f t="array" ref="U307">MMULT(TRANSPOSE($B$3:$B$6),TRANSPOSE(P307:S307))</f>
        <v>8.3228539899328435E-2</v>
      </c>
      <c r="V307" s="26"/>
      <c r="W307" s="9">
        <f t="array" ref="W307">SQRT(MMULT(MMULT(P307:S307,$K$3:$N$6),TRANSPOSE(P307:S307)))</f>
        <v>0.14498441323720443</v>
      </c>
    </row>
    <row r="308" spans="16:23" x14ac:dyDescent="0.3">
      <c r="P308" s="26">
        <v>0.34460612179719996</v>
      </c>
      <c r="Q308" s="26">
        <v>0.12382455835646536</v>
      </c>
      <c r="R308" s="26">
        <v>0.35718501057980623</v>
      </c>
      <c r="S308" s="26">
        <v>0.17438430926652845</v>
      </c>
      <c r="T308" s="26"/>
      <c r="U308" s="9">
        <f t="array" ref="U308">MMULT(TRANSPOSE($B$3:$B$6),TRANSPOSE(P308:S308))</f>
        <v>7.8970793238978543E-2</v>
      </c>
      <c r="V308" s="26"/>
      <c r="W308" s="9">
        <f t="array" ref="W308">SQRT(MMULT(MMULT(P308:S308,$K$3:$N$6),TRANSPOSE(P308:S308)))</f>
        <v>0.11950545501548138</v>
      </c>
    </row>
    <row r="309" spans="16:23" x14ac:dyDescent="0.3">
      <c r="P309" s="26">
        <v>0.28635517275171224</v>
      </c>
      <c r="Q309" s="26">
        <v>0.3555575000753054</v>
      </c>
      <c r="R309" s="26">
        <v>2.2492453079268511E-2</v>
      </c>
      <c r="S309" s="26">
        <v>0.3355948740937138</v>
      </c>
      <c r="T309" s="26"/>
      <c r="U309" s="9">
        <f t="array" ref="U309">MMULT(TRANSPOSE($B$3:$B$6),TRANSPOSE(P309:S309))</f>
        <v>8.1502489311236812E-2</v>
      </c>
      <c r="V309" s="26"/>
      <c r="W309" s="9">
        <f t="array" ref="W309">SQRT(MMULT(MMULT(P309:S309,$K$3:$N$6),TRANSPOSE(P309:S309)))</f>
        <v>0.12777322142719319</v>
      </c>
    </row>
    <row r="310" spans="16:23" x14ac:dyDescent="0.3">
      <c r="P310" s="26">
        <v>0.41099228536784382</v>
      </c>
      <c r="Q310" s="26">
        <v>0.28557285812931249</v>
      </c>
      <c r="R310" s="26">
        <v>2.2228603788069949E-2</v>
      </c>
      <c r="S310" s="26">
        <v>0.28120625271477384</v>
      </c>
      <c r="T310" s="26"/>
      <c r="U310" s="9">
        <f t="array" ref="U310">MMULT(TRANSPOSE($B$3:$B$6),TRANSPOSE(P310:S310))</f>
        <v>7.6285039004143212E-2</v>
      </c>
      <c r="V310" s="26"/>
      <c r="W310" s="9">
        <f t="array" ref="W310">SQRT(MMULT(MMULT(P310:S310,$K$3:$N$6),TRANSPOSE(P310:S310)))</f>
        <v>0.11351331450318985</v>
      </c>
    </row>
    <row r="311" spans="16:23" x14ac:dyDescent="0.3">
      <c r="P311" s="26">
        <v>6.8338713419721656E-2</v>
      </c>
      <c r="Q311" s="26">
        <v>0.28238223682160124</v>
      </c>
      <c r="R311" s="26">
        <v>0.40980342182495699</v>
      </c>
      <c r="S311" s="26">
        <v>0.23947562793372013</v>
      </c>
      <c r="T311" s="26"/>
      <c r="U311" s="9">
        <f t="array" ref="U311">MMULT(TRANSPOSE($B$3:$B$6),TRANSPOSE(P311:S311))</f>
        <v>8.8803075564790723E-2</v>
      </c>
      <c r="V311" s="26"/>
      <c r="W311" s="9">
        <f t="array" ref="W311">SQRT(MMULT(MMULT(P311:S311,$K$3:$N$6),TRANSPOSE(P311:S311)))</f>
        <v>0.14628359683172723</v>
      </c>
    </row>
    <row r="312" spans="16:23" x14ac:dyDescent="0.3">
      <c r="P312" s="26">
        <v>0.50709568848191922</v>
      </c>
      <c r="Q312" s="26">
        <v>0.25660918909192698</v>
      </c>
      <c r="R312" s="26">
        <v>8.3672702811761215E-2</v>
      </c>
      <c r="S312" s="26">
        <v>0.15262241961439255</v>
      </c>
      <c r="T312" s="26"/>
      <c r="U312" s="9">
        <f t="array" ref="U312">MMULT(TRANSPOSE($B$3:$B$6),TRANSPOSE(P312:S312))</f>
        <v>6.9162661267316461E-2</v>
      </c>
      <c r="V312" s="26"/>
      <c r="W312" s="9">
        <f t="array" ref="W312">SQRT(MMULT(MMULT(P312:S312,$K$3:$N$6),TRANSPOSE(P312:S312)))</f>
        <v>9.46789679474698E-2</v>
      </c>
    </row>
    <row r="313" spans="16:23" x14ac:dyDescent="0.3">
      <c r="P313" s="26">
        <v>0.37943139220115396</v>
      </c>
      <c r="Q313" s="26">
        <v>0.38789753115082903</v>
      </c>
      <c r="R313" s="26">
        <v>0.11824232685141153</v>
      </c>
      <c r="S313" s="26">
        <v>0.11442874979660542</v>
      </c>
      <c r="T313" s="26"/>
      <c r="U313" s="9">
        <f t="array" ref="U313">MMULT(TRANSPOSE($B$3:$B$6),TRANSPOSE(P313:S313))</f>
        <v>7.0497656182835433E-2</v>
      </c>
      <c r="V313" s="26"/>
      <c r="W313" s="9">
        <f t="array" ref="W313">SQRT(MMULT(MMULT(P313:S313,$K$3:$N$6),TRANSPOSE(P313:S313)))</f>
        <v>9.8133351908514452E-2</v>
      </c>
    </row>
    <row r="314" spans="16:23" x14ac:dyDescent="0.3">
      <c r="P314" s="26">
        <v>0.38906636809108586</v>
      </c>
      <c r="Q314" s="26">
        <v>0.19938987639731487</v>
      </c>
      <c r="R314" s="26">
        <v>9.0970342869400089E-2</v>
      </c>
      <c r="S314" s="26">
        <v>0.32057341264219918</v>
      </c>
      <c r="T314" s="26"/>
      <c r="U314" s="9">
        <f t="array" ref="U314">MMULT(TRANSPOSE($B$3:$B$6),TRANSPOSE(P314:S314))</f>
        <v>8.0066750127676251E-2</v>
      </c>
      <c r="V314" s="26"/>
      <c r="W314" s="9">
        <f t="array" ref="W314">SQRT(MMULT(MMULT(P314:S314,$K$3:$N$6),TRANSPOSE(P314:S314)))</f>
        <v>0.12357630294246363</v>
      </c>
    </row>
    <row r="315" spans="16:23" x14ac:dyDescent="0.3">
      <c r="P315" s="26">
        <v>0.22064159536090114</v>
      </c>
      <c r="Q315" s="26">
        <v>0.23327558892684197</v>
      </c>
      <c r="R315" s="26">
        <v>0.32178166039784029</v>
      </c>
      <c r="S315" s="26">
        <v>0.22430115531441666</v>
      </c>
      <c r="T315" s="26"/>
      <c r="U315" s="9">
        <f t="array" ref="U315">MMULT(TRANSPOSE($B$3:$B$6),TRANSPOSE(P315:S315))</f>
        <v>8.3237859066459627E-2</v>
      </c>
      <c r="V315" s="26"/>
      <c r="W315" s="9">
        <f t="array" ref="W315">SQRT(MMULT(MMULT(P315:S315,$K$3:$N$6),TRANSPOSE(P315:S315)))</f>
        <v>0.1280966329014461</v>
      </c>
    </row>
    <row r="316" spans="16:23" x14ac:dyDescent="0.3">
      <c r="P316" s="26">
        <v>0.26324134404079519</v>
      </c>
      <c r="Q316" s="26">
        <v>0.27775712250784046</v>
      </c>
      <c r="R316" s="26">
        <v>0.1983408050679252</v>
      </c>
      <c r="S316" s="26">
        <v>0.26066072838343923</v>
      </c>
      <c r="T316" s="26"/>
      <c r="U316" s="9">
        <f t="array" ref="U316">MMULT(TRANSPOSE($B$3:$B$6),TRANSPOSE(P316:S316))</f>
        <v>8.1735025639714576E-2</v>
      </c>
      <c r="V316" s="26"/>
      <c r="W316" s="9">
        <f t="array" ref="W316">SQRT(MMULT(MMULT(P316:S316,$K$3:$N$6),TRANSPOSE(P316:S316)))</f>
        <v>0.12286396386606921</v>
      </c>
    </row>
    <row r="317" spans="16:23" x14ac:dyDescent="0.3">
      <c r="P317" s="26">
        <v>0.27672636769063436</v>
      </c>
      <c r="Q317" s="26">
        <v>0.22129249286174363</v>
      </c>
      <c r="R317" s="26">
        <v>0.28774319050879166</v>
      </c>
      <c r="S317" s="26">
        <v>0.21423794893883027</v>
      </c>
      <c r="T317" s="26"/>
      <c r="U317" s="9">
        <f t="array" ref="U317">MMULT(TRANSPOSE($B$3:$B$6),TRANSPOSE(P317:S317))</f>
        <v>8.0932233903304659E-2</v>
      </c>
      <c r="V317" s="26"/>
      <c r="W317" s="9">
        <f t="array" ref="W317">SQRT(MMULT(MMULT(P317:S317,$K$3:$N$6),TRANSPOSE(P317:S317)))</f>
        <v>0.12126778233188269</v>
      </c>
    </row>
    <row r="318" spans="16:23" x14ac:dyDescent="0.3">
      <c r="P318" s="26">
        <v>0.31959424800329694</v>
      </c>
      <c r="Q318" s="26">
        <v>0.23128192735539471</v>
      </c>
      <c r="R318" s="26">
        <v>0.14780628589628814</v>
      </c>
      <c r="S318" s="26">
        <v>0.30131753874502021</v>
      </c>
      <c r="T318" s="26"/>
      <c r="U318" s="9">
        <f t="array" ref="U318">MMULT(TRANSPOSE($B$3:$B$6),TRANSPOSE(P318:S318))</f>
        <v>8.1630117695110832E-2</v>
      </c>
      <c r="V318" s="26"/>
      <c r="W318" s="9">
        <f t="array" ref="W318">SQRT(MMULT(MMULT(P318:S318,$K$3:$N$6),TRANSPOSE(P318:S318)))</f>
        <v>0.12478689770942164</v>
      </c>
    </row>
    <row r="319" spans="16:23" x14ac:dyDescent="0.3">
      <c r="P319" s="26">
        <v>0.32566012001950556</v>
      </c>
      <c r="Q319" s="26">
        <v>0.11034625485452562</v>
      </c>
      <c r="R319" s="26">
        <v>0.34845162927824141</v>
      </c>
      <c r="S319" s="26">
        <v>0.21554199584772735</v>
      </c>
      <c r="T319" s="26"/>
      <c r="U319" s="9">
        <f t="array" ref="U319">MMULT(TRANSPOSE($B$3:$B$6),TRANSPOSE(P319:S319))</f>
        <v>8.1232929977561083E-2</v>
      </c>
      <c r="V319" s="26"/>
      <c r="W319" s="9">
        <f t="array" ref="W319">SQRT(MMULT(MMULT(P319:S319,$K$3:$N$6),TRANSPOSE(P319:S319)))</f>
        <v>0.12555419166974713</v>
      </c>
    </row>
    <row r="320" spans="16:23" x14ac:dyDescent="0.3">
      <c r="P320" s="26">
        <v>0.30460101672358403</v>
      </c>
      <c r="Q320" s="26">
        <v>0.34272459164377328</v>
      </c>
      <c r="R320" s="26">
        <v>0.3117789630029193</v>
      </c>
      <c r="S320" s="26">
        <v>4.0895428629723521E-2</v>
      </c>
      <c r="T320" s="26"/>
      <c r="U320" s="9">
        <f t="array" ref="U320">MMULT(TRANSPOSE($B$3:$B$6),TRANSPOSE(P320:S320))</f>
        <v>7.2188330357072894E-2</v>
      </c>
      <c r="V320" s="26"/>
      <c r="W320" s="9">
        <f t="array" ref="W320">SQRT(MMULT(MMULT(P320:S320,$K$3:$N$6),TRANSPOSE(P320:S320)))</f>
        <v>0.1063700167279438</v>
      </c>
    </row>
    <row r="321" spans="16:23" x14ac:dyDescent="0.3">
      <c r="P321" s="26">
        <v>5.2877277225744951E-2</v>
      </c>
      <c r="Q321" s="26">
        <v>0.39282281607814701</v>
      </c>
      <c r="R321" s="26">
        <v>6.8118790679260105E-2</v>
      </c>
      <c r="S321" s="26">
        <v>0.48618111601684788</v>
      </c>
      <c r="T321" s="26"/>
      <c r="U321" s="9">
        <f t="array" ref="U321">MMULT(TRANSPOSE($B$3:$B$6),TRANSPOSE(P321:S321))</f>
        <v>9.4613886069912695E-2</v>
      </c>
      <c r="V321" s="26"/>
      <c r="W321" s="9">
        <f t="array" ref="W321">SQRT(MMULT(MMULT(P321:S321,$K$3:$N$6),TRANSPOSE(P321:S321)))</f>
        <v>0.17019210682462979</v>
      </c>
    </row>
    <row r="322" spans="16:23" x14ac:dyDescent="0.3">
      <c r="P322" s="26">
        <v>0.25167944572294443</v>
      </c>
      <c r="Q322" s="26">
        <v>0.4096221877290453</v>
      </c>
      <c r="R322" s="26">
        <v>0.14956673200147161</v>
      </c>
      <c r="S322" s="26">
        <v>0.18913163454653853</v>
      </c>
      <c r="T322" s="26"/>
      <c r="U322" s="9">
        <f t="array" ref="U322">MMULT(TRANSPOSE($B$3:$B$6),TRANSPOSE(P322:S322))</f>
        <v>7.7414327452897461E-2</v>
      </c>
      <c r="V322" s="26"/>
      <c r="W322" s="9">
        <f t="array" ref="W322">SQRT(MMULT(MMULT(P322:S322,$K$3:$N$6),TRANSPOSE(P322:S322)))</f>
        <v>0.11221707752472961</v>
      </c>
    </row>
    <row r="323" spans="16:23" x14ac:dyDescent="0.3">
      <c r="P323" s="26">
        <v>0.29331023221538077</v>
      </c>
      <c r="Q323" s="26">
        <v>0.2564916922615279</v>
      </c>
      <c r="R323" s="26">
        <v>0.1792500603966129</v>
      </c>
      <c r="S323" s="26">
        <v>0.27094801512647826</v>
      </c>
      <c r="T323" s="26"/>
      <c r="U323" s="9">
        <f t="array" ref="U323">MMULT(TRANSPOSE($B$3:$B$6),TRANSPOSE(P323:S323))</f>
        <v>8.1266197319948552E-2</v>
      </c>
      <c r="V323" s="26"/>
      <c r="W323" s="9">
        <f t="array" ref="W323">SQRT(MMULT(MMULT(P323:S323,$K$3:$N$6),TRANSPOSE(P323:S323)))</f>
        <v>0.12213638573597579</v>
      </c>
    </row>
    <row r="324" spans="16:23" x14ac:dyDescent="0.3">
      <c r="P324" s="26">
        <v>0.10265776321998822</v>
      </c>
      <c r="Q324" s="26">
        <v>0.30799223971669787</v>
      </c>
      <c r="R324" s="26">
        <v>0.26305722386816599</v>
      </c>
      <c r="S324" s="26">
        <v>0.32629277319514788</v>
      </c>
      <c r="T324" s="26"/>
      <c r="U324" s="9">
        <f t="array" ref="U324">MMULT(TRANSPOSE($B$3:$B$6),TRANSPOSE(P324:S324))</f>
        <v>8.9522627872720945E-2</v>
      </c>
      <c r="V324" s="26"/>
      <c r="W324" s="9">
        <f t="array" ref="W324">SQRT(MMULT(MMULT(P324:S324,$K$3:$N$6),TRANSPOSE(P324:S324)))</f>
        <v>0.1465290263337265</v>
      </c>
    </row>
    <row r="325" spans="16:23" x14ac:dyDescent="0.3">
      <c r="P325" s="26">
        <v>0.48609918051345741</v>
      </c>
      <c r="Q325" s="26">
        <v>1.8480127709510814E-2</v>
      </c>
      <c r="R325" s="26">
        <v>0.14111206126967829</v>
      </c>
      <c r="S325" s="26">
        <v>0.35430863050735351</v>
      </c>
      <c r="T325" s="26"/>
      <c r="U325" s="9">
        <f t="array" ref="U325">MMULT(TRANSPOSE($B$3:$B$6),TRANSPOSE(P325:S325))</f>
        <v>8.0815689140492086E-2</v>
      </c>
      <c r="V325" s="26"/>
      <c r="W325" s="9">
        <f t="array" ref="W325">SQRT(MMULT(MMULT(P325:S325,$K$3:$N$6),TRANSPOSE(P325:S325)))</f>
        <v>0.13347631641852173</v>
      </c>
    </row>
    <row r="326" spans="16:23" x14ac:dyDescent="0.3">
      <c r="P326" s="26">
        <v>0.20220740434350573</v>
      </c>
      <c r="Q326" s="26">
        <v>0.36927252186414378</v>
      </c>
      <c r="R326" s="26">
        <v>0.35511634081158733</v>
      </c>
      <c r="S326" s="26">
        <v>7.340373298076322E-2</v>
      </c>
      <c r="T326" s="26"/>
      <c r="U326" s="9">
        <f t="array" ref="U326">MMULT(TRANSPOSE($B$3:$B$6),TRANSPOSE(P326:S326))</f>
        <v>7.6728365378399804E-2</v>
      </c>
      <c r="V326" s="26"/>
      <c r="W326" s="9">
        <f t="array" ref="W326">SQRT(MMULT(MMULT(P326:S326,$K$3:$N$6),TRANSPOSE(P326:S326)))</f>
        <v>0.11679736700030743</v>
      </c>
    </row>
    <row r="327" spans="16:23" x14ac:dyDescent="0.3">
      <c r="P327" s="26">
        <v>0.36387606346928519</v>
      </c>
      <c r="Q327" s="26">
        <v>0.36668721936608545</v>
      </c>
      <c r="R327" s="26">
        <v>0.26931398765284459</v>
      </c>
      <c r="S327" s="26">
        <v>1.2272951178487904E-4</v>
      </c>
      <c r="T327" s="26"/>
      <c r="U327" s="9">
        <f t="array" ref="U327">MMULT(TRANSPOSE($B$3:$B$6),TRANSPOSE(P327:S327))</f>
        <v>6.8114894959260444E-2</v>
      </c>
      <c r="V327" s="26"/>
      <c r="W327" s="9">
        <f t="array" ref="W327">SQRT(MMULT(MMULT(P327:S327,$K$3:$N$6),TRANSPOSE(P327:S327)))</f>
        <v>0.10110814355599416</v>
      </c>
    </row>
    <row r="328" spans="16:23" x14ac:dyDescent="0.3">
      <c r="P328" s="26">
        <v>0.2209395251680307</v>
      </c>
      <c r="Q328" s="26">
        <v>0.26217076997260808</v>
      </c>
      <c r="R328" s="26">
        <v>0.19630456543199393</v>
      </c>
      <c r="S328" s="26">
        <v>0.32058513942736738</v>
      </c>
      <c r="T328" s="26"/>
      <c r="U328" s="9">
        <f t="array" ref="U328">MMULT(TRANSPOSE($B$3:$B$6),TRANSPOSE(P328:S328))</f>
        <v>8.5536557776647648E-2</v>
      </c>
      <c r="V328" s="26"/>
      <c r="W328" s="9">
        <f t="array" ref="W328">SQRT(MMULT(MMULT(P328:S328,$K$3:$N$6),TRANSPOSE(P328:S328)))</f>
        <v>0.13514022218438282</v>
      </c>
    </row>
    <row r="329" spans="16:23" x14ac:dyDescent="0.3">
      <c r="P329" s="26">
        <v>0.2976149670726505</v>
      </c>
      <c r="Q329" s="26">
        <v>0.30960990022559032</v>
      </c>
      <c r="R329" s="26">
        <v>0.24218020539744023</v>
      </c>
      <c r="S329" s="26">
        <v>0.15059492730431906</v>
      </c>
      <c r="T329" s="26"/>
      <c r="U329" s="9">
        <f t="array" ref="U329">MMULT(TRANSPOSE($B$3:$B$6),TRANSPOSE(P329:S329))</f>
        <v>7.6421051131711742E-2</v>
      </c>
      <c r="V329" s="26"/>
      <c r="W329" s="9">
        <f t="array" ref="W329">SQRT(MMULT(MMULT(P329:S329,$K$3:$N$6),TRANSPOSE(P329:S329)))</f>
        <v>0.10920276363661463</v>
      </c>
    </row>
    <row r="330" spans="16:23" x14ac:dyDescent="0.3">
      <c r="P330" s="26">
        <v>0.36501927924963118</v>
      </c>
      <c r="Q330" s="26">
        <v>0.47540793612060339</v>
      </c>
      <c r="R330" s="26">
        <v>8.42997715073633E-2</v>
      </c>
      <c r="S330" s="26">
        <v>7.5273013122402324E-2</v>
      </c>
      <c r="T330" s="26"/>
      <c r="U330" s="9">
        <f t="array" ref="U330">MMULT(TRANSPOSE($B$3:$B$6),TRANSPOSE(P330:S330))</f>
        <v>6.8149260501274775E-2</v>
      </c>
      <c r="V330" s="26"/>
      <c r="W330" s="9">
        <f t="array" ref="W330">SQRT(MMULT(MMULT(P330:S330,$K$3:$N$6),TRANSPOSE(P330:S330)))</f>
        <v>9.902839159083171E-2</v>
      </c>
    </row>
    <row r="331" spans="16:23" x14ac:dyDescent="0.3">
      <c r="P331" s="26">
        <v>0.23585763206402682</v>
      </c>
      <c r="Q331" s="26">
        <v>4.0170002462239316E-3</v>
      </c>
      <c r="R331" s="26">
        <v>0.4805320765424656</v>
      </c>
      <c r="S331" s="26">
        <v>0.27959329114728354</v>
      </c>
      <c r="T331" s="26"/>
      <c r="U331" s="9">
        <f t="array" ref="U331">MMULT(TRANSPOSE($B$3:$B$6),TRANSPOSE(P331:S331))</f>
        <v>8.8873153446932945E-2</v>
      </c>
      <c r="V331" s="26"/>
      <c r="W331" s="9">
        <f t="array" ref="W331">SQRT(MMULT(MMULT(P331:S331,$K$3:$N$6),TRANSPOSE(P331:S331)))</f>
        <v>0.15485251261895777</v>
      </c>
    </row>
    <row r="332" spans="16:23" x14ac:dyDescent="0.3">
      <c r="P332" s="26">
        <v>0.3203758509397775</v>
      </c>
      <c r="Q332" s="26">
        <v>0.19893564435532343</v>
      </c>
      <c r="R332" s="26">
        <v>0.18744130585987692</v>
      </c>
      <c r="S332" s="26">
        <v>0.29324719884502209</v>
      </c>
      <c r="T332" s="26"/>
      <c r="U332" s="9">
        <f t="array" ref="U332">MMULT(TRANSPOSE($B$3:$B$6),TRANSPOSE(P332:S332))</f>
        <v>8.2003669040653093E-2</v>
      </c>
      <c r="V332" s="26"/>
      <c r="W332" s="9">
        <f t="array" ref="W332">SQRT(MMULT(MMULT(P332:S332,$K$3:$N$6),TRANSPOSE(P332:S332)))</f>
        <v>0.1257011036537817</v>
      </c>
    </row>
    <row r="333" spans="16:23" x14ac:dyDescent="0.3">
      <c r="P333" s="26">
        <v>0.60084749602919418</v>
      </c>
      <c r="Q333" s="26">
        <v>0.16419552703819112</v>
      </c>
      <c r="R333" s="26">
        <v>9.371162677808241E-2</v>
      </c>
      <c r="S333" s="26">
        <v>0.14124535015453232</v>
      </c>
      <c r="T333" s="26"/>
      <c r="U333" s="9">
        <f t="array" ref="U333">MMULT(TRANSPOSE($B$3:$B$6),TRANSPOSE(P333:S333))</f>
        <v>6.6919550122704383E-2</v>
      </c>
      <c r="V333" s="26"/>
      <c r="W333" s="9">
        <f t="array" ref="W333">SQRT(MMULT(MMULT(P333:S333,$K$3:$N$6),TRANSPOSE(P333:S333)))</f>
        <v>9.2500705143227169E-2</v>
      </c>
    </row>
    <row r="334" spans="16:23" x14ac:dyDescent="0.3">
      <c r="P334" s="26">
        <v>0.17645249967591942</v>
      </c>
      <c r="Q334" s="26">
        <v>0.20838347213177641</v>
      </c>
      <c r="R334" s="26">
        <v>0.27170353514821671</v>
      </c>
      <c r="S334" s="26">
        <v>0.34346049304408743</v>
      </c>
      <c r="T334" s="26"/>
      <c r="U334" s="9">
        <f t="array" ref="U334">MMULT(TRANSPOSE($B$3:$B$6),TRANSPOSE(P334:S334))</f>
        <v>8.9078045361650315E-2</v>
      </c>
      <c r="V334" s="26"/>
      <c r="W334" s="9">
        <f t="array" ref="W334">SQRT(MMULT(MMULT(P334:S334,$K$3:$N$6),TRANSPOSE(P334:S334)))</f>
        <v>0.14695227971425218</v>
      </c>
    </row>
    <row r="335" spans="16:23" x14ac:dyDescent="0.3">
      <c r="P335" s="26">
        <v>0.14934552226121656</v>
      </c>
      <c r="Q335" s="26">
        <v>0.3371092316666664</v>
      </c>
      <c r="R335" s="26">
        <v>0.45569567173217168</v>
      </c>
      <c r="S335" s="26">
        <v>5.7849574339945274E-2</v>
      </c>
      <c r="T335" s="26"/>
      <c r="U335" s="9">
        <f t="array" ref="U335">MMULT(TRANSPOSE($B$3:$B$6),TRANSPOSE(P335:S335))</f>
        <v>7.9019481706416358E-2</v>
      </c>
      <c r="V335" s="26"/>
      <c r="W335" s="9">
        <f t="array" ref="W335">SQRT(MMULT(MMULT(P335:S335,$K$3:$N$6),TRANSPOSE(P335:S335)))</f>
        <v>0.12725477665714255</v>
      </c>
    </row>
    <row r="336" spans="16:23" x14ac:dyDescent="0.3">
      <c r="P336" s="26">
        <v>0.38122279620754507</v>
      </c>
      <c r="Q336" s="26">
        <v>5.4905356937439006E-4</v>
      </c>
      <c r="R336" s="26">
        <v>0.14580363350119202</v>
      </c>
      <c r="S336" s="26">
        <v>0.47242451672188862</v>
      </c>
      <c r="T336" s="26"/>
      <c r="U336" s="9">
        <f t="array" ref="U336">MMULT(TRANSPOSE($B$3:$B$6),TRANSPOSE(P336:S336))</f>
        <v>8.8912842581967383E-2</v>
      </c>
      <c r="V336" s="26"/>
      <c r="W336" s="9">
        <f t="array" ref="W336">SQRT(MMULT(MMULT(P336:S336,$K$3:$N$6),TRANSPOSE(P336:S336)))</f>
        <v>0.16267841664316274</v>
      </c>
    </row>
    <row r="337" spans="16:23" x14ac:dyDescent="0.3">
      <c r="P337" s="26">
        <v>0.66807797477328024</v>
      </c>
      <c r="Q337" s="26">
        <v>0.1605330302008737</v>
      </c>
      <c r="R337" s="26">
        <v>0.10687349633967366</v>
      </c>
      <c r="S337" s="26">
        <v>6.4515498686172304E-2</v>
      </c>
      <c r="T337" s="26"/>
      <c r="U337" s="9">
        <f t="array" ref="U337">MMULT(TRANSPOSE($B$3:$B$6),TRANSPOSE(P337:S337))</f>
        <v>6.200168536563648E-2</v>
      </c>
      <c r="V337" s="26"/>
      <c r="W337" s="9">
        <f t="array" ref="W337">SQRT(MMULT(MMULT(P337:S337,$K$3:$N$6),TRANSPOSE(P337:S337)))</f>
        <v>8.7555661961791861E-2</v>
      </c>
    </row>
    <row r="338" spans="16:23" x14ac:dyDescent="0.3">
      <c r="P338" s="26">
        <v>0.2630641564272353</v>
      </c>
      <c r="Q338" s="26">
        <v>0.28844105090910543</v>
      </c>
      <c r="R338" s="26">
        <v>0.22177851619063688</v>
      </c>
      <c r="S338" s="26">
        <v>0.22671627647302245</v>
      </c>
      <c r="T338" s="26"/>
      <c r="U338" s="9">
        <f t="array" ref="U338">MMULT(TRANSPOSE($B$3:$B$6),TRANSPOSE(P338:S338))</f>
        <v>8.0510101018919158E-2</v>
      </c>
      <c r="V338" s="26"/>
      <c r="W338" s="9">
        <f t="array" ref="W338">SQRT(MMULT(MMULT(P338:S338,$K$3:$N$6),TRANSPOSE(P338:S338)))</f>
        <v>0.11907346355408778</v>
      </c>
    </row>
    <row r="339" spans="16:23" x14ac:dyDescent="0.3">
      <c r="P339" s="26">
        <v>0.4802262141765275</v>
      </c>
      <c r="Q339" s="26">
        <v>0.2563306705616834</v>
      </c>
      <c r="R339" s="26">
        <v>2.5331873798158579E-2</v>
      </c>
      <c r="S339" s="26">
        <v>0.23811124146363058</v>
      </c>
      <c r="T339" s="26"/>
      <c r="U339" s="9">
        <f t="array" ref="U339">MMULT(TRANSPOSE($B$3:$B$6),TRANSPOSE(P339:S339))</f>
        <v>7.2807675265614158E-2</v>
      </c>
      <c r="V339" s="26"/>
      <c r="W339" s="9">
        <f t="array" ref="W339">SQRT(MMULT(MMULT(P339:S339,$K$3:$N$6),TRANSPOSE(P339:S339)))</f>
        <v>0.10487585287404272</v>
      </c>
    </row>
    <row r="340" spans="16:23" x14ac:dyDescent="0.3">
      <c r="P340" s="26">
        <v>0.31316756770264847</v>
      </c>
      <c r="Q340" s="26">
        <v>4.951144983443078E-2</v>
      </c>
      <c r="R340" s="26">
        <v>0.29090085156908685</v>
      </c>
      <c r="S340" s="26">
        <v>0.34642013089383389</v>
      </c>
      <c r="T340" s="26"/>
      <c r="U340" s="9">
        <f t="array" ref="U340">MMULT(TRANSPOSE($B$3:$B$6),TRANSPOSE(P340:S340))</f>
        <v>8.6875672222020445E-2</v>
      </c>
      <c r="V340" s="26"/>
      <c r="W340" s="9">
        <f t="array" ref="W340">SQRT(MMULT(MMULT(P340:S340,$K$3:$N$6),TRANSPOSE(P340:S340)))</f>
        <v>0.14579133456158946</v>
      </c>
    </row>
    <row r="341" spans="16:23" x14ac:dyDescent="0.3">
      <c r="P341" s="26">
        <v>0.15060365455991326</v>
      </c>
      <c r="Q341" s="26">
        <v>0.3589058148007806</v>
      </c>
      <c r="R341" s="26">
        <v>0.34013539873174442</v>
      </c>
      <c r="S341" s="26">
        <v>0.15035513190756172</v>
      </c>
      <c r="T341" s="26"/>
      <c r="U341" s="9">
        <f t="array" ref="U341">MMULT(TRANSPOSE($B$3:$B$6),TRANSPOSE(P341:S341))</f>
        <v>8.1308391478814718E-2</v>
      </c>
      <c r="V341" s="26"/>
      <c r="W341" s="9">
        <f t="array" ref="W341">SQRT(MMULT(MMULT(P341:S341,$K$3:$N$6),TRANSPOSE(P341:S341)))</f>
        <v>0.12458880467092641</v>
      </c>
    </row>
    <row r="342" spans="16:23" x14ac:dyDescent="0.3">
      <c r="P342" s="26">
        <v>0.30008088225770496</v>
      </c>
      <c r="Q342" s="26">
        <v>0.24011886970357402</v>
      </c>
      <c r="R342" s="26">
        <v>0.19394306691017041</v>
      </c>
      <c r="S342" s="26">
        <v>0.26585718112855061</v>
      </c>
      <c r="T342" s="26"/>
      <c r="U342" s="9">
        <f t="array" ref="U342">MMULT(TRANSPOSE($B$3:$B$6),TRANSPOSE(P342:S342))</f>
        <v>8.1170102749476836E-2</v>
      </c>
      <c r="V342" s="26"/>
      <c r="W342" s="9">
        <f t="array" ref="W342">SQRT(MMULT(MMULT(P342:S342,$K$3:$N$6),TRANSPOSE(P342:S342)))</f>
        <v>0.12188400654111975</v>
      </c>
    </row>
    <row r="343" spans="16:23" x14ac:dyDescent="0.3">
      <c r="P343" s="26">
        <v>4.1988164426580321E-2</v>
      </c>
      <c r="Q343" s="26">
        <v>0.27555955532942861</v>
      </c>
      <c r="R343" s="26">
        <v>0.16161451844170316</v>
      </c>
      <c r="S343" s="26">
        <v>0.5208377618022878</v>
      </c>
      <c r="T343" s="26"/>
      <c r="U343" s="9">
        <f t="array" ref="U343">MMULT(TRANSPOSE($B$3:$B$6),TRANSPOSE(P343:S343))</f>
        <v>9.8434415170416845E-2</v>
      </c>
      <c r="V343" s="26"/>
      <c r="W343" s="9">
        <f t="array" ref="W343">SQRT(MMULT(MMULT(P343:S343,$K$3:$N$6),TRANSPOSE(P343:S343)))</f>
        <v>0.18297884393435351</v>
      </c>
    </row>
    <row r="344" spans="16:23" x14ac:dyDescent="0.3">
      <c r="P344" s="26">
        <v>0.38153170910262968</v>
      </c>
      <c r="Q344" s="26">
        <v>0.35696307461759502</v>
      </c>
      <c r="R344" s="26">
        <v>0.18406355573677022</v>
      </c>
      <c r="S344" s="26">
        <v>7.7441660543005122E-2</v>
      </c>
      <c r="T344" s="26"/>
      <c r="U344" s="9">
        <f t="array" ref="U344">MMULT(TRANSPOSE($B$3:$B$6),TRANSPOSE(P344:S344))</f>
        <v>6.9922719959833068E-2</v>
      </c>
      <c r="V344" s="26"/>
      <c r="W344" s="9">
        <f t="array" ref="W344">SQRT(MMULT(MMULT(P344:S344,$K$3:$N$6),TRANSPOSE(P344:S344)))</f>
        <v>9.7570302364071701E-2</v>
      </c>
    </row>
    <row r="345" spans="16:23" x14ac:dyDescent="0.3">
      <c r="P345" s="26">
        <v>0.33550155246229413</v>
      </c>
      <c r="Q345" s="26">
        <v>0.30619518594679396</v>
      </c>
      <c r="R345" s="26">
        <v>9.9499352873864036E-2</v>
      </c>
      <c r="S345" s="26">
        <v>0.25880390871704789</v>
      </c>
      <c r="T345" s="26"/>
      <c r="U345" s="9">
        <f t="array" ref="U345">MMULT(TRANSPOSE($B$3:$B$6),TRANSPOSE(P345:S345))</f>
        <v>7.8220151444083799E-2</v>
      </c>
      <c r="V345" s="26"/>
      <c r="W345" s="9">
        <f t="array" ref="W345">SQRT(MMULT(MMULT(P345:S345,$K$3:$N$6),TRANSPOSE(P345:S345)))</f>
        <v>0.1147488122293449</v>
      </c>
    </row>
    <row r="346" spans="16:23" x14ac:dyDescent="0.3">
      <c r="P346" s="26">
        <v>0.32694112151152133</v>
      </c>
      <c r="Q346" s="26">
        <v>0.13381794188862098</v>
      </c>
      <c r="R346" s="26">
        <v>0.31166744179517603</v>
      </c>
      <c r="S346" s="26">
        <v>0.22757349480468167</v>
      </c>
      <c r="T346" s="26"/>
      <c r="U346" s="9">
        <f t="array" ref="U346">MMULT(TRANSPOSE($B$3:$B$6),TRANSPOSE(P346:S346))</f>
        <v>8.1073201145907187E-2</v>
      </c>
      <c r="V346" s="26"/>
      <c r="W346" s="9">
        <f t="array" ref="W346">SQRT(MMULT(MMULT(P346:S346,$K$3:$N$6),TRANSPOSE(P346:S346)))</f>
        <v>0.12385864538090836</v>
      </c>
    </row>
    <row r="347" spans="16:23" x14ac:dyDescent="0.3">
      <c r="P347" s="26">
        <v>0.35898346426233896</v>
      </c>
      <c r="Q347" s="26">
        <v>2.9792489982011977E-2</v>
      </c>
      <c r="R347" s="26">
        <v>6.5515003962056603E-2</v>
      </c>
      <c r="S347" s="26">
        <v>0.54570904179359236</v>
      </c>
      <c r="T347" s="26"/>
      <c r="U347" s="9">
        <f t="array" ref="U347">MMULT(TRANSPOSE($B$3:$B$6),TRANSPOSE(P347:S347))</f>
        <v>9.1416082883673963E-2</v>
      </c>
      <c r="V347" s="26"/>
      <c r="W347" s="9">
        <f t="array" ref="W347">SQRT(MMULT(MMULT(P347:S347,$K$3:$N$6),TRANSPOSE(P347:S347)))</f>
        <v>0.17585706623151393</v>
      </c>
    </row>
    <row r="348" spans="16:23" x14ac:dyDescent="0.3">
      <c r="P348" s="26">
        <v>0.30620820099820062</v>
      </c>
      <c r="Q348" s="26">
        <v>0.16273475611129207</v>
      </c>
      <c r="R348" s="26">
        <v>0.30690926196260881</v>
      </c>
      <c r="S348" s="26">
        <v>0.22414778092789844</v>
      </c>
      <c r="T348" s="26"/>
      <c r="U348" s="9">
        <f t="array" ref="U348">MMULT(TRANSPOSE($B$3:$B$6),TRANSPOSE(P348:S348))</f>
        <v>8.1221410265683081E-2</v>
      </c>
      <c r="V348" s="26"/>
      <c r="W348" s="9">
        <f t="array" ref="W348">SQRT(MMULT(MMULT(P348:S348,$K$3:$N$6),TRANSPOSE(P348:S348)))</f>
        <v>0.1234228162006817</v>
      </c>
    </row>
    <row r="349" spans="16:23" x14ac:dyDescent="0.3">
      <c r="P349" s="26">
        <v>0.23303229872411457</v>
      </c>
      <c r="Q349" s="26">
        <v>0.20420394821817792</v>
      </c>
      <c r="R349" s="26">
        <v>0.28490243986357927</v>
      </c>
      <c r="S349" s="26">
        <v>0.2778613131941281</v>
      </c>
      <c r="T349" s="26"/>
      <c r="U349" s="9">
        <f t="array" ref="U349">MMULT(TRANSPOSE($B$3:$B$6),TRANSPOSE(P349:S349))</f>
        <v>8.4930468482495691E-2</v>
      </c>
      <c r="V349" s="26"/>
      <c r="W349" s="9">
        <f t="array" ref="W349">SQRT(MMULT(MMULT(P349:S349,$K$3:$N$6),TRANSPOSE(P349:S349)))</f>
        <v>0.13334061172045578</v>
      </c>
    </row>
    <row r="350" spans="16:23" x14ac:dyDescent="0.3">
      <c r="P350" s="26">
        <v>0.21534457035174551</v>
      </c>
      <c r="Q350" s="26">
        <v>0.18967848033107193</v>
      </c>
      <c r="R350" s="26">
        <v>0.2677439076244692</v>
      </c>
      <c r="S350" s="26">
        <v>0.32723304169271333</v>
      </c>
      <c r="T350" s="26"/>
      <c r="U350" s="9">
        <f t="array" ref="U350">MMULT(TRANSPOSE($B$3:$B$6),TRANSPOSE(P350:S350))</f>
        <v>8.7409638830090147E-2</v>
      </c>
      <c r="V350" s="26"/>
      <c r="W350" s="9">
        <f t="array" ref="W350">SQRT(MMULT(MMULT(P350:S350,$K$3:$N$6),TRANSPOSE(P350:S350)))</f>
        <v>0.14192747878121245</v>
      </c>
    </row>
    <row r="351" spans="16:23" x14ac:dyDescent="0.3">
      <c r="P351" s="26">
        <v>0.30834049844919514</v>
      </c>
      <c r="Q351" s="26">
        <v>0.33236913416536562</v>
      </c>
      <c r="R351" s="26">
        <v>8.7093483978285369E-2</v>
      </c>
      <c r="S351" s="26">
        <v>0.27219688340715387</v>
      </c>
      <c r="T351" s="26"/>
      <c r="U351" s="9">
        <f t="array" ref="U351">MMULT(TRANSPOSE($B$3:$B$6),TRANSPOSE(P351:S351))</f>
        <v>7.9184903880939489E-2</v>
      </c>
      <c r="V351" s="26"/>
      <c r="W351" s="9">
        <f t="array" ref="W351">SQRT(MMULT(MMULT(P351:S351,$K$3:$N$6),TRANSPOSE(P351:S351)))</f>
        <v>0.11770814300488902</v>
      </c>
    </row>
    <row r="352" spans="16:23" x14ac:dyDescent="0.3">
      <c r="P352" s="26">
        <v>9.5499588358516116E-2</v>
      </c>
      <c r="Q352" s="26">
        <v>0.78643801831865445</v>
      </c>
      <c r="R352" s="26">
        <v>2.7657750003402561E-2</v>
      </c>
      <c r="S352" s="26">
        <v>9.0404643319426797E-2</v>
      </c>
      <c r="T352" s="26"/>
      <c r="U352" s="9">
        <f t="array" ref="U352">MMULT(TRANSPOSE($B$3:$B$6),TRANSPOSE(P352:S352))</f>
        <v>7.3163395398869069E-2</v>
      </c>
      <c r="V352" s="26"/>
      <c r="W352" s="9">
        <f t="array" ref="W352">SQRT(MMULT(MMULT(P352:S352,$K$3:$N$6),TRANSPOSE(P352:S352)))</f>
        <v>0.12810849791333159</v>
      </c>
    </row>
    <row r="353" spans="16:23" x14ac:dyDescent="0.3">
      <c r="P353" s="26">
        <v>0.27788440539622838</v>
      </c>
      <c r="Q353" s="26">
        <v>0.1654415711548925</v>
      </c>
      <c r="R353" s="26">
        <v>0.39624947605826721</v>
      </c>
      <c r="S353" s="26">
        <v>0.16042454739061179</v>
      </c>
      <c r="T353" s="26"/>
      <c r="U353" s="9">
        <f t="array" ref="U353">MMULT(TRANSPOSE($B$3:$B$6),TRANSPOSE(P353:S353))</f>
        <v>8.0388528782771349E-2</v>
      </c>
      <c r="V353" s="26"/>
      <c r="W353" s="9">
        <f t="array" ref="W353">SQRT(MMULT(MMULT(P353:S353,$K$3:$N$6),TRANSPOSE(P353:S353)))</f>
        <v>0.12371340994150148</v>
      </c>
    </row>
    <row r="354" spans="16:23" x14ac:dyDescent="0.3">
      <c r="P354" s="26">
        <v>4.3487612003993703E-3</v>
      </c>
      <c r="Q354" s="26">
        <v>0.28834142436678389</v>
      </c>
      <c r="R354" s="26">
        <v>0.29182664822938376</v>
      </c>
      <c r="S354" s="26">
        <v>0.4154831662034329</v>
      </c>
      <c r="T354" s="26"/>
      <c r="U354" s="9">
        <f t="array" ref="U354">MMULT(TRANSPOSE($B$3:$B$6),TRANSPOSE(P354:S354))</f>
        <v>9.6523716050751329E-2</v>
      </c>
      <c r="V354" s="26"/>
      <c r="W354" s="9">
        <f t="array" ref="W354">SQRT(MMULT(MMULT(P354:S354,$K$3:$N$6),TRANSPOSE(P354:S354)))</f>
        <v>0.17101034762296219</v>
      </c>
    </row>
    <row r="355" spans="16:23" x14ac:dyDescent="0.3">
      <c r="P355" s="26">
        <v>0.20991384672362487</v>
      </c>
      <c r="Q355" s="26">
        <v>0.42290920290182493</v>
      </c>
      <c r="R355" s="26">
        <v>8.650190330840303E-2</v>
      </c>
      <c r="S355" s="26">
        <v>0.2806750470661471</v>
      </c>
      <c r="T355" s="26"/>
      <c r="U355" s="9">
        <f t="array" ref="U355">MMULT(TRANSPOSE($B$3:$B$6),TRANSPOSE(P355:S355))</f>
        <v>8.1565513485002905E-2</v>
      </c>
      <c r="V355" s="26"/>
      <c r="W355" s="9">
        <f t="array" ref="W355">SQRT(MMULT(MMULT(P355:S355,$K$3:$N$6),TRANSPOSE(P355:S355)))</f>
        <v>0.12461293575885672</v>
      </c>
    </row>
    <row r="356" spans="16:23" x14ac:dyDescent="0.3">
      <c r="P356" s="26">
        <v>4.2379892696087412E-2</v>
      </c>
      <c r="Q356" s="26">
        <v>6.8249484759602283E-2</v>
      </c>
      <c r="R356" s="26">
        <v>0.47842887480870055</v>
      </c>
      <c r="S356" s="26">
        <v>0.41094174773560976</v>
      </c>
      <c r="T356" s="26"/>
      <c r="U356" s="9">
        <f t="array" ref="U356">MMULT(TRANSPOSE($B$3:$B$6),TRANSPOSE(P356:S356))</f>
        <v>9.926806702903275E-2</v>
      </c>
      <c r="V356" s="26"/>
      <c r="W356" s="9">
        <f t="array" ref="W356">SQRT(MMULT(MMULT(P356:S356,$K$3:$N$6),TRANSPOSE(P356:S356)))</f>
        <v>0.18682903897811157</v>
      </c>
    </row>
    <row r="357" spans="16:23" x14ac:dyDescent="0.3">
      <c r="P357" s="26">
        <v>0.29045503909278075</v>
      </c>
      <c r="Q357" s="26">
        <v>0.20293888316695557</v>
      </c>
      <c r="R357" s="26">
        <v>0.32813774091058961</v>
      </c>
      <c r="S357" s="26">
        <v>0.17846833682967406</v>
      </c>
      <c r="T357" s="26"/>
      <c r="U357" s="9">
        <f t="array" ref="U357">MMULT(TRANSPOSE($B$3:$B$6),TRANSPOSE(P357:S357))</f>
        <v>7.9677070877839887E-2</v>
      </c>
      <c r="V357" s="26"/>
      <c r="W357" s="9">
        <f t="array" ref="W357">SQRT(MMULT(MMULT(P357:S357,$K$3:$N$6),TRANSPOSE(P357:S357)))</f>
        <v>0.11903724214994442</v>
      </c>
    </row>
    <row r="358" spans="16:23" x14ac:dyDescent="0.3">
      <c r="P358" s="26">
        <v>0.40980472453126959</v>
      </c>
      <c r="Q358" s="26">
        <v>5.7477503641331681E-2</v>
      </c>
      <c r="R358" s="26">
        <v>0.32137058986373557</v>
      </c>
      <c r="S358" s="26">
        <v>0.21134718196366314</v>
      </c>
      <c r="T358" s="26"/>
      <c r="U358" s="9">
        <f t="array" ref="U358">MMULT(TRANSPOSE($B$3:$B$6),TRANSPOSE(P358:S358))</f>
        <v>7.8798676404832471E-2</v>
      </c>
      <c r="V358" s="26"/>
      <c r="W358" s="9">
        <f t="array" ref="W358">SQRT(MMULT(MMULT(P358:S358,$K$3:$N$6),TRANSPOSE(P358:S358)))</f>
        <v>0.12056099113023017</v>
      </c>
    </row>
    <row r="359" spans="16:23" x14ac:dyDescent="0.3">
      <c r="P359" s="26">
        <v>0.23917521803144706</v>
      </c>
      <c r="Q359" s="26">
        <v>0.42765276963550575</v>
      </c>
      <c r="R359" s="26">
        <v>0.28662565367683779</v>
      </c>
      <c r="S359" s="26">
        <v>4.6546358656209409E-2</v>
      </c>
      <c r="T359" s="26"/>
      <c r="U359" s="9">
        <f t="array" ref="U359">MMULT(TRANSPOSE($B$3:$B$6),TRANSPOSE(P359:S359))</f>
        <v>7.3276326645718287E-2</v>
      </c>
      <c r="V359" s="26"/>
      <c r="W359" s="9">
        <f t="array" ref="W359">SQRT(MMULT(MMULT(P359:S359,$K$3:$N$6),TRANSPOSE(P359:S359)))</f>
        <v>0.11006993721896155</v>
      </c>
    </row>
    <row r="360" spans="16:23" x14ac:dyDescent="0.3">
      <c r="P360" s="26">
        <v>0.40407381595678488</v>
      </c>
      <c r="Q360" s="26">
        <v>0.2862632889863394</v>
      </c>
      <c r="R360" s="26">
        <v>0.1366689411118209</v>
      </c>
      <c r="S360" s="26">
        <v>0.17299395394505482</v>
      </c>
      <c r="T360" s="26"/>
      <c r="U360" s="9">
        <f t="array" ref="U360">MMULT(TRANSPOSE($B$3:$B$6),TRANSPOSE(P360:S360))</f>
        <v>7.3301600200353451E-2</v>
      </c>
      <c r="V360" s="26"/>
      <c r="W360" s="9">
        <f t="array" ref="W360">SQRT(MMULT(MMULT(P360:S360,$K$3:$N$6),TRANSPOSE(P360:S360)))</f>
        <v>0.10161949923017682</v>
      </c>
    </row>
    <row r="361" spans="16:23" x14ac:dyDescent="0.3">
      <c r="P361" s="26">
        <v>0.15070200666591985</v>
      </c>
      <c r="Q361" s="26">
        <v>0.48857213737774929</v>
      </c>
      <c r="R361" s="26">
        <v>9.9028605216528023E-2</v>
      </c>
      <c r="S361" s="26">
        <v>0.26169725073980288</v>
      </c>
      <c r="T361" s="26"/>
      <c r="U361" s="9">
        <f t="array" ref="U361">MMULT(TRANSPOSE($B$3:$B$6),TRANSPOSE(P361:S361))</f>
        <v>8.2051394508002307E-2</v>
      </c>
      <c r="V361" s="26"/>
      <c r="W361" s="9">
        <f t="array" ref="W361">SQRT(MMULT(MMULT(P361:S361,$K$3:$N$6),TRANSPOSE(P361:S361)))</f>
        <v>0.1266460272440379</v>
      </c>
    </row>
    <row r="362" spans="16:23" x14ac:dyDescent="0.3">
      <c r="P362" s="26">
        <v>0.23094942046339506</v>
      </c>
      <c r="Q362" s="26">
        <v>7.1768578146894857E-2</v>
      </c>
      <c r="R362" s="26">
        <v>0.23328264013030034</v>
      </c>
      <c r="S362" s="26">
        <v>0.46399936125940983</v>
      </c>
      <c r="T362" s="26"/>
      <c r="U362" s="9">
        <f t="array" ref="U362">MMULT(TRANSPOSE($B$3:$B$6),TRANSPOSE(P362:S362))</f>
        <v>9.3246632456308598E-2</v>
      </c>
      <c r="V362" s="26"/>
      <c r="W362" s="9">
        <f t="array" ref="W362">SQRT(MMULT(MMULT(P362:S362,$K$3:$N$6),TRANSPOSE(P362:S362)))</f>
        <v>0.16922131694231091</v>
      </c>
    </row>
    <row r="363" spans="16:23" x14ac:dyDescent="0.3">
      <c r="P363" s="26">
        <v>0.26277329619137718</v>
      </c>
      <c r="Q363" s="26">
        <v>0.24924449920336866</v>
      </c>
      <c r="R363" s="26">
        <v>0.18311878224991895</v>
      </c>
      <c r="S363" s="26">
        <v>0.30486342235533509</v>
      </c>
      <c r="T363" s="26"/>
      <c r="U363" s="9">
        <f t="array" ref="U363">MMULT(TRANSPOSE($B$3:$B$6),TRANSPOSE(P363:S363))</f>
        <v>8.3650080838937574E-2</v>
      </c>
      <c r="V363" s="26"/>
      <c r="W363" s="9">
        <f t="array" ref="W363">SQRT(MMULT(MMULT(P363:S363,$K$3:$N$6),TRANSPOSE(P363:S363)))</f>
        <v>0.12963472053374703</v>
      </c>
    </row>
    <row r="364" spans="16:23" x14ac:dyDescent="0.3">
      <c r="P364" s="26">
        <v>5.1419131547118073E-2</v>
      </c>
      <c r="Q364" s="26">
        <v>0.13578119140914513</v>
      </c>
      <c r="R364" s="26">
        <v>0.36302876535628736</v>
      </c>
      <c r="S364" s="26">
        <v>0.44977091168744943</v>
      </c>
      <c r="T364" s="26"/>
      <c r="U364" s="9">
        <f t="array" ref="U364">MMULT(TRANSPOSE($B$3:$B$6),TRANSPOSE(P364:S364))</f>
        <v>9.8720738260555857E-2</v>
      </c>
      <c r="V364" s="26"/>
      <c r="W364" s="9">
        <f t="array" ref="W364">SQRT(MMULT(MMULT(P364:S364,$K$3:$N$6),TRANSPOSE(P364:S364)))</f>
        <v>0.18270076776110578</v>
      </c>
    </row>
    <row r="365" spans="16:23" x14ac:dyDescent="0.3">
      <c r="P365" s="26">
        <v>0.30983476139395433</v>
      </c>
      <c r="Q365" s="26">
        <v>5.6756438305651205E-2</v>
      </c>
      <c r="R365" s="26">
        <v>0.31373966069340498</v>
      </c>
      <c r="S365" s="26">
        <v>0.31966913960698951</v>
      </c>
      <c r="T365" s="26"/>
      <c r="U365" s="9">
        <f t="array" ref="U365">MMULT(TRANSPOSE($B$3:$B$6),TRANSPOSE(P365:S365))</f>
        <v>8.6061554966338494E-2</v>
      </c>
      <c r="V365" s="26"/>
      <c r="W365" s="9">
        <f t="array" ref="W365">SQRT(MMULT(MMULT(P365:S365,$K$3:$N$6),TRANSPOSE(P365:S365)))</f>
        <v>0.14232376498364402</v>
      </c>
    </row>
    <row r="366" spans="16:23" x14ac:dyDescent="0.3">
      <c r="P366" s="26">
        <v>0.35378206416030722</v>
      </c>
      <c r="Q366" s="26">
        <v>7.0345612295767232E-2</v>
      </c>
      <c r="R366" s="26">
        <v>8.5588405387956965E-2</v>
      </c>
      <c r="S366" s="26">
        <v>0.49028391815596867</v>
      </c>
      <c r="T366" s="26"/>
      <c r="U366" s="9">
        <f t="array" ref="U366">MMULT(TRANSPOSE($B$3:$B$6),TRANSPOSE(P366:S366))</f>
        <v>8.9150322732351434E-2</v>
      </c>
      <c r="V366" s="26"/>
      <c r="W366" s="9">
        <f t="array" ref="W366">SQRT(MMULT(MMULT(P366:S366,$K$3:$N$6),TRANSPOSE(P366:S366)))</f>
        <v>0.16283061067542015</v>
      </c>
    </row>
    <row r="367" spans="16:23" x14ac:dyDescent="0.3">
      <c r="P367" s="26">
        <v>0.40634669510706278</v>
      </c>
      <c r="Q367" s="26">
        <v>0.30831879722936723</v>
      </c>
      <c r="R367" s="26">
        <v>0.15161551111334984</v>
      </c>
      <c r="S367" s="26">
        <v>0.13371899655022004</v>
      </c>
      <c r="T367" s="26"/>
      <c r="U367" s="9">
        <f t="array" ref="U367">MMULT(TRANSPOSE($B$3:$B$6),TRANSPOSE(P367:S367))</f>
        <v>7.1591326147636733E-2</v>
      </c>
      <c r="V367" s="26"/>
      <c r="W367" s="9">
        <f t="array" ref="W367">SQRT(MMULT(MMULT(P367:S367,$K$3:$N$6),TRANSPOSE(P367:S367)))</f>
        <v>9.8313634431465124E-2</v>
      </c>
    </row>
    <row r="368" spans="16:23" x14ac:dyDescent="0.3">
      <c r="P368" s="26">
        <v>0.24014142196086452</v>
      </c>
      <c r="Q368" s="26">
        <v>0.29578204348468268</v>
      </c>
      <c r="R368" s="26">
        <v>0.28965882178647928</v>
      </c>
      <c r="S368" s="26">
        <v>0.17441771276797349</v>
      </c>
      <c r="T368" s="26"/>
      <c r="U368" s="9">
        <f t="array" ref="U368">MMULT(TRANSPOSE($B$3:$B$6),TRANSPOSE(P368:S368))</f>
        <v>7.9711233634910977E-2</v>
      </c>
      <c r="V368" s="26"/>
      <c r="W368" s="9">
        <f t="array" ref="W368">SQRT(MMULT(MMULT(P368:S368,$K$3:$N$6),TRANSPOSE(P368:S368)))</f>
        <v>0.11790141457903576</v>
      </c>
    </row>
    <row r="369" spans="16:23" x14ac:dyDescent="0.3">
      <c r="P369" s="26">
        <v>0.13355615218007191</v>
      </c>
      <c r="Q369" s="26">
        <v>0.49267289276338067</v>
      </c>
      <c r="R369" s="26">
        <v>0.23898419358712</v>
      </c>
      <c r="S369" s="26">
        <v>0.13478676146942745</v>
      </c>
      <c r="T369" s="26"/>
      <c r="U369" s="9">
        <f t="array" ref="U369">MMULT(TRANSPOSE($B$3:$B$6),TRANSPOSE(P369:S369))</f>
        <v>7.884789890161234E-2</v>
      </c>
      <c r="V369" s="26"/>
      <c r="W369" s="9">
        <f t="array" ref="W369">SQRT(MMULT(MMULT(P369:S369,$K$3:$N$6),TRANSPOSE(P369:S369)))</f>
        <v>0.11999569085312391</v>
      </c>
    </row>
    <row r="370" spans="16:23" x14ac:dyDescent="0.3">
      <c r="P370" s="26">
        <v>0.24520730102972765</v>
      </c>
      <c r="Q370" s="26">
        <v>0.2286684343423212</v>
      </c>
      <c r="R370" s="26">
        <v>0.31258121689778784</v>
      </c>
      <c r="S370" s="26">
        <v>0.21354304773016336</v>
      </c>
      <c r="T370" s="26"/>
      <c r="U370" s="9">
        <f t="array" ref="U370">MMULT(TRANSPOSE($B$3:$B$6),TRANSPOSE(P370:S370))</f>
        <v>8.2024630703869367E-2</v>
      </c>
      <c r="V370" s="26"/>
      <c r="W370" s="9">
        <f t="array" ref="W370">SQRT(MMULT(MMULT(P370:S370,$K$3:$N$6),TRANSPOSE(P370:S370)))</f>
        <v>0.12458034450578194</v>
      </c>
    </row>
    <row r="371" spans="16:23" x14ac:dyDescent="0.3">
      <c r="P371" s="26">
        <v>0.19092750771629396</v>
      </c>
      <c r="Q371" s="26">
        <v>0.21898360796214511</v>
      </c>
      <c r="R371" s="26">
        <v>0.49798850531222594</v>
      </c>
      <c r="S371" s="26">
        <v>9.2100379009334932E-2</v>
      </c>
      <c r="T371" s="26"/>
      <c r="U371" s="9">
        <f t="array" ref="U371">MMULT(TRANSPOSE($B$3:$B$6),TRANSPOSE(P371:S371))</f>
        <v>8.0746238902385387E-2</v>
      </c>
      <c r="V371" s="26"/>
      <c r="W371" s="9">
        <f t="array" ref="W371">SQRT(MMULT(MMULT(P371:S371,$K$3:$N$6),TRANSPOSE(P371:S371)))</f>
        <v>0.13098285484197086</v>
      </c>
    </row>
    <row r="372" spans="16:23" x14ac:dyDescent="0.3">
      <c r="P372" s="26">
        <v>0.32208294289629325</v>
      </c>
      <c r="Q372" s="26">
        <v>0.28730485857586119</v>
      </c>
      <c r="R372" s="26">
        <v>0.22247272821242711</v>
      </c>
      <c r="S372" s="26">
        <v>0.16813947031541845</v>
      </c>
      <c r="T372" s="26"/>
      <c r="U372" s="9">
        <f t="array" ref="U372">MMULT(TRANSPOSE($B$3:$B$6),TRANSPOSE(P372:S372))</f>
        <v>7.6414769222093615E-2</v>
      </c>
      <c r="V372" s="26"/>
      <c r="W372" s="9">
        <f t="array" ref="W372">SQRT(MMULT(MMULT(P372:S372,$K$3:$N$6),TRANSPOSE(P372:S372)))</f>
        <v>0.10864552059951595</v>
      </c>
    </row>
    <row r="373" spans="16:23" x14ac:dyDescent="0.3">
      <c r="P373" s="26">
        <v>0.57524102457204074</v>
      </c>
      <c r="Q373" s="26">
        <v>0.2912657246706114</v>
      </c>
      <c r="R373" s="26">
        <v>3.6941515518332441E-2</v>
      </c>
      <c r="S373" s="26">
        <v>9.6551735239015529E-2</v>
      </c>
      <c r="T373" s="26"/>
      <c r="U373" s="9">
        <f t="array" ref="U373">MMULT(TRANSPOSE($B$3:$B$6),TRANSPOSE(P373:S373))</f>
        <v>6.4061596580876623E-2</v>
      </c>
      <c r="V373" s="26"/>
      <c r="W373" s="9">
        <f t="array" ref="W373">SQRT(MMULT(MMULT(P373:S373,$K$3:$N$6),TRANSPOSE(P373:S373)))</f>
        <v>8.9366135817094725E-2</v>
      </c>
    </row>
    <row r="374" spans="16:23" x14ac:dyDescent="0.3">
      <c r="P374" s="26">
        <v>0.17240756209899785</v>
      </c>
      <c r="Q374" s="26">
        <v>0.37022576016801284</v>
      </c>
      <c r="R374" s="26">
        <v>2.5215941682399771E-2</v>
      </c>
      <c r="S374" s="26">
        <v>0.43215073605058968</v>
      </c>
      <c r="T374" s="26"/>
      <c r="U374" s="9">
        <f t="array" ref="U374">MMULT(TRANSPOSE($B$3:$B$6),TRANSPOSE(P374:S374))</f>
        <v>8.8663704394197532E-2</v>
      </c>
      <c r="V374" s="26"/>
      <c r="W374" s="9">
        <f t="array" ref="W374">SQRT(MMULT(MMULT(P374:S374,$K$3:$N$6),TRANSPOSE(P374:S374)))</f>
        <v>0.15155691270494048</v>
      </c>
    </row>
    <row r="375" spans="16:23" x14ac:dyDescent="0.3">
      <c r="P375" s="26">
        <v>0.2511411915866697</v>
      </c>
      <c r="Q375" s="26">
        <v>0.2900861553800676</v>
      </c>
      <c r="R375" s="26">
        <v>0.33021624062731281</v>
      </c>
      <c r="S375" s="26">
        <v>0.12855641240594992</v>
      </c>
      <c r="T375" s="26"/>
      <c r="U375" s="9">
        <f t="array" ref="U375">MMULT(TRANSPOSE($B$3:$B$6),TRANSPOSE(P375:S375))</f>
        <v>7.8009321601110362E-2</v>
      </c>
      <c r="V375" s="26"/>
      <c r="W375" s="9">
        <f t="array" ref="W375">SQRT(MMULT(MMULT(P375:S375,$K$3:$N$6),TRANSPOSE(P375:S375)))</f>
        <v>0.11548354409327953</v>
      </c>
    </row>
    <row r="376" spans="16:23" x14ac:dyDescent="0.3">
      <c r="P376" s="26">
        <v>0.43677658348756909</v>
      </c>
      <c r="Q376" s="26">
        <v>0.25110854672716515</v>
      </c>
      <c r="R376" s="26">
        <v>0.22227877055129214</v>
      </c>
      <c r="S376" s="26">
        <v>8.9836099233973676E-2</v>
      </c>
      <c r="T376" s="26"/>
      <c r="U376" s="9">
        <f t="array" ref="U376">MMULT(TRANSPOSE($B$3:$B$6),TRANSPOSE(P376:S376))</f>
        <v>7.0201848702973149E-2</v>
      </c>
      <c r="V376" s="26"/>
      <c r="W376" s="9">
        <f t="array" ref="W376">SQRT(MMULT(MMULT(P376:S376,$K$3:$N$6),TRANSPOSE(P376:S376)))</f>
        <v>9.6744459070850761E-2</v>
      </c>
    </row>
    <row r="377" spans="16:23" x14ac:dyDescent="0.3">
      <c r="P377" s="26">
        <v>0.14101362395719674</v>
      </c>
      <c r="Q377" s="26">
        <v>0.28238229327552111</v>
      </c>
      <c r="R377" s="26">
        <v>0.28955388558366596</v>
      </c>
      <c r="S377" s="26">
        <v>0.2870501971836163</v>
      </c>
      <c r="T377" s="26"/>
      <c r="U377" s="9">
        <f t="array" ref="U377">MMULT(TRANSPOSE($B$3:$B$6),TRANSPOSE(P377:S377))</f>
        <v>8.7323315091710207E-2</v>
      </c>
      <c r="V377" s="26"/>
      <c r="W377" s="9">
        <f t="array" ref="W377">SQRT(MMULT(MMULT(P377:S377,$K$3:$N$6),TRANSPOSE(P377:S377)))</f>
        <v>0.13956006674321642</v>
      </c>
    </row>
    <row r="378" spans="16:23" x14ac:dyDescent="0.3">
      <c r="P378" s="26">
        <v>0.2947928280967787</v>
      </c>
      <c r="Q378" s="26">
        <v>0.1630223383843632</v>
      </c>
      <c r="R378" s="26">
        <v>0.28742565380889173</v>
      </c>
      <c r="S378" s="26">
        <v>0.25475917970996637</v>
      </c>
      <c r="T378" s="26"/>
      <c r="U378" s="9">
        <f t="array" ref="U378">MMULT(TRANSPOSE($B$3:$B$6),TRANSPOSE(P378:S378))</f>
        <v>8.2590615499740574E-2</v>
      </c>
      <c r="V378" s="26"/>
      <c r="W378" s="9">
        <f t="array" ref="W378">SQRT(MMULT(MMULT(P378:S378,$K$3:$N$6),TRANSPOSE(P378:S378)))</f>
        <v>0.12726854969377294</v>
      </c>
    </row>
    <row r="379" spans="16:23" x14ac:dyDescent="0.3">
      <c r="P379" s="26">
        <v>0.4417875594858045</v>
      </c>
      <c r="Q379" s="26">
        <v>0.19403882565418198</v>
      </c>
      <c r="R379" s="26">
        <v>0.24291989772540834</v>
      </c>
      <c r="S379" s="26">
        <v>0.12125371713460519</v>
      </c>
      <c r="T379" s="26"/>
      <c r="U379" s="9">
        <f t="array" ref="U379">MMULT(TRANSPOSE($B$3:$B$6),TRANSPOSE(P379:S379))</f>
        <v>7.2085332621522336E-2</v>
      </c>
      <c r="V379" s="26"/>
      <c r="W379" s="9">
        <f t="array" ref="W379">SQRT(MMULT(MMULT(P379:S379,$K$3:$N$6),TRANSPOSE(P379:S379)))</f>
        <v>0.10030401576846863</v>
      </c>
    </row>
    <row r="380" spans="16:23" x14ac:dyDescent="0.3">
      <c r="P380" s="26">
        <v>0.46430770876580113</v>
      </c>
      <c r="Q380" s="26">
        <v>0.27848919425926866</v>
      </c>
      <c r="R380" s="26">
        <v>0.1332078309173618</v>
      </c>
      <c r="S380" s="26">
        <v>0.12399526605756851</v>
      </c>
      <c r="T380" s="26"/>
      <c r="U380" s="9">
        <f t="array" ref="U380">MMULT(TRANSPOSE($B$3:$B$6),TRANSPOSE(P380:S380))</f>
        <v>6.9577765745909639E-2</v>
      </c>
      <c r="V380" s="26"/>
      <c r="W380" s="9">
        <f t="array" ref="W380">SQRT(MMULT(MMULT(P380:S380,$K$3:$N$6),TRANSPOSE(P380:S380)))</f>
        <v>9.4665888705859111E-2</v>
      </c>
    </row>
    <row r="381" spans="16:23" x14ac:dyDescent="0.3">
      <c r="P381" s="26">
        <v>0.30471476072868531</v>
      </c>
      <c r="Q381" s="26">
        <v>0.23741697121216268</v>
      </c>
      <c r="R381" s="26">
        <v>0.2961361006961607</v>
      </c>
      <c r="S381" s="26">
        <v>0.16173216736299126</v>
      </c>
      <c r="T381" s="26"/>
      <c r="U381" s="9">
        <f t="array" ref="U381">MMULT(TRANSPOSE($B$3:$B$6),TRANSPOSE(P381:S381))</f>
        <v>7.7915035167499064E-2</v>
      </c>
      <c r="V381" s="26"/>
      <c r="W381" s="9">
        <f t="array" ref="W381">SQRT(MMULT(MMULT(P381:S381,$K$3:$N$6),TRANSPOSE(P381:S381)))</f>
        <v>0.11362972262737035</v>
      </c>
    </row>
    <row r="382" spans="16:23" x14ac:dyDescent="0.3">
      <c r="P382" s="26">
        <v>0.28814680865162484</v>
      </c>
      <c r="Q382" s="26">
        <v>0.32262144517498026</v>
      </c>
      <c r="R382" s="26">
        <v>0.12310735457978486</v>
      </c>
      <c r="S382" s="26">
        <v>0.2661243915936099</v>
      </c>
      <c r="T382" s="26"/>
      <c r="U382" s="9">
        <f t="array" ref="U382">MMULT(TRANSPOSE($B$3:$B$6),TRANSPOSE(P382:S382))</f>
        <v>8.0005430498243685E-2</v>
      </c>
      <c r="V382" s="26"/>
      <c r="W382" s="9">
        <f t="array" ref="W382">SQRT(MMULT(MMULT(P382:S382,$K$3:$N$6),TRANSPOSE(P382:S382)))</f>
        <v>0.11892145317154713</v>
      </c>
    </row>
    <row r="383" spans="16:23" x14ac:dyDescent="0.3">
      <c r="P383" s="26">
        <v>0.40006875342869674</v>
      </c>
      <c r="Q383" s="26">
        <v>0.20657623276270734</v>
      </c>
      <c r="R383" s="26">
        <v>0.35780829683960919</v>
      </c>
      <c r="S383" s="26">
        <v>3.5546716968986689E-2</v>
      </c>
      <c r="T383" s="26"/>
      <c r="U383" s="9">
        <f t="array" ref="U383">MMULT(TRANSPOSE($B$3:$B$6),TRANSPOSE(P383:S383))</f>
        <v>7.0932126716667571E-2</v>
      </c>
      <c r="V383" s="26"/>
      <c r="W383" s="9">
        <f t="array" ref="W383">SQRT(MMULT(MMULT(P383:S383,$K$3:$N$6),TRANSPOSE(P383:S383)))</f>
        <v>0.10446858308677419</v>
      </c>
    </row>
    <row r="384" spans="16:23" x14ac:dyDescent="0.3">
      <c r="P384" s="26">
        <v>0.12468697838048502</v>
      </c>
      <c r="Q384" s="26">
        <v>0.32080558898159717</v>
      </c>
      <c r="R384" s="26">
        <v>8.2666846547396172E-2</v>
      </c>
      <c r="S384" s="26">
        <v>0.47184058609052165</v>
      </c>
      <c r="T384" s="26"/>
      <c r="U384" s="9">
        <f t="array" ref="U384">MMULT(TRANSPOSE($B$3:$B$6),TRANSPOSE(P384:S384))</f>
        <v>9.2751626667864295E-2</v>
      </c>
      <c r="V384" s="26"/>
      <c r="W384" s="9">
        <f t="array" ref="W384">SQRT(MMULT(MMULT(P384:S384,$K$3:$N$6),TRANSPOSE(P384:S384)))</f>
        <v>0.16416799982135272</v>
      </c>
    </row>
    <row r="385" spans="16:23" x14ac:dyDescent="0.3">
      <c r="P385" s="26">
        <v>0.36418366125698165</v>
      </c>
      <c r="Q385" s="26">
        <v>9.5732114051376757E-2</v>
      </c>
      <c r="R385" s="26">
        <v>0.23289047307679048</v>
      </c>
      <c r="S385" s="26">
        <v>0.30719375161485118</v>
      </c>
      <c r="T385" s="26"/>
      <c r="U385" s="9">
        <f t="array" ref="U385">MMULT(TRANSPOSE($B$3:$B$6),TRANSPOSE(P385:S385))</f>
        <v>8.2733823817138744E-2</v>
      </c>
      <c r="V385" s="26"/>
      <c r="W385" s="9">
        <f t="array" ref="W385">SQRT(MMULT(MMULT(P385:S385,$K$3:$N$6),TRANSPOSE(P385:S385)))</f>
        <v>0.13106958474189664</v>
      </c>
    </row>
    <row r="386" spans="16:23" x14ac:dyDescent="0.3">
      <c r="P386" s="26">
        <v>0.32702083543772442</v>
      </c>
      <c r="Q386" s="26">
        <v>0.16730277712606406</v>
      </c>
      <c r="R386" s="26">
        <v>0.30873904808350389</v>
      </c>
      <c r="S386" s="26">
        <v>0.19693733935270763</v>
      </c>
      <c r="T386" s="26"/>
      <c r="U386" s="9">
        <f t="array" ref="U386">MMULT(TRANSPOSE($B$3:$B$6),TRANSPOSE(P386:S386))</f>
        <v>7.948123122055098E-2</v>
      </c>
      <c r="V386" s="26"/>
      <c r="W386" s="9">
        <f t="array" ref="W386">SQRT(MMULT(MMULT(P386:S386,$K$3:$N$6),TRANSPOSE(P386:S386)))</f>
        <v>0.11862846760792861</v>
      </c>
    </row>
    <row r="387" spans="16:23" x14ac:dyDescent="0.3">
      <c r="P387" s="26">
        <v>0.45314857456142887</v>
      </c>
      <c r="Q387" s="26">
        <v>2.0083432577232607E-2</v>
      </c>
      <c r="R387" s="26">
        <v>0.19459929700132184</v>
      </c>
      <c r="S387" s="26">
        <v>0.33216869586001679</v>
      </c>
      <c r="T387" s="26"/>
      <c r="U387" s="9">
        <f t="array" ref="U387">MMULT(TRANSPOSE($B$3:$B$6),TRANSPOSE(P387:S387))</f>
        <v>8.1437449241798701E-2</v>
      </c>
      <c r="V387" s="26"/>
      <c r="W387" s="9">
        <f t="array" ref="W387">SQRT(MMULT(MMULT(P387:S387,$K$3:$N$6),TRANSPOSE(P387:S387)))</f>
        <v>0.1326631385266758</v>
      </c>
    </row>
    <row r="388" spans="16:23" x14ac:dyDescent="0.3">
      <c r="P388" s="26">
        <v>0.36918817987338048</v>
      </c>
      <c r="Q388" s="26">
        <v>0.26561041568565297</v>
      </c>
      <c r="R388" s="26">
        <v>0.23453228776441362</v>
      </c>
      <c r="S388" s="26">
        <v>0.13066911667655295</v>
      </c>
      <c r="T388" s="26"/>
      <c r="U388" s="9">
        <f t="array" ref="U388">MMULT(TRANSPOSE($B$3:$B$6),TRANSPOSE(P388:S388))</f>
        <v>7.3840337991648311E-2</v>
      </c>
      <c r="V388" s="26"/>
      <c r="W388" s="9">
        <f t="array" ref="W388">SQRT(MMULT(MMULT(P388:S388,$K$3:$N$6),TRANSPOSE(P388:S388)))</f>
        <v>0.10330231533774145</v>
      </c>
    </row>
    <row r="389" spans="16:23" x14ac:dyDescent="0.3">
      <c r="P389" s="26">
        <v>0.30001750323795495</v>
      </c>
      <c r="Q389" s="26">
        <v>0.16410339079037559</v>
      </c>
      <c r="R389" s="26">
        <v>0.25842630585475146</v>
      </c>
      <c r="S389" s="26">
        <v>0.27745280011691797</v>
      </c>
      <c r="T389" s="26"/>
      <c r="U389" s="9">
        <f t="array" ref="U389">MMULT(TRANSPOSE($B$3:$B$6),TRANSPOSE(P389:S389))</f>
        <v>8.3040816058181838E-2</v>
      </c>
      <c r="V389" s="26"/>
      <c r="W389" s="9">
        <f t="array" ref="W389">SQRT(MMULT(MMULT(P389:S389,$K$3:$N$6),TRANSPOSE(P389:S389)))</f>
        <v>0.12874642313431789</v>
      </c>
    </row>
    <row r="390" spans="16:23" x14ac:dyDescent="0.3">
      <c r="P390" s="26">
        <v>0.16787940929003128</v>
      </c>
      <c r="Q390" s="26">
        <v>9.3587088794214554E-2</v>
      </c>
      <c r="R390" s="26">
        <v>0.39806173397862205</v>
      </c>
      <c r="S390" s="26">
        <v>0.34047176793713219</v>
      </c>
      <c r="T390" s="26"/>
      <c r="U390" s="9">
        <f t="array" ref="U390">MMULT(TRANSPOSE($B$3:$B$6),TRANSPOSE(P390:S390))</f>
        <v>9.1627234890628434E-2</v>
      </c>
      <c r="V390" s="26"/>
      <c r="W390" s="9">
        <f t="array" ref="W390">SQRT(MMULT(MMULT(P390:S390,$K$3:$N$6),TRANSPOSE(P390:S390)))</f>
        <v>0.15888890968801489</v>
      </c>
    </row>
    <row r="391" spans="16:23" x14ac:dyDescent="0.3">
      <c r="P391" s="26">
        <v>0.268508917884281</v>
      </c>
      <c r="Q391" s="26">
        <v>0.12664711003940649</v>
      </c>
      <c r="R391" s="26">
        <v>6.8544180274083627E-2</v>
      </c>
      <c r="S391" s="26">
        <v>0.53629979180222886</v>
      </c>
      <c r="T391" s="26"/>
      <c r="U391" s="9">
        <f t="array" ref="U391">MMULT(TRANSPOSE($B$3:$B$6),TRANSPOSE(P391:S391))</f>
        <v>9.2815694837907498E-2</v>
      </c>
      <c r="V391" s="26"/>
      <c r="W391" s="9">
        <f t="array" ref="W391">SQRT(MMULT(MMULT(P391:S391,$K$3:$N$6),TRANSPOSE(P391:S391)))</f>
        <v>0.17434751532909279</v>
      </c>
    </row>
    <row r="392" spans="16:23" x14ac:dyDescent="0.3">
      <c r="P392" s="26">
        <v>0.11589716252665438</v>
      </c>
      <c r="Q392" s="26">
        <v>0.36774394794927184</v>
      </c>
      <c r="R392" s="26">
        <v>9.7036454985738957E-2</v>
      </c>
      <c r="S392" s="26">
        <v>0.41932243453833479</v>
      </c>
      <c r="T392" s="26"/>
      <c r="U392" s="9">
        <f t="array" ref="U392">MMULT(TRANSPOSE($B$3:$B$6),TRANSPOSE(P392:S392))</f>
        <v>9.0588907576098429E-2</v>
      </c>
      <c r="V392" s="26"/>
      <c r="W392" s="9">
        <f t="array" ref="W392">SQRT(MMULT(MMULT(P392:S392,$K$3:$N$6),TRANSPOSE(P392:S392)))</f>
        <v>0.15429950305569751</v>
      </c>
    </row>
    <row r="393" spans="16:23" x14ac:dyDescent="0.3">
      <c r="P393" s="26">
        <v>0.31594261445438099</v>
      </c>
      <c r="Q393" s="26">
        <v>0.13450787438429204</v>
      </c>
      <c r="R393" s="26">
        <v>0.34070126225376918</v>
      </c>
      <c r="S393" s="26">
        <v>0.20884824890755785</v>
      </c>
      <c r="T393" s="26"/>
      <c r="U393" s="9">
        <f t="array" ref="U393">MMULT(TRANSPOSE($B$3:$B$6),TRANSPOSE(P393:S393))</f>
        <v>8.0937585401365669E-2</v>
      </c>
      <c r="V393" s="26"/>
      <c r="W393" s="9">
        <f t="array" ref="W393">SQRT(MMULT(MMULT(P393:S393,$K$3:$N$6),TRANSPOSE(P393:S393)))</f>
        <v>0.12389753373370348</v>
      </c>
    </row>
    <row r="394" spans="16:23" x14ac:dyDescent="0.3">
      <c r="P394" s="26">
        <v>0.25249471729380824</v>
      </c>
      <c r="Q394" s="26">
        <v>0.31623430558490895</v>
      </c>
      <c r="R394" s="26">
        <v>0.18668179529631393</v>
      </c>
      <c r="S394" s="26">
        <v>0.24458918182496892</v>
      </c>
      <c r="T394" s="26"/>
      <c r="U394" s="9">
        <f t="array" ref="U394">MMULT(TRANSPOSE($B$3:$B$6),TRANSPOSE(P394:S394))</f>
        <v>8.0913200651298561E-2</v>
      </c>
      <c r="V394" s="26"/>
      <c r="W394" s="9">
        <f t="array" ref="W394">SQRT(MMULT(MMULT(P394:S394,$K$3:$N$6),TRANSPOSE(P394:S394)))</f>
        <v>0.12028773928505833</v>
      </c>
    </row>
    <row r="395" spans="16:23" x14ac:dyDescent="0.3">
      <c r="P395" s="26">
        <v>0.29634496822903467</v>
      </c>
      <c r="Q395" s="26">
        <v>0.25849998896094706</v>
      </c>
      <c r="R395" s="26">
        <v>4.7272726125924522E-2</v>
      </c>
      <c r="S395" s="26">
        <v>0.39788231668409374</v>
      </c>
      <c r="T395" s="26"/>
      <c r="U395" s="9">
        <f t="array" ref="U395">MMULT(TRANSPOSE($B$3:$B$6),TRANSPOSE(P395:S395))</f>
        <v>8.4912670992142475E-2</v>
      </c>
      <c r="V395" s="26"/>
      <c r="W395" s="9">
        <f t="array" ref="W395">SQRT(MMULT(MMULT(P395:S395,$K$3:$N$6),TRANSPOSE(P395:S395)))</f>
        <v>0.1401316718325786</v>
      </c>
    </row>
    <row r="396" spans="16:23" x14ac:dyDescent="0.3">
      <c r="P396" s="26">
        <v>0.34529088631163818</v>
      </c>
      <c r="Q396" s="26">
        <v>0.5943539292104143</v>
      </c>
      <c r="R396" s="26">
        <v>3.8732053334130524E-2</v>
      </c>
      <c r="S396" s="26">
        <v>2.1623131143816966E-2</v>
      </c>
      <c r="T396" s="26"/>
      <c r="U396" s="9">
        <f t="array" ref="U396">MMULT(TRANSPOSE($B$3:$B$6),TRANSPOSE(P396:S396))</f>
        <v>6.4949979897640689E-2</v>
      </c>
      <c r="V396" s="26"/>
      <c r="W396" s="9">
        <f t="array" ref="W396">SQRT(MMULT(MMULT(P396:S396,$K$3:$N$6),TRANSPOSE(P396:S396)))</f>
        <v>0.10545188024752242</v>
      </c>
    </row>
    <row r="397" spans="16:23" x14ac:dyDescent="0.3">
      <c r="P397" s="26">
        <v>0.16191569717021581</v>
      </c>
      <c r="Q397" s="26">
        <v>0.15769539900692159</v>
      </c>
      <c r="R397" s="26">
        <v>0.35002567956081787</v>
      </c>
      <c r="S397" s="26">
        <v>0.33036322426204473</v>
      </c>
      <c r="T397" s="26"/>
      <c r="U397" s="9">
        <f t="array" ref="U397">MMULT(TRANSPOSE($B$3:$B$6),TRANSPOSE(P397:S397))</f>
        <v>9.0280360860914274E-2</v>
      </c>
      <c r="V397" s="26"/>
      <c r="W397" s="9">
        <f t="array" ref="W397">SQRT(MMULT(MMULT(P397:S397,$K$3:$N$6),TRANSPOSE(P397:S397)))</f>
        <v>0.15198126736152687</v>
      </c>
    </row>
    <row r="398" spans="16:23" x14ac:dyDescent="0.3">
      <c r="P398" s="26">
        <v>0.24457527711104776</v>
      </c>
      <c r="Q398" s="26">
        <v>0.19827225636835358</v>
      </c>
      <c r="R398" s="26">
        <v>0.21628931815115285</v>
      </c>
      <c r="S398" s="26">
        <v>0.34086314836944581</v>
      </c>
      <c r="T398" s="26"/>
      <c r="U398" s="9">
        <f t="array" ref="U398">MMULT(TRANSPOSE($B$3:$B$6),TRANSPOSE(P398:S398))</f>
        <v>8.6477438239274396E-2</v>
      </c>
      <c r="V398" s="26"/>
      <c r="W398" s="9">
        <f t="array" ref="W398">SQRT(MMULT(MMULT(P398:S398,$K$3:$N$6),TRANSPOSE(P398:S398)))</f>
        <v>0.13957952920323038</v>
      </c>
    </row>
    <row r="399" spans="16:23" x14ac:dyDescent="0.3">
      <c r="P399" s="26">
        <v>0.29709061579347479</v>
      </c>
      <c r="Q399" s="26">
        <v>7.6675085155863326E-2</v>
      </c>
      <c r="R399" s="26">
        <v>0.31072027769885868</v>
      </c>
      <c r="S399" s="26">
        <v>0.31551402135180312</v>
      </c>
      <c r="T399" s="26"/>
      <c r="U399" s="9">
        <f t="array" ref="U399">MMULT(TRANSPOSE($B$3:$B$6),TRANSPOSE(P399:S399))</f>
        <v>8.6048294305697826E-2</v>
      </c>
      <c r="V399" s="26"/>
      <c r="W399" s="9">
        <f t="array" ref="W399">SQRT(MMULT(MMULT(P399:S399,$K$3:$N$6),TRANSPOSE(P399:S399)))</f>
        <v>0.14133531136600547</v>
      </c>
    </row>
    <row r="400" spans="16:23" x14ac:dyDescent="0.3">
      <c r="P400" s="26">
        <v>7.6955338919581645E-2</v>
      </c>
      <c r="Q400" s="26">
        <v>0.28754727351131643</v>
      </c>
      <c r="R400" s="26">
        <v>0.21908190860102059</v>
      </c>
      <c r="S400" s="26">
        <v>0.41641547896808134</v>
      </c>
      <c r="T400" s="26"/>
      <c r="U400" s="9">
        <f t="array" ref="U400">MMULT(TRANSPOSE($B$3:$B$6),TRANSPOSE(P400:S400))</f>
        <v>9.3663305342032849E-2</v>
      </c>
      <c r="V400" s="26"/>
      <c r="W400" s="9">
        <f t="array" ref="W400">SQRT(MMULT(MMULT(P400:S400,$K$3:$N$6),TRANSPOSE(P400:S400)))</f>
        <v>0.16227312995598275</v>
      </c>
    </row>
    <row r="401" spans="16:23" x14ac:dyDescent="0.3">
      <c r="P401" s="26">
        <v>0.29935811019447151</v>
      </c>
      <c r="Q401" s="26">
        <v>4.3106494998271044E-2</v>
      </c>
      <c r="R401" s="26">
        <v>0.35911157841976188</v>
      </c>
      <c r="S401" s="26">
        <v>0.29842381638749566</v>
      </c>
      <c r="T401" s="26"/>
      <c r="U401" s="9">
        <f t="array" ref="U401">MMULT(TRANSPOSE($B$3:$B$6),TRANSPOSE(P401:S401))</f>
        <v>8.6116260183880591E-2</v>
      </c>
      <c r="V401" s="26"/>
      <c r="W401" s="9">
        <f t="array" ref="W401">SQRT(MMULT(MMULT(P401:S401,$K$3:$N$6),TRANSPOSE(P401:S401)))</f>
        <v>0.14291751078256473</v>
      </c>
    </row>
    <row r="402" spans="16:23" x14ac:dyDescent="0.3">
      <c r="P402" s="26">
        <v>0.41709209115193319</v>
      </c>
      <c r="Q402" s="26">
        <v>0.35650700440727251</v>
      </c>
      <c r="R402" s="26">
        <v>6.2789131290238318E-2</v>
      </c>
      <c r="S402" s="26">
        <v>0.16361177315055592</v>
      </c>
      <c r="T402" s="26"/>
      <c r="U402" s="9">
        <f t="array" ref="U402">MMULT(TRANSPOSE($B$3:$B$6),TRANSPOSE(P402:S402))</f>
        <v>7.109452946029389E-2</v>
      </c>
      <c r="V402" s="26"/>
      <c r="W402" s="9">
        <f t="array" ref="W402">SQRT(MMULT(MMULT(P402:S402,$K$3:$N$6),TRANSPOSE(P402:S402)))</f>
        <v>9.8938794731619387E-2</v>
      </c>
    </row>
    <row r="403" spans="16:23" x14ac:dyDescent="0.3">
      <c r="P403" s="26">
        <v>0.26612219903566525</v>
      </c>
      <c r="Q403" s="26">
        <v>0.20807706891632102</v>
      </c>
      <c r="R403" s="26">
        <v>3.2255068629659461E-2</v>
      </c>
      <c r="S403" s="26">
        <v>0.49354566341835426</v>
      </c>
      <c r="T403" s="26"/>
      <c r="U403" s="9">
        <f t="array" ref="U403">MMULT(TRANSPOSE($B$3:$B$6),TRANSPOSE(P403:S403))</f>
        <v>8.9999940562797601E-2</v>
      </c>
      <c r="V403" s="26"/>
      <c r="W403" s="9">
        <f t="array" ref="W403">SQRT(MMULT(MMULT(P403:S403,$K$3:$N$6),TRANSPOSE(P403:S403)))</f>
        <v>0.1619155696325775</v>
      </c>
    </row>
    <row r="404" spans="16:23" x14ac:dyDescent="0.3">
      <c r="P404" s="26">
        <v>8.467188451173141E-3</v>
      </c>
      <c r="Q404" s="26">
        <v>0.19487206648531896</v>
      </c>
      <c r="R404" s="26">
        <v>0.25536645487967019</v>
      </c>
      <c r="S404" s="26">
        <v>0.54129429018383768</v>
      </c>
      <c r="T404" s="26"/>
      <c r="U404" s="9">
        <f t="array" ref="U404">MMULT(TRANSPOSE($B$3:$B$6),TRANSPOSE(P404:S404))</f>
        <v>0.10200269983776182</v>
      </c>
      <c r="V404" s="26"/>
      <c r="W404" s="9">
        <f t="array" ref="W404">SQRT(MMULT(MMULT(P404:S404,$K$3:$N$6),TRANSPOSE(P404:S404)))</f>
        <v>0.19582122613234768</v>
      </c>
    </row>
    <row r="405" spans="16:23" x14ac:dyDescent="0.3">
      <c r="P405" s="26">
        <v>0.32376217079617892</v>
      </c>
      <c r="Q405" s="26">
        <v>2.30081612722054E-2</v>
      </c>
      <c r="R405" s="26">
        <v>0.33607275777274942</v>
      </c>
      <c r="S405" s="26">
        <v>0.31715691015886627</v>
      </c>
      <c r="T405" s="26"/>
      <c r="U405" s="9">
        <f t="array" ref="U405">MMULT(TRANSPOSE($B$3:$B$6),TRANSPOSE(P405:S405))</f>
        <v>8.6104057247474719E-2</v>
      </c>
      <c r="V405" s="26"/>
      <c r="W405" s="9">
        <f t="array" ref="W405">SQRT(MMULT(MMULT(P405:S405,$K$3:$N$6),TRANSPOSE(P405:S405)))</f>
        <v>0.14401368067350565</v>
      </c>
    </row>
    <row r="406" spans="16:23" x14ac:dyDescent="0.3">
      <c r="P406" s="26">
        <v>2.7603435996465722E-2</v>
      </c>
      <c r="Q406" s="26">
        <v>0.4343133584870158</v>
      </c>
      <c r="R406" s="26">
        <v>0.22958244038144079</v>
      </c>
      <c r="S406" s="26">
        <v>0.30850076513507768</v>
      </c>
      <c r="T406" s="26"/>
      <c r="U406" s="9">
        <f t="array" ref="U406">MMULT(TRANSPOSE($B$3:$B$6),TRANSPOSE(P406:S406))</f>
        <v>8.9464618344453378E-2</v>
      </c>
      <c r="V406" s="26"/>
      <c r="W406" s="9">
        <f t="array" ref="W406">SQRT(MMULT(MMULT(P406:S406,$K$3:$N$6),TRANSPOSE(P406:S406)))</f>
        <v>0.14645402016161727</v>
      </c>
    </row>
    <row r="407" spans="16:23" x14ac:dyDescent="0.3">
      <c r="P407" s="26">
        <v>0.3026057932482995</v>
      </c>
      <c r="Q407" s="26">
        <v>0.39804146134934615</v>
      </c>
      <c r="R407" s="26">
        <v>0.27143491570383932</v>
      </c>
      <c r="S407" s="26">
        <v>2.7917829698514994E-2</v>
      </c>
      <c r="T407" s="26"/>
      <c r="U407" s="9">
        <f t="array" ref="U407">MMULT(TRANSPOSE($B$3:$B$6),TRANSPOSE(P407:S407))</f>
        <v>7.0772473934036545E-2</v>
      </c>
      <c r="V407" s="26"/>
      <c r="W407" s="9">
        <f t="array" ref="W407">SQRT(MMULT(MMULT(P407:S407,$K$3:$N$6),TRANSPOSE(P407:S407)))</f>
        <v>0.10479915996343489</v>
      </c>
    </row>
    <row r="408" spans="16:23" x14ac:dyDescent="0.3">
      <c r="P408" s="26">
        <v>0.20017804201941447</v>
      </c>
      <c r="Q408" s="26">
        <v>0.39561820389595626</v>
      </c>
      <c r="R408" s="26">
        <v>9.361681242804766E-2</v>
      </c>
      <c r="S408" s="26">
        <v>0.31058694165658163</v>
      </c>
      <c r="T408" s="26"/>
      <c r="U408" s="9">
        <f t="array" ref="U408">MMULT(TRANSPOSE($B$3:$B$6),TRANSPOSE(P408:S408))</f>
        <v>8.3398122491001758E-2</v>
      </c>
      <c r="V408" s="26"/>
      <c r="W408" s="9">
        <f t="array" ref="W408">SQRT(MMULT(MMULT(P408:S408,$K$3:$N$6),TRANSPOSE(P408:S408)))</f>
        <v>0.12984390248736727</v>
      </c>
    </row>
    <row r="409" spans="16:23" x14ac:dyDescent="0.3">
      <c r="P409" s="26">
        <v>1.281149900274413E-2</v>
      </c>
      <c r="Q409" s="26">
        <v>0.5888870322321218</v>
      </c>
      <c r="R409" s="26">
        <v>2.4181698026317592E-2</v>
      </c>
      <c r="S409" s="26">
        <v>0.37411977073881642</v>
      </c>
      <c r="T409" s="26"/>
      <c r="U409" s="9">
        <f t="array" ref="U409">MMULT(TRANSPOSE($B$3:$B$6),TRANSPOSE(P409:S409))</f>
        <v>8.8933392517412294E-2</v>
      </c>
      <c r="V409" s="26"/>
      <c r="W409" s="9">
        <f t="array" ref="W409">SQRT(MMULT(MMULT(P409:S409,$K$3:$N$6),TRANSPOSE(P409:S409)))</f>
        <v>0.15218065718556795</v>
      </c>
    </row>
    <row r="410" spans="16:23" x14ac:dyDescent="0.3">
      <c r="P410" s="26">
        <v>0.3838247483180961</v>
      </c>
      <c r="Q410" s="26">
        <v>0.53009469958065314</v>
      </c>
      <c r="R410" s="26">
        <v>6.7484511392000734E-2</v>
      </c>
      <c r="S410" s="26">
        <v>1.8596040709250077E-2</v>
      </c>
      <c r="T410" s="26"/>
      <c r="U410" s="9">
        <f t="array" ref="U410">MMULT(TRANSPOSE($B$3:$B$6),TRANSPOSE(P410:S410))</f>
        <v>6.4602997296940606E-2</v>
      </c>
      <c r="V410" s="26"/>
      <c r="W410" s="9">
        <f t="array" ref="W410">SQRT(MMULT(MMULT(P410:S410,$K$3:$N$6),TRANSPOSE(P410:S410)))</f>
        <v>0.10073573751382772</v>
      </c>
    </row>
    <row r="411" spans="16:23" x14ac:dyDescent="0.3">
      <c r="P411" s="26">
        <v>0.18389087841591312</v>
      </c>
      <c r="Q411" s="26">
        <v>0.28212707750860067</v>
      </c>
      <c r="R411" s="26">
        <v>0.47617329861842089</v>
      </c>
      <c r="S411" s="26">
        <v>5.780874545706538E-2</v>
      </c>
      <c r="T411" s="26"/>
      <c r="U411" s="9">
        <f t="array" ref="U411">MMULT(TRANSPOSE($B$3:$B$6),TRANSPOSE(P411:S411))</f>
        <v>7.873608567690342E-2</v>
      </c>
      <c r="V411" s="26"/>
      <c r="W411" s="9">
        <f t="array" ref="W411">SQRT(MMULT(MMULT(P411:S411,$K$3:$N$6),TRANSPOSE(P411:S411)))</f>
        <v>0.12680348568052949</v>
      </c>
    </row>
    <row r="412" spans="16:23" x14ac:dyDescent="0.3">
      <c r="P412" s="26">
        <v>5.6097898543996376E-2</v>
      </c>
      <c r="Q412" s="26">
        <v>0.39979280810283635</v>
      </c>
      <c r="R412" s="26">
        <v>0.13782499236551338</v>
      </c>
      <c r="S412" s="26">
        <v>0.40628430098765383</v>
      </c>
      <c r="T412" s="26"/>
      <c r="U412" s="9">
        <f t="array" ref="U412">MMULT(TRANSPOSE($B$3:$B$6),TRANSPOSE(P412:S412))</f>
        <v>9.194875692581303E-2</v>
      </c>
      <c r="V412" s="26"/>
      <c r="W412" s="9">
        <f t="array" ref="W412">SQRT(MMULT(MMULT(P412:S412,$K$3:$N$6),TRANSPOSE(P412:S412)))</f>
        <v>0.15690432607148722</v>
      </c>
    </row>
    <row r="413" spans="16:23" x14ac:dyDescent="0.3">
      <c r="P413" s="26">
        <v>6.7502137154390213E-2</v>
      </c>
      <c r="Q413" s="26">
        <v>0.33452807210359486</v>
      </c>
      <c r="R413" s="26">
        <v>0.20821294479332328</v>
      </c>
      <c r="S413" s="26">
        <v>0.38975684594869153</v>
      </c>
      <c r="T413" s="26"/>
      <c r="U413" s="9">
        <f t="array" ref="U413">MMULT(TRANSPOSE($B$3:$B$6),TRANSPOSE(P413:S413))</f>
        <v>9.230205845021322E-2</v>
      </c>
      <c r="V413" s="26"/>
      <c r="W413" s="9">
        <f t="array" ref="W413">SQRT(MMULT(MMULT(P413:S413,$K$3:$N$6),TRANSPOSE(P413:S413)))</f>
        <v>0.15672500884330465</v>
      </c>
    </row>
    <row r="414" spans="16:23" x14ac:dyDescent="0.3">
      <c r="P414" s="26">
        <v>0.15759636483476794</v>
      </c>
      <c r="Q414" s="26">
        <v>0.35782217181230092</v>
      </c>
      <c r="R414" s="26">
        <v>0.11739813480405788</v>
      </c>
      <c r="S414" s="26">
        <v>0.36718332854887337</v>
      </c>
      <c r="T414" s="26"/>
      <c r="U414" s="9">
        <f t="array" ref="U414">MMULT(TRANSPOSE($B$3:$B$6),TRANSPOSE(P414:S414))</f>
        <v>8.7555201826829465E-2</v>
      </c>
      <c r="V414" s="26"/>
      <c r="W414" s="9">
        <f t="array" ref="W414">SQRT(MMULT(MMULT(P414:S414,$K$3:$N$6),TRANSPOSE(P414:S414)))</f>
        <v>0.14285761186717802</v>
      </c>
    </row>
    <row r="415" spans="16:23" x14ac:dyDescent="0.3">
      <c r="P415" s="26">
        <v>0.13768401951304479</v>
      </c>
      <c r="Q415" s="26">
        <v>1.966513085688864E-3</v>
      </c>
      <c r="R415" s="26">
        <v>0.75434498263464811</v>
      </c>
      <c r="S415" s="26">
        <v>0.10600448476661828</v>
      </c>
      <c r="T415" s="26"/>
      <c r="U415" s="9">
        <f t="array" ref="U415">MMULT(TRANSPOSE($B$3:$B$6),TRANSPOSE(P415:S415))</f>
        <v>8.7633443500762964E-2</v>
      </c>
      <c r="V415" s="26"/>
      <c r="W415" s="9">
        <f t="array" ref="W415">SQRT(MMULT(MMULT(P415:S415,$K$3:$N$6),TRANSPOSE(P415:S415)))</f>
        <v>0.16819672416194797</v>
      </c>
    </row>
    <row r="416" spans="16:23" x14ac:dyDescent="0.3">
      <c r="P416" s="26">
        <v>0.13556566919516141</v>
      </c>
      <c r="Q416" s="26">
        <v>0.30829684064380997</v>
      </c>
      <c r="R416" s="26">
        <v>0.26701770843601291</v>
      </c>
      <c r="S416" s="26">
        <v>0.28911978172501568</v>
      </c>
      <c r="T416" s="26"/>
      <c r="U416" s="9">
        <f t="array" ref="U416">MMULT(TRANSPOSE($B$3:$B$6),TRANSPOSE(P416:S416))</f>
        <v>8.7085029871067809E-2</v>
      </c>
      <c r="V416" s="26"/>
      <c r="W416" s="9">
        <f t="array" ref="W416">SQRT(MMULT(MMULT(P416:S416,$K$3:$N$6),TRANSPOSE(P416:S416)))</f>
        <v>0.13856454161860138</v>
      </c>
    </row>
    <row r="417" spans="16:23" x14ac:dyDescent="0.3">
      <c r="P417" s="26">
        <v>0.22810962955505773</v>
      </c>
      <c r="Q417" s="26">
        <v>0.57369694576613239</v>
      </c>
      <c r="R417" s="26">
        <v>1.63107685469083E-3</v>
      </c>
      <c r="S417" s="26">
        <v>0.19656234782411902</v>
      </c>
      <c r="T417" s="26"/>
      <c r="U417" s="9">
        <f t="array" ref="U417">MMULT(TRANSPOSE($B$3:$B$6),TRANSPOSE(P417:S417))</f>
        <v>7.529854633719861E-2</v>
      </c>
      <c r="V417" s="26"/>
      <c r="W417" s="9">
        <f t="array" ref="W417">SQRT(MMULT(MMULT(P417:S417,$K$3:$N$6),TRANSPOSE(P417:S417)))</f>
        <v>0.11563508380513846</v>
      </c>
    </row>
    <row r="418" spans="16:23" x14ac:dyDescent="0.3">
      <c r="P418" s="26">
        <v>0.18395715383805297</v>
      </c>
      <c r="Q418" s="26">
        <v>0.23747611569532903</v>
      </c>
      <c r="R418" s="26">
        <v>0.27675416109767942</v>
      </c>
      <c r="S418" s="26">
        <v>0.30181256936893869</v>
      </c>
      <c r="T418" s="26"/>
      <c r="U418" s="9">
        <f t="array" ref="U418">MMULT(TRANSPOSE($B$3:$B$6),TRANSPOSE(P418:S418))</f>
        <v>8.6946568613639474E-2</v>
      </c>
      <c r="V418" s="26"/>
      <c r="W418" s="9">
        <f t="array" ref="W418">SQRT(MMULT(MMULT(P418:S418,$K$3:$N$6),TRANSPOSE(P418:S418)))</f>
        <v>0.13906436544339362</v>
      </c>
    </row>
    <row r="419" spans="16:23" x14ac:dyDescent="0.3">
      <c r="P419" s="26">
        <v>2.1268260991141007E-3</v>
      </c>
      <c r="Q419" s="26">
        <v>0.37536981058808755</v>
      </c>
      <c r="R419" s="26">
        <v>0.4125777540581837</v>
      </c>
      <c r="S419" s="26">
        <v>0.20992560925461459</v>
      </c>
      <c r="T419" s="26"/>
      <c r="U419" s="9">
        <f t="array" ref="U419">MMULT(TRANSPOSE($B$3:$B$6),TRANSPOSE(P419:S419))</f>
        <v>8.8705299021912112E-2</v>
      </c>
      <c r="V419" s="26"/>
      <c r="W419" s="9">
        <f t="array" ref="W419">SQRT(MMULT(MMULT(P419:S419,$K$3:$N$6),TRANSPOSE(P419:S419)))</f>
        <v>0.14700050959004823</v>
      </c>
    </row>
    <row r="420" spans="16:23" x14ac:dyDescent="0.3">
      <c r="P420" s="26">
        <v>0.44334378333420638</v>
      </c>
      <c r="Q420" s="26">
        <v>1.3769190370447649E-2</v>
      </c>
      <c r="R420" s="26">
        <v>0.34308197121513606</v>
      </c>
      <c r="S420" s="26">
        <v>0.19980505508021001</v>
      </c>
      <c r="T420" s="26"/>
      <c r="U420" s="9">
        <f t="array" ref="U420">MMULT(TRANSPOSE($B$3:$B$6),TRANSPOSE(P420:S420))</f>
        <v>7.7985016511629091E-2</v>
      </c>
      <c r="V420" s="26"/>
      <c r="W420" s="9">
        <f t="array" ref="W420">SQRT(MMULT(MMULT(P420:S420,$K$3:$N$6),TRANSPOSE(P420:S420)))</f>
        <v>0.12075575784114632</v>
      </c>
    </row>
    <row r="421" spans="16:23" x14ac:dyDescent="0.3">
      <c r="P421" s="26">
        <v>0.34113270630245707</v>
      </c>
      <c r="Q421" s="26">
        <v>0.27247735498600301</v>
      </c>
      <c r="R421" s="26">
        <v>0.17985819063216554</v>
      </c>
      <c r="S421" s="26">
        <v>0.20653174807937452</v>
      </c>
      <c r="T421" s="26"/>
      <c r="U421" s="9">
        <f t="array" ref="U421">MMULT(TRANSPOSE($B$3:$B$6),TRANSPOSE(P421:S421))</f>
        <v>7.7101097090562912E-2</v>
      </c>
      <c r="V421" s="26"/>
      <c r="W421" s="9">
        <f t="array" ref="W421">SQRT(MMULT(MMULT(P421:S421,$K$3:$N$6),TRANSPOSE(P421:S421)))</f>
        <v>0.11024188441830968</v>
      </c>
    </row>
    <row r="422" spans="16:23" x14ac:dyDescent="0.3">
      <c r="P422" s="26">
        <v>0.36123955166253069</v>
      </c>
      <c r="Q422" s="26">
        <v>0.10668995461291601</v>
      </c>
      <c r="R422" s="26">
        <v>0.25880738881456583</v>
      </c>
      <c r="S422" s="26">
        <v>0.27326310490998751</v>
      </c>
      <c r="T422" s="26"/>
      <c r="U422" s="9">
        <f t="array" ref="U422">MMULT(TRANSPOSE($B$3:$B$6),TRANSPOSE(P422:S422))</f>
        <v>8.1614511988540084E-2</v>
      </c>
      <c r="V422" s="26"/>
      <c r="W422" s="9">
        <f t="array" ref="W422">SQRT(MMULT(MMULT(P422:S422,$K$3:$N$6),TRANSPOSE(P422:S422)))</f>
        <v>0.12655546898220524</v>
      </c>
    </row>
    <row r="423" spans="16:23" x14ac:dyDescent="0.3">
      <c r="P423" s="26">
        <v>0.43133869044760781</v>
      </c>
      <c r="Q423" s="26">
        <v>0.43023693628821263</v>
      </c>
      <c r="R423" s="26">
        <v>6.8129406589859845E-2</v>
      </c>
      <c r="S423" s="26">
        <v>7.0294966674319698E-2</v>
      </c>
      <c r="T423" s="26"/>
      <c r="U423" s="9">
        <f t="array" ref="U423">MMULT(TRANSPOSE($B$3:$B$6),TRANSPOSE(P423:S423))</f>
        <v>6.6250562656561027E-2</v>
      </c>
      <c r="V423" s="26"/>
      <c r="W423" s="9">
        <f t="array" ref="W423">SQRT(MMULT(MMULT(P423:S423,$K$3:$N$6),TRANSPOSE(P423:S423)))</f>
        <v>9.4907407100172675E-2</v>
      </c>
    </row>
    <row r="424" spans="16:23" x14ac:dyDescent="0.3">
      <c r="P424" s="26">
        <v>0.32935940106361666</v>
      </c>
      <c r="Q424" s="26">
        <v>0.2036521110030477</v>
      </c>
      <c r="R424" s="26">
        <v>0.11138534017239773</v>
      </c>
      <c r="S424" s="26">
        <v>0.35560314776093793</v>
      </c>
      <c r="T424" s="26"/>
      <c r="U424" s="9">
        <f t="array" ref="U424">MMULT(TRANSPOSE($B$3:$B$6),TRANSPOSE(P424:S424))</f>
        <v>8.3420676170222516E-2</v>
      </c>
      <c r="V424" s="26"/>
      <c r="W424" s="9">
        <f t="array" ref="W424">SQRT(MMULT(MMULT(P424:S424,$K$3:$N$6),TRANSPOSE(P424:S424)))</f>
        <v>0.13325504364872456</v>
      </c>
    </row>
    <row r="425" spans="16:23" x14ac:dyDescent="0.3">
      <c r="P425" s="26">
        <v>0.12881200043719554</v>
      </c>
      <c r="Q425" s="26">
        <v>0.30424563054854065</v>
      </c>
      <c r="R425" s="26">
        <v>0.2662983752905197</v>
      </c>
      <c r="S425" s="26">
        <v>0.30064399372374412</v>
      </c>
      <c r="T425" s="26"/>
      <c r="U425" s="9">
        <f t="array" ref="U425">MMULT(TRANSPOSE($B$3:$B$6),TRANSPOSE(P425:S425))</f>
        <v>8.7781927183253686E-2</v>
      </c>
      <c r="V425" s="26"/>
      <c r="W425" s="9">
        <f t="array" ref="W425">SQRT(MMULT(MMULT(P425:S425,$K$3:$N$6),TRANSPOSE(P425:S425)))</f>
        <v>0.14083004725671236</v>
      </c>
    </row>
    <row r="426" spans="16:23" x14ac:dyDescent="0.3">
      <c r="P426" s="26">
        <v>7.3260203234829166E-2</v>
      </c>
      <c r="Q426" s="26">
        <v>0.26706215623483409</v>
      </c>
      <c r="R426" s="26">
        <v>0.16431749078293151</v>
      </c>
      <c r="S426" s="26">
        <v>0.49536014974740522</v>
      </c>
      <c r="T426" s="26"/>
      <c r="U426" s="9">
        <f t="array" ref="U426">MMULT(TRANSPOSE($B$3:$B$6),TRANSPOSE(P426:S426))</f>
        <v>9.6589153238332309E-2</v>
      </c>
      <c r="V426" s="26"/>
      <c r="W426" s="9">
        <f t="array" ref="W426">SQRT(MMULT(MMULT(P426:S426,$K$3:$N$6),TRANSPOSE(P426:S426)))</f>
        <v>0.1760248231523571</v>
      </c>
    </row>
    <row r="427" spans="16:23" x14ac:dyDescent="0.3">
      <c r="P427" s="26">
        <v>0.23514143211895422</v>
      </c>
      <c r="Q427" s="26">
        <v>0.17908634466891266</v>
      </c>
      <c r="R427" s="26">
        <v>0.32165469316238771</v>
      </c>
      <c r="S427" s="26">
        <v>0.26411753004974542</v>
      </c>
      <c r="T427" s="26"/>
      <c r="U427" s="9">
        <f t="array" ref="U427">MMULT(TRANSPOSE($B$3:$B$6),TRANSPOSE(P427:S427))</f>
        <v>8.4936141723355951E-2</v>
      </c>
      <c r="V427" s="26"/>
      <c r="W427" s="9">
        <f t="array" ref="W427">SQRT(MMULT(MMULT(P427:S427,$K$3:$N$6),TRANSPOSE(P427:S427)))</f>
        <v>0.13406393197358579</v>
      </c>
    </row>
    <row r="428" spans="16:23" x14ac:dyDescent="0.3">
      <c r="P428" s="26">
        <v>0.27030079738466278</v>
      </c>
      <c r="Q428" s="26">
        <v>9.5415279318649168E-2</v>
      </c>
      <c r="R428" s="26">
        <v>0.39750256788484956</v>
      </c>
      <c r="S428" s="26">
        <v>0.23678135541183853</v>
      </c>
      <c r="T428" s="26"/>
      <c r="U428" s="9">
        <f t="array" ref="U428">MMULT(TRANSPOSE($B$3:$B$6),TRANSPOSE(P428:S428))</f>
        <v>8.4383103180595664E-2</v>
      </c>
      <c r="V428" s="26"/>
      <c r="W428" s="9">
        <f t="array" ref="W428">SQRT(MMULT(MMULT(P428:S428,$K$3:$N$6),TRANSPOSE(P428:S428)))</f>
        <v>0.13594877445018153</v>
      </c>
    </row>
    <row r="429" spans="16:23" x14ac:dyDescent="0.3">
      <c r="P429" s="26">
        <v>0.12731710085639655</v>
      </c>
      <c r="Q429" s="26">
        <v>0.3607790925455609</v>
      </c>
      <c r="R429" s="26">
        <v>0.40744166997449965</v>
      </c>
      <c r="S429" s="26">
        <v>0.10446213662354292</v>
      </c>
      <c r="T429" s="26"/>
      <c r="U429" s="9">
        <f t="array" ref="U429">MMULT(TRANSPOSE($B$3:$B$6),TRANSPOSE(P429:S429))</f>
        <v>8.0825598213539213E-2</v>
      </c>
      <c r="V429" s="26"/>
      <c r="W429" s="9">
        <f t="array" ref="W429">SQRT(MMULT(MMULT(P429:S429,$K$3:$N$6),TRANSPOSE(P429:S429)))</f>
        <v>0.12753156337471142</v>
      </c>
    </row>
    <row r="430" spans="16:23" x14ac:dyDescent="0.3">
      <c r="P430" s="26">
        <v>0.1466579101588584</v>
      </c>
      <c r="Q430" s="26">
        <v>0.3370401306754468</v>
      </c>
      <c r="R430" s="26">
        <v>0.23112464805903668</v>
      </c>
      <c r="S430" s="26">
        <v>0.28517731110665817</v>
      </c>
      <c r="T430" s="26"/>
      <c r="U430" s="9">
        <f t="array" ref="U430">MMULT(TRANSPOSE($B$3:$B$6),TRANSPOSE(P430:S430))</f>
        <v>8.594820031333647E-2</v>
      </c>
      <c r="V430" s="26"/>
      <c r="W430" s="9">
        <f t="array" ref="W430">SQRT(MMULT(MMULT(P430:S430,$K$3:$N$6),TRANSPOSE(P430:S430)))</f>
        <v>0.13496551351840505</v>
      </c>
    </row>
    <row r="431" spans="16:23" x14ac:dyDescent="0.3">
      <c r="P431" s="26">
        <v>0.12429989807811107</v>
      </c>
      <c r="Q431" s="26">
        <v>0.34102550661243469</v>
      </c>
      <c r="R431" s="26">
        <v>0.23599423804828451</v>
      </c>
      <c r="S431" s="26">
        <v>0.29868035726116959</v>
      </c>
      <c r="T431" s="26"/>
      <c r="U431" s="9">
        <f t="array" ref="U431">MMULT(TRANSPOSE($B$3:$B$6),TRANSPOSE(P431:S431))</f>
        <v>8.7167904662461937E-2</v>
      </c>
      <c r="V431" s="26"/>
      <c r="W431" s="9">
        <f t="array" ref="W431">SQRT(MMULT(MMULT(P431:S431,$K$3:$N$6),TRANSPOSE(P431:S431)))</f>
        <v>0.13877904924781581</v>
      </c>
    </row>
    <row r="432" spans="16:23" x14ac:dyDescent="0.3">
      <c r="P432" s="26">
        <v>0.18324243021955028</v>
      </c>
      <c r="Q432" s="26">
        <v>9.6036854929722332E-2</v>
      </c>
      <c r="R432" s="26">
        <v>0.36515565718490128</v>
      </c>
      <c r="S432" s="26">
        <v>0.35556505766582602</v>
      </c>
      <c r="T432" s="26"/>
      <c r="U432" s="9">
        <f t="array" ref="U432">MMULT(TRANSPOSE($B$3:$B$6),TRANSPOSE(P432:S432))</f>
        <v>9.141651742259832E-2</v>
      </c>
      <c r="V432" s="26"/>
      <c r="W432" s="9">
        <f t="array" ref="W432">SQRT(MMULT(MMULT(P432:S432,$K$3:$N$6),TRANSPOSE(P432:S432)))</f>
        <v>0.15809694183402881</v>
      </c>
    </row>
    <row r="433" spans="16:23" x14ac:dyDescent="0.3">
      <c r="P433" s="26">
        <v>0.43115407672361661</v>
      </c>
      <c r="Q433" s="26">
        <v>0.16183700407244059</v>
      </c>
      <c r="R433" s="26">
        <v>0.36180302054034491</v>
      </c>
      <c r="S433" s="26">
        <v>4.5205898663597782E-2</v>
      </c>
      <c r="T433" s="26"/>
      <c r="U433" s="9">
        <f t="array" ref="U433">MMULT(TRANSPOSE($B$3:$B$6),TRANSPOSE(P433:S433))</f>
        <v>7.0873273809514456E-2</v>
      </c>
      <c r="V433" s="26"/>
      <c r="W433" s="9">
        <f t="array" ref="W433">SQRT(MMULT(MMULT(P433:S433,$K$3:$N$6),TRANSPOSE(P433:S433)))</f>
        <v>0.10427939986292703</v>
      </c>
    </row>
    <row r="434" spans="16:23" x14ac:dyDescent="0.3">
      <c r="P434" s="26">
        <v>0.10316163758840503</v>
      </c>
      <c r="Q434" s="26">
        <v>0.43924962034955561</v>
      </c>
      <c r="R434" s="26">
        <v>0.10679149129729981</v>
      </c>
      <c r="S434" s="26">
        <v>0.35079725076473961</v>
      </c>
      <c r="T434" s="26"/>
      <c r="U434" s="9">
        <f t="array" ref="U434">MMULT(TRANSPOSE($B$3:$B$6),TRANSPOSE(P434:S434))</f>
        <v>8.7612459612414886E-2</v>
      </c>
      <c r="V434" s="26"/>
      <c r="W434" s="9">
        <f t="array" ref="W434">SQRT(MMULT(MMULT(P434:S434,$K$3:$N$6),TRANSPOSE(P434:S434)))</f>
        <v>0.14294360124096742</v>
      </c>
    </row>
    <row r="435" spans="16:23" x14ac:dyDescent="0.3">
      <c r="P435" s="26">
        <v>0.52172198772316769</v>
      </c>
      <c r="Q435" s="26">
        <v>7.8440304734899352E-2</v>
      </c>
      <c r="R435" s="26">
        <v>0.3150917989540174</v>
      </c>
      <c r="S435" s="26">
        <v>8.4745908587915711E-2</v>
      </c>
      <c r="T435" s="26"/>
      <c r="U435" s="9">
        <f t="array" ref="U435">MMULT(TRANSPOSE($B$3:$B$6),TRANSPOSE(P435:S435))</f>
        <v>7.0104691654012799E-2</v>
      </c>
      <c r="V435" s="26"/>
      <c r="W435" s="9">
        <f t="array" ref="W435">SQRT(MMULT(MMULT(P435:S435,$K$3:$N$6),TRANSPOSE(P435:S435)))</f>
        <v>0.10149015751689834</v>
      </c>
    </row>
    <row r="436" spans="16:23" x14ac:dyDescent="0.3">
      <c r="P436" s="26">
        <v>0.14448104017603181</v>
      </c>
      <c r="Q436" s="26">
        <v>0.29786829271272053</v>
      </c>
      <c r="R436" s="26">
        <v>0.38969692609767148</v>
      </c>
      <c r="S436" s="26">
        <v>0.16795374101357616</v>
      </c>
      <c r="T436" s="26"/>
      <c r="U436" s="9">
        <f t="array" ref="U436">MMULT(TRANSPOSE($B$3:$B$6),TRANSPOSE(P436:S436))</f>
        <v>8.3302004769111607E-2</v>
      </c>
      <c r="V436" s="26"/>
      <c r="W436" s="9">
        <f t="array" ref="W436">SQRT(MMULT(MMULT(P436:S436,$K$3:$N$6),TRANSPOSE(P436:S436)))</f>
        <v>0.13059834068704479</v>
      </c>
    </row>
    <row r="437" spans="16:23" x14ac:dyDescent="0.3">
      <c r="P437" s="26">
        <v>0.28647842028098142</v>
      </c>
      <c r="Q437" s="26">
        <v>0.28659096647976567</v>
      </c>
      <c r="R437" s="26">
        <v>0.18314823154775672</v>
      </c>
      <c r="S437" s="26">
        <v>0.24378238169149624</v>
      </c>
      <c r="T437" s="26"/>
      <c r="U437" s="9">
        <f t="array" ref="U437">MMULT(TRANSPOSE($B$3:$B$6),TRANSPOSE(P437:S437))</f>
        <v>8.0122515309910325E-2</v>
      </c>
      <c r="V437" s="26"/>
      <c r="W437" s="9">
        <f t="array" ref="W437">SQRT(MMULT(MMULT(P437:S437,$K$3:$N$6),TRANSPOSE(P437:S437)))</f>
        <v>0.11827022727381858</v>
      </c>
    </row>
    <row r="438" spans="16:23" x14ac:dyDescent="0.3">
      <c r="P438" s="26">
        <v>3.9713160527985791E-2</v>
      </c>
      <c r="Q438" s="26">
        <v>0.28584547648813891</v>
      </c>
      <c r="R438" s="26">
        <v>0.35276510687982493</v>
      </c>
      <c r="S438" s="26">
        <v>0.32167625610405043</v>
      </c>
      <c r="T438" s="26"/>
      <c r="U438" s="9">
        <f t="array" ref="U438">MMULT(TRANSPOSE($B$3:$B$6),TRANSPOSE(P438:S438))</f>
        <v>9.2344851732239303E-2</v>
      </c>
      <c r="V438" s="26"/>
      <c r="W438" s="9">
        <f t="array" ref="W438">SQRT(MMULT(MMULT(P438:S438,$K$3:$N$6),TRANSPOSE(P438:S438)))</f>
        <v>0.1561942916346282</v>
      </c>
    </row>
    <row r="439" spans="16:23" x14ac:dyDescent="0.3">
      <c r="P439" s="26">
        <v>2.5382189519045507E-2</v>
      </c>
      <c r="Q439" s="26">
        <v>0.45199658019402783</v>
      </c>
      <c r="R439" s="26">
        <v>0.10696217290311011</v>
      </c>
      <c r="S439" s="26">
        <v>0.41565905738381659</v>
      </c>
      <c r="T439" s="26"/>
      <c r="U439" s="9">
        <f t="array" ref="U439">MMULT(TRANSPOSE($B$3:$B$6),TRANSPOSE(P439:S439))</f>
        <v>9.2414552536872113E-2</v>
      </c>
      <c r="V439" s="26"/>
      <c r="W439" s="9">
        <f t="array" ref="W439">SQRT(MMULT(MMULT(P439:S439,$K$3:$N$6),TRANSPOSE(P439:S439)))</f>
        <v>0.15942682575545966</v>
      </c>
    </row>
    <row r="440" spans="16:23" x14ac:dyDescent="0.3">
      <c r="P440" s="26">
        <v>0.10080969561475794</v>
      </c>
      <c r="Q440" s="26">
        <v>6.3247093454516082E-2</v>
      </c>
      <c r="R440" s="26">
        <v>0.44176147903748508</v>
      </c>
      <c r="S440" s="26">
        <v>0.39418173189324074</v>
      </c>
      <c r="T440" s="26"/>
      <c r="U440" s="9">
        <f t="array" ref="U440">MMULT(TRANSPOSE($B$3:$B$6),TRANSPOSE(P440:S440))</f>
        <v>9.6528122263116564E-2</v>
      </c>
      <c r="V440" s="26"/>
      <c r="W440" s="9">
        <f t="array" ref="W440">SQRT(MMULT(MMULT(P440:S440,$K$3:$N$6),TRANSPOSE(P440:S440)))</f>
        <v>0.17720959176483339</v>
      </c>
    </row>
    <row r="441" spans="16:23" x14ac:dyDescent="0.3">
      <c r="P441" s="26">
        <v>0.39907254007521836</v>
      </c>
      <c r="Q441" s="26">
        <v>0.27529733121160416</v>
      </c>
      <c r="R441" s="26">
        <v>9.7277055931905887E-2</v>
      </c>
      <c r="S441" s="26">
        <v>0.22835307278127162</v>
      </c>
      <c r="T441" s="26"/>
      <c r="U441" s="9">
        <f t="array" ref="U441">MMULT(TRANSPOSE($B$3:$B$6),TRANSPOSE(P441:S441))</f>
        <v>7.5381743956197331E-2</v>
      </c>
      <c r="V441" s="26"/>
      <c r="W441" s="9">
        <f t="array" ref="W441">SQRT(MMULT(MMULT(P441:S441,$K$3:$N$6),TRANSPOSE(P441:S441)))</f>
        <v>0.10757014117808653</v>
      </c>
    </row>
    <row r="442" spans="16:23" x14ac:dyDescent="0.3">
      <c r="P442" s="26">
        <v>0.33523455974344796</v>
      </c>
      <c r="Q442" s="26">
        <v>0.3347363334766405</v>
      </c>
      <c r="R442" s="26">
        <v>0.19752754474294221</v>
      </c>
      <c r="S442" s="26">
        <v>0.13250156203696933</v>
      </c>
      <c r="T442" s="26"/>
      <c r="U442" s="9">
        <f t="array" ref="U442">MMULT(TRANSPOSE($B$3:$B$6),TRANSPOSE(P442:S442))</f>
        <v>7.3870937801838357E-2</v>
      </c>
      <c r="V442" s="26"/>
      <c r="W442" s="9">
        <f t="array" ref="W442">SQRT(MMULT(MMULT(P442:S442,$K$3:$N$6),TRANSPOSE(P442:S442)))</f>
        <v>0.10345404033908837</v>
      </c>
    </row>
    <row r="443" spans="16:23" x14ac:dyDescent="0.3">
      <c r="P443" s="26">
        <v>2.0747952717979901E-2</v>
      </c>
      <c r="Q443" s="26">
        <v>0.1247971611073411</v>
      </c>
      <c r="R443" s="26">
        <v>0.46206678848035726</v>
      </c>
      <c r="S443" s="26">
        <v>0.3923880976943217</v>
      </c>
      <c r="T443" s="26"/>
      <c r="U443" s="9">
        <f t="array" ref="U443">MMULT(TRANSPOSE($B$3:$B$6),TRANSPOSE(P443:S443))</f>
        <v>9.8445781599963617E-2</v>
      </c>
      <c r="V443" s="26"/>
      <c r="W443" s="9">
        <f t="array" ref="W443">SQRT(MMULT(MMULT(P443:S443,$K$3:$N$6),TRANSPOSE(P443:S443)))</f>
        <v>0.18169193917957879</v>
      </c>
    </row>
    <row r="444" spans="16:23" x14ac:dyDescent="0.3">
      <c r="P444" s="26">
        <v>0.35440745969594267</v>
      </c>
      <c r="Q444" s="26">
        <v>3.1041746775137671E-2</v>
      </c>
      <c r="R444" s="26">
        <v>0.46331864010658896</v>
      </c>
      <c r="S444" s="26">
        <v>0.15123215342233085</v>
      </c>
      <c r="T444" s="26"/>
      <c r="U444" s="9">
        <f t="array" ref="U444">MMULT(TRANSPOSE($B$3:$B$6),TRANSPOSE(P444:S444))</f>
        <v>7.9739831279329473E-2</v>
      </c>
      <c r="V444" s="26"/>
      <c r="W444" s="9">
        <f t="array" ref="W444">SQRT(MMULT(MMULT(P444:S444,$K$3:$N$6),TRANSPOSE(P444:S444)))</f>
        <v>0.12833838787754154</v>
      </c>
    </row>
    <row r="445" spans="16:23" x14ac:dyDescent="0.3">
      <c r="P445" s="26">
        <v>0.19740696104182631</v>
      </c>
      <c r="Q445" s="26">
        <v>0.28732077408061296</v>
      </c>
      <c r="R445" s="26">
        <v>0.40367662941306648</v>
      </c>
      <c r="S445" s="26">
        <v>0.11159563546449427</v>
      </c>
      <c r="T445" s="26"/>
      <c r="U445" s="9">
        <f t="array" ref="U445">MMULT(TRANSPOSE($B$3:$B$6),TRANSPOSE(P445:S445))</f>
        <v>7.9705175140649523E-2</v>
      </c>
      <c r="V445" s="26"/>
      <c r="W445" s="9">
        <f t="array" ref="W445">SQRT(MMULT(MMULT(P445:S445,$K$3:$N$6),TRANSPOSE(P445:S445)))</f>
        <v>0.12308511255580942</v>
      </c>
    </row>
    <row r="446" spans="16:23" x14ac:dyDescent="0.3">
      <c r="P446" s="26">
        <v>0.36758593397490846</v>
      </c>
      <c r="Q446" s="26">
        <v>7.8213690455311555E-2</v>
      </c>
      <c r="R446" s="26">
        <v>0.1199010106427732</v>
      </c>
      <c r="S446" s="26">
        <v>0.43429936492700666</v>
      </c>
      <c r="T446" s="26"/>
      <c r="U446" s="9">
        <f t="array" ref="U446">MMULT(TRANSPOSE($B$3:$B$6),TRANSPOSE(P446:S446))</f>
        <v>8.6761269779707606E-2</v>
      </c>
      <c r="V446" s="26"/>
      <c r="W446" s="9">
        <f t="array" ref="W446">SQRT(MMULT(MMULT(P446:S446,$K$3:$N$6),TRANSPOSE(P446:S446)))</f>
        <v>0.15113259222561398</v>
      </c>
    </row>
    <row r="447" spans="16:23" x14ac:dyDescent="0.3">
      <c r="P447" s="26">
        <v>0.11791572605211845</v>
      </c>
      <c r="Q447" s="26">
        <v>0.45117263331311608</v>
      </c>
      <c r="R447" s="26">
        <v>0.27185425905261212</v>
      </c>
      <c r="S447" s="26">
        <v>0.15905738158215332</v>
      </c>
      <c r="T447" s="26"/>
      <c r="U447" s="9">
        <f t="array" ref="U447">MMULT(TRANSPOSE($B$3:$B$6),TRANSPOSE(P447:S447))</f>
        <v>8.1031639739117547E-2</v>
      </c>
      <c r="V447" s="26"/>
      <c r="W447" s="9">
        <f t="array" ref="W447">SQRT(MMULT(MMULT(P447:S447,$K$3:$N$6),TRANSPOSE(P447:S447)))</f>
        <v>0.12403645006486741</v>
      </c>
    </row>
    <row r="448" spans="16:23" x14ac:dyDescent="0.3">
      <c r="P448" s="26">
        <v>4.1679577113404219E-2</v>
      </c>
      <c r="Q448" s="26">
        <v>0.48498218175263103</v>
      </c>
      <c r="R448" s="26">
        <v>0.27376233925756166</v>
      </c>
      <c r="S448" s="26">
        <v>0.19957590187640309</v>
      </c>
      <c r="T448" s="26"/>
      <c r="U448" s="9">
        <f t="array" ref="U448">MMULT(TRANSPOSE($B$3:$B$6),TRANSPOSE(P448:S448))</f>
        <v>8.4620450336703304E-2</v>
      </c>
      <c r="V448" s="26"/>
      <c r="W448" s="9">
        <f t="array" ref="W448">SQRT(MMULT(MMULT(P448:S448,$K$3:$N$6),TRANSPOSE(P448:S448)))</f>
        <v>0.1340429994173046</v>
      </c>
    </row>
    <row r="449" spans="16:23" x14ac:dyDescent="0.3">
      <c r="P449" s="26">
        <v>0.274251677722195</v>
      </c>
      <c r="Q449" s="26">
        <v>0.33385064705902223</v>
      </c>
      <c r="R449" s="26">
        <v>0.12035516282924473</v>
      </c>
      <c r="S449" s="26">
        <v>0.27154251238953814</v>
      </c>
      <c r="T449" s="26"/>
      <c r="U449" s="9">
        <f t="array" ref="U449">MMULT(TRANSPOSE($B$3:$B$6),TRANSPOSE(P449:S449))</f>
        <v>8.0499195321617895E-2</v>
      </c>
      <c r="V449" s="26"/>
      <c r="W449" s="9">
        <f t="array" ref="W449">SQRT(MMULT(MMULT(P449:S449,$K$3:$N$6),TRANSPOSE(P449:S449)))</f>
        <v>0.12036675599180668</v>
      </c>
    </row>
    <row r="450" spans="16:23" x14ac:dyDescent="0.3">
      <c r="P450" s="26">
        <v>0.58922356416975363</v>
      </c>
      <c r="Q450" s="26">
        <v>2.0938446006037E-2</v>
      </c>
      <c r="R450" s="26">
        <v>0.34037287606640393</v>
      </c>
      <c r="S450" s="26">
        <v>4.9465113757805476E-2</v>
      </c>
      <c r="T450" s="26"/>
      <c r="U450" s="9">
        <f t="array" ref="U450">MMULT(TRANSPOSE($B$3:$B$6),TRANSPOSE(P450:S450))</f>
        <v>6.7496241925823292E-2</v>
      </c>
      <c r="V450" s="26"/>
      <c r="W450" s="9">
        <f t="array" ref="W450">SQRT(MMULT(MMULT(P450:S450,$K$3:$N$6),TRANSPOSE(P450:S450)))</f>
        <v>0.10122013061701894</v>
      </c>
    </row>
    <row r="451" spans="16:23" x14ac:dyDescent="0.3">
      <c r="P451" s="26">
        <v>0.21170857280506092</v>
      </c>
      <c r="Q451" s="26">
        <v>0.36166672982620657</v>
      </c>
      <c r="R451" s="26">
        <v>0.2289202834715082</v>
      </c>
      <c r="S451" s="26">
        <v>0.19770441389722435</v>
      </c>
      <c r="T451" s="26"/>
      <c r="U451" s="9">
        <f t="array" ref="U451">MMULT(TRANSPOSE($B$3:$B$6),TRANSPOSE(P451:S451))</f>
        <v>8.0229454908190168E-2</v>
      </c>
      <c r="V451" s="26"/>
      <c r="W451" s="9">
        <f t="array" ref="W451">SQRT(MMULT(MMULT(P451:S451,$K$3:$N$6),TRANSPOSE(P451:S451)))</f>
        <v>0.11870266990719307</v>
      </c>
    </row>
    <row r="452" spans="16:23" x14ac:dyDescent="0.3">
      <c r="P452" s="26">
        <v>9.4941592354322007E-2</v>
      </c>
      <c r="Q452" s="26">
        <v>0.49012508011263645</v>
      </c>
      <c r="R452" s="26">
        <v>0.26392826669446506</v>
      </c>
      <c r="S452" s="26">
        <v>0.15100506083857645</v>
      </c>
      <c r="T452" s="26"/>
      <c r="U452" s="9">
        <f t="array" ref="U452">MMULT(TRANSPOSE($B$3:$B$6),TRANSPOSE(P452:S452))</f>
        <v>8.0929986528731679E-2</v>
      </c>
      <c r="V452" s="26"/>
      <c r="W452" s="9">
        <f t="array" ref="W452">SQRT(MMULT(MMULT(P452:S452,$K$3:$N$6),TRANSPOSE(P452:S452)))</f>
        <v>0.12515470749434002</v>
      </c>
    </row>
    <row r="453" spans="16:23" x14ac:dyDescent="0.3">
      <c r="P453" s="26">
        <v>0.18511270936623928</v>
      </c>
      <c r="Q453" s="26">
        <v>0.31003170530799007</v>
      </c>
      <c r="R453" s="26">
        <v>0.20582179348442523</v>
      </c>
      <c r="S453" s="26">
        <v>0.29903379184134549</v>
      </c>
      <c r="T453" s="26"/>
      <c r="U453" s="9">
        <f t="array" ref="U453">MMULT(TRANSPOSE($B$3:$B$6),TRANSPOSE(P453:S453))</f>
        <v>8.5365871274430988E-2</v>
      </c>
      <c r="V453" s="26"/>
      <c r="W453" s="9">
        <f t="array" ref="W453">SQRT(MMULT(MMULT(P453:S453,$K$3:$N$6),TRANSPOSE(P453:S453)))</f>
        <v>0.13359589893072291</v>
      </c>
    </row>
    <row r="454" spans="16:23" x14ac:dyDescent="0.3">
      <c r="P454" s="26">
        <v>2.7594140048100277E-2</v>
      </c>
      <c r="Q454" s="26">
        <v>0.1597805590897528</v>
      </c>
      <c r="R454" s="26">
        <v>0.54480036530587594</v>
      </c>
      <c r="S454" s="26">
        <v>0.26782493555627102</v>
      </c>
      <c r="T454" s="26"/>
      <c r="U454" s="9">
        <f t="array" ref="U454">MMULT(TRANSPOSE($B$3:$B$6),TRANSPOSE(P454:S454))</f>
        <v>9.3735371282969063E-2</v>
      </c>
      <c r="V454" s="26"/>
      <c r="W454" s="9">
        <f t="array" ref="W454">SQRT(MMULT(MMULT(P454:S454,$K$3:$N$6),TRANSPOSE(P454:S454)))</f>
        <v>0.16725595670332566</v>
      </c>
    </row>
    <row r="455" spans="16:23" x14ac:dyDescent="0.3">
      <c r="P455" s="26">
        <v>0.34235736023447061</v>
      </c>
      <c r="Q455" s="26">
        <v>0.1742543618492135</v>
      </c>
      <c r="R455" s="26">
        <v>0.20712294495327355</v>
      </c>
      <c r="S455" s="26">
        <v>0.27626533296304234</v>
      </c>
      <c r="T455" s="26"/>
      <c r="U455" s="9">
        <f t="array" ref="U455">MMULT(TRANSPOSE($B$3:$B$6),TRANSPOSE(P455:S455))</f>
        <v>8.1108578342528187E-2</v>
      </c>
      <c r="V455" s="26"/>
      <c r="W455" s="9">
        <f t="array" ref="W455">SQRT(MMULT(MMULT(P455:S455,$K$3:$N$6),TRANSPOSE(P455:S455)))</f>
        <v>0.12326867262710393</v>
      </c>
    </row>
    <row r="456" spans="16:23" x14ac:dyDescent="0.3">
      <c r="P456" s="26">
        <v>0.21483313967141035</v>
      </c>
      <c r="Q456" s="26">
        <v>0.342077260520673</v>
      </c>
      <c r="R456" s="26">
        <v>8.6496367689728543E-2</v>
      </c>
      <c r="S456" s="26">
        <v>0.35659323211818811</v>
      </c>
      <c r="T456" s="26"/>
      <c r="U456" s="9">
        <f t="array" ref="U456">MMULT(TRANSPOSE($B$3:$B$6),TRANSPOSE(P456:S456))</f>
        <v>8.5262926166275774E-2</v>
      </c>
      <c r="V456" s="26"/>
      <c r="W456" s="9">
        <f t="array" ref="W456">SQRT(MMULT(MMULT(P456:S456,$K$3:$N$6),TRANSPOSE(P456:S456)))</f>
        <v>0.13672600357051243</v>
      </c>
    </row>
    <row r="457" spans="16:23" x14ac:dyDescent="0.3">
      <c r="P457" s="26">
        <v>0.36301160439136809</v>
      </c>
      <c r="Q457" s="26">
        <v>1.8440342286215647E-2</v>
      </c>
      <c r="R457" s="26">
        <v>0.42277377187413107</v>
      </c>
      <c r="S457" s="26">
        <v>0.19577428144828524</v>
      </c>
      <c r="T457" s="26"/>
      <c r="U457" s="9">
        <f t="array" ref="U457">MMULT(TRANSPOSE($B$3:$B$6),TRANSPOSE(P457:S457))</f>
        <v>8.0983957422069514E-2</v>
      </c>
      <c r="V457" s="26"/>
      <c r="W457" s="9">
        <f t="array" ref="W457">SQRT(MMULT(MMULT(P457:S457,$K$3:$N$6),TRANSPOSE(P457:S457)))</f>
        <v>0.13014363447840979</v>
      </c>
    </row>
    <row r="458" spans="16:23" x14ac:dyDescent="0.3">
      <c r="P458" s="26">
        <v>0.34445173949662605</v>
      </c>
      <c r="Q458" s="26">
        <v>0.26409502917491401</v>
      </c>
      <c r="R458" s="26">
        <v>0.23779221018249008</v>
      </c>
      <c r="S458" s="26">
        <v>0.15366102114596991</v>
      </c>
      <c r="T458" s="26"/>
      <c r="U458" s="9">
        <f t="array" ref="U458">MMULT(TRANSPOSE($B$3:$B$6),TRANSPOSE(P458:S458))</f>
        <v>7.5549860471015778E-2</v>
      </c>
      <c r="V458" s="26"/>
      <c r="W458" s="9">
        <f t="array" ref="W458">SQRT(MMULT(MMULT(P458:S458,$K$3:$N$6),TRANSPOSE(P458:S458)))</f>
        <v>0.10688480149758763</v>
      </c>
    </row>
    <row r="459" spans="16:23" x14ac:dyDescent="0.3">
      <c r="P459" s="26">
        <v>0.32199884928263856</v>
      </c>
      <c r="Q459" s="26">
        <v>0.47690734955342756</v>
      </c>
      <c r="R459" s="26">
        <v>5.5400995832902193E-2</v>
      </c>
      <c r="S459" s="26">
        <v>0.1456928053310316</v>
      </c>
      <c r="T459" s="26"/>
      <c r="U459" s="9">
        <f t="array" ref="U459">MMULT(TRANSPOSE($B$3:$B$6),TRANSPOSE(P459:S459))</f>
        <v>7.1952683197556849E-2</v>
      </c>
      <c r="V459" s="26"/>
      <c r="W459" s="9">
        <f t="array" ref="W459">SQRT(MMULT(MMULT(P459:S459,$K$3:$N$6),TRANSPOSE(P459:S459)))</f>
        <v>0.10396740358944266</v>
      </c>
    </row>
    <row r="460" spans="16:23" x14ac:dyDescent="0.3">
      <c r="P460" s="26">
        <v>9.9031149763411E-2</v>
      </c>
      <c r="Q460" s="26">
        <v>0.34992802302820042</v>
      </c>
      <c r="R460" s="26">
        <v>0.36381768268470854</v>
      </c>
      <c r="S460" s="26">
        <v>0.18722314452368002</v>
      </c>
      <c r="T460" s="26"/>
      <c r="U460" s="9">
        <f t="array" ref="U460">MMULT(TRANSPOSE($B$3:$B$6),TRANSPOSE(P460:S460))</f>
        <v>8.4656887884609955E-2</v>
      </c>
      <c r="V460" s="26"/>
      <c r="W460" s="9">
        <f t="array" ref="W460">SQRT(MMULT(MMULT(P460:S460,$K$3:$N$6),TRANSPOSE(P460:S460)))</f>
        <v>0.13364447054295001</v>
      </c>
    </row>
    <row r="461" spans="16:23" x14ac:dyDescent="0.3">
      <c r="P461" s="26">
        <v>0.51783016192204145</v>
      </c>
      <c r="Q461" s="26">
        <v>2.1607456822978155E-2</v>
      </c>
      <c r="R461" s="26">
        <v>0.10618335914763358</v>
      </c>
      <c r="S461" s="26">
        <v>0.35437902210734679</v>
      </c>
      <c r="T461" s="26"/>
      <c r="U461" s="9">
        <f t="array" ref="U461">MMULT(TRANSPOSE($B$3:$B$6),TRANSPOSE(P461:S461))</f>
        <v>7.9486015049879177E-2</v>
      </c>
      <c r="V461" s="26"/>
      <c r="W461" s="9">
        <f t="array" ref="W461">SQRT(MMULT(MMULT(P461:S461,$K$3:$N$6),TRANSPOSE(P461:S461)))</f>
        <v>0.13114723439773357</v>
      </c>
    </row>
    <row r="462" spans="16:23" x14ac:dyDescent="0.3">
      <c r="P462" s="26">
        <v>0.53668220147512014</v>
      </c>
      <c r="Q462" s="26">
        <v>0.1145124306658535</v>
      </c>
      <c r="R462" s="26">
        <v>0.10761349105883999</v>
      </c>
      <c r="S462" s="26">
        <v>0.24119187680018628</v>
      </c>
      <c r="T462" s="26"/>
      <c r="U462" s="9">
        <f t="array" ref="U462">MMULT(TRANSPOSE($B$3:$B$6),TRANSPOSE(P462:S462))</f>
        <v>7.3478219631683703E-2</v>
      </c>
      <c r="V462" s="26"/>
      <c r="W462" s="9">
        <f t="array" ref="W462">SQRT(MMULT(MMULT(P462:S462,$K$3:$N$6),TRANSPOSE(P462:S462)))</f>
        <v>0.10760347825686431</v>
      </c>
    </row>
    <row r="463" spans="16:23" x14ac:dyDescent="0.3">
      <c r="P463" s="26">
        <v>0.22476444272583898</v>
      </c>
      <c r="Q463" s="26">
        <v>0.30638693111019749</v>
      </c>
      <c r="R463" s="26">
        <v>0.19576691964875126</v>
      </c>
      <c r="S463" s="26">
        <v>0.2730817065152123</v>
      </c>
      <c r="T463" s="26"/>
      <c r="U463" s="9">
        <f t="array" ref="U463">MMULT(TRANSPOSE($B$3:$B$6),TRANSPOSE(P463:S463))</f>
        <v>8.3074134864218857E-2</v>
      </c>
      <c r="V463" s="26"/>
      <c r="W463" s="9">
        <f t="array" ref="W463">SQRT(MMULT(MMULT(P463:S463,$K$3:$N$6),TRANSPOSE(P463:S463)))</f>
        <v>0.12662559185368033</v>
      </c>
    </row>
    <row r="464" spans="16:23" x14ac:dyDescent="0.3">
      <c r="P464" s="26">
        <v>0.15345830711728339</v>
      </c>
      <c r="Q464" s="26">
        <v>4.3432625612352879E-2</v>
      </c>
      <c r="R464" s="26">
        <v>0.45197565798282113</v>
      </c>
      <c r="S464" s="26">
        <v>0.3511334092875425</v>
      </c>
      <c r="T464" s="26"/>
      <c r="U464" s="9">
        <f t="array" ref="U464">MMULT(TRANSPOSE($B$3:$B$6),TRANSPOSE(P464:S464))</f>
        <v>9.3527017481687874E-2</v>
      </c>
      <c r="V464" s="26"/>
      <c r="W464" s="9">
        <f t="array" ref="W464">SQRT(MMULT(MMULT(P464:S464,$K$3:$N$6),TRANSPOSE(P464:S464)))</f>
        <v>0.16772955809207132</v>
      </c>
    </row>
    <row r="465" spans="16:23" x14ac:dyDescent="0.3">
      <c r="P465" s="26">
        <v>0.171260051036107</v>
      </c>
      <c r="Q465" s="26">
        <v>0.34917576899911262</v>
      </c>
      <c r="R465" s="26">
        <v>0.10316328980598315</v>
      </c>
      <c r="S465" s="26">
        <v>0.37640089015879724</v>
      </c>
      <c r="T465" s="26"/>
      <c r="U465" s="9">
        <f t="array" ref="U465">MMULT(TRANSPOSE($B$3:$B$6),TRANSPOSE(P465:S465))</f>
        <v>8.7458109283337387E-2</v>
      </c>
      <c r="V465" s="26"/>
      <c r="W465" s="9">
        <f t="array" ref="W465">SQRT(MMULT(MMULT(P465:S465,$K$3:$N$6),TRANSPOSE(P465:S465)))</f>
        <v>0.14328740160878845</v>
      </c>
    </row>
    <row r="466" spans="16:23" x14ac:dyDescent="0.3">
      <c r="P466" s="26">
        <v>0.39441785374956079</v>
      </c>
      <c r="Q466" s="26">
        <v>4.6151605010016972E-2</v>
      </c>
      <c r="R466" s="26">
        <v>0.18017653632099545</v>
      </c>
      <c r="S466" s="26">
        <v>0.37925400491942679</v>
      </c>
      <c r="T466" s="26"/>
      <c r="U466" s="9">
        <f t="array" ref="U466">MMULT(TRANSPOSE($B$3:$B$6),TRANSPOSE(P466:S466))</f>
        <v>8.467787389740003E-2</v>
      </c>
      <c r="V466" s="26"/>
      <c r="W466" s="9">
        <f t="array" ref="W466">SQRT(MMULT(MMULT(P466:S466,$K$3:$N$6),TRANSPOSE(P466:S466)))</f>
        <v>0.14239575863371309</v>
      </c>
    </row>
    <row r="467" spans="16:23" x14ac:dyDescent="0.3">
      <c r="P467" s="26">
        <v>0.14685308484559459</v>
      </c>
      <c r="Q467" s="26">
        <v>0.23906164293631693</v>
      </c>
      <c r="R467" s="26">
        <v>0.25035757389975438</v>
      </c>
      <c r="S467" s="26">
        <v>0.36372769831833418</v>
      </c>
      <c r="T467" s="26"/>
      <c r="U467" s="9">
        <f t="array" ref="U467">MMULT(TRANSPOSE($B$3:$B$6),TRANSPOSE(P467:S467))</f>
        <v>9.0256474696999905E-2</v>
      </c>
      <c r="V467" s="26"/>
      <c r="W467" s="9">
        <f t="array" ref="W467">SQRT(MMULT(MMULT(P467:S467,$K$3:$N$6),TRANSPOSE(P467:S467)))</f>
        <v>0.15054675569656717</v>
      </c>
    </row>
    <row r="468" spans="16:23" x14ac:dyDescent="0.3">
      <c r="P468" s="26">
        <v>0.3232212730810915</v>
      </c>
      <c r="Q468" s="26">
        <v>0.29659984774479264</v>
      </c>
      <c r="R468" s="26">
        <v>7.1788735446478374E-2</v>
      </c>
      <c r="S468" s="26">
        <v>0.30839014372763751</v>
      </c>
      <c r="T468" s="26"/>
      <c r="U468" s="9">
        <f t="array" ref="U468">MMULT(TRANSPOSE($B$3:$B$6),TRANSPOSE(P468:S468))</f>
        <v>8.0390856433689609E-2</v>
      </c>
      <c r="V468" s="26"/>
      <c r="W468" s="9">
        <f t="array" ref="W468">SQRT(MMULT(MMULT(P468:S468,$K$3:$N$6),TRANSPOSE(P468:S468)))</f>
        <v>0.12257989459743231</v>
      </c>
    </row>
    <row r="469" spans="16:23" x14ac:dyDescent="0.3">
      <c r="P469" s="26">
        <v>0.28803359899589481</v>
      </c>
      <c r="Q469" s="26">
        <v>6.0924913669794183E-2</v>
      </c>
      <c r="R469" s="26">
        <v>0.28793372155127178</v>
      </c>
      <c r="S469" s="26">
        <v>0.36310776578303933</v>
      </c>
      <c r="T469" s="26"/>
      <c r="U469" s="9">
        <f t="array" ref="U469">MMULT(TRANSPOSE($B$3:$B$6),TRANSPOSE(P469:S469))</f>
        <v>8.8153390740259518E-2</v>
      </c>
      <c r="V469" s="26"/>
      <c r="W469" s="9">
        <f t="array" ref="W469">SQRT(MMULT(MMULT(P469:S469,$K$3:$N$6),TRANSPOSE(P469:S469)))</f>
        <v>0.14959858172023208</v>
      </c>
    </row>
    <row r="470" spans="16:23" x14ac:dyDescent="0.3">
      <c r="P470" s="26">
        <v>0.26804888448946262</v>
      </c>
      <c r="Q470" s="26">
        <v>0.38261887806856382</v>
      </c>
      <c r="R470" s="26">
        <v>0.18890175952320049</v>
      </c>
      <c r="S470" s="26">
        <v>0.1604304779187731</v>
      </c>
      <c r="T470" s="26"/>
      <c r="U470" s="9">
        <f t="array" ref="U470">MMULT(TRANSPOSE($B$3:$B$6),TRANSPOSE(P470:S470))</f>
        <v>7.6438581396613414E-2</v>
      </c>
      <c r="V470" s="26"/>
      <c r="W470" s="9">
        <f t="array" ref="W470">SQRT(MMULT(MMULT(P470:S470,$K$3:$N$6),TRANSPOSE(P470:S470)))</f>
        <v>0.10959578648972801</v>
      </c>
    </row>
    <row r="471" spans="16:23" x14ac:dyDescent="0.3">
      <c r="P471" s="26">
        <v>0.24899410729772045</v>
      </c>
      <c r="Q471" s="26">
        <v>0.38058396075128853</v>
      </c>
      <c r="R471" s="26">
        <v>0.29466482914231268</v>
      </c>
      <c r="S471" s="26">
        <v>7.5757102808678242E-2</v>
      </c>
      <c r="T471" s="26"/>
      <c r="U471" s="9">
        <f t="array" ref="U471">MMULT(TRANSPOSE($B$3:$B$6),TRANSPOSE(P471:S471))</f>
        <v>7.4701269577325757E-2</v>
      </c>
      <c r="V471" s="26"/>
      <c r="W471" s="9">
        <f t="array" ref="W471">SQRT(MMULT(MMULT(P471:S471,$K$3:$N$6),TRANSPOSE(P471:S471)))</f>
        <v>0.11016729269829136</v>
      </c>
    </row>
    <row r="472" spans="16:23" x14ac:dyDescent="0.3">
      <c r="P472" s="26">
        <v>0.38746699047916705</v>
      </c>
      <c r="Q472" s="26">
        <v>0.20280298198636201</v>
      </c>
      <c r="R472" s="26">
        <v>0.32798806258661678</v>
      </c>
      <c r="S472" s="26">
        <v>8.1741964947854101E-2</v>
      </c>
      <c r="T472" s="26"/>
      <c r="U472" s="9">
        <f t="array" ref="U472">MMULT(TRANSPOSE($B$3:$B$6),TRANSPOSE(P472:S472))</f>
        <v>7.2897519689541695E-2</v>
      </c>
      <c r="V472" s="26"/>
      <c r="W472" s="9">
        <f t="array" ref="W472">SQRT(MMULT(MMULT(P472:S472,$K$3:$N$6),TRANSPOSE(P472:S472)))</f>
        <v>0.10506830100090876</v>
      </c>
    </row>
    <row r="473" spans="16:23" x14ac:dyDescent="0.3">
      <c r="P473" s="26">
        <v>0.18026677264076379</v>
      </c>
      <c r="Q473" s="26">
        <v>0.32667367987254819</v>
      </c>
      <c r="R473" s="26">
        <v>0.17590506215982485</v>
      </c>
      <c r="S473" s="26">
        <v>0.31715448532686324</v>
      </c>
      <c r="T473" s="26"/>
      <c r="U473" s="9">
        <f t="array" ref="U473">MMULT(TRANSPOSE($B$3:$B$6),TRANSPOSE(P473:S473))</f>
        <v>8.5770490056724394E-2</v>
      </c>
      <c r="V473" s="26"/>
      <c r="W473" s="9">
        <f t="array" ref="W473">SQRT(MMULT(MMULT(P473:S473,$K$3:$N$6),TRANSPOSE(P473:S473)))</f>
        <v>0.13532537069255812</v>
      </c>
    </row>
    <row r="474" spans="16:23" x14ac:dyDescent="0.3">
      <c r="P474" s="26">
        <v>0.51795183560064806</v>
      </c>
      <c r="Q474" s="26">
        <v>0.17555699953817402</v>
      </c>
      <c r="R474" s="26">
        <v>0.20675439258675724</v>
      </c>
      <c r="S474" s="26">
        <v>9.9736772274420737E-2</v>
      </c>
      <c r="T474" s="26"/>
      <c r="U474" s="9">
        <f t="array" ref="U474">MMULT(TRANSPOSE($B$3:$B$6),TRANSPOSE(P474:S474))</f>
        <v>6.8762889753443232E-2</v>
      </c>
      <c r="V474" s="26"/>
      <c r="W474" s="9">
        <f t="array" ref="W474">SQRT(MMULT(MMULT(P474:S474,$K$3:$N$6),TRANSPOSE(P474:S474)))</f>
        <v>9.4398176959649888E-2</v>
      </c>
    </row>
    <row r="475" spans="16:23" x14ac:dyDescent="0.3">
      <c r="P475" s="26">
        <v>3.5348966265706383E-2</v>
      </c>
      <c r="Q475" s="26">
        <v>0.35512681489832987</v>
      </c>
      <c r="R475" s="26">
        <v>0.40945799853195369</v>
      </c>
      <c r="S475" s="26">
        <v>0.20006622030401008</v>
      </c>
      <c r="T475" s="26"/>
      <c r="U475" s="9">
        <f t="array" ref="U475">MMULT(TRANSPOSE($B$3:$B$6),TRANSPOSE(P475:S475))</f>
        <v>8.7485491660525466E-2</v>
      </c>
      <c r="V475" s="26"/>
      <c r="W475" s="9">
        <f t="array" ref="W475">SQRT(MMULT(MMULT(P475:S475,$K$3:$N$6),TRANSPOSE(P475:S475)))</f>
        <v>0.14318534973709823</v>
      </c>
    </row>
    <row r="476" spans="16:23" x14ac:dyDescent="0.3">
      <c r="P476" s="26">
        <v>0.29909221014678344</v>
      </c>
      <c r="Q476" s="26">
        <v>0.10937780522060382</v>
      </c>
      <c r="R476" s="26">
        <v>0.17184311828241056</v>
      </c>
      <c r="S476" s="26">
        <v>0.41968686635020219</v>
      </c>
      <c r="T476" s="26"/>
      <c r="U476" s="9">
        <f t="array" ref="U476">MMULT(TRANSPOSE($B$3:$B$6),TRANSPOSE(P476:S476))</f>
        <v>8.8439361480222661E-2</v>
      </c>
      <c r="V476" s="26"/>
      <c r="W476" s="9">
        <f t="array" ref="W476">SQRT(MMULT(MMULT(P476:S476,$K$3:$N$6),TRANSPOSE(P476:S476)))</f>
        <v>0.15227923328361165</v>
      </c>
    </row>
    <row r="477" spans="16:23" x14ac:dyDescent="0.3">
      <c r="P477" s="26">
        <v>7.3927035306706718E-2</v>
      </c>
      <c r="Q477" s="26">
        <v>6.5964146328348237E-3</v>
      </c>
      <c r="R477" s="26">
        <v>0.40206175134674571</v>
      </c>
      <c r="S477" s="26">
        <v>0.51741479871371288</v>
      </c>
      <c r="T477" s="26"/>
      <c r="U477" s="9">
        <f t="array" ref="U477">MMULT(TRANSPOSE($B$3:$B$6),TRANSPOSE(P477:S477))</f>
        <v>0.10243343425648643</v>
      </c>
      <c r="V477" s="26"/>
      <c r="W477" s="9">
        <f t="array" ref="W477">SQRT(MMULT(MMULT(P477:S477,$K$3:$N$6),TRANSPOSE(P477:S477)))</f>
        <v>0.20227951415842868</v>
      </c>
    </row>
    <row r="478" spans="16:23" x14ac:dyDescent="0.3">
      <c r="P478" s="26">
        <v>0.49249962915689993</v>
      </c>
      <c r="Q478" s="26">
        <v>6.3335555447945543E-2</v>
      </c>
      <c r="R478" s="26">
        <v>6.534165432447063E-2</v>
      </c>
      <c r="S478" s="26">
        <v>0.37882316107068398</v>
      </c>
      <c r="T478" s="26"/>
      <c r="U478" s="9">
        <f t="array" ref="U478">MMULT(TRANSPOSE($B$3:$B$6),TRANSPOSE(P478:S478))</f>
        <v>8.0397998556885619E-2</v>
      </c>
      <c r="V478" s="26"/>
      <c r="W478" s="9">
        <f t="array" ref="W478">SQRT(MMULT(MMULT(P478:S478,$K$3:$N$6),TRANSPOSE(P478:S478)))</f>
        <v>0.13400143699427999</v>
      </c>
    </row>
    <row r="479" spans="16:23" x14ac:dyDescent="0.3">
      <c r="P479" s="26">
        <v>0.13390636782648166</v>
      </c>
      <c r="Q479" s="26">
        <v>0.39087804804377807</v>
      </c>
      <c r="R479" s="26">
        <v>8.7935222917296038E-2</v>
      </c>
      <c r="S479" s="26">
        <v>0.3872803612124443</v>
      </c>
      <c r="T479" s="26"/>
      <c r="U479" s="9">
        <f t="array" ref="U479">MMULT(TRANSPOSE($B$3:$B$6),TRANSPOSE(P479:S479))</f>
        <v>8.8444595162438508E-2</v>
      </c>
      <c r="V479" s="26"/>
      <c r="W479" s="9">
        <f t="array" ref="W479">SQRT(MMULT(MMULT(P479:S479,$K$3:$N$6),TRANSPOSE(P479:S479)))</f>
        <v>0.1468248606622865</v>
      </c>
    </row>
    <row r="480" spans="16:23" x14ac:dyDescent="0.3">
      <c r="P480" s="26">
        <v>0.4264403694788797</v>
      </c>
      <c r="Q480" s="26">
        <v>0.10797065580051253</v>
      </c>
      <c r="R480" s="26">
        <v>5.562129153275186E-2</v>
      </c>
      <c r="S480" s="26">
        <v>0.40996768318785587</v>
      </c>
      <c r="T480" s="26"/>
      <c r="U480" s="9">
        <f t="array" ref="U480">MMULT(TRANSPOSE($B$3:$B$6),TRANSPOSE(P480:S480))</f>
        <v>8.3082002600470231E-2</v>
      </c>
      <c r="V480" s="26"/>
      <c r="W480" s="9">
        <f t="array" ref="W480">SQRT(MMULT(MMULT(P480:S480,$K$3:$N$6),TRANSPOSE(P480:S480)))</f>
        <v>0.14081125750767642</v>
      </c>
    </row>
    <row r="481" spans="16:23" x14ac:dyDescent="0.3">
      <c r="P481" s="26">
        <v>0.1200946304160873</v>
      </c>
      <c r="Q481" s="26">
        <v>0.46200218989936259</v>
      </c>
      <c r="R481" s="26">
        <v>9.1915506550192996E-2</v>
      </c>
      <c r="S481" s="26">
        <v>0.32598767313435723</v>
      </c>
      <c r="T481" s="26"/>
      <c r="U481" s="9">
        <f t="array" ref="U481">MMULT(TRANSPOSE($B$3:$B$6),TRANSPOSE(P481:S481))</f>
        <v>8.5735801179399981E-2</v>
      </c>
      <c r="V481" s="26"/>
      <c r="W481" s="9">
        <f t="array" ref="W481">SQRT(MMULT(MMULT(P481:S481,$K$3:$N$6),TRANSPOSE(P481:S481)))</f>
        <v>0.13748236126912525</v>
      </c>
    </row>
    <row r="482" spans="16:23" x14ac:dyDescent="0.3">
      <c r="P482" s="26">
        <v>1.2409483699735802E-3</v>
      </c>
      <c r="Q482" s="26">
        <v>0.54519116935798628</v>
      </c>
      <c r="R482" s="26">
        <v>0.294448937148795</v>
      </c>
      <c r="S482" s="26">
        <v>0.1591189451232452</v>
      </c>
      <c r="T482" s="26"/>
      <c r="U482" s="9">
        <f t="array" ref="U482">MMULT(TRANSPOSE($B$3:$B$6),TRANSPOSE(P482:S482))</f>
        <v>8.3820107031738686E-2</v>
      </c>
      <c r="V482" s="26"/>
      <c r="W482" s="9">
        <f t="array" ref="W482">SQRT(MMULT(MMULT(P482:S482,$K$3:$N$6),TRANSPOSE(P482:S482)))</f>
        <v>0.13549836849717301</v>
      </c>
    </row>
    <row r="483" spans="16:23" x14ac:dyDescent="0.3">
      <c r="P483" s="26">
        <v>0.15701289885541125</v>
      </c>
      <c r="Q483" s="26">
        <v>0.34522248257204685</v>
      </c>
      <c r="R483" s="26">
        <v>0.14776567375515443</v>
      </c>
      <c r="S483" s="26">
        <v>0.34999894481738753</v>
      </c>
      <c r="T483" s="26"/>
      <c r="U483" s="9">
        <f t="array" ref="U483">MMULT(TRANSPOSE($B$3:$B$6),TRANSPOSE(P483:S483))</f>
        <v>8.731500273886425E-2</v>
      </c>
      <c r="V483" s="26"/>
      <c r="W483" s="9">
        <f t="array" ref="W483">SQRT(MMULT(MMULT(P483:S483,$K$3:$N$6),TRANSPOSE(P483:S483)))</f>
        <v>0.14105808460718325</v>
      </c>
    </row>
    <row r="484" spans="16:23" x14ac:dyDescent="0.3">
      <c r="P484" s="26">
        <v>0.15504358450549885</v>
      </c>
      <c r="Q484" s="26">
        <v>8.4082790736927218E-2</v>
      </c>
      <c r="R484" s="26">
        <v>0.32058976486215551</v>
      </c>
      <c r="S484" s="26">
        <v>0.44028385989541852</v>
      </c>
      <c r="T484" s="26"/>
      <c r="U484" s="9">
        <f t="array" ref="U484">MMULT(TRANSPOSE($B$3:$B$6),TRANSPOSE(P484:S484))</f>
        <v>9.532511660190407E-2</v>
      </c>
      <c r="V484" s="26"/>
      <c r="W484" s="9">
        <f t="array" ref="W484">SQRT(MMULT(MMULT(P484:S484,$K$3:$N$6),TRANSPOSE(P484:S484)))</f>
        <v>0.17329888999063217</v>
      </c>
    </row>
    <row r="485" spans="16:23" x14ac:dyDescent="0.3">
      <c r="P485" s="26">
        <v>5.0918226253105041E-2</v>
      </c>
      <c r="Q485" s="26">
        <v>0.33469042905240415</v>
      </c>
      <c r="R485" s="26">
        <v>0.23980005431428961</v>
      </c>
      <c r="S485" s="26">
        <v>0.37459129038020106</v>
      </c>
      <c r="T485" s="26"/>
      <c r="U485" s="9">
        <f t="array" ref="U485">MMULT(TRANSPOSE($B$3:$B$6),TRANSPOSE(P485:S485))</f>
        <v>9.2507201080233734E-2</v>
      </c>
      <c r="V485" s="26"/>
      <c r="W485" s="9">
        <f t="array" ref="W485">SQRT(MMULT(MMULT(P485:S485,$K$3:$N$6),TRANSPOSE(P485:S485)))</f>
        <v>0.1567424015705966</v>
      </c>
    </row>
    <row r="486" spans="16:23" x14ac:dyDescent="0.3">
      <c r="P486" s="26">
        <v>0.23781173286962609</v>
      </c>
      <c r="Q486" s="26">
        <v>0.1324729747040134</v>
      </c>
      <c r="R486" s="26">
        <v>0.25038452297206992</v>
      </c>
      <c r="S486" s="26">
        <v>0.37933076945429056</v>
      </c>
      <c r="T486" s="26"/>
      <c r="U486" s="9">
        <f t="array" ref="U486">MMULT(TRANSPOSE($B$3:$B$6),TRANSPOSE(P486:S486))</f>
        <v>8.9217994274763401E-2</v>
      </c>
      <c r="V486" s="26"/>
      <c r="W486" s="9">
        <f t="array" ref="W486">SQRT(MMULT(MMULT(P486:S486,$K$3:$N$6),TRANSPOSE(P486:S486)))</f>
        <v>0.15074635240161632</v>
      </c>
    </row>
    <row r="487" spans="16:23" x14ac:dyDescent="0.3">
      <c r="P487" s="26">
        <v>0.24427788447670595</v>
      </c>
      <c r="Q487" s="26">
        <v>0.39266766042387763</v>
      </c>
      <c r="R487" s="26">
        <v>0.34986671906886802</v>
      </c>
      <c r="S487" s="26">
        <v>1.3187736030548342E-2</v>
      </c>
      <c r="T487" s="26"/>
      <c r="U487" s="9">
        <f t="array" ref="U487">MMULT(TRANSPOSE($B$3:$B$6),TRANSPOSE(P487:S487))</f>
        <v>7.2771163493370664E-2</v>
      </c>
      <c r="V487" s="26"/>
      <c r="W487" s="9">
        <f t="array" ref="W487">SQRT(MMULT(MMULT(P487:S487,$K$3:$N$6),TRANSPOSE(P487:S487)))</f>
        <v>0.11245376163896667</v>
      </c>
    </row>
    <row r="488" spans="16:23" x14ac:dyDescent="0.3">
      <c r="P488" s="26">
        <v>0.18997388381799263</v>
      </c>
      <c r="Q488" s="26">
        <v>0.47021207055666697</v>
      </c>
      <c r="R488" s="26">
        <v>9.0958325044282876E-2</v>
      </c>
      <c r="S488" s="26">
        <v>0.24885572058105754</v>
      </c>
      <c r="T488" s="26"/>
      <c r="U488" s="9">
        <f t="array" ref="U488">MMULT(TRANSPOSE($B$3:$B$6),TRANSPOSE(P488:S488))</f>
        <v>8.0462474853578686E-2</v>
      </c>
      <c r="V488" s="26"/>
      <c r="W488" s="9">
        <f t="array" ref="W488">SQRT(MMULT(MMULT(P488:S488,$K$3:$N$6),TRANSPOSE(P488:S488)))</f>
        <v>0.12205165904387184</v>
      </c>
    </row>
    <row r="489" spans="16:23" x14ac:dyDescent="0.3">
      <c r="P489" s="26">
        <v>0.22601694439227829</v>
      </c>
      <c r="Q489" s="26">
        <v>0.1325404807321085</v>
      </c>
      <c r="R489" s="26">
        <v>0.40749831593051256</v>
      </c>
      <c r="S489" s="26">
        <v>0.23394425894510071</v>
      </c>
      <c r="T489" s="26"/>
      <c r="U489" s="9">
        <f t="array" ref="U489">MMULT(TRANSPOSE($B$3:$B$6),TRANSPOSE(P489:S489))</f>
        <v>8.5326840378019714E-2</v>
      </c>
      <c r="V489" s="26"/>
      <c r="W489" s="9">
        <f t="array" ref="W489">SQRT(MMULT(MMULT(P489:S489,$K$3:$N$6),TRANSPOSE(P489:S489)))</f>
        <v>0.13786923773010232</v>
      </c>
    </row>
    <row r="490" spans="16:23" x14ac:dyDescent="0.3">
      <c r="P490" s="26">
        <v>0.23726880426158123</v>
      </c>
      <c r="Q490" s="26">
        <v>0.43079855856125832</v>
      </c>
      <c r="R490" s="26">
        <v>0.21919794830491285</v>
      </c>
      <c r="S490" s="26">
        <v>0.11273468887224763</v>
      </c>
      <c r="T490" s="26"/>
      <c r="U490" s="9">
        <f t="array" ref="U490">MMULT(TRANSPOSE($B$3:$B$6),TRANSPOSE(P490:S490))</f>
        <v>7.5275317324479021E-2</v>
      </c>
      <c r="V490" s="26"/>
      <c r="W490" s="9">
        <f t="array" ref="W490">SQRT(MMULT(MMULT(P490:S490,$K$3:$N$6),TRANSPOSE(P490:S490)))</f>
        <v>0.10967659898055854</v>
      </c>
    </row>
    <row r="491" spans="16:23" x14ac:dyDescent="0.3">
      <c r="P491" s="26">
        <v>0.51533168218943282</v>
      </c>
      <c r="Q491" s="26">
        <v>3.2655473675118153E-2</v>
      </c>
      <c r="R491" s="26">
        <v>0.43584506046463894</v>
      </c>
      <c r="S491" s="26">
        <v>1.6167783670810187E-2</v>
      </c>
      <c r="T491" s="26"/>
      <c r="U491" s="9">
        <f t="array" ref="U491">MMULT(TRANSPOSE($B$3:$B$6),TRANSPOSE(P491:S491))</f>
        <v>6.9218656749044649E-2</v>
      </c>
      <c r="V491" s="26"/>
      <c r="W491" s="9">
        <f t="array" ref="W491">SQRT(MMULT(MMULT(P491:S491,$K$3:$N$6),TRANSPOSE(P491:S491)))</f>
        <v>0.1092025095961662</v>
      </c>
    </row>
    <row r="492" spans="16:23" x14ac:dyDescent="0.3">
      <c r="P492" s="26">
        <v>0.30084872838038584</v>
      </c>
      <c r="Q492" s="26">
        <v>8.4941607057112622E-2</v>
      </c>
      <c r="R492" s="26">
        <v>0.55115961997116913</v>
      </c>
      <c r="S492" s="26">
        <v>6.3050044591332441E-2</v>
      </c>
      <c r="T492" s="26"/>
      <c r="U492" s="9">
        <f t="array" ref="U492">MMULT(TRANSPOSE($B$3:$B$6),TRANSPOSE(P492:S492))</f>
        <v>7.8158720061382289E-2</v>
      </c>
      <c r="V492" s="26"/>
      <c r="W492" s="9">
        <f t="array" ref="W492">SQRT(MMULT(MMULT(P492:S492,$K$3:$N$6),TRANSPOSE(P492:S492)))</f>
        <v>0.1304174643801348</v>
      </c>
    </row>
    <row r="493" spans="16:23" x14ac:dyDescent="0.3">
      <c r="P493" s="26">
        <v>0.28167908696550453</v>
      </c>
      <c r="Q493" s="26">
        <v>0.34260020999573854</v>
      </c>
      <c r="R493" s="26">
        <v>0.2266626367727364</v>
      </c>
      <c r="S493" s="26">
        <v>0.14905806626602053</v>
      </c>
      <c r="T493" s="26"/>
      <c r="U493" s="9">
        <f t="array" ref="U493">MMULT(TRANSPOSE($B$3:$B$6),TRANSPOSE(P493:S493))</f>
        <v>7.635257430944567E-2</v>
      </c>
      <c r="V493" s="26"/>
      <c r="W493" s="9">
        <f t="array" ref="W493">SQRT(MMULT(MMULT(P493:S493,$K$3:$N$6),TRANSPOSE(P493:S493)))</f>
        <v>0.10921780512217436</v>
      </c>
    </row>
    <row r="494" spans="16:23" x14ac:dyDescent="0.3">
      <c r="P494" s="26">
        <v>0.38366336529493628</v>
      </c>
      <c r="Q494" s="26">
        <v>0.30164384022992613</v>
      </c>
      <c r="R494" s="26">
        <v>0.29073241530594457</v>
      </c>
      <c r="S494" s="26">
        <v>2.3960379169193094E-2</v>
      </c>
      <c r="T494" s="26"/>
      <c r="U494" s="9">
        <f t="array" ref="U494">MMULT(TRANSPOSE($B$3:$B$6),TRANSPOSE(P494:S494))</f>
        <v>6.9339399958679826E-2</v>
      </c>
      <c r="V494" s="26"/>
      <c r="W494" s="9">
        <f t="array" ref="W494">SQRT(MMULT(MMULT(P494:S494,$K$3:$N$6),TRANSPOSE(P494:S494)))</f>
        <v>0.10048888794167325</v>
      </c>
    </row>
    <row r="495" spans="16:23" x14ac:dyDescent="0.3">
      <c r="P495" s="26">
        <v>0.42219168195298329</v>
      </c>
      <c r="Q495" s="26">
        <v>9.1533524925067708E-2</v>
      </c>
      <c r="R495" s="26">
        <v>0.35007245498497847</v>
      </c>
      <c r="S495" s="26">
        <v>0.13620233813697064</v>
      </c>
      <c r="T495" s="26"/>
      <c r="U495" s="9">
        <f t="array" ref="U495">MMULT(TRANSPOSE($B$3:$B$6),TRANSPOSE(P495:S495))</f>
        <v>7.5367732367488435E-2</v>
      </c>
      <c r="V495" s="26"/>
      <c r="W495" s="9">
        <f t="array" ref="W495">SQRT(MMULT(MMULT(P495:S495,$K$3:$N$6),TRANSPOSE(P495:S495)))</f>
        <v>0.11187414515337171</v>
      </c>
    </row>
    <row r="496" spans="16:23" x14ac:dyDescent="0.3">
      <c r="P496" s="26">
        <v>4.7522589087415468E-2</v>
      </c>
      <c r="Q496" s="26">
        <v>0.34278815760702597</v>
      </c>
      <c r="R496" s="26">
        <v>0.27737516250746297</v>
      </c>
      <c r="S496" s="26">
        <v>0.33231409079809554</v>
      </c>
      <c r="T496" s="26"/>
      <c r="U496" s="9">
        <f t="array" ref="U496">MMULT(TRANSPOSE($B$3:$B$6),TRANSPOSE(P496:S496))</f>
        <v>9.1212756008305723E-2</v>
      </c>
      <c r="V496" s="26"/>
      <c r="W496" s="9">
        <f t="array" ref="W496">SQRT(MMULT(MMULT(P496:S496,$K$3:$N$6),TRANSPOSE(P496:S496)))</f>
        <v>0.15179522244479413</v>
      </c>
    </row>
    <row r="497" spans="16:23" x14ac:dyDescent="0.3">
      <c r="P497" s="26">
        <v>0.33119085208294563</v>
      </c>
      <c r="Q497" s="26">
        <v>0.22445878453550644</v>
      </c>
      <c r="R497" s="26">
        <v>0.20992061781942675</v>
      </c>
      <c r="S497" s="26">
        <v>0.23442974556212118</v>
      </c>
      <c r="T497" s="26"/>
      <c r="U497" s="9">
        <f t="array" ref="U497">MMULT(TRANSPOSE($B$3:$B$6),TRANSPOSE(P497:S497))</f>
        <v>7.9296082592835673E-2</v>
      </c>
      <c r="V497" s="26"/>
      <c r="W497" s="9">
        <f t="array" ref="W497">SQRT(MMULT(MMULT(P497:S497,$K$3:$N$6),TRANSPOSE(P497:S497)))</f>
        <v>0.11653414914135454</v>
      </c>
    </row>
    <row r="498" spans="16:23" x14ac:dyDescent="0.3">
      <c r="P498" s="26">
        <v>0.14486106216257422</v>
      </c>
      <c r="Q498" s="26">
        <v>0.19658797736808636</v>
      </c>
      <c r="R498" s="26">
        <v>0.30914723917523218</v>
      </c>
      <c r="S498" s="26">
        <v>0.34940372129410724</v>
      </c>
      <c r="T498" s="26"/>
      <c r="U498" s="9">
        <f t="array" ref="U498">MMULT(TRANSPOSE($B$3:$B$6),TRANSPOSE(P498:S498))</f>
        <v>9.0755909604958523E-2</v>
      </c>
      <c r="V498" s="26"/>
      <c r="W498" s="9">
        <f t="array" ref="W498">SQRT(MMULT(MMULT(P498:S498,$K$3:$N$6),TRANSPOSE(P498:S498)))</f>
        <v>0.15260589827553422</v>
      </c>
    </row>
    <row r="499" spans="16:23" x14ac:dyDescent="0.3">
      <c r="P499" s="26">
        <v>0.20046135051645031</v>
      </c>
      <c r="Q499" s="26">
        <v>0.45685606134473089</v>
      </c>
      <c r="R499" s="26">
        <v>1.285385063407569E-2</v>
      </c>
      <c r="S499" s="26">
        <v>0.32982873750474301</v>
      </c>
      <c r="T499" s="26"/>
      <c r="U499" s="9">
        <f t="array" ref="U499">MMULT(TRANSPOSE($B$3:$B$6),TRANSPOSE(P499:S499))</f>
        <v>8.2739286877589649E-2</v>
      </c>
      <c r="V499" s="26"/>
      <c r="W499" s="9">
        <f t="array" ref="W499">SQRT(MMULT(MMULT(P499:S499,$K$3:$N$6),TRANSPOSE(P499:S499)))</f>
        <v>0.13160144933872028</v>
      </c>
    </row>
    <row r="500" spans="16:23" x14ac:dyDescent="0.3">
      <c r="P500" s="26">
        <v>0.49218800126209644</v>
      </c>
      <c r="Q500" s="26">
        <v>7.8081714887400525E-2</v>
      </c>
      <c r="R500" s="26">
        <v>2.3719539581618935E-2</v>
      </c>
      <c r="S500" s="26">
        <v>0.40601074426888401</v>
      </c>
      <c r="T500" s="26"/>
      <c r="U500" s="9">
        <f t="array" ref="U500">MMULT(TRANSPOSE($B$3:$B$6),TRANSPOSE(P500:S500))</f>
        <v>8.0931167979834656E-2</v>
      </c>
      <c r="V500" s="26"/>
      <c r="W500" s="9">
        <f t="array" ref="W500">SQRT(MMULT(MMULT(P500:S500,$K$3:$N$6),TRANSPOSE(P500:S500)))</f>
        <v>0.13811551338710082</v>
      </c>
    </row>
    <row r="501" spans="16:23" x14ac:dyDescent="0.3">
      <c r="P501" s="26">
        <v>0.28173360005799231</v>
      </c>
      <c r="Q501" s="26">
        <v>0.29952844944705442</v>
      </c>
      <c r="R501" s="26">
        <v>0.12757852914804871</v>
      </c>
      <c r="S501" s="26">
        <v>0.29115942134690448</v>
      </c>
      <c r="T501" s="26"/>
      <c r="U501" s="9">
        <f t="array" ref="U501">MMULT(TRANSPOSE($B$3:$B$6),TRANSPOSE(P501:S501))</f>
        <v>8.1474869649146353E-2</v>
      </c>
      <c r="V501" s="26"/>
      <c r="W501" s="9">
        <f t="array" ref="W501">SQRT(MMULT(MMULT(P501:S501,$K$3:$N$6),TRANSPOSE(P501:S501)))</f>
        <v>0.12347058189209154</v>
      </c>
    </row>
    <row r="502" spans="16:23" x14ac:dyDescent="0.3">
      <c r="P502" s="26">
        <v>0.34962376878650209</v>
      </c>
      <c r="Q502" s="26">
        <v>0.23366477819743908</v>
      </c>
      <c r="R502" s="26">
        <v>9.9167605555709276E-2</v>
      </c>
      <c r="S502" s="26">
        <v>0.31754384746034942</v>
      </c>
      <c r="T502" s="26"/>
      <c r="U502" s="9">
        <f t="array" ref="U502">MMULT(TRANSPOSE($B$3:$B$6),TRANSPOSE(P502:S502))</f>
        <v>8.0868069108401608E-2</v>
      </c>
      <c r="V502" s="26"/>
      <c r="W502" s="9">
        <f t="array" ref="W502">SQRT(MMULT(MMULT(P502:S502,$K$3:$N$6),TRANSPOSE(P502:S502)))</f>
        <v>0.12440905140720071</v>
      </c>
    </row>
    <row r="503" spans="16:23" x14ac:dyDescent="0.3">
      <c r="P503" s="26">
        <v>0.30760018711876491</v>
      </c>
      <c r="Q503" s="26">
        <v>0.48788116775466334</v>
      </c>
      <c r="R503" s="26">
        <v>0.11402765001054559</v>
      </c>
      <c r="S503" s="26">
        <v>9.0490995116026027E-2</v>
      </c>
      <c r="T503" s="26"/>
      <c r="U503" s="9">
        <f t="array" ref="U503">MMULT(TRANSPOSE($B$3:$B$6),TRANSPOSE(P503:S503))</f>
        <v>7.0653099013636908E-2</v>
      </c>
      <c r="V503" s="26"/>
      <c r="W503" s="9">
        <f t="array" ref="W503">SQRT(MMULT(MMULT(P503:S503,$K$3:$N$6),TRANSPOSE(P503:S503)))</f>
        <v>0.10284511596679925</v>
      </c>
    </row>
    <row r="504" spans="16:23" x14ac:dyDescent="0.3">
      <c r="P504" s="26">
        <v>0.12737017421010322</v>
      </c>
      <c r="Q504" s="26">
        <v>0.29835141517018127</v>
      </c>
      <c r="R504" s="26">
        <v>0.17383585207470575</v>
      </c>
      <c r="S504" s="26">
        <v>0.40044255854500976</v>
      </c>
      <c r="T504" s="26"/>
      <c r="U504" s="9">
        <f t="array" ref="U504">MMULT(TRANSPOSE($B$3:$B$6),TRANSPOSE(P504:S504))</f>
        <v>9.0951441484542539E-2</v>
      </c>
      <c r="V504" s="26"/>
      <c r="W504" s="9">
        <f t="array" ref="W504">SQRT(MMULT(MMULT(P504:S504,$K$3:$N$6),TRANSPOSE(P504:S504)))</f>
        <v>0.15370559608992004</v>
      </c>
    </row>
    <row r="505" spans="16:23" x14ac:dyDescent="0.3">
      <c r="P505" s="26">
        <v>0.27436060204068208</v>
      </c>
      <c r="Q505" s="26">
        <v>0.1167322769599508</v>
      </c>
      <c r="R505" s="26">
        <v>0.26219174119165889</v>
      </c>
      <c r="S505" s="26">
        <v>0.34671537980770828</v>
      </c>
      <c r="T505" s="26"/>
      <c r="U505" s="9">
        <f t="array" ref="U505">MMULT(TRANSPOSE($B$3:$B$6),TRANSPOSE(P505:S505))</f>
        <v>8.7092391773404942E-2</v>
      </c>
      <c r="V505" s="26"/>
      <c r="W505" s="9">
        <f t="array" ref="W505">SQRT(MMULT(MMULT(P505:S505,$K$3:$N$6),TRANSPOSE(P505:S505)))</f>
        <v>0.14377788402436939</v>
      </c>
    </row>
    <row r="506" spans="16:23" x14ac:dyDescent="0.3">
      <c r="P506" s="26">
        <v>0.20092327441429086</v>
      </c>
      <c r="Q506" s="26">
        <v>0.31146058709643476</v>
      </c>
      <c r="R506" s="26">
        <v>0.33796977254228061</v>
      </c>
      <c r="S506" s="26">
        <v>0.14964636594699365</v>
      </c>
      <c r="T506" s="26"/>
      <c r="U506" s="9">
        <f t="array" ref="U506">MMULT(TRANSPOSE($B$3:$B$6),TRANSPOSE(P506:S506))</f>
        <v>8.022324825990948E-2</v>
      </c>
      <c r="V506" s="26"/>
      <c r="W506" s="9">
        <f t="array" ref="W506">SQRT(MMULT(MMULT(P506:S506,$K$3:$N$6),TRANSPOSE(P506:S506)))</f>
        <v>0.12103705125234775</v>
      </c>
    </row>
    <row r="507" spans="16:23" x14ac:dyDescent="0.3">
      <c r="P507" s="26">
        <v>9.5461994300283667E-2</v>
      </c>
      <c r="Q507" s="26">
        <v>0.26531420511256504</v>
      </c>
      <c r="R507" s="26">
        <v>0.19435314176203947</v>
      </c>
      <c r="S507" s="26">
        <v>0.44487065882511179</v>
      </c>
      <c r="T507" s="26"/>
      <c r="U507" s="9">
        <f t="array" ref="U507">MMULT(TRANSPOSE($B$3:$B$6),TRANSPOSE(P507:S507))</f>
        <v>9.4221355890490688E-2</v>
      </c>
      <c r="V507" s="26"/>
      <c r="W507" s="9">
        <f t="array" ref="W507">SQRT(MMULT(MMULT(P507:S507,$K$3:$N$6),TRANSPOSE(P507:S507)))</f>
        <v>0.16580698388767653</v>
      </c>
    </row>
    <row r="508" spans="16:23" x14ac:dyDescent="0.3">
      <c r="P508" s="26">
        <v>0.14437808913047853</v>
      </c>
      <c r="Q508" s="26">
        <v>0.38076459697503001</v>
      </c>
      <c r="R508" s="26">
        <v>0.25248715146813833</v>
      </c>
      <c r="S508" s="26">
        <v>0.22237016242635302</v>
      </c>
      <c r="T508" s="26"/>
      <c r="U508" s="9">
        <f t="array" ref="U508">MMULT(TRANSPOSE($B$3:$B$6),TRANSPOSE(P508:S508))</f>
        <v>8.3280689368070843E-2</v>
      </c>
      <c r="V508" s="26"/>
      <c r="W508" s="9">
        <f t="array" ref="W508">SQRT(MMULT(MMULT(P508:S508,$K$3:$N$6),TRANSPOSE(P508:S508)))</f>
        <v>0.12739850854646054</v>
      </c>
    </row>
    <row r="509" spans="16:23" x14ac:dyDescent="0.3">
      <c r="P509" s="26">
        <v>0.19599520116569119</v>
      </c>
      <c r="Q509" s="26">
        <v>0.37950343547520216</v>
      </c>
      <c r="R509" s="26">
        <v>9.7266822768518335E-2</v>
      </c>
      <c r="S509" s="26">
        <v>0.32723454059058826</v>
      </c>
      <c r="T509" s="26"/>
      <c r="U509" s="9">
        <f t="array" ref="U509">MMULT(TRANSPOSE($B$3:$B$6),TRANSPOSE(P509:S509))</f>
        <v>8.4387159461585953E-2</v>
      </c>
      <c r="V509" s="26"/>
      <c r="W509" s="9">
        <f t="array" ref="W509">SQRT(MMULT(MMULT(P509:S509,$K$3:$N$6),TRANSPOSE(P509:S509)))</f>
        <v>0.13291113184077241</v>
      </c>
    </row>
    <row r="510" spans="16:23" x14ac:dyDescent="0.3">
      <c r="P510" s="26">
        <v>0.22702145568612953</v>
      </c>
      <c r="Q510" s="26">
        <v>0.2444232634311605</v>
      </c>
      <c r="R510" s="26">
        <v>0.25598197823107072</v>
      </c>
      <c r="S510" s="26">
        <v>0.2725733026516392</v>
      </c>
      <c r="T510" s="26"/>
      <c r="U510" s="9">
        <f t="array" ref="U510">MMULT(TRANSPOSE($B$3:$B$6),TRANSPOSE(P510:S510))</f>
        <v>8.4207875583480779E-2</v>
      </c>
      <c r="V510" s="26"/>
      <c r="W510" s="9">
        <f t="array" ref="W510">SQRT(MMULT(MMULT(P510:S510,$K$3:$N$6),TRANSPOSE(P510:S510)))</f>
        <v>0.13035848714769271</v>
      </c>
    </row>
    <row r="511" spans="16:23" x14ac:dyDescent="0.3">
      <c r="P511" s="26">
        <v>0.42657530319873471</v>
      </c>
      <c r="Q511" s="26">
        <v>0.15793946228430916</v>
      </c>
      <c r="R511" s="26">
        <v>0.182160691989185</v>
      </c>
      <c r="S511" s="26">
        <v>0.23332454252777102</v>
      </c>
      <c r="T511" s="26"/>
      <c r="U511" s="9">
        <f t="array" ref="U511">MMULT(TRANSPOSE($B$3:$B$6),TRANSPOSE(P511:S511))</f>
        <v>7.6777934902197545E-2</v>
      </c>
      <c r="V511" s="26"/>
      <c r="W511" s="9">
        <f t="array" ref="W511">SQRT(MMULT(MMULT(P511:S511,$K$3:$N$6),TRANSPOSE(P511:S511)))</f>
        <v>0.11185328221475888</v>
      </c>
    </row>
    <row r="512" spans="16:23" x14ac:dyDescent="0.3">
      <c r="P512" s="26">
        <v>0.54057713568578991</v>
      </c>
      <c r="Q512" s="26">
        <v>0.20337831635483533</v>
      </c>
      <c r="R512" s="26">
        <v>9.5184056462649588E-2</v>
      </c>
      <c r="S512" s="26">
        <v>0.16086049149672516</v>
      </c>
      <c r="T512" s="26"/>
      <c r="U512" s="9">
        <f t="array" ref="U512">MMULT(TRANSPOSE($B$3:$B$6),TRANSPOSE(P512:S512))</f>
        <v>6.913516299037345E-2</v>
      </c>
      <c r="V512" s="26"/>
      <c r="W512" s="9">
        <f t="array" ref="W512">SQRT(MMULT(MMULT(P512:S512,$K$3:$N$6),TRANSPOSE(P512:S512)))</f>
        <v>9.5122670109840032E-2</v>
      </c>
    </row>
    <row r="513" spans="16:23" x14ac:dyDescent="0.3">
      <c r="P513" s="26">
        <v>0.16094217263960117</v>
      </c>
      <c r="Q513" s="26">
        <v>0.26467992074456198</v>
      </c>
      <c r="R513" s="26">
        <v>0.29665301501283936</v>
      </c>
      <c r="S513" s="26">
        <v>0.27772489160299751</v>
      </c>
      <c r="T513" s="26"/>
      <c r="U513" s="9">
        <f t="array" ref="U513">MMULT(TRANSPOSE($B$3:$B$6),TRANSPOSE(P513:S513))</f>
        <v>8.6600461427614642E-2</v>
      </c>
      <c r="V513" s="26"/>
      <c r="W513" s="9">
        <f t="array" ref="W513">SQRT(MMULT(MMULT(P513:S513,$K$3:$N$6),TRANSPOSE(P513:S513)))</f>
        <v>0.13750407408714749</v>
      </c>
    </row>
    <row r="514" spans="16:23" x14ac:dyDescent="0.3">
      <c r="P514" s="26">
        <v>0.2446896193965338</v>
      </c>
      <c r="Q514" s="26">
        <v>0.2625017334243871</v>
      </c>
      <c r="R514" s="26">
        <v>0.20761186292340525</v>
      </c>
      <c r="S514" s="26">
        <v>0.28519678425567385</v>
      </c>
      <c r="T514" s="26"/>
      <c r="U514" s="9">
        <f t="array" ref="U514">MMULT(TRANSPOSE($B$3:$B$6),TRANSPOSE(P514:S514))</f>
        <v>8.3518284083321126E-2</v>
      </c>
      <c r="V514" s="26"/>
      <c r="W514" s="9">
        <f t="array" ref="W514">SQRT(MMULT(MMULT(P514:S514,$K$3:$N$6),TRANSPOSE(P514:S514)))</f>
        <v>0.12840711616204323</v>
      </c>
    </row>
    <row r="515" spans="16:23" x14ac:dyDescent="0.3">
      <c r="P515" s="26">
        <v>5.1706134584043065E-2</v>
      </c>
      <c r="Q515" s="26">
        <v>0.44185161480452928</v>
      </c>
      <c r="R515" s="26">
        <v>0.48368953973552042</v>
      </c>
      <c r="S515" s="26">
        <v>2.27527108759072E-2</v>
      </c>
      <c r="T515" s="26"/>
      <c r="U515" s="9">
        <f t="array" ref="U515">MMULT(TRANSPOSE($B$3:$B$6),TRANSPOSE(P515:S515))</f>
        <v>7.9777303646824907E-2</v>
      </c>
      <c r="V515" s="26"/>
      <c r="W515" s="9">
        <f t="array" ref="W515">SQRT(MMULT(MMULT(P515:S515,$K$3:$N$6),TRANSPOSE(P515:S515)))</f>
        <v>0.13612718197469087</v>
      </c>
    </row>
    <row r="516" spans="16:23" x14ac:dyDescent="0.3">
      <c r="P516" s="26">
        <v>0.19542510148493494</v>
      </c>
      <c r="Q516" s="26">
        <v>0.28337921902623864</v>
      </c>
      <c r="R516" s="26">
        <v>2.6326444446553573E-2</v>
      </c>
      <c r="S516" s="26">
        <v>0.49486923504227287</v>
      </c>
      <c r="T516" s="26"/>
      <c r="U516" s="9">
        <f t="array" ref="U516">MMULT(TRANSPOSE($B$3:$B$6),TRANSPOSE(P516:S516))</f>
        <v>9.136148861134602E-2</v>
      </c>
      <c r="V516" s="26"/>
      <c r="W516" s="9">
        <f t="array" ref="W516">SQRT(MMULT(MMULT(P516:S516,$K$3:$N$6),TRANSPOSE(P516:S516)))</f>
        <v>0.16407867784708674</v>
      </c>
    </row>
    <row r="517" spans="16:23" x14ac:dyDescent="0.3">
      <c r="P517" s="26">
        <v>0.45589787960387684</v>
      </c>
      <c r="Q517" s="26">
        <v>9.217071530704192E-2</v>
      </c>
      <c r="R517" s="26">
        <v>0.24614702717748604</v>
      </c>
      <c r="S517" s="26">
        <v>0.20578437791159515</v>
      </c>
      <c r="T517" s="26"/>
      <c r="U517" s="9">
        <f t="array" ref="U517">MMULT(TRANSPOSE($B$3:$B$6),TRANSPOSE(P517:S517))</f>
        <v>7.6094201847051929E-2</v>
      </c>
      <c r="V517" s="26"/>
      <c r="W517" s="9">
        <f t="array" ref="W517">SQRT(MMULT(MMULT(P517:S517,$K$3:$N$6),TRANSPOSE(P517:S517)))</f>
        <v>0.11179105237591742</v>
      </c>
    </row>
    <row r="518" spans="16:23" x14ac:dyDescent="0.3">
      <c r="P518" s="26">
        <v>0.19020840667734601</v>
      </c>
      <c r="Q518" s="26">
        <v>9.9122775909652822E-2</v>
      </c>
      <c r="R518" s="26">
        <v>0.35295805356779741</v>
      </c>
      <c r="S518" s="26">
        <v>0.35771076384520367</v>
      </c>
      <c r="T518" s="26"/>
      <c r="U518" s="9">
        <f t="array" ref="U518">MMULT(TRANSPOSE($B$3:$B$6),TRANSPOSE(P518:S518))</f>
        <v>9.1140531130069202E-2</v>
      </c>
      <c r="V518" s="26"/>
      <c r="W518" s="9">
        <f t="array" ref="W518">SQRT(MMULT(MMULT(P518:S518,$K$3:$N$6),TRANSPOSE(P518:S518)))</f>
        <v>0.15708962308276794</v>
      </c>
    </row>
    <row r="519" spans="16:23" x14ac:dyDescent="0.3">
      <c r="P519" s="26">
        <v>8.5398876681017227E-2</v>
      </c>
      <c r="Q519" s="26">
        <v>0.33729109506540966</v>
      </c>
      <c r="R519" s="26">
        <v>0.40253960057470428</v>
      </c>
      <c r="S519" s="26">
        <v>0.17477042767886894</v>
      </c>
      <c r="T519" s="26"/>
      <c r="U519" s="9">
        <f t="array" ref="U519">MMULT(TRANSPOSE($B$3:$B$6),TRANSPOSE(P519:S519))</f>
        <v>8.5081335861817209E-2</v>
      </c>
      <c r="V519" s="26"/>
      <c r="W519" s="9">
        <f t="array" ref="W519">SQRT(MMULT(MMULT(P519:S519,$K$3:$N$6),TRANSPOSE(P519:S519)))</f>
        <v>0.13627050971597279</v>
      </c>
    </row>
    <row r="520" spans="16:23" x14ac:dyDescent="0.3">
      <c r="P520" s="26">
        <v>0.3272412816993463</v>
      </c>
      <c r="Q520" s="26">
        <v>0.23698798279771544</v>
      </c>
      <c r="R520" s="26">
        <v>0.19969162756332695</v>
      </c>
      <c r="S520" s="26">
        <v>0.23607910793961126</v>
      </c>
      <c r="T520" s="26"/>
      <c r="U520" s="9">
        <f t="array" ref="U520">MMULT(TRANSPOSE($B$3:$B$6),TRANSPOSE(P520:S520))</f>
        <v>7.925296231426017E-2</v>
      </c>
      <c r="V520" s="26"/>
      <c r="W520" s="9">
        <f t="array" ref="W520">SQRT(MMULT(MMULT(P520:S520,$K$3:$N$6),TRANSPOSE(P520:S520)))</f>
        <v>0.1162855051395299</v>
      </c>
    </row>
    <row r="521" spans="16:23" x14ac:dyDescent="0.3">
      <c r="P521" s="26">
        <v>0.42037996623974855</v>
      </c>
      <c r="Q521" s="26">
        <v>0.22792978688412127</v>
      </c>
      <c r="R521" s="26">
        <v>9.9315796310093421E-2</v>
      </c>
      <c r="S521" s="26">
        <v>0.25237445056603691</v>
      </c>
      <c r="T521" s="26"/>
      <c r="U521" s="9">
        <f t="array" ref="U521">MMULT(TRANSPOSE($B$3:$B$6),TRANSPOSE(P521:S521))</f>
        <v>7.6197439129708763E-2</v>
      </c>
      <c r="V521" s="26"/>
      <c r="W521" s="9">
        <f t="array" ref="W521">SQRT(MMULT(MMULT(P521:S521,$K$3:$N$6),TRANSPOSE(P521:S521)))</f>
        <v>0.11068643858389694</v>
      </c>
    </row>
    <row r="522" spans="16:23" x14ac:dyDescent="0.3">
      <c r="P522" s="26">
        <v>5.18353837354864E-2</v>
      </c>
      <c r="Q522" s="26">
        <v>5.5867904652142928E-3</v>
      </c>
      <c r="R522" s="26">
        <v>0.503892645341256</v>
      </c>
      <c r="S522" s="26">
        <v>0.43868518045804328</v>
      </c>
      <c r="T522" s="26"/>
      <c r="U522" s="9">
        <f t="array" ref="U522">MMULT(TRANSPOSE($B$3:$B$6),TRANSPOSE(P522:S522))</f>
        <v>0.10097540425501755</v>
      </c>
      <c r="V522" s="26"/>
      <c r="W522" s="9">
        <f t="array" ref="W522">SQRT(MMULT(MMULT(P522:S522,$K$3:$N$6),TRANSPOSE(P522:S522)))</f>
        <v>0.19586086975897504</v>
      </c>
    </row>
    <row r="523" spans="16:23" x14ac:dyDescent="0.3">
      <c r="P523" s="26">
        <v>1.4313890483033489E-2</v>
      </c>
      <c r="Q523" s="26">
        <v>0.18197791788655907</v>
      </c>
      <c r="R523" s="26">
        <v>0.39505816948088235</v>
      </c>
      <c r="S523" s="26">
        <v>0.40865002214952517</v>
      </c>
      <c r="T523" s="26"/>
      <c r="U523" s="9">
        <f t="array" ref="U523">MMULT(TRANSPOSE($B$3:$B$6),TRANSPOSE(P523:S523))</f>
        <v>9.8047386687433236E-2</v>
      </c>
      <c r="V523" s="26"/>
      <c r="W523" s="9">
        <f t="array" ref="W523">SQRT(MMULT(MMULT(P523:S523,$K$3:$N$6),TRANSPOSE(P523:S523)))</f>
        <v>0.1782913759174338</v>
      </c>
    </row>
    <row r="524" spans="16:23" x14ac:dyDescent="0.3">
      <c r="P524" s="26">
        <v>0.16808135640884739</v>
      </c>
      <c r="Q524" s="26">
        <v>0.3819118114043189</v>
      </c>
      <c r="R524" s="26">
        <v>3.9225952714014141E-2</v>
      </c>
      <c r="S524" s="26">
        <v>0.41078087947281966</v>
      </c>
      <c r="T524" s="26"/>
      <c r="U524" s="9">
        <f t="array" ref="U524">MMULT(TRANSPOSE($B$3:$B$6),TRANSPOSE(P524:S524))</f>
        <v>8.7961935899744326E-2</v>
      </c>
      <c r="V524" s="26"/>
      <c r="W524" s="9">
        <f t="array" ref="W524">SQRT(MMULT(MMULT(P524:S524,$K$3:$N$6),TRANSPOSE(P524:S524)))</f>
        <v>0.14793988452095422</v>
      </c>
    </row>
    <row r="525" spans="16:23" x14ac:dyDescent="0.3">
      <c r="P525" s="26">
        <v>0.33732295860336969</v>
      </c>
      <c r="Q525" s="26">
        <v>0.27087822081005164</v>
      </c>
      <c r="R525" s="26">
        <v>0.24500677215173969</v>
      </c>
      <c r="S525" s="26">
        <v>0.14679204843483884</v>
      </c>
      <c r="T525" s="26"/>
      <c r="U525" s="9">
        <f t="array" ref="U525">MMULT(TRANSPOSE($B$3:$B$6),TRANSPOSE(P525:S525))</f>
        <v>7.5493278692709331E-2</v>
      </c>
      <c r="V525" s="26"/>
      <c r="W525" s="9">
        <f t="array" ref="W525">SQRT(MMULT(MMULT(P525:S525,$K$3:$N$6),TRANSPOSE(P525:S525)))</f>
        <v>0.10693651447674238</v>
      </c>
    </row>
    <row r="526" spans="16:23" x14ac:dyDescent="0.3">
      <c r="P526" s="26">
        <v>0.38222151479080857</v>
      </c>
      <c r="Q526" s="26">
        <v>0.12525530740378293</v>
      </c>
      <c r="R526" s="26">
        <v>0.20106628456033171</v>
      </c>
      <c r="S526" s="26">
        <v>0.29145689324507684</v>
      </c>
      <c r="T526" s="26"/>
      <c r="U526" s="9">
        <f t="array" ref="U526">MMULT(TRANSPOSE($B$3:$B$6),TRANSPOSE(P526:S526))</f>
        <v>8.0949740057644298E-2</v>
      </c>
      <c r="V526" s="26"/>
      <c r="W526" s="9">
        <f t="array" ref="W526">SQRT(MMULT(MMULT(P526:S526,$K$3:$N$6),TRANSPOSE(P526:S526)))</f>
        <v>0.12489966957986666</v>
      </c>
    </row>
    <row r="527" spans="16:23" x14ac:dyDescent="0.3">
      <c r="P527" s="26">
        <v>0.16213549322501425</v>
      </c>
      <c r="Q527" s="26">
        <v>0.44345365352932353</v>
      </c>
      <c r="R527" s="26">
        <v>0.31072764975140332</v>
      </c>
      <c r="S527" s="26">
        <v>8.3683203494258812E-2</v>
      </c>
      <c r="T527" s="26"/>
      <c r="U527" s="9">
        <f t="array" ref="U527">MMULT(TRANSPOSE($B$3:$B$6),TRANSPOSE(P527:S527))</f>
        <v>7.7156003305240722E-2</v>
      </c>
      <c r="V527" s="26"/>
      <c r="W527" s="9">
        <f t="array" ref="W527">SQRT(MMULT(MMULT(P527:S527,$K$3:$N$6),TRANSPOSE(P527:S527)))</f>
        <v>0.11796555594462756</v>
      </c>
    </row>
    <row r="528" spans="16:23" x14ac:dyDescent="0.3">
      <c r="P528" s="26">
        <v>0.24605184074206721</v>
      </c>
      <c r="Q528" s="26">
        <v>6.740107128674451E-2</v>
      </c>
      <c r="R528" s="26">
        <v>0.64149620172098964</v>
      </c>
      <c r="S528" s="26">
        <v>4.5050886250198707E-2</v>
      </c>
      <c r="T528" s="26"/>
      <c r="U528" s="9">
        <f t="array" ref="U528">MMULT(TRANSPOSE($B$3:$B$6),TRANSPOSE(P528:S528))</f>
        <v>8.0161431532088392E-2</v>
      </c>
      <c r="V528" s="26"/>
      <c r="W528" s="9">
        <f t="array" ref="W528">SQRT(MMULT(MMULT(P528:S528,$K$3:$N$6),TRANSPOSE(P528:S528)))</f>
        <v>0.14250584285713011</v>
      </c>
    </row>
    <row r="529" spans="16:23" x14ac:dyDescent="0.3">
      <c r="P529" s="26">
        <v>0.34297611669510625</v>
      </c>
      <c r="Q529" s="26">
        <v>0.16981573150606424</v>
      </c>
      <c r="R529" s="26">
        <v>0.25751027421317513</v>
      </c>
      <c r="S529" s="26">
        <v>0.22969787758565435</v>
      </c>
      <c r="T529" s="26"/>
      <c r="U529" s="9">
        <f t="array" ref="U529">MMULT(TRANSPOSE($B$3:$B$6),TRANSPOSE(P529:S529))</f>
        <v>7.9775577029644093E-2</v>
      </c>
      <c r="V529" s="26"/>
      <c r="W529" s="9">
        <f t="array" ref="W529">SQRT(MMULT(MMULT(P529:S529,$K$3:$N$6),TRANSPOSE(P529:S529)))</f>
        <v>0.11892254224753164</v>
      </c>
    </row>
    <row r="530" spans="16:23" x14ac:dyDescent="0.3">
      <c r="P530" s="26">
        <v>0.15341849864645757</v>
      </c>
      <c r="Q530" s="26">
        <v>0.20305438115161031</v>
      </c>
      <c r="R530" s="26">
        <v>0.38982974353425326</v>
      </c>
      <c r="S530" s="26">
        <v>0.25369737666767883</v>
      </c>
      <c r="T530" s="26"/>
      <c r="U530" s="9">
        <f t="array" ref="U530">MMULT(TRANSPOSE($B$3:$B$6),TRANSPOSE(P530:S530))</f>
        <v>8.7413093731139854E-2</v>
      </c>
      <c r="V530" s="26"/>
      <c r="W530" s="9">
        <f t="array" ref="W530">SQRT(MMULT(MMULT(P530:S530,$K$3:$N$6),TRANSPOSE(P530:S530)))</f>
        <v>0.1421719778238503</v>
      </c>
    </row>
    <row r="531" spans="16:23" x14ac:dyDescent="0.3">
      <c r="P531" s="26">
        <v>0.18740694890495888</v>
      </c>
      <c r="Q531" s="26">
        <v>0.14718394752746058</v>
      </c>
      <c r="R531" s="26">
        <v>0.41876814043590943</v>
      </c>
      <c r="S531" s="26">
        <v>0.24664096313167103</v>
      </c>
      <c r="T531" s="26"/>
      <c r="U531" s="9">
        <f t="array" ref="U531">MMULT(TRANSPOSE($B$3:$B$6),TRANSPOSE(P531:S531))</f>
        <v>8.695927198720256E-2</v>
      </c>
      <c r="V531" s="26"/>
      <c r="W531" s="9">
        <f t="array" ref="W531">SQRT(MMULT(MMULT(P531:S531,$K$3:$N$6),TRANSPOSE(P531:S531)))</f>
        <v>0.14261875386654188</v>
      </c>
    </row>
    <row r="532" spans="16:23" x14ac:dyDescent="0.3">
      <c r="P532" s="26">
        <v>0.16524245158023573</v>
      </c>
      <c r="Q532" s="26">
        <v>0.31087766585612642</v>
      </c>
      <c r="R532" s="26">
        <v>0.34900553123700995</v>
      </c>
      <c r="S532" s="26">
        <v>0.17487435132662785</v>
      </c>
      <c r="T532" s="26"/>
      <c r="U532" s="9">
        <f t="array" ref="U532">MMULT(TRANSPOSE($B$3:$B$6),TRANSPOSE(P532:S532))</f>
        <v>8.2418979159466874E-2</v>
      </c>
      <c r="V532" s="26"/>
      <c r="W532" s="9">
        <f t="array" ref="W532">SQRT(MMULT(MMULT(P532:S532,$K$3:$N$6),TRANSPOSE(P532:S532)))</f>
        <v>0.12676525310904807</v>
      </c>
    </row>
    <row r="533" spans="16:23" x14ac:dyDescent="0.3">
      <c r="P533" s="26">
        <v>0.1892179541976077</v>
      </c>
      <c r="Q533" s="26">
        <v>0.13053267877131872</v>
      </c>
      <c r="R533" s="26">
        <v>0.28731941091914609</v>
      </c>
      <c r="S533" s="26">
        <v>0.39292995611192749</v>
      </c>
      <c r="T533" s="26"/>
      <c r="U533" s="9">
        <f t="array" ref="U533">MMULT(TRANSPOSE($B$3:$B$6),TRANSPOSE(P533:S533))</f>
        <v>9.1608526940027135E-2</v>
      </c>
      <c r="V533" s="26"/>
      <c r="W533" s="9">
        <f t="array" ref="W533">SQRT(MMULT(MMULT(P533:S533,$K$3:$N$6),TRANSPOSE(P533:S533)))</f>
        <v>0.15837736135394423</v>
      </c>
    </row>
    <row r="534" spans="16:23" x14ac:dyDescent="0.3">
      <c r="P534" s="26">
        <v>6.6970652462407562E-2</v>
      </c>
      <c r="Q534" s="26">
        <v>0.21501982262878025</v>
      </c>
      <c r="R534" s="26">
        <v>8.9893208288360157E-2</v>
      </c>
      <c r="S534" s="26">
        <v>0.62811631662045198</v>
      </c>
      <c r="T534" s="26"/>
      <c r="U534" s="9">
        <f t="array" ref="U534">MMULT(TRANSPOSE($B$3:$B$6),TRANSPOSE(P534:S534))</f>
        <v>0.10186426694754164</v>
      </c>
      <c r="V534" s="26"/>
      <c r="W534" s="9">
        <f t="array" ref="W534">SQRT(MMULT(MMULT(P534:S534,$K$3:$N$6),TRANSPOSE(P534:S534)))</f>
        <v>0.2035347682252088</v>
      </c>
    </row>
    <row r="535" spans="16:23" x14ac:dyDescent="0.3">
      <c r="P535" s="26">
        <v>0.37625443042018436</v>
      </c>
      <c r="Q535" s="26">
        <v>0.27185095667378595</v>
      </c>
      <c r="R535" s="26">
        <v>0.18301693362473268</v>
      </c>
      <c r="S535" s="26">
        <v>0.16887767928129704</v>
      </c>
      <c r="T535" s="26"/>
      <c r="U535" s="9">
        <f t="array" ref="U535">MMULT(TRANSPOSE($B$3:$B$6),TRANSPOSE(P535:S535))</f>
        <v>7.457913402815583E-2</v>
      </c>
      <c r="V535" s="26"/>
      <c r="W535" s="9">
        <f t="array" ref="W535">SQRT(MMULT(MMULT(P535:S535,$K$3:$N$6),TRANSPOSE(P535:S535)))</f>
        <v>0.10419765160653255</v>
      </c>
    </row>
    <row r="536" spans="16:23" x14ac:dyDescent="0.3">
      <c r="P536" s="26">
        <v>0.33372174068214977</v>
      </c>
      <c r="Q536" s="26">
        <v>3.8488484368370157E-2</v>
      </c>
      <c r="R536" s="26">
        <v>3.5050993771571462E-2</v>
      </c>
      <c r="S536" s="26">
        <v>0.59273878117790868</v>
      </c>
      <c r="T536" s="26"/>
      <c r="U536" s="9">
        <f t="array" ref="U536">MMULT(TRANSPOSE($B$3:$B$6),TRANSPOSE(P536:S536))</f>
        <v>9.3663524120683878E-2</v>
      </c>
      <c r="V536" s="26"/>
      <c r="W536" s="9">
        <f t="array" ref="W536">SQRT(MMULT(MMULT(P536:S536,$K$3:$N$6),TRANSPOSE(P536:S536)))</f>
        <v>0.18644262407174067</v>
      </c>
    </row>
    <row r="537" spans="16:23" x14ac:dyDescent="0.3">
      <c r="P537" s="26">
        <v>8.2655404336609034E-2</v>
      </c>
      <c r="Q537" s="26">
        <v>0.23707158986059956</v>
      </c>
      <c r="R537" s="26">
        <v>0.38469804405746233</v>
      </c>
      <c r="S537" s="26">
        <v>0.29557496174532899</v>
      </c>
      <c r="T537" s="26"/>
      <c r="U537" s="9">
        <f t="array" ref="U537">MMULT(TRANSPOSE($B$3:$B$6),TRANSPOSE(P537:S537))</f>
        <v>9.0819600881683504E-2</v>
      </c>
      <c r="V537" s="26"/>
      <c r="W537" s="9">
        <f t="array" ref="W537">SQRT(MMULT(MMULT(P537:S537,$K$3:$N$6),TRANSPOSE(P537:S537)))</f>
        <v>0.15219613388651954</v>
      </c>
    </row>
    <row r="538" spans="16:23" x14ac:dyDescent="0.3">
      <c r="P538" s="26">
        <v>0.23867891602357807</v>
      </c>
      <c r="Q538" s="26">
        <v>0.18145956476098807</v>
      </c>
      <c r="R538" s="26">
        <v>0.2666615009261521</v>
      </c>
      <c r="S538" s="26">
        <v>0.31320001828928179</v>
      </c>
      <c r="T538" s="26"/>
      <c r="U538" s="9">
        <f t="array" ref="U538">MMULT(TRANSPOSE($B$3:$B$6),TRANSPOSE(P538:S538))</f>
        <v>8.6219652612515574E-2</v>
      </c>
      <c r="V538" s="26"/>
      <c r="W538" s="9">
        <f t="array" ref="W538">SQRT(MMULT(MMULT(P538:S538,$K$3:$N$6),TRANSPOSE(P538:S538)))</f>
        <v>0.13825138502766768</v>
      </c>
    </row>
    <row r="539" spans="16:23" x14ac:dyDescent="0.3">
      <c r="P539" s="26">
        <v>0.20032095145180542</v>
      </c>
      <c r="Q539" s="26">
        <v>0.29493690714809018</v>
      </c>
      <c r="R539" s="26">
        <v>0.29222469683887803</v>
      </c>
      <c r="S539" s="26">
        <v>0.21251744456122643</v>
      </c>
      <c r="T539" s="26"/>
      <c r="U539" s="9">
        <f t="array" ref="U539">MMULT(TRANSPOSE($B$3:$B$6),TRANSPOSE(P539:S539))</f>
        <v>8.2463947135802781E-2</v>
      </c>
      <c r="V539" s="26"/>
      <c r="W539" s="9">
        <f t="array" ref="W539">SQRT(MMULT(MMULT(P539:S539,$K$3:$N$6),TRANSPOSE(P539:S539)))</f>
        <v>0.12510732933801047</v>
      </c>
    </row>
    <row r="540" spans="16:23" x14ac:dyDescent="0.3">
      <c r="P540" s="26">
        <v>0.38199088506363599</v>
      </c>
      <c r="Q540" s="26">
        <v>0.2961972510762621</v>
      </c>
      <c r="R540" s="26">
        <v>0.20221094764317576</v>
      </c>
      <c r="S540" s="26">
        <v>0.11960091621692627</v>
      </c>
      <c r="T540" s="26"/>
      <c r="U540" s="9">
        <f t="array" ref="U540">MMULT(TRANSPOSE($B$3:$B$6),TRANSPOSE(P540:S540))</f>
        <v>7.2384447062437129E-2</v>
      </c>
      <c r="V540" s="26"/>
      <c r="W540" s="9">
        <f t="array" ref="W540">SQRT(MMULT(MMULT(P540:S540,$K$3:$N$6),TRANSPOSE(P540:S540)))</f>
        <v>0.10019386320439455</v>
      </c>
    </row>
    <row r="541" spans="16:23" x14ac:dyDescent="0.3">
      <c r="P541" s="26">
        <v>0.27694857427374081</v>
      </c>
      <c r="Q541" s="26">
        <v>0.24779038014094726</v>
      </c>
      <c r="R541" s="26">
        <v>0.2938443756876124</v>
      </c>
      <c r="S541" s="26">
        <v>0.18141666989769947</v>
      </c>
      <c r="T541" s="26"/>
      <c r="U541" s="9">
        <f t="array" ref="U541">MMULT(TRANSPOSE($B$3:$B$6),TRANSPOSE(P541:S541))</f>
        <v>7.9408749523162403E-2</v>
      </c>
      <c r="V541" s="26"/>
      <c r="W541" s="9">
        <f t="array" ref="W541">SQRT(MMULT(MMULT(P541:S541,$K$3:$N$6),TRANSPOSE(P541:S541)))</f>
        <v>0.11715953614048007</v>
      </c>
    </row>
    <row r="542" spans="16:23" x14ac:dyDescent="0.3">
      <c r="P542" s="26">
        <v>2.3576608616293352E-4</v>
      </c>
      <c r="Q542" s="26">
        <v>0.45532563318254898</v>
      </c>
      <c r="R542" s="26">
        <v>0.43102599867925578</v>
      </c>
      <c r="S542" s="26">
        <v>0.11341260205203235</v>
      </c>
      <c r="T542" s="26"/>
      <c r="U542" s="9">
        <f t="array" ref="U542">MMULT(TRANSPOSE($B$3:$B$6),TRANSPOSE(P542:S542))</f>
        <v>8.4286434754463471E-2</v>
      </c>
      <c r="V542" s="26"/>
      <c r="W542" s="9">
        <f t="array" ref="W542">SQRT(MMULT(MMULT(P542:S542,$K$3:$N$6),TRANSPOSE(P542:S542)))</f>
        <v>0.13999509085740697</v>
      </c>
    </row>
    <row r="543" spans="16:23" x14ac:dyDescent="0.3">
      <c r="P543" s="26">
        <v>0.23277398745953826</v>
      </c>
      <c r="Q543" s="26">
        <v>0.24228814407341445</v>
      </c>
      <c r="R543" s="26">
        <v>0.49465576997294208</v>
      </c>
      <c r="S543" s="26">
        <v>3.028209849410515E-2</v>
      </c>
      <c r="T543" s="26"/>
      <c r="U543" s="9">
        <f t="array" ref="U543">MMULT(TRANSPOSE($B$3:$B$6),TRANSPOSE(P543:S543))</f>
        <v>7.6751740574973318E-2</v>
      </c>
      <c r="V543" s="26"/>
      <c r="W543" s="9">
        <f t="array" ref="W543">SQRT(MMULT(MMULT(P543:S543,$K$3:$N$6),TRANSPOSE(P543:S543)))</f>
        <v>0.12447891804728614</v>
      </c>
    </row>
    <row r="544" spans="16:23" x14ac:dyDescent="0.3">
      <c r="P544" s="26">
        <v>0.45538664131813295</v>
      </c>
      <c r="Q544" s="26">
        <v>0.25661470409300191</v>
      </c>
      <c r="R544" s="26">
        <v>3.537655308704089E-3</v>
      </c>
      <c r="S544" s="26">
        <v>0.28446099928016111</v>
      </c>
      <c r="T544" s="26"/>
      <c r="U544" s="9">
        <f t="array" ref="U544">MMULT(TRANSPOSE($B$3:$B$6),TRANSPOSE(P544:S544))</f>
        <v>7.5186070243819486E-2</v>
      </c>
      <c r="V544" s="26"/>
      <c r="W544" s="9">
        <f t="array" ref="W544">SQRT(MMULT(MMULT(P544:S544,$K$3:$N$6),TRANSPOSE(P544:S544)))</f>
        <v>0.1125005717221261</v>
      </c>
    </row>
    <row r="545" spans="16:23" x14ac:dyDescent="0.3">
      <c r="P545" s="26">
        <v>0.10993606853055532</v>
      </c>
      <c r="Q545" s="26">
        <v>0.26085509458672879</v>
      </c>
      <c r="R545" s="26">
        <v>0.31959674025508045</v>
      </c>
      <c r="S545" s="26">
        <v>0.30961209662763556</v>
      </c>
      <c r="T545" s="26"/>
      <c r="U545" s="9">
        <f t="array" ref="U545">MMULT(TRANSPOSE($B$3:$B$6),TRANSPOSE(P545:S545))</f>
        <v>8.9673818265872285E-2</v>
      </c>
      <c r="V545" s="26"/>
      <c r="W545" s="9">
        <f t="array" ref="W545">SQRT(MMULT(MMULT(P545:S545,$K$3:$N$6),TRANSPOSE(P545:S545)))</f>
        <v>0.14750188307938564</v>
      </c>
    </row>
    <row r="546" spans="16:23" x14ac:dyDescent="0.3">
      <c r="P546" s="26">
        <v>0.17522835393136305</v>
      </c>
      <c r="Q546" s="26">
        <v>0.37929176484104821</v>
      </c>
      <c r="R546" s="26">
        <v>0.29017256970615907</v>
      </c>
      <c r="S546" s="26">
        <v>0.15530731152142971</v>
      </c>
      <c r="T546" s="26"/>
      <c r="U546" s="9">
        <f t="array" ref="U546">MMULT(TRANSPOSE($B$3:$B$6),TRANSPOSE(P546:S546))</f>
        <v>8.0064249891567407E-2</v>
      </c>
      <c r="V546" s="26"/>
      <c r="W546" s="9">
        <f t="array" ref="W546">SQRT(MMULT(MMULT(P546:S546,$K$3:$N$6),TRANSPOSE(P546:S546)))</f>
        <v>0.12017070617708295</v>
      </c>
    </row>
    <row r="547" spans="16:23" x14ac:dyDescent="0.3">
      <c r="P547" s="26">
        <v>5.0806063077861799E-2</v>
      </c>
      <c r="Q547" s="26">
        <v>0.78981700269367883</v>
      </c>
      <c r="R547" s="26">
        <v>4.1858877654430823E-3</v>
      </c>
      <c r="S547" s="26">
        <v>0.15519104646301618</v>
      </c>
      <c r="T547" s="26"/>
      <c r="U547" s="9">
        <f t="array" ref="U547">MMULT(TRANSPOSE($B$3:$B$6),TRANSPOSE(P547:S547))</f>
        <v>7.6827148816902432E-2</v>
      </c>
      <c r="V547" s="26"/>
      <c r="W547" s="9">
        <f t="array" ref="W547">SQRT(MMULT(MMULT(P547:S547,$K$3:$N$6),TRANSPOSE(P547:S547)))</f>
        <v>0.13299983212399719</v>
      </c>
    </row>
    <row r="548" spans="16:23" x14ac:dyDescent="0.3">
      <c r="P548" s="26">
        <v>0.32233377423368759</v>
      </c>
      <c r="Q548" s="26">
        <v>0.14392235838197351</v>
      </c>
      <c r="R548" s="26">
        <v>0.4050307043473716</v>
      </c>
      <c r="S548" s="26">
        <v>0.1287131630369672</v>
      </c>
      <c r="T548" s="26"/>
      <c r="U548" s="9">
        <f t="array" ref="U548">MMULT(TRANSPOSE($B$3:$B$6),TRANSPOSE(P548:S548))</f>
        <v>7.808959675412204E-2</v>
      </c>
      <c r="V548" s="26"/>
      <c r="W548" s="9">
        <f t="array" ref="W548">SQRT(MMULT(MMULT(P548:S548,$K$3:$N$6),TRANSPOSE(P548:S548)))</f>
        <v>0.11916996816115147</v>
      </c>
    </row>
    <row r="549" spans="16:23" x14ac:dyDescent="0.3">
      <c r="P549" s="26">
        <v>0.24748367145414554</v>
      </c>
      <c r="Q549" s="26">
        <v>0.403982896128813</v>
      </c>
      <c r="R549" s="26">
        <v>0.3482068592662636</v>
      </c>
      <c r="S549" s="26">
        <v>3.2657315077778488E-4</v>
      </c>
      <c r="T549" s="26"/>
      <c r="U549" s="9">
        <f t="array" ref="U549">MMULT(TRANSPOSE($B$3:$B$6),TRANSPOSE(P549:S549))</f>
        <v>7.2030792413781242E-2</v>
      </c>
      <c r="V549" s="26"/>
      <c r="W549" s="9">
        <f t="array" ref="W549">SQRT(MMULT(MMULT(P549:S549,$K$3:$N$6),TRANSPOSE(P549:S549)))</f>
        <v>0.1123297792644016</v>
      </c>
    </row>
    <row r="550" spans="16:23" x14ac:dyDescent="0.3">
      <c r="P550" s="26">
        <v>0.31433125351657698</v>
      </c>
      <c r="Q550" s="26">
        <v>0.36621976153351693</v>
      </c>
      <c r="R550" s="26">
        <v>0.30812241785604105</v>
      </c>
      <c r="S550" s="26">
        <v>1.1326567093865057E-2</v>
      </c>
      <c r="T550" s="26"/>
      <c r="U550" s="9">
        <f t="array" ref="U550">MMULT(TRANSPOSE($B$3:$B$6),TRANSPOSE(P550:S550))</f>
        <v>7.0442151641482542E-2</v>
      </c>
      <c r="V550" s="26"/>
      <c r="W550" s="9">
        <f t="array" ref="W550">SQRT(MMULT(MMULT(P550:S550,$K$3:$N$6),TRANSPOSE(P550:S550)))</f>
        <v>0.10554407552948622</v>
      </c>
    </row>
    <row r="551" spans="16:23" x14ac:dyDescent="0.3">
      <c r="P551" s="26">
        <v>5.1616246531453427E-2</v>
      </c>
      <c r="Q551" s="26">
        <v>0.1917727394644696</v>
      </c>
      <c r="R551" s="26">
        <v>0.36392048805047872</v>
      </c>
      <c r="S551" s="26">
        <v>0.39269052595359832</v>
      </c>
      <c r="T551" s="26"/>
      <c r="U551" s="9">
        <f t="array" ref="U551">MMULT(TRANSPOSE($B$3:$B$6),TRANSPOSE(P551:S551))</f>
        <v>9.5880611128060428E-2</v>
      </c>
      <c r="V551" s="26"/>
      <c r="W551" s="9">
        <f t="array" ref="W551">SQRT(MMULT(MMULT(P551:S551,$K$3:$N$6),TRANSPOSE(P551:S551)))</f>
        <v>0.17034988698432335</v>
      </c>
    </row>
    <row r="552" spans="16:23" x14ac:dyDescent="0.3">
      <c r="P552" s="26">
        <v>0.16148028934571915</v>
      </c>
      <c r="Q552" s="26">
        <v>0.42713824391074862</v>
      </c>
      <c r="R552" s="26">
        <v>0.18148937142902102</v>
      </c>
      <c r="S552" s="26">
        <v>0.22989209531451121</v>
      </c>
      <c r="T552" s="26"/>
      <c r="U552" s="9">
        <f t="array" ref="U552">MMULT(TRANSPOSE($B$3:$B$6),TRANSPOSE(P552:S552))</f>
        <v>8.1894786407391604E-2</v>
      </c>
      <c r="V552" s="26"/>
      <c r="W552" s="9">
        <f t="array" ref="W552">SQRT(MMULT(MMULT(P552:S552,$K$3:$N$6),TRANSPOSE(P552:S552)))</f>
        <v>0.12395230501822567</v>
      </c>
    </row>
    <row r="553" spans="16:23" x14ac:dyDescent="0.3">
      <c r="P553" s="26">
        <v>0.36619321484299233</v>
      </c>
      <c r="Q553" s="26">
        <v>0.34234519747821579</v>
      </c>
      <c r="R553" s="26">
        <v>5.7497394067019522E-2</v>
      </c>
      <c r="S553" s="26">
        <v>0.23396419361177245</v>
      </c>
      <c r="T553" s="26"/>
      <c r="U553" s="9">
        <f t="array" ref="U553">MMULT(TRANSPOSE($B$3:$B$6),TRANSPOSE(P553:S553))</f>
        <v>7.5524293265069181E-2</v>
      </c>
      <c r="V553" s="26"/>
      <c r="W553" s="9">
        <f t="array" ref="W553">SQRT(MMULT(MMULT(P553:S553,$K$3:$N$6),TRANSPOSE(P553:S553)))</f>
        <v>0.10886265468892593</v>
      </c>
    </row>
    <row r="554" spans="16:23" x14ac:dyDescent="0.3">
      <c r="P554" s="26">
        <v>0.10870416101371831</v>
      </c>
      <c r="Q554" s="26">
        <v>0.34650226089228875</v>
      </c>
      <c r="R554" s="26">
        <v>0.27213159291685424</v>
      </c>
      <c r="S554" s="26">
        <v>0.27266198517713885</v>
      </c>
      <c r="T554" s="26"/>
      <c r="U554" s="9">
        <f t="array" ref="U554">MMULT(TRANSPOSE($B$3:$B$6),TRANSPOSE(P554:S554))</f>
        <v>8.6901647896919676E-2</v>
      </c>
      <c r="V554" s="26"/>
      <c r="W554" s="9">
        <f t="array" ref="W554">SQRT(MMULT(MMULT(P554:S554,$K$3:$N$6),TRANSPOSE(P554:S554)))</f>
        <v>0.1378958823433904</v>
      </c>
    </row>
    <row r="555" spans="16:23" x14ac:dyDescent="0.3">
      <c r="P555" s="26">
        <v>0.39123088687156149</v>
      </c>
      <c r="Q555" s="26">
        <v>0.29542870422244755</v>
      </c>
      <c r="R555" s="26">
        <v>0.16642706086584688</v>
      </c>
      <c r="S555" s="26">
        <v>0.14691334804014403</v>
      </c>
      <c r="T555" s="26"/>
      <c r="U555" s="9">
        <f t="array" ref="U555">MMULT(TRANSPOSE($B$3:$B$6),TRANSPOSE(P555:S555))</f>
        <v>7.2849590881892912E-2</v>
      </c>
      <c r="V555" s="26"/>
      <c r="W555" s="9">
        <f t="array" ref="W555">SQRT(MMULT(MMULT(P555:S555,$K$3:$N$6),TRANSPOSE(P555:S555)))</f>
        <v>0.10060031256869038</v>
      </c>
    </row>
    <row r="556" spans="16:23" x14ac:dyDescent="0.3">
      <c r="P556" s="26">
        <v>5.8807332928075814E-2</v>
      </c>
      <c r="Q556" s="26">
        <v>0.20265096497992832</v>
      </c>
      <c r="R556" s="26">
        <v>0.62632253843729668</v>
      </c>
      <c r="S556" s="26">
        <v>0.11221916365469926</v>
      </c>
      <c r="T556" s="26"/>
      <c r="U556" s="9">
        <f t="array" ref="U556">MMULT(TRANSPOSE($B$3:$B$6),TRANSPOSE(P556:S556))</f>
        <v>8.6961262292919381E-2</v>
      </c>
      <c r="V556" s="26"/>
      <c r="W556" s="9">
        <f t="array" ref="W556">SQRT(MMULT(MMULT(P556:S556,$K$3:$N$6),TRANSPOSE(P556:S556)))</f>
        <v>0.15454717468919474</v>
      </c>
    </row>
    <row r="557" spans="16:23" x14ac:dyDescent="0.3">
      <c r="P557" s="26">
        <v>0.1871088358605637</v>
      </c>
      <c r="Q557" s="26">
        <v>0.32585110052117144</v>
      </c>
      <c r="R557" s="26">
        <v>0.18752064261580281</v>
      </c>
      <c r="S557" s="26">
        <v>0.29951942100246204</v>
      </c>
      <c r="T557" s="26"/>
      <c r="U557" s="9">
        <f t="array" ref="U557">MMULT(TRANSPOSE($B$3:$B$6),TRANSPOSE(P557:S557))</f>
        <v>8.4984207185227881E-2</v>
      </c>
      <c r="V557" s="26"/>
      <c r="W557" s="9">
        <f t="array" ref="W557">SQRT(MMULT(MMULT(P557:S557,$K$3:$N$6),TRANSPOSE(P557:S557)))</f>
        <v>0.1325453664791619</v>
      </c>
    </row>
    <row r="558" spans="16:23" x14ac:dyDescent="0.3">
      <c r="P558" s="26">
        <v>0.31936560471402736</v>
      </c>
      <c r="Q558" s="26">
        <v>0.30960377111166737</v>
      </c>
      <c r="R558" s="26">
        <v>5.1549692884291121E-2</v>
      </c>
      <c r="S558" s="26">
        <v>0.3194809312900142</v>
      </c>
      <c r="T558" s="26"/>
      <c r="U558" s="9">
        <f t="array" ref="U558">MMULT(TRANSPOSE($B$3:$B$6),TRANSPOSE(P558:S558))</f>
        <v>8.0617728327905994E-2</v>
      </c>
      <c r="V558" s="26"/>
      <c r="W558" s="9">
        <f t="array" ref="W558">SQRT(MMULT(MMULT(P558:S558,$K$3:$N$6),TRANSPOSE(P558:S558)))</f>
        <v>0.12410603947729963</v>
      </c>
    </row>
    <row r="559" spans="16:23" x14ac:dyDescent="0.3">
      <c r="P559" s="26">
        <v>0.60295994217996118</v>
      </c>
      <c r="Q559" s="26">
        <v>0.14315870520413429</v>
      </c>
      <c r="R559" s="26">
        <v>3.1019762611887287E-2</v>
      </c>
      <c r="S559" s="26">
        <v>0.22286159000401728</v>
      </c>
      <c r="T559" s="26"/>
      <c r="U559" s="9">
        <f t="array" ref="U559">MMULT(TRANSPOSE($B$3:$B$6),TRANSPOSE(P559:S559))</f>
        <v>6.9704275908839389E-2</v>
      </c>
      <c r="V559" s="26"/>
      <c r="W559" s="9">
        <f t="array" ref="W559">SQRT(MMULT(MMULT(P559:S559,$K$3:$N$6),TRANSPOSE(P559:S559)))</f>
        <v>0.10148910617805398</v>
      </c>
    </row>
    <row r="560" spans="16:23" x14ac:dyDescent="0.3">
      <c r="P560" s="26">
        <v>9.4685712707515204E-2</v>
      </c>
      <c r="Q560" s="26">
        <v>0.1702934670157821</v>
      </c>
      <c r="R560" s="26">
        <v>0.48542468217773604</v>
      </c>
      <c r="S560" s="26">
        <v>0.24959613809896675</v>
      </c>
      <c r="T560" s="26"/>
      <c r="U560" s="9">
        <f t="array" ref="U560">MMULT(TRANSPOSE($B$3:$B$6),TRANSPOSE(P560:S560))</f>
        <v>9.0294586294352761E-2</v>
      </c>
      <c r="V560" s="26"/>
      <c r="W560" s="9">
        <f t="array" ref="W560">SQRT(MMULT(MMULT(P560:S560,$K$3:$N$6),TRANSPOSE(P560:S560)))</f>
        <v>0.15431190664698285</v>
      </c>
    </row>
    <row r="561" spans="16:23" x14ac:dyDescent="0.3">
      <c r="P561" s="26">
        <v>0.16306917700837686</v>
      </c>
      <c r="Q561" s="26">
        <v>4.4525547069534044E-2</v>
      </c>
      <c r="R561" s="26">
        <v>0.24856195706238313</v>
      </c>
      <c r="S561" s="26">
        <v>0.54384331885970594</v>
      </c>
      <c r="T561" s="26"/>
      <c r="U561" s="9">
        <f t="array" ref="U561">MMULT(TRANSPOSE($B$3:$B$6),TRANSPOSE(P561:S561))</f>
        <v>9.890202154406541E-2</v>
      </c>
      <c r="V561" s="26"/>
      <c r="W561" s="9">
        <f t="array" ref="W561">SQRT(MMULT(MMULT(P561:S561,$K$3:$N$6),TRANSPOSE(P561:S561)))</f>
        <v>0.19177648262222124</v>
      </c>
    </row>
    <row r="562" spans="16:23" x14ac:dyDescent="0.3">
      <c r="P562" s="26">
        <v>0.39465615701976597</v>
      </c>
      <c r="Q562" s="26">
        <v>0.22410279629524016</v>
      </c>
      <c r="R562" s="26">
        <v>0.22211247105381646</v>
      </c>
      <c r="S562" s="26">
        <v>0.15912857563117735</v>
      </c>
      <c r="T562" s="26"/>
      <c r="U562" s="9">
        <f t="array" ref="U562">MMULT(TRANSPOSE($B$3:$B$6),TRANSPOSE(P562:S562))</f>
        <v>7.4505555062239881E-2</v>
      </c>
      <c r="V562" s="26"/>
      <c r="W562" s="9">
        <f t="array" ref="W562">SQRT(MMULT(MMULT(P562:S562,$K$3:$N$6),TRANSPOSE(P562:S562)))</f>
        <v>0.10451320181924727</v>
      </c>
    </row>
    <row r="563" spans="16:23" x14ac:dyDescent="0.3">
      <c r="P563" s="26">
        <v>3.0436952789590972E-2</v>
      </c>
      <c r="Q563" s="26">
        <v>0.17290898705615906</v>
      </c>
      <c r="R563" s="26">
        <v>0.29238050027390672</v>
      </c>
      <c r="S563" s="26">
        <v>0.50427355988034317</v>
      </c>
      <c r="T563" s="26"/>
      <c r="U563" s="9">
        <f t="array" ref="U563">MMULT(TRANSPOSE($B$3:$B$6),TRANSPOSE(P563:S563))</f>
        <v>0.10045254894370348</v>
      </c>
      <c r="V563" s="26"/>
      <c r="W563" s="9">
        <f t="array" ref="W563">SQRT(MMULT(MMULT(P563:S563,$K$3:$N$6),TRANSPOSE(P563:S563)))</f>
        <v>0.18940100028482237</v>
      </c>
    </row>
    <row r="564" spans="16:23" x14ac:dyDescent="0.3">
      <c r="P564" s="26">
        <v>0.27538752029985086</v>
      </c>
      <c r="Q564" s="26">
        <v>0.16932426961185534</v>
      </c>
      <c r="R564" s="26">
        <v>0.19134415987109621</v>
      </c>
      <c r="S564" s="26">
        <v>0.36394405021719767</v>
      </c>
      <c r="T564" s="26"/>
      <c r="U564" s="9">
        <f t="array" ref="U564">MMULT(TRANSPOSE($B$3:$B$6),TRANSPOSE(P564:S564))</f>
        <v>8.6516335302284794E-2</v>
      </c>
      <c r="V564" s="26"/>
      <c r="W564" s="9">
        <f t="array" ref="W564">SQRT(MMULT(MMULT(P564:S564,$K$3:$N$6),TRANSPOSE(P564:S564)))</f>
        <v>0.14163559134587098</v>
      </c>
    </row>
    <row r="565" spans="16:23" x14ac:dyDescent="0.3">
      <c r="P565" s="26">
        <v>0.18901559556811803</v>
      </c>
      <c r="Q565" s="26">
        <v>0.3072580632025691</v>
      </c>
      <c r="R565" s="26">
        <v>0.1742211285085358</v>
      </c>
      <c r="S565" s="26">
        <v>0.32950521272077699</v>
      </c>
      <c r="T565" s="26"/>
      <c r="U565" s="9">
        <f t="array" ref="U565">MMULT(TRANSPOSE($B$3:$B$6),TRANSPOSE(P565:S565))</f>
        <v>8.6179371294847193E-2</v>
      </c>
      <c r="V565" s="26"/>
      <c r="W565" s="9">
        <f t="array" ref="W565">SQRT(MMULT(MMULT(P565:S565,$K$3:$N$6),TRANSPOSE(P565:S565)))</f>
        <v>0.13698351921422397</v>
      </c>
    </row>
    <row r="566" spans="16:23" x14ac:dyDescent="0.3">
      <c r="P566" s="26">
        <v>0.17464896240888175</v>
      </c>
      <c r="Q566" s="26">
        <v>0.39410407699964456</v>
      </c>
      <c r="R566" s="26">
        <v>0.15895804449639139</v>
      </c>
      <c r="S566" s="26">
        <v>0.27228891609508238</v>
      </c>
      <c r="T566" s="26"/>
      <c r="U566" s="9">
        <f t="array" ref="U566">MMULT(TRANSPOSE($B$3:$B$6),TRANSPOSE(P566:S566))</f>
        <v>8.3300627446504322E-2</v>
      </c>
      <c r="V566" s="26"/>
      <c r="W566" s="9">
        <f t="array" ref="W566">SQRT(MMULT(MMULT(P566:S566,$K$3:$N$6),TRANSPOSE(P566:S566)))</f>
        <v>0.1277527666361733</v>
      </c>
    </row>
    <row r="567" spans="16:23" x14ac:dyDescent="0.3">
      <c r="P567" s="26">
        <v>0.13853253265835619</v>
      </c>
      <c r="Q567" s="26">
        <v>0.35846403850318775</v>
      </c>
      <c r="R567" s="26">
        <v>0.15600272755829131</v>
      </c>
      <c r="S567" s="26">
        <v>0.34700070128016475</v>
      </c>
      <c r="T567" s="26"/>
      <c r="U567" s="9">
        <f t="array" ref="U567">MMULT(TRANSPOSE($B$3:$B$6),TRANSPOSE(P567:S567))</f>
        <v>8.7699438962006937E-2</v>
      </c>
      <c r="V567" s="26"/>
      <c r="W567" s="9">
        <f t="array" ref="W567">SQRT(MMULT(MMULT(P567:S567,$K$3:$N$6),TRANSPOSE(P567:S567)))</f>
        <v>0.14193829569736341</v>
      </c>
    </row>
    <row r="568" spans="16:23" x14ac:dyDescent="0.3">
      <c r="P568" s="26">
        <v>7.1611558858933793E-3</v>
      </c>
      <c r="Q568" s="26">
        <v>0.11421384629965868</v>
      </c>
      <c r="R568" s="26">
        <v>0.75872816224278461</v>
      </c>
      <c r="S568" s="26">
        <v>0.11989683557166335</v>
      </c>
      <c r="T568" s="26"/>
      <c r="U568" s="9">
        <f t="array" ref="U568">MMULT(TRANSPOSE($B$3:$B$6),TRANSPOSE(P568:S568))</f>
        <v>9.1026181905720982E-2</v>
      </c>
      <c r="V568" s="26"/>
      <c r="W568" s="9">
        <f t="array" ref="W568">SQRT(MMULT(MMULT(P568:S568,$K$3:$N$6),TRANSPOSE(P568:S568)))</f>
        <v>0.1751951479075432</v>
      </c>
    </row>
    <row r="569" spans="16:23" x14ac:dyDescent="0.3">
      <c r="P569" s="26">
        <v>0.42956249358631315</v>
      </c>
      <c r="Q569" s="26">
        <v>0.14073881507579264</v>
      </c>
      <c r="R569" s="26">
        <v>0.24715246560971585</v>
      </c>
      <c r="S569" s="26">
        <v>0.18254622572817833</v>
      </c>
      <c r="T569" s="26"/>
      <c r="U569" s="9">
        <f t="array" ref="U569">MMULT(TRANSPOSE($B$3:$B$6),TRANSPOSE(P569:S569))</f>
        <v>7.5479110726876963E-2</v>
      </c>
      <c r="V569" s="26"/>
      <c r="W569" s="9">
        <f t="array" ref="W569">SQRT(MMULT(MMULT(P569:S569,$K$3:$N$6),TRANSPOSE(P569:S569)))</f>
        <v>0.10853086907598021</v>
      </c>
    </row>
    <row r="570" spans="16:23" x14ac:dyDescent="0.3">
      <c r="P570" s="26">
        <v>0.35605728005666337</v>
      </c>
      <c r="Q570" s="26">
        <v>0.2732449048966078</v>
      </c>
      <c r="R570" s="26">
        <v>0.27858517454299297</v>
      </c>
      <c r="S570" s="26">
        <v>9.2112640503736035E-2</v>
      </c>
      <c r="T570" s="26"/>
      <c r="U570" s="9">
        <f t="array" ref="U570">MMULT(TRANSPOSE($B$3:$B$6),TRANSPOSE(P570:S570))</f>
        <v>7.3056189914913416E-2</v>
      </c>
      <c r="V570" s="26"/>
      <c r="W570" s="9">
        <f t="array" ref="W570">SQRT(MMULT(MMULT(P570:S570,$K$3:$N$6),TRANSPOSE(P570:S570)))</f>
        <v>0.10355220365295847</v>
      </c>
    </row>
    <row r="571" spans="16:23" x14ac:dyDescent="0.3">
      <c r="P571" s="26">
        <v>0.49127427221446457</v>
      </c>
      <c r="Q571" s="26">
        <v>0.42759933058371558</v>
      </c>
      <c r="R571" s="26">
        <v>1.9914826919126324E-3</v>
      </c>
      <c r="S571" s="26">
        <v>7.91349145099072E-2</v>
      </c>
      <c r="T571" s="26"/>
      <c r="U571" s="9">
        <f t="array" ref="U571">MMULT(TRANSPOSE($B$3:$B$6),TRANSPOSE(P571:S571))</f>
        <v>6.417108993504432E-2</v>
      </c>
      <c r="V571" s="26"/>
      <c r="W571" s="9">
        <f t="array" ref="W571">SQRT(MMULT(MMULT(P571:S571,$K$3:$N$6),TRANSPOSE(P571:S571)))</f>
        <v>9.380613057465427E-2</v>
      </c>
    </row>
    <row r="572" spans="16:23" x14ac:dyDescent="0.3">
      <c r="P572" s="26">
        <v>0.38341043446170259</v>
      </c>
      <c r="Q572" s="26">
        <v>7.0221953442533375E-2</v>
      </c>
      <c r="R572" s="26">
        <v>0.35049246071375073</v>
      </c>
      <c r="S572" s="26">
        <v>0.19587515138201325</v>
      </c>
      <c r="T572" s="26"/>
      <c r="U572" s="9">
        <f t="array" ref="U572">MMULT(TRANSPOSE($B$3:$B$6),TRANSPOSE(P572:S572))</f>
        <v>7.9135398094141621E-2</v>
      </c>
      <c r="V572" s="26"/>
      <c r="W572" s="9">
        <f t="array" ref="W572">SQRT(MMULT(MMULT(P572:S572,$K$3:$N$6),TRANSPOSE(P572:S572)))</f>
        <v>0.12138509732590008</v>
      </c>
    </row>
    <row r="573" spans="16:23" x14ac:dyDescent="0.3">
      <c r="P573" s="26">
        <v>0.14365852700548878</v>
      </c>
      <c r="Q573" s="26">
        <v>0.17377738981420979</v>
      </c>
      <c r="R573" s="26">
        <v>0.29658541381996117</v>
      </c>
      <c r="S573" s="26">
        <v>0.38597866936034025</v>
      </c>
      <c r="T573" s="26"/>
      <c r="U573" s="9">
        <f t="array" ref="U573">MMULT(TRANSPOSE($B$3:$B$6),TRANSPOSE(P573:S573))</f>
        <v>9.2357471204306457E-2</v>
      </c>
      <c r="V573" s="26"/>
      <c r="W573" s="9">
        <f t="array" ref="W573">SQRT(MMULT(MMULT(P573:S573,$K$3:$N$6),TRANSPOSE(P573:S573)))</f>
        <v>0.15913924868637744</v>
      </c>
    </row>
    <row r="574" spans="16:23" x14ac:dyDescent="0.3">
      <c r="P574" s="26">
        <v>4.6728245691221748E-2</v>
      </c>
      <c r="Q574" s="26">
        <v>5.250202713955289E-2</v>
      </c>
      <c r="R574" s="26">
        <v>0.36597511988015485</v>
      </c>
      <c r="S574" s="26">
        <v>0.53479460728907058</v>
      </c>
      <c r="T574" s="26"/>
      <c r="U574" s="9">
        <f t="array" ref="U574">MMULT(TRANSPOSE($B$3:$B$6),TRANSPOSE(P574:S574))</f>
        <v>0.10312466784823218</v>
      </c>
      <c r="V574" s="26"/>
      <c r="W574" s="9">
        <f t="array" ref="W574">SQRT(MMULT(MMULT(P574:S574,$K$3:$N$6),TRANSPOSE(P574:S574)))</f>
        <v>0.20330550966795854</v>
      </c>
    </row>
    <row r="575" spans="16:23" x14ac:dyDescent="0.3">
      <c r="P575" s="26">
        <v>7.4623743593465658E-2</v>
      </c>
      <c r="Q575" s="26">
        <v>0.28632797595573845</v>
      </c>
      <c r="R575" s="26">
        <v>0.31765409106960862</v>
      </c>
      <c r="S575" s="26">
        <v>0.32139418938118725</v>
      </c>
      <c r="T575" s="26"/>
      <c r="U575" s="9">
        <f t="array" ref="U575">MMULT(TRANSPOSE($B$3:$B$6),TRANSPOSE(P575:S575))</f>
        <v>9.0930316418582222E-2</v>
      </c>
      <c r="V575" s="26"/>
      <c r="W575" s="9">
        <f t="array" ref="W575">SQRT(MMULT(MMULT(P575:S575,$K$3:$N$6),TRANSPOSE(P575:S575)))</f>
        <v>0.15130676239631349</v>
      </c>
    </row>
    <row r="576" spans="16:23" x14ac:dyDescent="0.3">
      <c r="P576" s="26">
        <v>8.9400395302217939E-2</v>
      </c>
      <c r="Q576" s="26">
        <v>0.24408607083923228</v>
      </c>
      <c r="R576" s="26">
        <v>0.29875006214343108</v>
      </c>
      <c r="S576" s="26">
        <v>0.36776347171511869</v>
      </c>
      <c r="T576" s="26"/>
      <c r="U576" s="9">
        <f t="array" ref="U576">MMULT(TRANSPOSE($B$3:$B$6),TRANSPOSE(P576:S576))</f>
        <v>9.2575166922580193E-2</v>
      </c>
      <c r="V576" s="26"/>
      <c r="W576" s="9">
        <f t="array" ref="W576">SQRT(MMULT(MMULT(P576:S576,$K$3:$N$6),TRANSPOSE(P576:S576)))</f>
        <v>0.15777700474678544</v>
      </c>
    </row>
    <row r="577" spans="16:23" x14ac:dyDescent="0.3">
      <c r="P577" s="26">
        <v>0.18807309823461779</v>
      </c>
      <c r="Q577" s="26">
        <v>0.24754532966215195</v>
      </c>
      <c r="R577" s="26">
        <v>0.22384674827456347</v>
      </c>
      <c r="S577" s="26">
        <v>0.34053482382866679</v>
      </c>
      <c r="T577" s="26"/>
      <c r="U577" s="9">
        <f t="array" ref="U577">MMULT(TRANSPOSE($B$3:$B$6),TRANSPOSE(P577:S577))</f>
        <v>8.7742214192232243E-2</v>
      </c>
      <c r="V577" s="26"/>
      <c r="W577" s="9">
        <f t="array" ref="W577">SQRT(MMULT(MMULT(P577:S577,$K$3:$N$6),TRANSPOSE(P577:S577)))</f>
        <v>0.14222670940477128</v>
      </c>
    </row>
    <row r="578" spans="16:23" x14ac:dyDescent="0.3">
      <c r="P578" s="26">
        <v>2.0852219017991721E-2</v>
      </c>
      <c r="Q578" s="26">
        <v>0.28976231307676731</v>
      </c>
      <c r="R578" s="26">
        <v>0.42163551754598255</v>
      </c>
      <c r="S578" s="26">
        <v>0.26774995035925842</v>
      </c>
      <c r="T578" s="26"/>
      <c r="U578" s="9">
        <f t="array" ref="U578">MMULT(TRANSPOSE($B$3:$B$6),TRANSPOSE(P578:S578))</f>
        <v>9.1403163488522732E-2</v>
      </c>
      <c r="V578" s="26"/>
      <c r="W578" s="9">
        <f t="array" ref="W578">SQRT(MMULT(MMULT(P578:S578,$K$3:$N$6),TRANSPOSE(P578:S578)))</f>
        <v>0.15447031688375373</v>
      </c>
    </row>
    <row r="579" spans="16:23" x14ac:dyDescent="0.3">
      <c r="P579" s="26">
        <v>0.21457307157644848</v>
      </c>
      <c r="Q579" s="26">
        <v>0.51737705753451169</v>
      </c>
      <c r="R579" s="26">
        <v>0.18693473036869646</v>
      </c>
      <c r="S579" s="26">
        <v>8.1115140520343368E-2</v>
      </c>
      <c r="T579" s="26"/>
      <c r="U579" s="9">
        <f t="array" ref="U579">MMULT(TRANSPOSE($B$3:$B$6),TRANSPOSE(P579:S579))</f>
        <v>7.3502990201862128E-2</v>
      </c>
      <c r="V579" s="26"/>
      <c r="W579" s="9">
        <f t="array" ref="W579">SQRT(MMULT(MMULT(P579:S579,$K$3:$N$6),TRANSPOSE(P579:S579)))</f>
        <v>0.11044601165214971</v>
      </c>
    </row>
    <row r="580" spans="16:23" x14ac:dyDescent="0.3">
      <c r="P580" s="26">
        <v>0.34967645926064106</v>
      </c>
      <c r="Q580" s="26">
        <v>8.2815127672332733E-2</v>
      </c>
      <c r="R580" s="26">
        <v>0.45939469599748023</v>
      </c>
      <c r="S580" s="26">
        <v>0.10811371706954608</v>
      </c>
      <c r="T580" s="26"/>
      <c r="U580" s="9">
        <f t="array" ref="U580">MMULT(TRANSPOSE($B$3:$B$6),TRANSPOSE(P580:S580))</f>
        <v>7.7600050588214092E-2</v>
      </c>
      <c r="V580" s="26"/>
      <c r="W580" s="9">
        <f t="array" ref="W580">SQRT(MMULT(MMULT(P580:S580,$K$3:$N$6),TRANSPOSE(P580:S580)))</f>
        <v>0.12226970809697003</v>
      </c>
    </row>
    <row r="581" spans="16:23" x14ac:dyDescent="0.3">
      <c r="P581" s="26">
        <v>0.33963151896272675</v>
      </c>
      <c r="Q581" s="26">
        <v>0.1670752257519888</v>
      </c>
      <c r="R581" s="26">
        <v>8.599852470692726E-2</v>
      </c>
      <c r="S581" s="26">
        <v>0.40729473057835719</v>
      </c>
      <c r="T581" s="26"/>
      <c r="U581" s="9">
        <f t="array" ref="U581">MMULT(TRANSPOSE($B$3:$B$6),TRANSPOSE(P581:S581))</f>
        <v>8.5292076643801867E-2</v>
      </c>
      <c r="V581" s="26"/>
      <c r="W581" s="9">
        <f t="array" ref="W581">SQRT(MMULT(MMULT(P581:S581,$K$3:$N$6),TRANSPOSE(P581:S581)))</f>
        <v>0.1429406887986179</v>
      </c>
    </row>
    <row r="582" spans="16:23" x14ac:dyDescent="0.3">
      <c r="P582" s="26">
        <v>0.36305671613595525</v>
      </c>
      <c r="Q582" s="26">
        <v>0.19372498568496055</v>
      </c>
      <c r="R582" s="26">
        <v>0.22512935606270781</v>
      </c>
      <c r="S582" s="26">
        <v>0.21808894211637636</v>
      </c>
      <c r="T582" s="26"/>
      <c r="U582" s="9">
        <f t="array" ref="U582">MMULT(TRANSPOSE($B$3:$B$6),TRANSPOSE(P582:S582))</f>
        <v>7.814589990435386E-2</v>
      </c>
      <c r="V582" s="26"/>
      <c r="W582" s="9">
        <f t="array" ref="W582">SQRT(MMULT(MMULT(P582:S582,$K$3:$N$6),TRANSPOSE(P582:S582)))</f>
        <v>0.11392524641616432</v>
      </c>
    </row>
    <row r="583" spans="16:23" x14ac:dyDescent="0.3">
      <c r="P583" s="26">
        <v>0.37671211887007217</v>
      </c>
      <c r="Q583" s="26">
        <v>3.1632584754009277E-2</v>
      </c>
      <c r="R583" s="26">
        <v>0.40840884886157264</v>
      </c>
      <c r="S583" s="26">
        <v>0.18324644751434591</v>
      </c>
      <c r="T583" s="26"/>
      <c r="U583" s="9">
        <f t="array" ref="U583">MMULT(TRANSPOSE($B$3:$B$6),TRANSPOSE(P583:S583))</f>
        <v>7.9796256975547306E-2</v>
      </c>
      <c r="V583" s="26"/>
      <c r="W583" s="9">
        <f t="array" ref="W583">SQRT(MMULT(MMULT(P583:S583,$K$3:$N$6),TRANSPOSE(P583:S583)))</f>
        <v>0.12612171595120669</v>
      </c>
    </row>
    <row r="584" spans="16:23" x14ac:dyDescent="0.3">
      <c r="P584" s="26">
        <v>0.62477658795990487</v>
      </c>
      <c r="Q584" s="26">
        <v>6.8344351325069219E-2</v>
      </c>
      <c r="R584" s="26">
        <v>0.2091138842540621</v>
      </c>
      <c r="S584" s="26">
        <v>9.7765176460963749E-2</v>
      </c>
      <c r="T584" s="26"/>
      <c r="U584" s="9">
        <f t="array" ref="U584">MMULT(TRANSPOSE($B$3:$B$6),TRANSPOSE(P584:S584))</f>
        <v>6.6575004748931327E-2</v>
      </c>
      <c r="V584" s="26"/>
      <c r="W584" s="9">
        <f t="array" ref="W584">SQRT(MMULT(MMULT(P584:S584,$K$3:$N$6),TRANSPOSE(P584:S584)))</f>
        <v>9.4226667123362098E-2</v>
      </c>
    </row>
    <row r="585" spans="16:23" x14ac:dyDescent="0.3">
      <c r="P585" s="26">
        <v>0.35876468893041585</v>
      </c>
      <c r="Q585" s="26">
        <v>0.15148993447929487</v>
      </c>
      <c r="R585" s="26">
        <v>0.14267192948184904</v>
      </c>
      <c r="S585" s="26">
        <v>0.34707344710844024</v>
      </c>
      <c r="T585" s="26"/>
      <c r="U585" s="9">
        <f t="array" ref="U585">MMULT(TRANSPOSE($B$3:$B$6),TRANSPOSE(P585:S585))</f>
        <v>8.3031817166450667E-2</v>
      </c>
      <c r="V585" s="26"/>
      <c r="W585" s="9">
        <f t="array" ref="W585">SQRT(MMULT(MMULT(P585:S585,$K$3:$N$6),TRANSPOSE(P585:S585)))</f>
        <v>0.13267467231212712</v>
      </c>
    </row>
    <row r="586" spans="16:23" x14ac:dyDescent="0.3">
      <c r="P586" s="26">
        <v>0.48365553507619691</v>
      </c>
      <c r="Q586" s="26">
        <v>0.29473670190422491</v>
      </c>
      <c r="R586" s="26">
        <v>0.18810170420389014</v>
      </c>
      <c r="S586" s="26">
        <v>3.3506058815687925E-2</v>
      </c>
      <c r="T586" s="26"/>
      <c r="U586" s="9">
        <f t="array" ref="U586">MMULT(TRANSPOSE($B$3:$B$6),TRANSPOSE(P586:S586))</f>
        <v>6.5764226323338254E-2</v>
      </c>
      <c r="V586" s="26"/>
      <c r="W586" s="9">
        <f t="array" ref="W586">SQRT(MMULT(MMULT(P586:S586,$K$3:$N$6),TRANSPOSE(P586:S586)))</f>
        <v>9.2017839264498039E-2</v>
      </c>
    </row>
    <row r="587" spans="16:23" x14ac:dyDescent="0.3">
      <c r="P587" s="26">
        <v>0.48140203478022409</v>
      </c>
      <c r="Q587" s="26">
        <v>0.48571599412637101</v>
      </c>
      <c r="R587" s="26">
        <v>7.210187448673396E-3</v>
      </c>
      <c r="S587" s="26">
        <v>2.5671783644731588E-2</v>
      </c>
      <c r="T587" s="26"/>
      <c r="U587" s="9">
        <f t="array" ref="U587">MMULT(TRANSPOSE($B$3:$B$6),TRANSPOSE(P587:S587))</f>
        <v>6.1799752235605576E-2</v>
      </c>
      <c r="V587" s="26"/>
      <c r="W587" s="9">
        <f t="array" ref="W587">SQRT(MMULT(MMULT(P587:S587,$K$3:$N$6),TRANSPOSE(P587:S587)))</f>
        <v>9.656668994806325E-2</v>
      </c>
    </row>
    <row r="588" spans="16:23" x14ac:dyDescent="0.3">
      <c r="P588" s="26">
        <v>0.38008175648286996</v>
      </c>
      <c r="Q588" s="26">
        <v>0.24064437317284612</v>
      </c>
      <c r="R588" s="26">
        <v>0.33726143571606254</v>
      </c>
      <c r="S588" s="26">
        <v>4.2012434628221421E-2</v>
      </c>
      <c r="T588" s="26"/>
      <c r="U588" s="9">
        <f t="array" ref="U588">MMULT(TRANSPOSE($B$3:$B$6),TRANSPOSE(P588:S588))</f>
        <v>7.124421531607493E-2</v>
      </c>
      <c r="V588" s="26"/>
      <c r="W588" s="9">
        <f t="array" ref="W588">SQRT(MMULT(MMULT(P588:S588,$K$3:$N$6),TRANSPOSE(P588:S588)))</f>
        <v>0.10391191693052192</v>
      </c>
    </row>
    <row r="589" spans="16:23" x14ac:dyDescent="0.3">
      <c r="P589" s="26">
        <v>7.9752350014602111E-2</v>
      </c>
      <c r="Q589" s="26">
        <v>0.69629138055875839</v>
      </c>
      <c r="R589" s="26">
        <v>0.1122595128247878</v>
      </c>
      <c r="S589" s="26">
        <v>0.11169675660185166</v>
      </c>
      <c r="T589" s="26"/>
      <c r="U589" s="9">
        <f t="array" ref="U589">MMULT(TRANSPOSE($B$3:$B$6),TRANSPOSE(P589:S589))</f>
        <v>7.6234981086296297E-2</v>
      </c>
      <c r="V589" s="26"/>
      <c r="W589" s="9">
        <f t="array" ref="W589">SQRT(MMULT(MMULT(P589:S589,$K$3:$N$6),TRANSPOSE(P589:S589)))</f>
        <v>0.12531387372574698</v>
      </c>
    </row>
    <row r="590" spans="16:23" x14ac:dyDescent="0.3">
      <c r="P590" s="26">
        <v>0.24290315961758954</v>
      </c>
      <c r="Q590" s="26">
        <v>4.6072797165918354E-2</v>
      </c>
      <c r="R590" s="26">
        <v>0.13891047809348009</v>
      </c>
      <c r="S590" s="26">
        <v>0.57211356512301192</v>
      </c>
      <c r="T590" s="26"/>
      <c r="U590" s="9">
        <f t="array" ref="U590">MMULT(TRANSPOSE($B$3:$B$6),TRANSPOSE(P590:S590))</f>
        <v>9.6525824625668402E-2</v>
      </c>
      <c r="V590" s="26"/>
      <c r="W590" s="9">
        <f t="array" ref="W590">SQRT(MMULT(MMULT(P590:S590,$K$3:$N$6),TRANSPOSE(P590:S590)))</f>
        <v>0.18882269751272104</v>
      </c>
    </row>
    <row r="591" spans="16:23" x14ac:dyDescent="0.3">
      <c r="P591" s="26">
        <v>8.8373068488166503E-3</v>
      </c>
      <c r="Q591" s="26">
        <v>0.26744972454382854</v>
      </c>
      <c r="R591" s="26">
        <v>0.4128843019302022</v>
      </c>
      <c r="S591" s="26">
        <v>0.31082866667715264</v>
      </c>
      <c r="T591" s="26"/>
      <c r="U591" s="9">
        <f t="array" ref="U591">MMULT(TRANSPOSE($B$3:$B$6),TRANSPOSE(P591:S591))</f>
        <v>9.3622373235485334E-2</v>
      </c>
      <c r="V591" s="26"/>
      <c r="W591" s="9">
        <f t="array" ref="W591">SQRT(MMULT(MMULT(P591:S591,$K$3:$N$6),TRANSPOSE(P591:S591)))</f>
        <v>0.16142314797966578</v>
      </c>
    </row>
    <row r="592" spans="16:23" x14ac:dyDescent="0.3">
      <c r="P592" s="26">
        <v>0.22247736614097588</v>
      </c>
      <c r="Q592" s="26">
        <v>0.24639716952532276</v>
      </c>
      <c r="R592" s="26">
        <v>0.2345075647451309</v>
      </c>
      <c r="S592" s="26">
        <v>0.29661789958857043</v>
      </c>
      <c r="T592" s="26"/>
      <c r="U592" s="9">
        <f t="array" ref="U592">MMULT(TRANSPOSE($B$3:$B$6),TRANSPOSE(P592:S592))</f>
        <v>8.5071498951511615E-2</v>
      </c>
      <c r="V592" s="26"/>
      <c r="W592" s="9">
        <f t="array" ref="W592">SQRT(MMULT(MMULT(P592:S592,$K$3:$N$6),TRANSPOSE(P592:S592)))</f>
        <v>0.13323429221117361</v>
      </c>
    </row>
    <row r="593" spans="16:23" x14ac:dyDescent="0.3">
      <c r="P593" s="26">
        <v>8.3122336844605363E-2</v>
      </c>
      <c r="Q593" s="26">
        <v>0.31560593332232756</v>
      </c>
      <c r="R593" s="26">
        <v>0.37650532576418222</v>
      </c>
      <c r="S593" s="26">
        <v>0.22476640406888496</v>
      </c>
      <c r="T593" s="26"/>
      <c r="U593" s="9">
        <f t="array" ref="U593">MMULT(TRANSPOSE($B$3:$B$6),TRANSPOSE(P593:S593))</f>
        <v>8.7105979981835793E-2</v>
      </c>
      <c r="V593" s="26"/>
      <c r="W593" s="9">
        <f t="array" ref="W593">SQRT(MMULT(MMULT(P593:S593,$K$3:$N$6),TRANSPOSE(P593:S593)))</f>
        <v>0.14037556985074728</v>
      </c>
    </row>
    <row r="594" spans="16:23" x14ac:dyDescent="0.3">
      <c r="P594" s="26">
        <v>0.33647970303182012</v>
      </c>
      <c r="Q594" s="26">
        <v>0.18904796191333537</v>
      </c>
      <c r="R594" s="26">
        <v>0.30497876259679191</v>
      </c>
      <c r="S594" s="26">
        <v>0.16949357245805255</v>
      </c>
      <c r="T594" s="26"/>
      <c r="U594" s="9">
        <f t="array" ref="U594">MMULT(TRANSPOSE($B$3:$B$6),TRANSPOSE(P594:S594))</f>
        <v>7.7844659814202063E-2</v>
      </c>
      <c r="V594" s="26"/>
      <c r="W594" s="9">
        <f t="array" ref="W594">SQRT(MMULT(MMULT(P594:S594,$K$3:$N$6),TRANSPOSE(P594:S594)))</f>
        <v>0.11407434154074123</v>
      </c>
    </row>
    <row r="595" spans="16:23" x14ac:dyDescent="0.3">
      <c r="P595" s="26">
        <v>0.47595432083846956</v>
      </c>
      <c r="Q595" s="26">
        <v>0.36447712235967716</v>
      </c>
      <c r="R595" s="26">
        <v>0.14388511644663662</v>
      </c>
      <c r="S595" s="26">
        <v>1.5683440355216658E-2</v>
      </c>
      <c r="T595" s="26"/>
      <c r="U595" s="9">
        <f t="array" ref="U595">MMULT(TRANSPOSE($B$3:$B$6),TRANSPOSE(P595:S595))</f>
        <v>6.4142787929924172E-2</v>
      </c>
      <c r="V595" s="26"/>
      <c r="W595" s="9">
        <f t="array" ref="W595">SQRT(MMULT(MMULT(P595:S595,$K$3:$N$6),TRANSPOSE(P595:S595)))</f>
        <v>9.2441690971816065E-2</v>
      </c>
    </row>
    <row r="596" spans="16:23" x14ac:dyDescent="0.3">
      <c r="P596" s="26">
        <v>0.19817186057559408</v>
      </c>
      <c r="Q596" s="26">
        <v>0.3535574236573108</v>
      </c>
      <c r="R596" s="26">
        <v>0.19273703414035889</v>
      </c>
      <c r="S596" s="26">
        <v>0.25553368162673629</v>
      </c>
      <c r="T596" s="26"/>
      <c r="U596" s="9">
        <f t="array" ref="U596">MMULT(TRANSPOSE($B$3:$B$6),TRANSPOSE(P596:S596))</f>
        <v>8.2667987552632105E-2</v>
      </c>
      <c r="V596" s="26"/>
      <c r="W596" s="9">
        <f t="array" ref="W596">SQRT(MMULT(MMULT(P596:S596,$K$3:$N$6),TRANSPOSE(P596:S596)))</f>
        <v>0.12528681105733863</v>
      </c>
    </row>
    <row r="597" spans="16:23" x14ac:dyDescent="0.3">
      <c r="P597" s="26">
        <v>0.2587439258412727</v>
      </c>
      <c r="Q597" s="26">
        <v>0.45786248973541038</v>
      </c>
      <c r="R597" s="26">
        <v>1.2330245082127836E-2</v>
      </c>
      <c r="S597" s="26">
        <v>0.27106333934118892</v>
      </c>
      <c r="T597" s="26"/>
      <c r="U597" s="9">
        <f t="array" ref="U597">MMULT(TRANSPOSE($B$3:$B$6),TRANSPOSE(P597:S597))</f>
        <v>7.8624893351876543E-2</v>
      </c>
      <c r="V597" s="26"/>
      <c r="W597" s="9">
        <f t="array" ref="W597">SQRT(MMULT(MMULT(P597:S597,$K$3:$N$6),TRANSPOSE(P597:S597)))</f>
        <v>0.11965877839885498</v>
      </c>
    </row>
    <row r="598" spans="16:23" x14ac:dyDescent="0.3">
      <c r="P598" s="26">
        <v>0.30093048198651035</v>
      </c>
      <c r="Q598" s="26">
        <v>0.24796126327570034</v>
      </c>
      <c r="R598" s="26">
        <v>0.22165052185740511</v>
      </c>
      <c r="S598" s="26">
        <v>0.22945773288038426</v>
      </c>
      <c r="T598" s="26"/>
      <c r="U598" s="9">
        <f t="array" ref="U598">MMULT(TRANSPOSE($B$3:$B$6),TRANSPOSE(P598:S598))</f>
        <v>7.988728744143711E-2</v>
      </c>
      <c r="V598" s="26"/>
      <c r="W598" s="9">
        <f t="array" ref="W598">SQRT(MMULT(MMULT(P598:S598,$K$3:$N$6),TRANSPOSE(P598:S598)))</f>
        <v>0.11771585378678642</v>
      </c>
    </row>
    <row r="599" spans="16:23" x14ac:dyDescent="0.3">
      <c r="P599" s="26">
        <v>0.39692702193371066</v>
      </c>
      <c r="Q599" s="26">
        <v>0.24551365696519339</v>
      </c>
      <c r="R599" s="26">
        <v>0.17251870057787294</v>
      </c>
      <c r="S599" s="26">
        <v>0.18504062052322301</v>
      </c>
      <c r="T599" s="26"/>
      <c r="U599" s="9">
        <f t="array" ref="U599">MMULT(TRANSPOSE($B$3:$B$6),TRANSPOSE(P599:S599))</f>
        <v>7.4763864599044397E-2</v>
      </c>
      <c r="V599" s="26"/>
      <c r="W599" s="9">
        <f t="array" ref="W599">SQRT(MMULT(MMULT(P599:S599,$K$3:$N$6),TRANSPOSE(P599:S599)))</f>
        <v>0.10481596355181333</v>
      </c>
    </row>
    <row r="600" spans="16:23" x14ac:dyDescent="0.3">
      <c r="P600" s="26">
        <v>0.15811647535812046</v>
      </c>
      <c r="Q600" s="26">
        <v>0.28202242317724602</v>
      </c>
      <c r="R600" s="26">
        <v>0.23788748289341</v>
      </c>
      <c r="S600" s="26">
        <v>0.32197361857122353</v>
      </c>
      <c r="T600" s="26"/>
      <c r="U600" s="9">
        <f t="array" ref="U600">MMULT(TRANSPOSE($B$3:$B$6),TRANSPOSE(P600:S600))</f>
        <v>8.7694101079266978E-2</v>
      </c>
      <c r="V600" s="26"/>
      <c r="W600" s="9">
        <f t="array" ref="W600">SQRT(MMULT(MMULT(P600:S600,$K$3:$N$6),TRANSPOSE(P600:S600)))</f>
        <v>0.14108616021016268</v>
      </c>
    </row>
    <row r="601" spans="16:23" x14ac:dyDescent="0.3">
      <c r="P601" s="26">
        <v>0.2161162643023409</v>
      </c>
      <c r="Q601" s="26">
        <v>0.24982438018293876</v>
      </c>
      <c r="R601" s="26">
        <v>0.38785996596292305</v>
      </c>
      <c r="S601" s="26">
        <v>0.14619938955179732</v>
      </c>
      <c r="T601" s="26"/>
      <c r="U601" s="9">
        <f t="array" ref="U601">MMULT(TRANSPOSE($B$3:$B$6),TRANSPOSE(P601:S601))</f>
        <v>8.0744843510801509E-2</v>
      </c>
      <c r="V601" s="26"/>
      <c r="W601" s="9">
        <f t="array" ref="W601">SQRT(MMULT(MMULT(P601:S601,$K$3:$N$6),TRANSPOSE(P601:S601)))</f>
        <v>0.12394013606271273</v>
      </c>
    </row>
    <row r="602" spans="16:23" x14ac:dyDescent="0.3">
      <c r="P602" s="26">
        <v>0.12828007328687455</v>
      </c>
      <c r="Q602" s="26">
        <v>0.40404827388091508</v>
      </c>
      <c r="R602" s="26">
        <v>0.38656000756080339</v>
      </c>
      <c r="S602" s="26">
        <v>8.1111645271406851E-2</v>
      </c>
      <c r="T602" s="26"/>
      <c r="U602" s="9">
        <f t="array" ref="U602">MMULT(TRANSPOSE($B$3:$B$6),TRANSPOSE(P602:S602))</f>
        <v>7.9221180949048911E-2</v>
      </c>
      <c r="V602" s="26"/>
      <c r="W602" s="9">
        <f t="array" ref="W602">SQRT(MMULT(MMULT(P602:S602,$K$3:$N$6),TRANSPOSE(P602:S602)))</f>
        <v>0.12473567700201316</v>
      </c>
    </row>
    <row r="603" spans="16:23" x14ac:dyDescent="0.3">
      <c r="P603" s="26">
        <v>0.22109282594196888</v>
      </c>
      <c r="Q603" s="26">
        <v>0.21460770061403572</v>
      </c>
      <c r="R603" s="26">
        <v>0.30874341002070421</v>
      </c>
      <c r="S603" s="26">
        <v>0.25555606342329112</v>
      </c>
      <c r="T603" s="26"/>
      <c r="U603" s="9">
        <f t="array" ref="U603">MMULT(TRANSPOSE($B$3:$B$6),TRANSPOSE(P603:S603))</f>
        <v>8.4530814852739264E-2</v>
      </c>
      <c r="V603" s="26"/>
      <c r="W603" s="9">
        <f t="array" ref="W603">SQRT(MMULT(MMULT(P603:S603,$K$3:$N$6),TRANSPOSE(P603:S603)))</f>
        <v>0.13197175930196248</v>
      </c>
    </row>
    <row r="604" spans="16:23" x14ac:dyDescent="0.3">
      <c r="P604" s="26">
        <v>0.36604946150713397</v>
      </c>
      <c r="Q604" s="26">
        <v>0.31534763686785228</v>
      </c>
      <c r="R604" s="26">
        <v>0.26803603321690711</v>
      </c>
      <c r="S604" s="26">
        <v>5.0566868408106633E-2</v>
      </c>
      <c r="T604" s="26"/>
      <c r="U604" s="9">
        <f t="array" ref="U604">MMULT(TRANSPOSE($B$3:$B$6),TRANSPOSE(P604:S604))</f>
        <v>7.0568074854600787E-2</v>
      </c>
      <c r="V604" s="26"/>
      <c r="W604" s="9">
        <f t="array" ref="W604">SQRT(MMULT(MMULT(P604:S604,$K$3:$N$6),TRANSPOSE(P604:S604)))</f>
        <v>0.10068465409231338</v>
      </c>
    </row>
    <row r="605" spans="16:23" x14ac:dyDescent="0.3">
      <c r="P605" s="26">
        <v>0.1648376921279128</v>
      </c>
      <c r="Q605" s="26">
        <v>0.16237197884327423</v>
      </c>
      <c r="R605" s="26">
        <v>0.37559119744305175</v>
      </c>
      <c r="S605" s="26">
        <v>0.29719913158576111</v>
      </c>
      <c r="T605" s="26"/>
      <c r="U605" s="9">
        <f t="array" ref="U605">MMULT(TRANSPOSE($B$3:$B$6),TRANSPOSE(P605:S605))</f>
        <v>8.9075026685590836E-2</v>
      </c>
      <c r="V605" s="26"/>
      <c r="W605" s="9">
        <f t="array" ref="W605">SQRT(MMULT(MMULT(P605:S605,$K$3:$N$6),TRANSPOSE(P605:S605)))</f>
        <v>0.14799460140938051</v>
      </c>
    </row>
    <row r="606" spans="16:23" x14ac:dyDescent="0.3">
      <c r="P606" s="26">
        <v>0.21401446738832547</v>
      </c>
      <c r="Q606" s="26">
        <v>0.48534426527758712</v>
      </c>
      <c r="R606" s="26">
        <v>3.1576381508633171E-2</v>
      </c>
      <c r="S606" s="26">
        <v>0.26906488582545429</v>
      </c>
      <c r="T606" s="26"/>
      <c r="U606" s="9">
        <f t="array" ref="U606">MMULT(TRANSPOSE($B$3:$B$6),TRANSPOSE(P606:S606))</f>
        <v>7.9804482573678878E-2</v>
      </c>
      <c r="V606" s="26"/>
      <c r="W606" s="9">
        <f t="array" ref="W606">SQRT(MMULT(MMULT(P606:S606,$K$3:$N$6),TRANSPOSE(P606:S606)))</f>
        <v>0.12245649927589086</v>
      </c>
    </row>
    <row r="607" spans="16:23" x14ac:dyDescent="0.3">
      <c r="P607" s="26">
        <v>3.0247929964310447E-2</v>
      </c>
      <c r="Q607" s="26">
        <v>0.27485864861778103</v>
      </c>
      <c r="R607" s="26">
        <v>0.55626383476978669</v>
      </c>
      <c r="S607" s="26">
        <v>0.13862958664812189</v>
      </c>
      <c r="T607" s="26"/>
      <c r="U607" s="9">
        <f t="array" ref="U607">MMULT(TRANSPOSE($B$3:$B$6),TRANSPOSE(P607:S607))</f>
        <v>8.745179742851561E-2</v>
      </c>
      <c r="V607" s="26"/>
      <c r="W607" s="9">
        <f t="array" ref="W607">SQRT(MMULT(MMULT(P607:S607,$K$3:$N$6),TRANSPOSE(P607:S607)))</f>
        <v>0.15080473115998924</v>
      </c>
    </row>
    <row r="608" spans="16:23" x14ac:dyDescent="0.3">
      <c r="P608" s="26">
        <v>0.37760796808427161</v>
      </c>
      <c r="Q608" s="26">
        <v>0.22381396159724845</v>
      </c>
      <c r="R608" s="26">
        <v>0.24248183198513348</v>
      </c>
      <c r="S608" s="26">
        <v>0.15609623833334646</v>
      </c>
      <c r="T608" s="26"/>
      <c r="U608" s="9">
        <f t="array" ref="U608">MMULT(TRANSPOSE($B$3:$B$6),TRANSPOSE(P608:S608))</f>
        <v>7.5102289194684563E-2</v>
      </c>
      <c r="V608" s="26"/>
      <c r="W608" s="9">
        <f t="array" ref="W608">SQRT(MMULT(MMULT(P608:S608,$K$3:$N$6),TRANSPOSE(P608:S608)))</f>
        <v>0.10609475477866274</v>
      </c>
    </row>
    <row r="609" spans="16:23" x14ac:dyDescent="0.3">
      <c r="P609" s="26">
        <v>0.12547050503645385</v>
      </c>
      <c r="Q609" s="26">
        <v>0.3500869733596621</v>
      </c>
      <c r="R609" s="26">
        <v>0.35335173593468649</v>
      </c>
      <c r="S609" s="26">
        <v>0.17109078566919764</v>
      </c>
      <c r="T609" s="26"/>
      <c r="U609" s="9">
        <f t="array" ref="U609">MMULT(TRANSPOSE($B$3:$B$6),TRANSPOSE(P609:S609))</f>
        <v>8.3112163901424535E-2</v>
      </c>
      <c r="V609" s="26"/>
      <c r="W609" s="9">
        <f t="array" ref="W609">SQRT(MMULT(MMULT(P609:S609,$K$3:$N$6),TRANSPOSE(P609:S609)))</f>
        <v>0.12929314135549647</v>
      </c>
    </row>
    <row r="610" spans="16:23" x14ac:dyDescent="0.3">
      <c r="P610" s="26">
        <v>0.29885811314662597</v>
      </c>
      <c r="Q610" s="26">
        <v>0.25219099849155763</v>
      </c>
      <c r="R610" s="26">
        <v>0.21532239299956019</v>
      </c>
      <c r="S610" s="26">
        <v>0.23362849536225613</v>
      </c>
      <c r="T610" s="26"/>
      <c r="U610" s="9">
        <f t="array" ref="U610">MMULT(TRANSPOSE($B$3:$B$6),TRANSPOSE(P610:S610))</f>
        <v>8.0010710365171489E-2</v>
      </c>
      <c r="V610" s="26"/>
      <c r="W610" s="9">
        <f t="array" ref="W610">SQRT(MMULT(MMULT(P610:S610,$K$3:$N$6),TRANSPOSE(P610:S610)))</f>
        <v>0.11803635961445511</v>
      </c>
    </row>
    <row r="611" spans="16:23" x14ac:dyDescent="0.3">
      <c r="P611" s="26">
        <v>0.20815061281890027</v>
      </c>
      <c r="Q611" s="26">
        <v>0.3521795223630878</v>
      </c>
      <c r="R611" s="26">
        <v>0.26117749069128504</v>
      </c>
      <c r="S611" s="26">
        <v>0.17849237412672692</v>
      </c>
      <c r="T611" s="26"/>
      <c r="U611" s="9">
        <f t="array" ref="U611">MMULT(TRANSPOSE($B$3:$B$6),TRANSPOSE(P611:S611))</f>
        <v>7.9985156263784052E-2</v>
      </c>
      <c r="V611" s="26"/>
      <c r="W611" s="9">
        <f t="array" ref="W611">SQRT(MMULT(MMULT(P611:S611,$K$3:$N$6),TRANSPOSE(P611:S611)))</f>
        <v>0.11852299784563353</v>
      </c>
    </row>
    <row r="612" spans="16:23" x14ac:dyDescent="0.3">
      <c r="P612" s="26">
        <v>6.5949339079540391E-3</v>
      </c>
      <c r="Q612" s="26">
        <v>0.48797674893294612</v>
      </c>
      <c r="R612" s="26">
        <v>0.35542079085133638</v>
      </c>
      <c r="S612" s="26">
        <v>0.15000752630776337</v>
      </c>
      <c r="T612" s="26"/>
      <c r="U612" s="9">
        <f t="array" ref="U612">MMULT(TRANSPOSE($B$3:$B$6),TRANSPOSE(P612:S612))</f>
        <v>8.4476893454255811E-2</v>
      </c>
      <c r="V612" s="26"/>
      <c r="W612" s="9">
        <f t="array" ref="W612">SQRT(MMULT(MMULT(P612:S612,$K$3:$N$6),TRANSPOSE(P612:S612)))</f>
        <v>0.13714155156781854</v>
      </c>
    </row>
    <row r="613" spans="16:23" x14ac:dyDescent="0.3">
      <c r="P613" s="26">
        <v>0.26340643039505196</v>
      </c>
      <c r="Q613" s="26">
        <v>7.1575406252091481E-2</v>
      </c>
      <c r="R613" s="26">
        <v>0.38712855294214693</v>
      </c>
      <c r="S613" s="26">
        <v>0.27788961041070959</v>
      </c>
      <c r="T613" s="26"/>
      <c r="U613" s="9">
        <f t="array" ref="U613">MMULT(TRANSPOSE($B$3:$B$6),TRANSPOSE(P613:S613))</f>
        <v>8.6368922971477385E-2</v>
      </c>
      <c r="V613" s="26"/>
      <c r="W613" s="9">
        <f t="array" ref="W613">SQRT(MMULT(MMULT(P613:S613,$K$3:$N$6),TRANSPOSE(P613:S613)))</f>
        <v>0.14260449209534459</v>
      </c>
    </row>
    <row r="614" spans="16:23" x14ac:dyDescent="0.3">
      <c r="P614" s="26">
        <v>0.15647347579007559</v>
      </c>
      <c r="Q614" s="26">
        <v>0.12816172555474251</v>
      </c>
      <c r="R614" s="26">
        <v>0.35314431493165549</v>
      </c>
      <c r="S614" s="26">
        <v>0.36222048372352644</v>
      </c>
      <c r="T614" s="26"/>
      <c r="U614" s="9">
        <f t="array" ref="U614">MMULT(TRANSPOSE($B$3:$B$6),TRANSPOSE(P614:S614))</f>
        <v>9.2044440969007921E-2</v>
      </c>
      <c r="V614" s="26"/>
      <c r="W614" s="9">
        <f t="array" ref="W614">SQRT(MMULT(MMULT(P614:S614,$K$3:$N$6),TRANSPOSE(P614:S614)))</f>
        <v>0.15904407500083334</v>
      </c>
    </row>
    <row r="615" spans="16:23" x14ac:dyDescent="0.3">
      <c r="P615" s="26">
        <v>0.34752273576788562</v>
      </c>
      <c r="Q615" s="26">
        <v>0.17839220586441606</v>
      </c>
      <c r="R615" s="26">
        <v>0.15040887983711368</v>
      </c>
      <c r="S615" s="26">
        <v>0.32367617853058478</v>
      </c>
      <c r="T615" s="26"/>
      <c r="U615" s="9">
        <f t="array" ref="U615">MMULT(TRANSPOSE($B$3:$B$6),TRANSPOSE(P615:S615))</f>
        <v>8.2241531807913798E-2</v>
      </c>
      <c r="V615" s="26"/>
      <c r="W615" s="9">
        <f t="array" ref="W615">SQRT(MMULT(MMULT(P615:S615,$K$3:$N$6),TRANSPOSE(P615:S615)))</f>
        <v>0.12851305868571233</v>
      </c>
    </row>
    <row r="616" spans="16:23" x14ac:dyDescent="0.3">
      <c r="P616" s="26">
        <v>0.15057340102525335</v>
      </c>
      <c r="Q616" s="26">
        <v>0.19991357766729984</v>
      </c>
      <c r="R616" s="26">
        <v>0.31031059323728766</v>
      </c>
      <c r="S616" s="26">
        <v>0.33920242807015905</v>
      </c>
      <c r="T616" s="26"/>
      <c r="U616" s="9">
        <f t="array" ref="U616">MMULT(TRANSPOSE($B$3:$B$6),TRANSPOSE(P616:S616))</f>
        <v>9.0154865247748628E-2</v>
      </c>
      <c r="V616" s="26"/>
      <c r="W616" s="9">
        <f t="array" ref="W616">SQRT(MMULT(MMULT(P616:S616,$K$3:$N$6),TRANSPOSE(P616:S616)))</f>
        <v>0.15044253398574012</v>
      </c>
    </row>
    <row r="617" spans="16:23" x14ac:dyDescent="0.3">
      <c r="P617" s="26">
        <v>0.3298199271415721</v>
      </c>
      <c r="Q617" s="26">
        <v>0.17652407956690977</v>
      </c>
      <c r="R617" s="26">
        <v>0.33892864755619601</v>
      </c>
      <c r="S617" s="26">
        <v>0.15472734573532212</v>
      </c>
      <c r="T617" s="26"/>
      <c r="U617" s="9">
        <f t="array" ref="U617">MMULT(TRANSPOSE($B$3:$B$6),TRANSPOSE(P617:S617))</f>
        <v>7.7918541695058588E-2</v>
      </c>
      <c r="V617" s="26"/>
      <c r="W617" s="9">
        <f t="array" ref="W617">SQRT(MMULT(MMULT(P617:S617,$K$3:$N$6),TRANSPOSE(P617:S617)))</f>
        <v>0.11544688475996348</v>
      </c>
    </row>
    <row r="618" spans="16:23" x14ac:dyDescent="0.3">
      <c r="P618" s="26">
        <v>0.19640241038610487</v>
      </c>
      <c r="Q618" s="26">
        <v>0.33360979703065102</v>
      </c>
      <c r="R618" s="26">
        <v>0.14324899275007938</v>
      </c>
      <c r="S618" s="26">
        <v>0.32673879983316473</v>
      </c>
      <c r="T618" s="26"/>
      <c r="U618" s="9">
        <f t="array" ref="U618">MMULT(TRANSPOSE($B$3:$B$6),TRANSPOSE(P618:S618))</f>
        <v>8.5273871638937723E-2</v>
      </c>
      <c r="V618" s="26"/>
      <c r="W618" s="9">
        <f t="array" ref="W618">SQRT(MMULT(MMULT(P618:S618,$K$3:$N$6),TRANSPOSE(P618:S618)))</f>
        <v>0.13455482989301859</v>
      </c>
    </row>
    <row r="619" spans="16:23" x14ac:dyDescent="0.3">
      <c r="P619" s="26">
        <v>0.2417004337151161</v>
      </c>
      <c r="Q619" s="26">
        <v>0.31852711306418519</v>
      </c>
      <c r="R619" s="26">
        <v>0.20694105596573867</v>
      </c>
      <c r="S619" s="26">
        <v>0.23283139725496008</v>
      </c>
      <c r="T619" s="26"/>
      <c r="U619" s="9">
        <f t="array" ref="U619">MMULT(TRANSPOSE($B$3:$B$6),TRANSPOSE(P619:S619))</f>
        <v>8.0946382307760467E-2</v>
      </c>
      <c r="V619" s="26"/>
      <c r="W619" s="9">
        <f t="array" ref="W619">SQRT(MMULT(MMULT(P619:S619,$K$3:$N$6),TRANSPOSE(P619:S619)))</f>
        <v>0.12023517739863875</v>
      </c>
    </row>
    <row r="620" spans="16:23" x14ac:dyDescent="0.3">
      <c r="P620" s="26">
        <v>0.16128363005429627</v>
      </c>
      <c r="Q620" s="26">
        <v>0.21298005214514829</v>
      </c>
      <c r="R620" s="26">
        <v>0.31577119817882454</v>
      </c>
      <c r="S620" s="26">
        <v>0.30996511962173101</v>
      </c>
      <c r="T620" s="26"/>
      <c r="U620" s="9">
        <f t="array" ref="U620">MMULT(TRANSPOSE($B$3:$B$6),TRANSPOSE(P620:S620))</f>
        <v>8.8588007343577121E-2</v>
      </c>
      <c r="V620" s="26"/>
      <c r="W620" s="9">
        <f t="array" ref="W620">SQRT(MMULT(MMULT(P620:S620,$K$3:$N$6),TRANSPOSE(P620:S620)))</f>
        <v>0.14484090503207822</v>
      </c>
    </row>
    <row r="621" spans="16:23" x14ac:dyDescent="0.3">
      <c r="P621" s="26">
        <v>5.6193622924644903E-3</v>
      </c>
      <c r="Q621" s="26">
        <v>0.43943788421600077</v>
      </c>
      <c r="R621" s="26">
        <v>0.3837642201903439</v>
      </c>
      <c r="S621" s="26">
        <v>0.17117853330119071</v>
      </c>
      <c r="T621" s="26"/>
      <c r="U621" s="9">
        <f t="array" ref="U621">MMULT(TRANSPOSE($B$3:$B$6),TRANSPOSE(P621:S621))</f>
        <v>8.6121823823017113E-2</v>
      </c>
      <c r="V621" s="26"/>
      <c r="W621" s="9">
        <f t="array" ref="W621">SQRT(MMULT(MMULT(P621:S621,$K$3:$N$6),TRANSPOSE(P621:S621)))</f>
        <v>0.14058970165181808</v>
      </c>
    </row>
    <row r="622" spans="16:23" x14ac:dyDescent="0.3">
      <c r="P622" s="26">
        <v>0.36547805456505239</v>
      </c>
      <c r="Q622" s="26">
        <v>0.18321588215970511</v>
      </c>
      <c r="R622" s="26">
        <v>0.31748965959893521</v>
      </c>
      <c r="S622" s="26">
        <v>0.13381640367630743</v>
      </c>
      <c r="T622" s="26"/>
      <c r="U622" s="9">
        <f t="array" ref="U622">MMULT(TRANSPOSE($B$3:$B$6),TRANSPOSE(P622:S622))</f>
        <v>7.5731052284493033E-2</v>
      </c>
      <c r="V622" s="26"/>
      <c r="W622" s="9">
        <f t="array" ref="W622">SQRT(MMULT(MMULT(P622:S622,$K$3:$N$6),TRANSPOSE(P622:S622)))</f>
        <v>0.10979185997780391</v>
      </c>
    </row>
    <row r="623" spans="16:23" x14ac:dyDescent="0.3">
      <c r="P623" s="26">
        <v>0.14069981194627659</v>
      </c>
      <c r="Q623" s="26">
        <v>0.31965173085856741</v>
      </c>
      <c r="R623" s="26">
        <v>0.13694182691744972</v>
      </c>
      <c r="S623" s="26">
        <v>0.4027066302777062</v>
      </c>
      <c r="T623" s="26"/>
      <c r="U623" s="9">
        <f t="array" ref="U623">MMULT(TRANSPOSE($B$3:$B$6),TRANSPOSE(P623:S623))</f>
        <v>9.0060171813308776E-2</v>
      </c>
      <c r="V623" s="26"/>
      <c r="W623" s="9">
        <f t="array" ref="W623">SQRT(MMULT(MMULT(P623:S623,$K$3:$N$6),TRANSPOSE(P623:S623)))</f>
        <v>0.15150263211045445</v>
      </c>
    </row>
    <row r="624" spans="16:23" x14ac:dyDescent="0.3">
      <c r="P624" s="26">
        <v>0.33563583058306329</v>
      </c>
      <c r="Q624" s="26">
        <v>0.14153665315650646</v>
      </c>
      <c r="R624" s="26">
        <v>0.36465248762480185</v>
      </c>
      <c r="S624" s="26">
        <v>0.15817502863562832</v>
      </c>
      <c r="T624" s="26"/>
      <c r="U624" s="9">
        <f t="array" ref="U624">MMULT(TRANSPOSE($B$3:$B$6),TRANSPOSE(P624:S624))</f>
        <v>7.8489084572616177E-2</v>
      </c>
      <c r="V624" s="26"/>
      <c r="W624" s="9">
        <f t="array" ref="W624">SQRT(MMULT(MMULT(P624:S624,$K$3:$N$6),TRANSPOSE(P624:S624)))</f>
        <v>0.11824039412491665</v>
      </c>
    </row>
    <row r="625" spans="16:23" x14ac:dyDescent="0.3">
      <c r="P625" s="26">
        <v>0.32568095332398089</v>
      </c>
      <c r="Q625" s="26">
        <v>0.11894049162515723</v>
      </c>
      <c r="R625" s="26">
        <v>0.37396693738341108</v>
      </c>
      <c r="S625" s="26">
        <v>0.18141161766745068</v>
      </c>
      <c r="T625" s="26"/>
      <c r="U625" s="9">
        <f t="array" ref="U625">MMULT(TRANSPOSE($B$3:$B$6),TRANSPOSE(P625:S625))</f>
        <v>8.0036300564561125E-2</v>
      </c>
      <c r="V625" s="26"/>
      <c r="W625" s="9">
        <f t="array" ref="W625">SQRT(MMULT(MMULT(P625:S625,$K$3:$N$6),TRANSPOSE(P625:S625)))</f>
        <v>0.12281302264827162</v>
      </c>
    </row>
    <row r="626" spans="16:23" x14ac:dyDescent="0.3">
      <c r="P626" s="26">
        <v>0.39392812643257735</v>
      </c>
      <c r="Q626" s="26">
        <v>3.6796387937594655E-2</v>
      </c>
      <c r="R626" s="26">
        <v>0.1714379049241003</v>
      </c>
      <c r="S626" s="26">
        <v>0.39783758070572772</v>
      </c>
      <c r="T626" s="26"/>
      <c r="U626" s="9">
        <f t="array" ref="U626">MMULT(TRANSPOSE($B$3:$B$6),TRANSPOSE(P626:S626))</f>
        <v>8.5442074605116852E-2</v>
      </c>
      <c r="V626" s="26"/>
      <c r="W626" s="9">
        <f t="array" ref="W626">SQRT(MMULT(MMULT(P626:S626,$K$3:$N$6),TRANSPOSE(P626:S626)))</f>
        <v>0.14611297763737735</v>
      </c>
    </row>
    <row r="627" spans="16:23" x14ac:dyDescent="0.3">
      <c r="P627" s="26">
        <v>0.31073964506291157</v>
      </c>
      <c r="Q627" s="26">
        <v>0.37105009970274577</v>
      </c>
      <c r="R627" s="26">
        <v>0.20576231032336251</v>
      </c>
      <c r="S627" s="26">
        <v>0.11244794491098006</v>
      </c>
      <c r="T627" s="26"/>
      <c r="U627" s="9">
        <f t="array" ref="U627">MMULT(TRANSPOSE($B$3:$B$6),TRANSPOSE(P627:S627))</f>
        <v>7.3522850550758009E-2</v>
      </c>
      <c r="V627" s="26"/>
      <c r="W627" s="9">
        <f t="array" ref="W627">SQRT(MMULT(MMULT(P627:S627,$K$3:$N$6),TRANSPOSE(P627:S627)))</f>
        <v>0.10395983357471203</v>
      </c>
    </row>
    <row r="628" spans="16:23" x14ac:dyDescent="0.3">
      <c r="P628" s="26">
        <v>0.32364568109189623</v>
      </c>
      <c r="Q628" s="26">
        <v>0.17107387250453646</v>
      </c>
      <c r="R628" s="26">
        <v>0.3393517011123765</v>
      </c>
      <c r="S628" s="26">
        <v>0.16592874529119078</v>
      </c>
      <c r="T628" s="26"/>
      <c r="U628" s="9">
        <f t="array" ref="U628">MMULT(TRANSPOSE($B$3:$B$6),TRANSPOSE(P628:S628))</f>
        <v>7.8610557664969133E-2</v>
      </c>
      <c r="V628" s="26"/>
      <c r="W628" s="9">
        <f t="array" ref="W628">SQRT(MMULT(MMULT(P628:S628,$K$3:$N$6),TRANSPOSE(P628:S628)))</f>
        <v>0.11715854236701885</v>
      </c>
    </row>
    <row r="629" spans="16:23" x14ac:dyDescent="0.3">
      <c r="P629" s="26">
        <v>0.12423283066826377</v>
      </c>
      <c r="Q629" s="26">
        <v>0.41725470780173513</v>
      </c>
      <c r="R629" s="26">
        <v>0.18317455392226314</v>
      </c>
      <c r="S629" s="26">
        <v>0.27533790760773802</v>
      </c>
      <c r="T629" s="26"/>
      <c r="U629" s="9">
        <f t="array" ref="U629">MMULT(TRANSPOSE($B$3:$B$6),TRANSPOSE(P629:S629))</f>
        <v>8.4945729845466889E-2</v>
      </c>
      <c r="V629" s="26"/>
      <c r="W629" s="9">
        <f t="array" ref="W629">SQRT(MMULT(MMULT(P629:S629,$K$3:$N$6),TRANSPOSE(P629:S629)))</f>
        <v>0.1325593677509713</v>
      </c>
    </row>
    <row r="630" spans="16:23" x14ac:dyDescent="0.3">
      <c r="P630" s="26">
        <v>0.14844872670054332</v>
      </c>
      <c r="Q630" s="26">
        <v>0.20377756263326252</v>
      </c>
      <c r="R630" s="26">
        <v>0.33101296528298674</v>
      </c>
      <c r="S630" s="26">
        <v>0.31676074538320742</v>
      </c>
      <c r="T630" s="26"/>
      <c r="U630" s="9">
        <f t="array" ref="U630">MMULT(TRANSPOSE($B$3:$B$6),TRANSPOSE(P630:S630))</f>
        <v>8.9489322040809241E-2</v>
      </c>
      <c r="V630" s="26"/>
      <c r="W630" s="9">
        <f t="array" ref="W630">SQRT(MMULT(MMULT(P630:S630,$K$3:$N$6),TRANSPOSE(P630:S630)))</f>
        <v>0.14803697455255838</v>
      </c>
    </row>
    <row r="631" spans="16:23" x14ac:dyDescent="0.3">
      <c r="P631" s="26">
        <v>0.34615171181216819</v>
      </c>
      <c r="Q631" s="26">
        <v>0.36150595523665635</v>
      </c>
      <c r="R631" s="26">
        <v>0.25964532145583091</v>
      </c>
      <c r="S631" s="26">
        <v>3.2697011495344493E-2</v>
      </c>
      <c r="T631" s="26"/>
      <c r="U631" s="9">
        <f t="array" ref="U631">MMULT(TRANSPOSE($B$3:$B$6),TRANSPOSE(P631:S631))</f>
        <v>6.9904722767640481E-2</v>
      </c>
      <c r="V631" s="26"/>
      <c r="W631" s="9">
        <f t="array" ref="W631">SQRT(MMULT(MMULT(P631:S631,$K$3:$N$6),TRANSPOSE(P631:S631)))</f>
        <v>0.10138640824813867</v>
      </c>
    </row>
    <row r="632" spans="16:23" x14ac:dyDescent="0.3">
      <c r="P632" s="26">
        <v>0.19105667293049527</v>
      </c>
      <c r="Q632" s="26">
        <v>0.2104543532986862</v>
      </c>
      <c r="R632" s="26">
        <v>3.3194018014570753E-2</v>
      </c>
      <c r="S632" s="26">
        <v>0.56529495575624766</v>
      </c>
      <c r="T632" s="26"/>
      <c r="U632" s="9">
        <f t="array" ref="U632">MMULT(TRANSPOSE($B$3:$B$6),TRANSPOSE(P632:S632))</f>
        <v>9.5107494689493879E-2</v>
      </c>
      <c r="V632" s="26"/>
      <c r="W632" s="9">
        <f t="array" ref="W632">SQRT(MMULT(MMULT(P632:S632,$K$3:$N$6),TRANSPOSE(P632:S632)))</f>
        <v>0.18125586644616729</v>
      </c>
    </row>
    <row r="633" spans="16:23" x14ac:dyDescent="0.3">
      <c r="P633" s="26">
        <v>0.16206150579780523</v>
      </c>
      <c r="Q633" s="26">
        <v>0.53614357660702083</v>
      </c>
      <c r="R633" s="26">
        <v>0.18076830671979707</v>
      </c>
      <c r="S633" s="26">
        <v>0.12102661087537697</v>
      </c>
      <c r="T633" s="26"/>
      <c r="U633" s="9">
        <f t="array" ref="U633">MMULT(TRANSPOSE($B$3:$B$6),TRANSPOSE(P633:S633))</f>
        <v>7.6425466562208694E-2</v>
      </c>
      <c r="V633" s="26"/>
      <c r="W633" s="9">
        <f t="array" ref="W633">SQRT(MMULT(MMULT(P633:S633,$K$3:$N$6),TRANSPOSE(P633:S633)))</f>
        <v>0.11589484250727981</v>
      </c>
    </row>
    <row r="634" spans="16:23" x14ac:dyDescent="0.3">
      <c r="P634" s="26">
        <v>0.31438319203639498</v>
      </c>
      <c r="Q634" s="26">
        <v>0.20143891257106455</v>
      </c>
      <c r="R634" s="26">
        <v>0.26874946707610869</v>
      </c>
      <c r="S634" s="26">
        <v>0.21542842831643194</v>
      </c>
      <c r="T634" s="26"/>
      <c r="U634" s="9">
        <f t="array" ref="U634">MMULT(TRANSPOSE($B$3:$B$6),TRANSPOSE(P634:S634))</f>
        <v>7.9858746916615875E-2</v>
      </c>
      <c r="V634" s="26"/>
      <c r="W634" s="9">
        <f t="array" ref="W634">SQRT(MMULT(MMULT(P634:S634,$K$3:$N$6),TRANSPOSE(P634:S634)))</f>
        <v>0.11845851607021565</v>
      </c>
    </row>
    <row r="635" spans="16:23" x14ac:dyDescent="0.3">
      <c r="P635" s="26">
        <v>0.20858737207577424</v>
      </c>
      <c r="Q635" s="26">
        <v>0.30641395913204189</v>
      </c>
      <c r="R635" s="26">
        <v>0.24048041722794675</v>
      </c>
      <c r="S635" s="26">
        <v>0.24451825156423718</v>
      </c>
      <c r="T635" s="26"/>
      <c r="U635" s="9">
        <f t="array" ref="U635">MMULT(TRANSPOSE($B$3:$B$6),TRANSPOSE(P635:S635))</f>
        <v>8.2863773481255315E-2</v>
      </c>
      <c r="V635" s="26"/>
      <c r="W635" s="9">
        <f t="array" ref="W635">SQRT(MMULT(MMULT(P635:S635,$K$3:$N$6),TRANSPOSE(P635:S635)))</f>
        <v>0.12570664504382764</v>
      </c>
    </row>
    <row r="636" spans="16:23" x14ac:dyDescent="0.3">
      <c r="P636" s="26">
        <v>0.50946337440057199</v>
      </c>
      <c r="Q636" s="26">
        <v>2.1953379531204235E-2</v>
      </c>
      <c r="R636" s="26">
        <v>0.13700364511218474</v>
      </c>
      <c r="S636" s="26">
        <v>0.33157960095603911</v>
      </c>
      <c r="T636" s="26"/>
      <c r="U636" s="9">
        <f t="array" ref="U636">MMULT(TRANSPOSE($B$3:$B$6),TRANSPOSE(P636:S636))</f>
        <v>7.9129785462034224E-2</v>
      </c>
      <c r="V636" s="26"/>
      <c r="W636" s="9">
        <f t="array" ref="W636">SQRT(MMULT(MMULT(P636:S636,$K$3:$N$6),TRANSPOSE(P636:S636)))</f>
        <v>0.12808390447470994</v>
      </c>
    </row>
    <row r="637" spans="16:23" x14ac:dyDescent="0.3">
      <c r="P637" s="26">
        <v>0.18801137216620215</v>
      </c>
      <c r="Q637" s="26">
        <v>0.21214594607362858</v>
      </c>
      <c r="R637" s="26">
        <v>0.37172297273265648</v>
      </c>
      <c r="S637" s="26">
        <v>0.22811970902751272</v>
      </c>
      <c r="T637" s="26"/>
      <c r="U637" s="9">
        <f t="array" ref="U637">MMULT(TRANSPOSE($B$3:$B$6),TRANSPOSE(P637:S637))</f>
        <v>8.5080217462704721E-2</v>
      </c>
      <c r="V637" s="26"/>
      <c r="W637" s="9">
        <f t="array" ref="W637">SQRT(MMULT(MMULT(P637:S637,$K$3:$N$6),TRANSPOSE(P637:S637)))</f>
        <v>0.13472022497885655</v>
      </c>
    </row>
    <row r="638" spans="16:23" x14ac:dyDescent="0.3">
      <c r="P638" s="26">
        <v>0.30538493363815683</v>
      </c>
      <c r="Q638" s="26">
        <v>0.28491124334877166</v>
      </c>
      <c r="R638" s="26">
        <v>0.17138661899310503</v>
      </c>
      <c r="S638" s="26">
        <v>0.23831720401996642</v>
      </c>
      <c r="T638" s="26"/>
      <c r="U638" s="9">
        <f t="array" ref="U638">MMULT(TRANSPOSE($B$3:$B$6),TRANSPOSE(P638:S638))</f>
        <v>7.9235893908097293E-2</v>
      </c>
      <c r="V638" s="26"/>
      <c r="W638" s="9">
        <f t="array" ref="W638">SQRT(MMULT(MMULT(P638:S638,$K$3:$N$6),TRANSPOSE(P638:S638)))</f>
        <v>0.11595609777347021</v>
      </c>
    </row>
    <row r="639" spans="16:23" x14ac:dyDescent="0.3">
      <c r="P639" s="26">
        <v>0.48277563825424513</v>
      </c>
      <c r="Q639" s="26">
        <v>0.11030985085802905</v>
      </c>
      <c r="R639" s="26">
        <v>6.5394917682594561E-2</v>
      </c>
      <c r="S639" s="26">
        <v>0.3415195932051312</v>
      </c>
      <c r="T639" s="26"/>
      <c r="U639" s="9">
        <f t="array" ref="U639">MMULT(TRANSPOSE($B$3:$B$6),TRANSPOSE(P639:S639))</f>
        <v>7.872836524882354E-2</v>
      </c>
      <c r="V639" s="26"/>
      <c r="W639" s="9">
        <f t="array" ref="W639">SQRT(MMULT(MMULT(P639:S639,$K$3:$N$6),TRANSPOSE(P639:S639)))</f>
        <v>0.12551549716950325</v>
      </c>
    </row>
    <row r="640" spans="16:23" x14ac:dyDescent="0.3">
      <c r="P640" s="26">
        <v>0.16494951940327937</v>
      </c>
      <c r="Q640" s="26">
        <v>4.4776180925602494E-3</v>
      </c>
      <c r="R640" s="26">
        <v>0.30588316890178419</v>
      </c>
      <c r="S640" s="26">
        <v>0.52468969360237627</v>
      </c>
      <c r="T640" s="26"/>
      <c r="U640" s="9">
        <f t="array" ref="U640">MMULT(TRANSPOSE($B$3:$B$6),TRANSPOSE(P640:S640))</f>
        <v>9.9053157670088918E-2</v>
      </c>
      <c r="V640" s="26"/>
      <c r="W640" s="9">
        <f t="array" ref="W640">SQRT(MMULT(MMULT(P640:S640,$K$3:$N$6),TRANSPOSE(P640:S640)))</f>
        <v>0.19237318338973841</v>
      </c>
    </row>
    <row r="641" spans="16:23" x14ac:dyDescent="0.3">
      <c r="P641" s="26">
        <v>0.34637813036798165</v>
      </c>
      <c r="Q641" s="26">
        <v>0.33513813454774494</v>
      </c>
      <c r="R641" s="26">
        <v>7.8419929585478042E-4</v>
      </c>
      <c r="S641" s="26">
        <v>0.3176995357884187</v>
      </c>
      <c r="T641" s="26"/>
      <c r="U641" s="9">
        <f t="array" ref="U641">MMULT(TRANSPOSE($B$3:$B$6),TRANSPOSE(P641:S641))</f>
        <v>7.8973098167978401E-2</v>
      </c>
      <c r="V641" s="26"/>
      <c r="W641" s="9">
        <f t="array" ref="W641">SQRT(MMULT(MMULT(P641:S641,$K$3:$N$6),TRANSPOSE(P641:S641)))</f>
        <v>0.12171110119454985</v>
      </c>
    </row>
    <row r="642" spans="16:23" x14ac:dyDescent="0.3">
      <c r="P642" s="26">
        <v>0.27899163996994902</v>
      </c>
      <c r="Q642" s="26">
        <v>0.3234382356143638</v>
      </c>
      <c r="R642" s="26">
        <v>0.34812988421313584</v>
      </c>
      <c r="S642" s="26">
        <v>4.9440240202551416E-2</v>
      </c>
      <c r="T642" s="26"/>
      <c r="U642" s="9">
        <f t="array" ref="U642">MMULT(TRANSPOSE($B$3:$B$6),TRANSPOSE(P642:S642))</f>
        <v>7.3854776894991314E-2</v>
      </c>
      <c r="V642" s="26"/>
      <c r="W642" s="9">
        <f t="array" ref="W642">SQRT(MMULT(MMULT(P642:S642,$K$3:$N$6),TRANSPOSE(P642:S642)))</f>
        <v>0.11030891593133933</v>
      </c>
    </row>
    <row r="643" spans="16:23" x14ac:dyDescent="0.3">
      <c r="P643" s="26">
        <v>3.1933646253433465E-2</v>
      </c>
      <c r="Q643" s="26">
        <v>0.39869247758735327</v>
      </c>
      <c r="R643" s="26">
        <v>0.20434945363657453</v>
      </c>
      <c r="S643" s="26">
        <v>0.36502442252263878</v>
      </c>
      <c r="T643" s="26"/>
      <c r="U643" s="9">
        <f t="array" ref="U643">MMULT(TRANSPOSE($B$3:$B$6),TRANSPOSE(P643:S643))</f>
        <v>9.1699537273794762E-2</v>
      </c>
      <c r="V643" s="26"/>
      <c r="W643" s="9">
        <f t="array" ref="W643">SQRT(MMULT(MMULT(P643:S643,$K$3:$N$6),TRANSPOSE(P643:S643)))</f>
        <v>0.15408798346693636</v>
      </c>
    </row>
    <row r="644" spans="16:23" x14ac:dyDescent="0.3">
      <c r="P644" s="26">
        <v>0.32984151013232144</v>
      </c>
      <c r="Q644" s="26">
        <v>0.12279657668877203</v>
      </c>
      <c r="R644" s="26">
        <v>3.3852171925333636E-2</v>
      </c>
      <c r="S644" s="26">
        <v>0.51350974125357296</v>
      </c>
      <c r="T644" s="26"/>
      <c r="U644" s="9">
        <f t="array" ref="U644">MMULT(TRANSPOSE($B$3:$B$6),TRANSPOSE(P644:S644))</f>
        <v>8.9755700298538896E-2</v>
      </c>
      <c r="V644" s="26"/>
      <c r="W644" s="9">
        <f t="array" ref="W644">SQRT(MMULT(MMULT(P644:S644,$K$3:$N$6),TRANSPOSE(P644:S644)))</f>
        <v>0.16576468797315125</v>
      </c>
    </row>
    <row r="645" spans="16:23" x14ac:dyDescent="0.3">
      <c r="P645" s="26">
        <v>0.3325619128473023</v>
      </c>
      <c r="Q645" s="26">
        <v>0.23688422751053723</v>
      </c>
      <c r="R645" s="26">
        <v>0.39122045578614995</v>
      </c>
      <c r="S645" s="26">
        <v>3.9333403856010404E-2</v>
      </c>
      <c r="T645" s="26"/>
      <c r="U645" s="9">
        <f t="array" ref="U645">MMULT(TRANSPOSE($B$3:$B$6),TRANSPOSE(P645:S645))</f>
        <v>7.3139841051577476E-2</v>
      </c>
      <c r="V645" s="26"/>
      <c r="W645" s="9">
        <f t="array" ref="W645">SQRT(MMULT(MMULT(P645:S645,$K$3:$N$6),TRANSPOSE(P645:S645)))</f>
        <v>0.11024005196158117</v>
      </c>
    </row>
    <row r="646" spans="16:23" x14ac:dyDescent="0.3">
      <c r="P646" s="26">
        <v>0.22445784577141659</v>
      </c>
      <c r="Q646" s="26">
        <v>0.23145989173183742</v>
      </c>
      <c r="R646" s="26">
        <v>0.3287335861519991</v>
      </c>
      <c r="S646" s="26">
        <v>0.21534867634474683</v>
      </c>
      <c r="T646" s="26"/>
      <c r="U646" s="9">
        <f t="array" ref="U646">MMULT(TRANSPOSE($B$3:$B$6),TRANSPOSE(P646:S646))</f>
        <v>8.2852948624848988E-2</v>
      </c>
      <c r="V646" s="26"/>
      <c r="W646" s="9">
        <f t="array" ref="W646">SQRT(MMULT(MMULT(P646:S646,$K$3:$N$6),TRANSPOSE(P646:S646)))</f>
        <v>0.12717590647366858</v>
      </c>
    </row>
    <row r="647" spans="16:23" x14ac:dyDescent="0.3">
      <c r="P647" s="26">
        <v>0.13301829478634089</v>
      </c>
      <c r="Q647" s="26">
        <v>0.31761803265199767</v>
      </c>
      <c r="R647" s="26">
        <v>0.1422227865301279</v>
      </c>
      <c r="S647" s="26">
        <v>0.40714088603153364</v>
      </c>
      <c r="T647" s="26"/>
      <c r="U647" s="9">
        <f t="array" ref="U647">MMULT(TRANSPOSE($B$3:$B$6),TRANSPOSE(P647:S647))</f>
        <v>9.0541134136452428E-2</v>
      </c>
      <c r="V647" s="26"/>
      <c r="W647" s="9">
        <f t="array" ref="W647">SQRT(MMULT(MMULT(P647:S647,$K$3:$N$6),TRANSPOSE(P647:S647)))</f>
        <v>0.15304443667499065</v>
      </c>
    </row>
    <row r="648" spans="16:23" x14ac:dyDescent="0.3">
      <c r="P648" s="26">
        <v>0.11878433774490131</v>
      </c>
      <c r="Q648" s="26">
        <v>0.38555554045189089</v>
      </c>
      <c r="R648" s="26">
        <v>0.12973163992208761</v>
      </c>
      <c r="S648" s="26">
        <v>0.36592848188112026</v>
      </c>
      <c r="T648" s="26"/>
      <c r="U648" s="9">
        <f t="array" ref="U648">MMULT(TRANSPOSE($B$3:$B$6),TRANSPOSE(P648:S648))</f>
        <v>8.8515370137599747E-2</v>
      </c>
      <c r="V648" s="26"/>
      <c r="W648" s="9">
        <f t="array" ref="W648">SQRT(MMULT(MMULT(P648:S648,$K$3:$N$6),TRANSPOSE(P648:S648)))</f>
        <v>0.14534768454459815</v>
      </c>
    </row>
    <row r="649" spans="16:23" x14ac:dyDescent="0.3">
      <c r="P649" s="26">
        <v>0.23414596579187133</v>
      </c>
      <c r="Q649" s="26">
        <v>0.20717474227162744</v>
      </c>
      <c r="R649" s="26">
        <v>0.26339679273354732</v>
      </c>
      <c r="S649" s="26">
        <v>0.2952824992029538</v>
      </c>
      <c r="T649" s="26"/>
      <c r="U649" s="9">
        <f t="array" ref="U649">MMULT(TRANSPOSE($B$3:$B$6),TRANSPOSE(P649:S649))</f>
        <v>8.5349141498981207E-2</v>
      </c>
      <c r="V649" s="26"/>
      <c r="W649" s="9">
        <f t="array" ref="W649">SQRT(MMULT(MMULT(P649:S649,$K$3:$N$6),TRANSPOSE(P649:S649)))</f>
        <v>0.13471304086788266</v>
      </c>
    </row>
    <row r="650" spans="16:23" x14ac:dyDescent="0.3">
      <c r="P650" s="26">
        <v>0.28313399823967655</v>
      </c>
      <c r="Q650" s="26">
        <v>0.29517814880377974</v>
      </c>
      <c r="R650" s="26">
        <v>0.10828825285057712</v>
      </c>
      <c r="S650" s="26">
        <v>0.31339960010596662</v>
      </c>
      <c r="T650" s="26"/>
      <c r="U650" s="9">
        <f t="array" ref="U650">MMULT(TRANSPOSE($B$3:$B$6),TRANSPOSE(P650:S650))</f>
        <v>8.2173065097516346E-2</v>
      </c>
      <c r="V650" s="26"/>
      <c r="W650" s="9">
        <f t="array" ref="W650">SQRT(MMULT(MMULT(P650:S650,$K$3:$N$6),TRANSPOSE(P650:S650)))</f>
        <v>0.12648358345563379</v>
      </c>
    </row>
    <row r="651" spans="16:23" x14ac:dyDescent="0.3">
      <c r="P651" s="26">
        <v>0.31756675973437903</v>
      </c>
      <c r="Q651" s="26">
        <v>0.2729586954717258</v>
      </c>
      <c r="R651" s="26">
        <v>0.33044721479349154</v>
      </c>
      <c r="S651" s="26">
        <v>7.9027330000403628E-2</v>
      </c>
      <c r="T651" s="26"/>
      <c r="U651" s="9">
        <f t="array" ref="U651">MMULT(TRANSPOSE($B$3:$B$6),TRANSPOSE(P651:S651))</f>
        <v>7.4208975601202432E-2</v>
      </c>
      <c r="V651" s="26"/>
      <c r="W651" s="9">
        <f t="array" ref="W651">SQRT(MMULT(MMULT(P651:S651,$K$3:$N$6),TRANSPOSE(P651:S651)))</f>
        <v>0.10817170611282853</v>
      </c>
    </row>
    <row r="652" spans="16:23" x14ac:dyDescent="0.3">
      <c r="P652" s="26">
        <v>0.23364766252790942</v>
      </c>
      <c r="Q652" s="26">
        <v>0.40019194634396305</v>
      </c>
      <c r="R652" s="26">
        <v>8.7885642315679344E-2</v>
      </c>
      <c r="S652" s="26">
        <v>0.27827474881244812</v>
      </c>
      <c r="T652" s="26"/>
      <c r="U652" s="9">
        <f t="array" ref="U652">MMULT(TRANSPOSE($B$3:$B$6),TRANSPOSE(P652:S652))</f>
        <v>8.0998497036377792E-2</v>
      </c>
      <c r="V652" s="26"/>
      <c r="W652" s="9">
        <f t="array" ref="W652">SQRT(MMULT(MMULT(P652:S652,$K$3:$N$6),TRANSPOSE(P652:S652)))</f>
        <v>0.12278073659800873</v>
      </c>
    </row>
    <row r="653" spans="16:23" x14ac:dyDescent="0.3">
      <c r="P653" s="26">
        <v>0.39674830844060638</v>
      </c>
      <c r="Q653" s="26">
        <v>0.15251688175659572</v>
      </c>
      <c r="R653" s="26">
        <v>5.2646471705892532E-2</v>
      </c>
      <c r="S653" s="26">
        <v>0.39808833809690541</v>
      </c>
      <c r="T653" s="26"/>
      <c r="U653" s="9">
        <f t="array" ref="U653">MMULT(TRANSPOSE($B$3:$B$6),TRANSPOSE(P653:S653))</f>
        <v>8.3022380170150997E-2</v>
      </c>
      <c r="V653" s="26"/>
      <c r="W653" s="9">
        <f t="array" ref="W653">SQRT(MMULT(MMULT(P653:S653,$K$3:$N$6),TRANSPOSE(P653:S653)))</f>
        <v>0.13816082945120511</v>
      </c>
    </row>
    <row r="654" spans="16:23" x14ac:dyDescent="0.3">
      <c r="P654" s="26">
        <v>0.33312504105709756</v>
      </c>
      <c r="Q654" s="26">
        <v>0.18100893524564449</v>
      </c>
      <c r="R654" s="26">
        <v>0.11426524455445647</v>
      </c>
      <c r="S654" s="26">
        <v>0.37160077914280132</v>
      </c>
      <c r="T654" s="26"/>
      <c r="U654" s="9">
        <f t="array" ref="U654">MMULT(TRANSPOSE($B$3:$B$6),TRANSPOSE(P654:S654))</f>
        <v>8.4202843027087235E-2</v>
      </c>
      <c r="V654" s="26"/>
      <c r="W654" s="9">
        <f t="array" ref="W654">SQRT(MMULT(MMULT(P654:S654,$K$3:$N$6),TRANSPOSE(P654:S654)))</f>
        <v>0.13674148580018852</v>
      </c>
    </row>
    <row r="655" spans="16:23" x14ac:dyDescent="0.3">
      <c r="P655" s="26">
        <v>0.29668368991079025</v>
      </c>
      <c r="Q655" s="26">
        <v>0.32928443144273339</v>
      </c>
      <c r="R655" s="26">
        <v>0.10240662865143696</v>
      </c>
      <c r="S655" s="26">
        <v>0.2716252499950394</v>
      </c>
      <c r="T655" s="26"/>
      <c r="U655" s="9">
        <f t="array" ref="U655">MMULT(TRANSPOSE($B$3:$B$6),TRANSPOSE(P655:S655))</f>
        <v>7.9695721274564896E-2</v>
      </c>
      <c r="V655" s="26"/>
      <c r="W655" s="9">
        <f t="array" ref="W655">SQRT(MMULT(MMULT(P655:S655,$K$3:$N$6),TRANSPOSE(P655:S655)))</f>
        <v>0.11864290834433834</v>
      </c>
    </row>
    <row r="656" spans="16:23" x14ac:dyDescent="0.3">
      <c r="P656" s="26">
        <v>0.27947825200652782</v>
      </c>
      <c r="Q656" s="26">
        <v>0.32323615497703734</v>
      </c>
      <c r="R656" s="26">
        <v>5.1561588518185937E-2</v>
      </c>
      <c r="S656" s="26">
        <v>0.34572400449824892</v>
      </c>
      <c r="T656" s="26"/>
      <c r="U656" s="9">
        <f t="array" ref="U656">MMULT(TRANSPOSE($B$3:$B$6),TRANSPOSE(P656:S656))</f>
        <v>8.2727866955145613E-2</v>
      </c>
      <c r="V656" s="26"/>
      <c r="W656" s="9">
        <f t="array" ref="W656">SQRT(MMULT(MMULT(P656:S656,$K$3:$N$6),TRANSPOSE(P656:S656)))</f>
        <v>0.13056207993856611</v>
      </c>
    </row>
    <row r="657" spans="16:23" x14ac:dyDescent="0.3">
      <c r="P657" s="26">
        <v>0.41054027782451247</v>
      </c>
      <c r="Q657" s="26">
        <v>0.25058265508105365</v>
      </c>
      <c r="R657" s="26">
        <v>0.19755467785346814</v>
      </c>
      <c r="S657" s="26">
        <v>0.14132238924096563</v>
      </c>
      <c r="T657" s="26"/>
      <c r="U657" s="9">
        <f t="array" ref="U657">MMULT(TRANSPOSE($B$3:$B$6),TRANSPOSE(P657:S657))</f>
        <v>7.2806407462627384E-2</v>
      </c>
      <c r="V657" s="26"/>
      <c r="W657" s="9">
        <f t="array" ref="W657">SQRT(MMULT(MMULT(P657:S657,$K$3:$N$6),TRANSPOSE(P657:S657)))</f>
        <v>0.10061039085149844</v>
      </c>
    </row>
    <row r="658" spans="16:23" x14ac:dyDescent="0.3">
      <c r="P658" s="26">
        <v>0.16155740967971083</v>
      </c>
      <c r="Q658" s="26">
        <v>0.28894714707848035</v>
      </c>
      <c r="R658" s="26">
        <v>0.17665793922114464</v>
      </c>
      <c r="S658" s="26">
        <v>0.37283750402066423</v>
      </c>
      <c r="T658" s="26"/>
      <c r="U658" s="9">
        <f t="array" ref="U658">MMULT(TRANSPOSE($B$3:$B$6),TRANSPOSE(P658:S658))</f>
        <v>8.8943885791861882E-2</v>
      </c>
      <c r="V658" s="26"/>
      <c r="W658" s="9">
        <f t="array" ref="W658">SQRT(MMULT(MMULT(P658:S658,$K$3:$N$6),TRANSPOSE(P658:S658)))</f>
        <v>0.14670857830651599</v>
      </c>
    </row>
    <row r="659" spans="16:23" x14ac:dyDescent="0.3">
      <c r="P659" s="26">
        <v>8.1462032418385386E-2</v>
      </c>
      <c r="Q659" s="26">
        <v>9.3073391732185304E-2</v>
      </c>
      <c r="R659" s="26">
        <v>0.34629359756886069</v>
      </c>
      <c r="S659" s="26">
        <v>0.47917097828056859</v>
      </c>
      <c r="T659" s="26"/>
      <c r="U659" s="9">
        <f t="array" ref="U659">MMULT(TRANSPOSE($B$3:$B$6),TRANSPOSE(P659:S659))</f>
        <v>9.9255180217037942E-2</v>
      </c>
      <c r="V659" s="26"/>
      <c r="W659" s="9">
        <f t="array" ref="W659">SQRT(MMULT(MMULT(P659:S659,$K$3:$N$6),TRANSPOSE(P659:S659)))</f>
        <v>0.18693386133004686</v>
      </c>
    </row>
    <row r="660" spans="16:23" x14ac:dyDescent="0.3">
      <c r="P660" s="26">
        <v>0.24892261782625785</v>
      </c>
      <c r="Q660" s="26">
        <v>3.0514222492149811E-2</v>
      </c>
      <c r="R660" s="26">
        <v>0.25116056136316811</v>
      </c>
      <c r="S660" s="26">
        <v>0.46940259831842429</v>
      </c>
      <c r="T660" s="26"/>
      <c r="U660" s="9">
        <f t="array" ref="U660">MMULT(TRANSPOSE($B$3:$B$6),TRANSPOSE(P660:S660))</f>
        <v>9.3514888786659423E-2</v>
      </c>
      <c r="V660" s="26"/>
      <c r="W660" s="9">
        <f t="array" ref="W660">SQRT(MMULT(MMULT(P660:S660,$K$3:$N$6),TRANSPOSE(P660:S660)))</f>
        <v>0.1719487180126463</v>
      </c>
    </row>
    <row r="661" spans="16:23" x14ac:dyDescent="0.3">
      <c r="P661" s="26">
        <v>0.26533385022218364</v>
      </c>
      <c r="Q661" s="26">
        <v>0.22378503332915528</v>
      </c>
      <c r="R661" s="26">
        <v>0.21504221083036029</v>
      </c>
      <c r="S661" s="26">
        <v>0.29583890561830073</v>
      </c>
      <c r="T661" s="26"/>
      <c r="U661" s="9">
        <f t="array" ref="U661">MMULT(TRANSPOSE($B$3:$B$6),TRANSPOSE(P661:S661))</f>
        <v>8.3786112493078574E-2</v>
      </c>
      <c r="V661" s="26"/>
      <c r="W661" s="9">
        <f t="array" ref="W661">SQRT(MMULT(MMULT(P661:S661,$K$3:$N$6),TRANSPOSE(P661:S661)))</f>
        <v>0.12997346083595648</v>
      </c>
    </row>
    <row r="662" spans="16:23" x14ac:dyDescent="0.3">
      <c r="P662" s="26">
        <v>0.25906075149861557</v>
      </c>
      <c r="Q662" s="26">
        <v>0.25941765001841749</v>
      </c>
      <c r="R662" s="26">
        <v>0.23195352631296506</v>
      </c>
      <c r="S662" s="26">
        <v>0.24956807217000179</v>
      </c>
      <c r="T662" s="26"/>
      <c r="U662" s="9">
        <f t="array" ref="U662">MMULT(TRANSPOSE($B$3:$B$6),TRANSPOSE(P662:S662))</f>
        <v>8.1936259104787079E-2</v>
      </c>
      <c r="V662" s="26"/>
      <c r="W662" s="9">
        <f t="array" ref="W662">SQRT(MMULT(MMULT(P662:S662,$K$3:$N$6),TRANSPOSE(P662:S662)))</f>
        <v>0.12338951258427081</v>
      </c>
    </row>
    <row r="663" spans="16:23" x14ac:dyDescent="0.3">
      <c r="P663" s="26">
        <v>0.39314009954563539</v>
      </c>
      <c r="Q663" s="26">
        <v>3.6830466197947893E-2</v>
      </c>
      <c r="R663" s="26">
        <v>0.26968809803452493</v>
      </c>
      <c r="S663" s="26">
        <v>0.30034133622189174</v>
      </c>
      <c r="T663" s="26"/>
      <c r="U663" s="9">
        <f t="array" ref="U663">MMULT(TRANSPOSE($B$3:$B$6),TRANSPOSE(P663:S663))</f>
        <v>8.2548026780872377E-2</v>
      </c>
      <c r="V663" s="26"/>
      <c r="W663" s="9">
        <f t="array" ref="W663">SQRT(MMULT(MMULT(P663:S663,$K$3:$N$6),TRANSPOSE(P663:S663)))</f>
        <v>0.13279796800085589</v>
      </c>
    </row>
    <row r="664" spans="16:23" x14ac:dyDescent="0.3">
      <c r="P664" s="26">
        <v>2.5879763142178726E-4</v>
      </c>
      <c r="Q664" s="26">
        <v>0.4253952754737147</v>
      </c>
      <c r="R664" s="26">
        <v>0.36775583266128692</v>
      </c>
      <c r="S664" s="26">
        <v>0.20659009423357663</v>
      </c>
      <c r="T664" s="26"/>
      <c r="U664" s="9">
        <f t="array" ref="U664">MMULT(TRANSPOSE($B$3:$B$6),TRANSPOSE(P664:S664))</f>
        <v>8.7679445412276139E-2</v>
      </c>
      <c r="V664" s="26"/>
      <c r="W664" s="9">
        <f t="array" ref="W664">SQRT(MMULT(MMULT(P664:S664,$K$3:$N$6),TRANSPOSE(P664:S664)))</f>
        <v>0.14344835663061933</v>
      </c>
    </row>
    <row r="665" spans="16:23" x14ac:dyDescent="0.3">
      <c r="P665" s="26">
        <v>2.6481757695856558E-2</v>
      </c>
      <c r="Q665" s="26">
        <v>0.75197331534555834</v>
      </c>
      <c r="R665" s="26">
        <v>4.7960411506702362E-2</v>
      </c>
      <c r="S665" s="26">
        <v>0.17358451545188272</v>
      </c>
      <c r="T665" s="26"/>
      <c r="U665" s="9">
        <f t="array" ref="U665">MMULT(TRANSPOSE($B$3:$B$6),TRANSPOSE(P665:S665))</f>
        <v>7.9108798848811057E-2</v>
      </c>
      <c r="V665" s="26"/>
      <c r="W665" s="9">
        <f t="array" ref="W665">SQRT(MMULT(MMULT(P665:S665,$K$3:$N$6),TRANSPOSE(P665:S665)))</f>
        <v>0.13377484421733413</v>
      </c>
    </row>
    <row r="666" spans="16:23" x14ac:dyDescent="0.3">
      <c r="P666" s="26">
        <v>0.12564466746144573</v>
      </c>
      <c r="Q666" s="26">
        <v>0.63441833009912663</v>
      </c>
      <c r="R666" s="26">
        <v>0.11168490739908343</v>
      </c>
      <c r="S666" s="26">
        <v>0.12825209504034416</v>
      </c>
      <c r="T666" s="26"/>
      <c r="U666" s="9">
        <f t="array" ref="U666">MMULT(TRANSPOSE($B$3:$B$6),TRANSPOSE(P666:S666))</f>
        <v>7.6133409550769957E-2</v>
      </c>
      <c r="V666" s="26"/>
      <c r="W666" s="9">
        <f t="array" ref="W666">SQRT(MMULT(MMULT(P666:S666,$K$3:$N$6),TRANSPOSE(P666:S666)))</f>
        <v>0.12029585256470766</v>
      </c>
    </row>
    <row r="667" spans="16:23" x14ac:dyDescent="0.3">
      <c r="P667" s="26">
        <v>0.4311470455455354</v>
      </c>
      <c r="Q667" s="26">
        <v>0.33218890199194856</v>
      </c>
      <c r="R667" s="26">
        <v>5.9122871131277288E-2</v>
      </c>
      <c r="S667" s="26">
        <v>0.1775411813312387</v>
      </c>
      <c r="T667" s="26"/>
      <c r="U667" s="9">
        <f t="array" ref="U667">MMULT(TRANSPOSE($B$3:$B$6),TRANSPOSE(P667:S667))</f>
        <v>7.1436575578276762E-2</v>
      </c>
      <c r="V667" s="26"/>
      <c r="W667" s="9">
        <f t="array" ref="W667">SQRT(MMULT(MMULT(P667:S667,$K$3:$N$6),TRANSPOSE(P667:S667)))</f>
        <v>9.9486345215017327E-2</v>
      </c>
    </row>
    <row r="668" spans="16:23" x14ac:dyDescent="0.3">
      <c r="P668" s="26">
        <v>0.55576240680607769</v>
      </c>
      <c r="Q668" s="26">
        <v>0.35432824188027062</v>
      </c>
      <c r="R668" s="26">
        <v>4.3614408090515006E-2</v>
      </c>
      <c r="S668" s="26">
        <v>4.6294943223136584E-2</v>
      </c>
      <c r="T668" s="26"/>
      <c r="U668" s="9">
        <f t="array" ref="U668">MMULT(TRANSPOSE($B$3:$B$6),TRANSPOSE(P668:S668))</f>
        <v>6.2071787186845577E-2</v>
      </c>
      <c r="V668" s="26"/>
      <c r="W668" s="9">
        <f t="array" ref="W668">SQRT(MMULT(MMULT(P668:S668,$K$3:$N$6),TRANSPOSE(P668:S668)))</f>
        <v>8.9782712995230496E-2</v>
      </c>
    </row>
    <row r="669" spans="16:23" x14ac:dyDescent="0.3">
      <c r="P669" s="26">
        <v>1.4723385894192085E-2</v>
      </c>
      <c r="Q669" s="26">
        <v>0.47999759266702974</v>
      </c>
      <c r="R669" s="26">
        <v>0.42149024067324581</v>
      </c>
      <c r="S669" s="26">
        <v>8.3788780765532325E-2</v>
      </c>
      <c r="T669" s="26"/>
      <c r="U669" s="9">
        <f t="array" ref="U669">MMULT(TRANSPOSE($B$3:$B$6),TRANSPOSE(P669:S669))</f>
        <v>8.2324776133857705E-2</v>
      </c>
      <c r="V669" s="26"/>
      <c r="W669" s="9">
        <f t="array" ref="W669">SQRT(MMULT(MMULT(P669:S669,$K$3:$N$6),TRANSPOSE(P669:S669)))</f>
        <v>0.1367254648312631</v>
      </c>
    </row>
    <row r="670" spans="16:23" x14ac:dyDescent="0.3">
      <c r="P670" s="26">
        <v>0.11231540629624465</v>
      </c>
      <c r="Q670" s="26">
        <v>0.38816701987597602</v>
      </c>
      <c r="R670" s="26">
        <v>0.11056264993270017</v>
      </c>
      <c r="S670" s="26">
        <v>0.38895492389507919</v>
      </c>
      <c r="T670" s="26"/>
      <c r="U670" s="9">
        <f t="array" ref="U670">MMULT(TRANSPOSE($B$3:$B$6),TRANSPOSE(P670:S670))</f>
        <v>8.9412691067483063E-2</v>
      </c>
      <c r="V670" s="26"/>
      <c r="W670" s="9">
        <f t="array" ref="W670">SQRT(MMULT(MMULT(P670:S670,$K$3:$N$6),TRANSPOSE(P670:S670)))</f>
        <v>0.14919389157544641</v>
      </c>
    </row>
    <row r="671" spans="16:23" x14ac:dyDescent="0.3">
      <c r="P671" s="26">
        <v>0.14336243022668424</v>
      </c>
      <c r="Q671" s="26">
        <v>0.14407402201824973</v>
      </c>
      <c r="R671" s="26">
        <v>0.44301211256161049</v>
      </c>
      <c r="S671" s="26">
        <v>0.26955143519345554</v>
      </c>
      <c r="T671" s="26"/>
      <c r="U671" s="9">
        <f t="array" ref="U671">MMULT(TRANSPOSE($B$3:$B$6),TRANSPOSE(P671:S671))</f>
        <v>8.94705654063713E-2</v>
      </c>
      <c r="V671" s="26"/>
      <c r="W671" s="9">
        <f t="array" ref="W671">SQRT(MMULT(MMULT(P671:S671,$K$3:$N$6),TRANSPOSE(P671:S671)))</f>
        <v>0.15095156093531098</v>
      </c>
    </row>
    <row r="672" spans="16:23" x14ac:dyDescent="0.3">
      <c r="P672" s="26">
        <v>0.29337006698664703</v>
      </c>
      <c r="Q672" s="26">
        <v>0.33877303631610678</v>
      </c>
      <c r="R672" s="26">
        <v>4.5231567550169743E-2</v>
      </c>
      <c r="S672" s="26">
        <v>0.32262532914707659</v>
      </c>
      <c r="T672" s="26"/>
      <c r="U672" s="9">
        <f t="array" ref="U672">MMULT(TRANSPOSE($B$3:$B$6),TRANSPOSE(P672:S672))</f>
        <v>8.1168496468624299E-2</v>
      </c>
      <c r="V672" s="26"/>
      <c r="W672" s="9">
        <f t="array" ref="W672">SQRT(MMULT(MMULT(P672:S672,$K$3:$N$6),TRANSPOSE(P672:S672)))</f>
        <v>0.12564187846283451</v>
      </c>
    </row>
    <row r="673" spans="16:23" x14ac:dyDescent="0.3">
      <c r="P673" s="26">
        <v>0.35277464614223397</v>
      </c>
      <c r="Q673" s="26">
        <v>0.33742184937833009</v>
      </c>
      <c r="R673" s="26">
        <v>4.3356013965354039E-2</v>
      </c>
      <c r="S673" s="26">
        <v>0.26644749051408195</v>
      </c>
      <c r="T673" s="26"/>
      <c r="U673" s="9">
        <f t="array" ref="U673">MMULT(TRANSPOSE($B$3:$B$6),TRANSPOSE(P673:S673))</f>
        <v>7.71340018821665E-2</v>
      </c>
      <c r="V673" s="26"/>
      <c r="W673" s="9">
        <f t="array" ref="W673">SQRT(MMULT(MMULT(P673:S673,$K$3:$N$6),TRANSPOSE(P673:S673)))</f>
        <v>0.11382100899362739</v>
      </c>
    </row>
    <row r="674" spans="16:23" x14ac:dyDescent="0.3">
      <c r="P674" s="26">
        <v>9.893428458279413E-2</v>
      </c>
      <c r="Q674" s="26">
        <v>0.11022026250184835</v>
      </c>
      <c r="R674" s="26">
        <v>0.24579963568721666</v>
      </c>
      <c r="S674" s="26">
        <v>0.54504581722814083</v>
      </c>
      <c r="T674" s="26"/>
      <c r="U674" s="9">
        <f t="array" ref="U674">MMULT(TRANSPOSE($B$3:$B$6),TRANSPOSE(P674:S674))</f>
        <v>0.10018959788349549</v>
      </c>
      <c r="V674" s="26"/>
      <c r="W674" s="9">
        <f t="array" ref="W674">SQRT(MMULT(MMULT(P674:S674,$K$3:$N$6),TRANSPOSE(P674:S674)))</f>
        <v>0.19315312027240517</v>
      </c>
    </row>
    <row r="675" spans="16:23" x14ac:dyDescent="0.3">
      <c r="P675" s="26">
        <v>5.8134094653961473E-2</v>
      </c>
      <c r="Q675" s="26">
        <v>0.26647033736292869</v>
      </c>
      <c r="R675" s="26">
        <v>0.28752627224076505</v>
      </c>
      <c r="S675" s="26">
        <v>0.38786929574234486</v>
      </c>
      <c r="T675" s="26"/>
      <c r="U675" s="9">
        <f t="array" ref="U675">MMULT(TRANSPOSE($B$3:$B$6),TRANSPOSE(P675:S675))</f>
        <v>9.398130833885332E-2</v>
      </c>
      <c r="V675" s="26"/>
      <c r="W675" s="9">
        <f t="array" ref="W675">SQRT(MMULT(MMULT(P675:S675,$K$3:$N$6),TRANSPOSE(P675:S675)))</f>
        <v>0.16238219159069114</v>
      </c>
    </row>
    <row r="676" spans="16:23" x14ac:dyDescent="0.3">
      <c r="P676" s="26">
        <v>0.44028587773742162</v>
      </c>
      <c r="Q676" s="26">
        <v>0.3724294923258159</v>
      </c>
      <c r="R676" s="26">
        <v>0.1585052143392055</v>
      </c>
      <c r="S676" s="26">
        <v>2.8779415597556923E-2</v>
      </c>
      <c r="T676" s="26"/>
      <c r="U676" s="9">
        <f t="array" ref="U676">MMULT(TRANSPOSE($B$3:$B$6),TRANSPOSE(P676:S676))</f>
        <v>6.5803357511913518E-2</v>
      </c>
      <c r="V676" s="26"/>
      <c r="W676" s="9">
        <f t="array" ref="W676">SQRT(MMULT(MMULT(P676:S676,$K$3:$N$6),TRANSPOSE(P676:S676)))</f>
        <v>9.3903504083877709E-2</v>
      </c>
    </row>
    <row r="677" spans="16:23" x14ac:dyDescent="0.3">
      <c r="P677" s="26">
        <v>0.23870198403692858</v>
      </c>
      <c r="Q677" s="26">
        <v>0.16700271848564011</v>
      </c>
      <c r="R677" s="26">
        <v>0.21686416046089102</v>
      </c>
      <c r="S677" s="26">
        <v>0.37743113701654041</v>
      </c>
      <c r="T677" s="26"/>
      <c r="U677" s="9">
        <f t="array" ref="U677">MMULT(TRANSPOSE($B$3:$B$6),TRANSPOSE(P677:S677))</f>
        <v>8.8434800379306275E-2</v>
      </c>
      <c r="V677" s="26"/>
      <c r="W677" s="9">
        <f t="array" ref="W677">SQRT(MMULT(MMULT(P677:S677,$K$3:$N$6),TRANSPOSE(P677:S677)))</f>
        <v>0.14752619228450881</v>
      </c>
    </row>
    <row r="678" spans="16:23" x14ac:dyDescent="0.3">
      <c r="P678" s="26">
        <v>0.15026289799540113</v>
      </c>
      <c r="Q678" s="26">
        <v>0.16527332110100676</v>
      </c>
      <c r="R678" s="26">
        <v>0.37626148281670319</v>
      </c>
      <c r="S678" s="26">
        <v>0.30820229808688909</v>
      </c>
      <c r="T678" s="26"/>
      <c r="U678" s="9">
        <f t="array" ref="U678">MMULT(TRANSPOSE($B$3:$B$6),TRANSPOSE(P678:S678))</f>
        <v>8.9930086600770509E-2</v>
      </c>
      <c r="V678" s="26"/>
      <c r="W678" s="9">
        <f t="array" ref="W678">SQRT(MMULT(MMULT(P678:S678,$K$3:$N$6),TRANSPOSE(P678:S678)))</f>
        <v>0.15069987799298731</v>
      </c>
    </row>
    <row r="679" spans="16:23" x14ac:dyDescent="0.3">
      <c r="P679" s="26">
        <v>0.4312681162147205</v>
      </c>
      <c r="Q679" s="26">
        <v>0.32943123093722426</v>
      </c>
      <c r="R679" s="26">
        <v>0.16394240592926282</v>
      </c>
      <c r="S679" s="26">
        <v>7.5358246918792587E-2</v>
      </c>
      <c r="T679" s="26"/>
      <c r="U679" s="9">
        <f t="array" ref="U679">MMULT(TRANSPOSE($B$3:$B$6),TRANSPOSE(P679:S679))</f>
        <v>6.8421398140230488E-2</v>
      </c>
      <c r="V679" s="26"/>
      <c r="W679" s="9">
        <f t="array" ref="W679">SQRT(MMULT(MMULT(P679:S679,$K$3:$N$6),TRANSPOSE(P679:S679)))</f>
        <v>9.4388798610855223E-2</v>
      </c>
    </row>
    <row r="680" spans="16:23" x14ac:dyDescent="0.3">
      <c r="P680" s="26">
        <v>0.33960867485122431</v>
      </c>
      <c r="Q680" s="26">
        <v>0.14633899425015262</v>
      </c>
      <c r="R680" s="26">
        <v>0.22310807108839825</v>
      </c>
      <c r="S680" s="26">
        <v>0.29094425981022481</v>
      </c>
      <c r="T680" s="26"/>
      <c r="U680" s="9">
        <f t="array" ref="U680">MMULT(TRANSPOSE($B$3:$B$6),TRANSPOSE(P680:S680))</f>
        <v>8.2217200915254723E-2</v>
      </c>
      <c r="V680" s="26"/>
      <c r="W680" s="9">
        <f t="array" ref="W680">SQRT(MMULT(MMULT(P680:S680,$K$3:$N$6),TRANSPOSE(P680:S680)))</f>
        <v>0.12739301807369199</v>
      </c>
    </row>
    <row r="681" spans="16:23" x14ac:dyDescent="0.3">
      <c r="P681" s="26">
        <v>0.29065478916944743</v>
      </c>
      <c r="Q681" s="26">
        <v>0.24229482903979904</v>
      </c>
      <c r="R681" s="26">
        <v>6.0436454844375383E-2</v>
      </c>
      <c r="S681" s="26">
        <v>0.4066139269463781</v>
      </c>
      <c r="T681" s="26"/>
      <c r="U681" s="9">
        <f t="array" ref="U681">MMULT(TRANSPOSE($B$3:$B$6),TRANSPOSE(P681:S681))</f>
        <v>8.5726329660817474E-2</v>
      </c>
      <c r="V681" s="26"/>
      <c r="W681" s="9">
        <f t="array" ref="W681">SQRT(MMULT(MMULT(P681:S681,$K$3:$N$6),TRANSPOSE(P681:S681)))</f>
        <v>0.14272050295733069</v>
      </c>
    </row>
    <row r="682" spans="16:23" x14ac:dyDescent="0.3">
      <c r="P682" s="26">
        <v>0.24426232301668516</v>
      </c>
      <c r="Q682" s="26">
        <v>0.51222677111097192</v>
      </c>
      <c r="R682" s="26">
        <v>0.14883035982210868</v>
      </c>
      <c r="S682" s="26">
        <v>9.468054605023421E-2</v>
      </c>
      <c r="T682" s="26"/>
      <c r="U682" s="9">
        <f t="array" ref="U682">MMULT(TRANSPOSE($B$3:$B$6),TRANSPOSE(P682:S682))</f>
        <v>7.2825388038620181E-2</v>
      </c>
      <c r="V682" s="26"/>
      <c r="W682" s="9">
        <f t="array" ref="W682">SQRT(MMULT(MMULT(P682:S682,$K$3:$N$6),TRANSPOSE(P682:S682)))</f>
        <v>0.10790513161578069</v>
      </c>
    </row>
    <row r="683" spans="16:23" x14ac:dyDescent="0.3">
      <c r="P683" s="26">
        <v>0.23747152239850727</v>
      </c>
      <c r="Q683" s="26">
        <v>0.13123225137518751</v>
      </c>
      <c r="R683" s="26">
        <v>5.243176508662759E-3</v>
      </c>
      <c r="S683" s="26">
        <v>0.62605304971764242</v>
      </c>
      <c r="T683" s="26"/>
      <c r="U683" s="9">
        <f t="array" ref="U683">MMULT(TRANSPOSE($B$3:$B$6),TRANSPOSE(P683:S683))</f>
        <v>9.6658085568085222E-2</v>
      </c>
      <c r="V683" s="26"/>
      <c r="W683" s="9">
        <f t="array" ref="W683">SQRT(MMULT(MMULT(P683:S683,$K$3:$N$6),TRANSPOSE(P683:S683)))</f>
        <v>0.19435709836170867</v>
      </c>
    </row>
    <row r="684" spans="16:23" x14ac:dyDescent="0.3">
      <c r="P684" s="26">
        <v>0.33390965247903975</v>
      </c>
      <c r="Q684" s="26">
        <v>3.7137401983127628E-2</v>
      </c>
      <c r="R684" s="26">
        <v>0.33765568608955771</v>
      </c>
      <c r="S684" s="26">
        <v>0.29129725944827489</v>
      </c>
      <c r="T684" s="26"/>
      <c r="U684" s="9">
        <f t="array" ref="U684">MMULT(TRANSPOSE($B$3:$B$6),TRANSPOSE(P684:S684))</f>
        <v>8.46397836446241E-2</v>
      </c>
      <c r="V684" s="26"/>
      <c r="W684" s="9">
        <f t="array" ref="W684">SQRT(MMULT(MMULT(P684:S684,$K$3:$N$6),TRANSPOSE(P684:S684)))</f>
        <v>0.13858127469659892</v>
      </c>
    </row>
    <row r="685" spans="16:23" x14ac:dyDescent="0.3">
      <c r="P685" s="26">
        <v>0.40340661549646945</v>
      </c>
      <c r="Q685" s="26">
        <v>6.3087525216852333E-2</v>
      </c>
      <c r="R685" s="26">
        <v>0.50892800846701169</v>
      </c>
      <c r="S685" s="26">
        <v>2.4577850819666548E-2</v>
      </c>
      <c r="T685" s="26"/>
      <c r="U685" s="9">
        <f t="array" ref="U685">MMULT(TRANSPOSE($B$3:$B$6),TRANSPOSE(P685:S685))</f>
        <v>7.3339320400394176E-2</v>
      </c>
      <c r="V685" s="26"/>
      <c r="W685" s="9">
        <f t="array" ref="W685">SQRT(MMULT(MMULT(P685:S685,$K$3:$N$6),TRANSPOSE(P685:S685)))</f>
        <v>0.11969770670919599</v>
      </c>
    </row>
    <row r="686" spans="16:23" x14ac:dyDescent="0.3">
      <c r="P686" s="26">
        <v>0.28389509127833862</v>
      </c>
      <c r="Q686" s="26">
        <v>0.35908611273812402</v>
      </c>
      <c r="R686" s="26">
        <v>0.24520878255303405</v>
      </c>
      <c r="S686" s="26">
        <v>0.11181001343050329</v>
      </c>
      <c r="T686" s="26"/>
      <c r="U686" s="9">
        <f t="array" ref="U686">MMULT(TRANSPOSE($B$3:$B$6),TRANSPOSE(P686:S686))</f>
        <v>7.4816774497019081E-2</v>
      </c>
      <c r="V686" s="26"/>
      <c r="W686" s="9">
        <f t="array" ref="W686">SQRT(MMULT(MMULT(P686:S686,$K$3:$N$6),TRANSPOSE(P686:S686)))</f>
        <v>0.10716815425893436</v>
      </c>
    </row>
    <row r="687" spans="16:23" x14ac:dyDescent="0.3">
      <c r="P687" s="26">
        <v>0.20094064437364978</v>
      </c>
      <c r="Q687" s="26">
        <v>0.32348453141559791</v>
      </c>
      <c r="R687" s="26">
        <v>0.27820669809299042</v>
      </c>
      <c r="S687" s="26">
        <v>0.19736812611776192</v>
      </c>
      <c r="T687" s="26"/>
      <c r="U687" s="9">
        <f t="array" ref="U687">MMULT(TRANSPOSE($B$3:$B$6),TRANSPOSE(P687:S687))</f>
        <v>8.1413727380274914E-2</v>
      </c>
      <c r="V687" s="26"/>
      <c r="W687" s="9">
        <f t="array" ref="W687">SQRT(MMULT(MMULT(P687:S687,$K$3:$N$6),TRANSPOSE(P687:S687)))</f>
        <v>0.12215900307265506</v>
      </c>
    </row>
    <row r="688" spans="16:23" x14ac:dyDescent="0.3">
      <c r="P688" s="26">
        <v>0.41048870408502441</v>
      </c>
      <c r="Q688" s="26">
        <v>0.13216820335457033</v>
      </c>
      <c r="R688" s="26">
        <v>0.17679715002651639</v>
      </c>
      <c r="S688" s="26">
        <v>0.28054594253388881</v>
      </c>
      <c r="T688" s="26"/>
      <c r="U688" s="9">
        <f t="array" ref="U688">MMULT(TRANSPOSE($B$3:$B$6),TRANSPOSE(P688:S688))</f>
        <v>7.935346604552429E-2</v>
      </c>
      <c r="V688" s="26"/>
      <c r="W688" s="9">
        <f t="array" ref="W688">SQRT(MMULT(MMULT(P688:S688,$K$3:$N$6),TRANSPOSE(P688:S688)))</f>
        <v>0.12045033633248407</v>
      </c>
    </row>
    <row r="689" spans="16:23" x14ac:dyDescent="0.3">
      <c r="P689" s="26">
        <v>0.38491463968710593</v>
      </c>
      <c r="Q689" s="26">
        <v>0.18366601267513977</v>
      </c>
      <c r="R689" s="26">
        <v>0.16056073233188006</v>
      </c>
      <c r="S689" s="26">
        <v>0.27085861530587413</v>
      </c>
      <c r="T689" s="26"/>
      <c r="U689" s="9">
        <f t="array" ref="U689">MMULT(TRANSPOSE($B$3:$B$6),TRANSPOSE(P689:S689))</f>
        <v>7.9055852618189176E-2</v>
      </c>
      <c r="V689" s="26"/>
      <c r="W689" s="9">
        <f t="array" ref="W689">SQRT(MMULT(MMULT(P689:S689,$K$3:$N$6),TRANSPOSE(P689:S689)))</f>
        <v>0.11800319622363921</v>
      </c>
    </row>
    <row r="690" spans="16:23" x14ac:dyDescent="0.3">
      <c r="P690" s="26">
        <v>0.43870889463334389</v>
      </c>
      <c r="Q690" s="26">
        <v>0.12312605995925693</v>
      </c>
      <c r="R690" s="26">
        <v>0.1191088574258122</v>
      </c>
      <c r="S690" s="26">
        <v>0.31905618798158691</v>
      </c>
      <c r="T690" s="26"/>
      <c r="U690" s="9">
        <f t="array" ref="U690">MMULT(TRANSPOSE($B$3:$B$6),TRANSPOSE(P690:S690))</f>
        <v>7.9560808654928705E-2</v>
      </c>
      <c r="V690" s="26"/>
      <c r="W690" s="9">
        <f t="array" ref="W690">SQRT(MMULT(MMULT(P690:S690,$K$3:$N$6),TRANSPOSE(P690:S690)))</f>
        <v>0.12405496068218821</v>
      </c>
    </row>
    <row r="691" spans="16:23" x14ac:dyDescent="0.3">
      <c r="P691" s="26">
        <v>7.4089463167974406E-2</v>
      </c>
      <c r="Q691" s="26">
        <v>7.560896896227734E-2</v>
      </c>
      <c r="R691" s="26">
        <v>0.18564057916743831</v>
      </c>
      <c r="S691" s="26">
        <v>0.66466098870231005</v>
      </c>
      <c r="T691" s="26"/>
      <c r="U691" s="9">
        <f t="array" ref="U691">MMULT(TRANSPOSE($B$3:$B$6),TRANSPOSE(P691:S691))</f>
        <v>0.10546407175510478</v>
      </c>
      <c r="V691" s="26"/>
      <c r="W691" s="9">
        <f t="array" ref="W691">SQRT(MMULT(MMULT(P691:S691,$K$3:$N$6),TRANSPOSE(P691:S691)))</f>
        <v>0.21951223545949769</v>
      </c>
    </row>
    <row r="692" spans="16:23" x14ac:dyDescent="0.3">
      <c r="P692" s="26">
        <v>4.8034371877499912E-2</v>
      </c>
      <c r="Q692" s="26">
        <v>0.17439651231529529</v>
      </c>
      <c r="R692" s="26">
        <v>0.69938622599479427</v>
      </c>
      <c r="S692" s="26">
        <v>7.8182889812410533E-2</v>
      </c>
      <c r="T692" s="26"/>
      <c r="U692" s="9">
        <f t="array" ref="U692">MMULT(TRANSPOSE($B$3:$B$6),TRANSPOSE(P692:S692))</f>
        <v>8.6936181572966426E-2</v>
      </c>
      <c r="V692" s="26"/>
      <c r="W692" s="9">
        <f t="array" ref="W692">SQRT(MMULT(MMULT(P692:S692,$K$3:$N$6),TRANSPOSE(P692:S692)))</f>
        <v>0.16112695957272183</v>
      </c>
    </row>
    <row r="693" spans="16:23" x14ac:dyDescent="0.3">
      <c r="P693" s="26">
        <v>0.32376771608276933</v>
      </c>
      <c r="Q693" s="26">
        <v>0.25383187821053371</v>
      </c>
      <c r="R693" s="26">
        <v>0.24999660771164817</v>
      </c>
      <c r="S693" s="26">
        <v>0.17240379799504868</v>
      </c>
      <c r="T693" s="26"/>
      <c r="U693" s="9">
        <f t="array" ref="U693">MMULT(TRANSPOSE($B$3:$B$6),TRANSPOSE(P693:S693))</f>
        <v>7.7144767732330005E-2</v>
      </c>
      <c r="V693" s="26"/>
      <c r="W693" s="9">
        <f t="array" ref="W693">SQRT(MMULT(MMULT(P693:S693,$K$3:$N$6),TRANSPOSE(P693:S693)))</f>
        <v>0.11073467168570318</v>
      </c>
    </row>
    <row r="694" spans="16:23" x14ac:dyDescent="0.3">
      <c r="P694" s="26">
        <v>0.37286197619773059</v>
      </c>
      <c r="Q694" s="26">
        <v>0.19364932346384417</v>
      </c>
      <c r="R694" s="26">
        <v>0.29998309559070169</v>
      </c>
      <c r="S694" s="26">
        <v>0.13350560474772347</v>
      </c>
      <c r="T694" s="26"/>
      <c r="U694" s="9">
        <f t="array" ref="U694">MMULT(TRANSPOSE($B$3:$B$6),TRANSPOSE(P694:S694))</f>
        <v>7.5217702625245589E-2</v>
      </c>
      <c r="V694" s="26"/>
      <c r="W694" s="9">
        <f t="array" ref="W694">SQRT(MMULT(MMULT(P694:S694,$K$3:$N$6),TRANSPOSE(P694:S694)))</f>
        <v>0.10802044290319857</v>
      </c>
    </row>
    <row r="695" spans="16:23" x14ac:dyDescent="0.3">
      <c r="P695" s="26">
        <v>0.17769023501639394</v>
      </c>
      <c r="Q695" s="26">
        <v>0.34105480770659286</v>
      </c>
      <c r="R695" s="26">
        <v>0.39851493539794119</v>
      </c>
      <c r="S695" s="26">
        <v>8.2740021879071965E-2</v>
      </c>
      <c r="T695" s="26"/>
      <c r="U695" s="9">
        <f t="array" ref="U695">MMULT(TRANSPOSE($B$3:$B$6),TRANSPOSE(P695:S695))</f>
        <v>7.8553495101584533E-2</v>
      </c>
      <c r="V695" s="26"/>
      <c r="W695" s="9">
        <f t="array" ref="W695">SQRT(MMULT(MMULT(P695:S695,$K$3:$N$6),TRANSPOSE(P695:S695)))</f>
        <v>0.12196608525212206</v>
      </c>
    </row>
    <row r="696" spans="16:23" x14ac:dyDescent="0.3">
      <c r="P696" s="26">
        <v>0.15847684577690407</v>
      </c>
      <c r="Q696" s="26">
        <v>0.14794463130429755</v>
      </c>
      <c r="R696" s="26">
        <v>0.35446853414302382</v>
      </c>
      <c r="S696" s="26">
        <v>0.33910998877577453</v>
      </c>
      <c r="T696" s="26"/>
      <c r="U696" s="9">
        <f t="array" ref="U696">MMULT(TRANSPOSE($B$3:$B$6),TRANSPOSE(P696:S696))</f>
        <v>9.0875333206111117E-2</v>
      </c>
      <c r="V696" s="26"/>
      <c r="W696" s="9">
        <f t="array" ref="W696">SQRT(MMULT(MMULT(P696:S696,$K$3:$N$6),TRANSPOSE(P696:S696)))</f>
        <v>0.15430812926530282</v>
      </c>
    </row>
    <row r="697" spans="16:23" x14ac:dyDescent="0.3">
      <c r="P697" s="26">
        <v>0.16133032383136292</v>
      </c>
      <c r="Q697" s="26">
        <v>0.27307796257113148</v>
      </c>
      <c r="R697" s="26">
        <v>0.29404706535467062</v>
      </c>
      <c r="S697" s="26">
        <v>0.27154464824283508</v>
      </c>
      <c r="T697" s="26"/>
      <c r="U697" s="9">
        <f t="array" ref="U697">MMULT(TRANSPOSE($B$3:$B$6),TRANSPOSE(P697:S697))</f>
        <v>8.6231567242607915E-2</v>
      </c>
      <c r="V697" s="26"/>
      <c r="W697" s="9">
        <f t="array" ref="W697">SQRT(MMULT(MMULT(P697:S697,$K$3:$N$6),TRANSPOSE(P697:S697)))</f>
        <v>0.13624928830241503</v>
      </c>
    </row>
    <row r="698" spans="16:23" x14ac:dyDescent="0.3">
      <c r="P698" s="26">
        <v>0.15055398576935622</v>
      </c>
      <c r="Q698" s="26">
        <v>0.30822712234533112</v>
      </c>
      <c r="R698" s="26">
        <v>0.53082633074848562</v>
      </c>
      <c r="S698" s="26">
        <v>1.0392561136827107E-2</v>
      </c>
      <c r="T698" s="26"/>
      <c r="U698" s="9">
        <f t="array" ref="U698">MMULT(TRANSPOSE($B$3:$B$6),TRANSPOSE(P698:S698))</f>
        <v>7.8125074956423943E-2</v>
      </c>
      <c r="V698" s="26"/>
      <c r="W698" s="9">
        <f t="array" ref="W698">SQRT(MMULT(MMULT(P698:S698,$K$3:$N$6),TRANSPOSE(P698:S698)))</f>
        <v>0.13223665506928398</v>
      </c>
    </row>
    <row r="699" spans="16:23" x14ac:dyDescent="0.3">
      <c r="P699" s="26">
        <v>0.32825448191398038</v>
      </c>
      <c r="Q699" s="26">
        <v>0.34015479412972205</v>
      </c>
      <c r="R699" s="26">
        <v>9.2840761141449221E-2</v>
      </c>
      <c r="S699" s="26">
        <v>0.23874996281484845</v>
      </c>
      <c r="T699" s="26"/>
      <c r="U699" s="9">
        <f t="array" ref="U699">MMULT(TRANSPOSE($B$3:$B$6),TRANSPOSE(P699:S699))</f>
        <v>7.7229223725291812E-2</v>
      </c>
      <c r="V699" s="26"/>
      <c r="W699" s="9">
        <f t="array" ref="W699">SQRT(MMULT(MMULT(P699:S699,$K$3:$N$6),TRANSPOSE(P699:S699)))</f>
        <v>0.11200919012949152</v>
      </c>
    </row>
    <row r="700" spans="16:23" x14ac:dyDescent="0.3">
      <c r="P700" s="26">
        <v>0.21548626138928725</v>
      </c>
      <c r="Q700" s="26">
        <v>0.31104514904073433</v>
      </c>
      <c r="R700" s="26">
        <v>0.15639059472629124</v>
      </c>
      <c r="S700" s="26">
        <v>0.31707799484368715</v>
      </c>
      <c r="T700" s="26"/>
      <c r="U700" s="9">
        <f t="array" ref="U700">MMULT(TRANSPOSE($B$3:$B$6),TRANSPOSE(P700:S700))</f>
        <v>8.4671986408924427E-2</v>
      </c>
      <c r="V700" s="26"/>
      <c r="W700" s="9">
        <f t="array" ref="W700">SQRT(MMULT(MMULT(P700:S700,$K$3:$N$6),TRANSPOSE(P700:S700)))</f>
        <v>0.13248913018047376</v>
      </c>
    </row>
    <row r="701" spans="16:23" x14ac:dyDescent="0.3">
      <c r="P701" s="26">
        <v>0.26437393274893933</v>
      </c>
      <c r="Q701" s="26">
        <v>0.20514179249782338</v>
      </c>
      <c r="R701" s="26">
        <v>0.19810862871739895</v>
      </c>
      <c r="S701" s="26">
        <v>0.3323756460358383</v>
      </c>
      <c r="T701" s="26"/>
      <c r="U701" s="9">
        <f t="array" ref="U701">MMULT(TRANSPOSE($B$3:$B$6),TRANSPOSE(P701:S701))</f>
        <v>8.5293476221161096E-2</v>
      </c>
      <c r="V701" s="26"/>
      <c r="W701" s="9">
        <f t="array" ref="W701">SQRT(MMULT(MMULT(P701:S701,$K$3:$N$6),TRANSPOSE(P701:S701)))</f>
        <v>0.13587730626187142</v>
      </c>
    </row>
    <row r="702" spans="16:23" x14ac:dyDescent="0.3">
      <c r="P702" s="26">
        <v>7.1022207961749101E-2</v>
      </c>
      <c r="Q702" s="26">
        <v>0.36644767628637936</v>
      </c>
      <c r="R702" s="26">
        <v>0.46777222125811968</v>
      </c>
      <c r="S702" s="26">
        <v>9.4757894493751868E-2</v>
      </c>
      <c r="T702" s="26"/>
      <c r="U702" s="9">
        <f t="array" ref="U702">MMULT(TRANSPOSE($B$3:$B$6),TRANSPOSE(P702:S702))</f>
        <v>8.2672894990615003E-2</v>
      </c>
      <c r="V702" s="26"/>
      <c r="W702" s="9">
        <f t="array" ref="W702">SQRT(MMULT(MMULT(P702:S702,$K$3:$N$6),TRANSPOSE(P702:S702)))</f>
        <v>0.13589402168135406</v>
      </c>
    </row>
    <row r="703" spans="16:23" x14ac:dyDescent="0.3">
      <c r="P703" s="26">
        <v>0.32227585944564596</v>
      </c>
      <c r="Q703" s="26">
        <v>6.928638334036713E-2</v>
      </c>
      <c r="R703" s="26">
        <v>0.17971139997918542</v>
      </c>
      <c r="S703" s="26">
        <v>0.42872635723480162</v>
      </c>
      <c r="T703" s="26"/>
      <c r="U703" s="9">
        <f t="array" ref="U703">MMULT(TRANSPOSE($B$3:$B$6),TRANSPOSE(P703:S703))</f>
        <v>8.8585028672410887E-2</v>
      </c>
      <c r="V703" s="26"/>
      <c r="W703" s="9">
        <f t="array" ref="W703">SQRT(MMULT(MMULT(P703:S703,$K$3:$N$6),TRANSPOSE(P703:S703)))</f>
        <v>0.15476084817109576</v>
      </c>
    </row>
    <row r="704" spans="16:23" x14ac:dyDescent="0.3">
      <c r="P704" s="26">
        <v>0.11354914064232059</v>
      </c>
      <c r="Q704" s="26">
        <v>2.5213883240171691E-2</v>
      </c>
      <c r="R704" s="26">
        <v>0.58516949044550393</v>
      </c>
      <c r="S704" s="26">
        <v>0.27606748567200379</v>
      </c>
      <c r="T704" s="26"/>
      <c r="U704" s="9">
        <f t="array" ref="U704">MMULT(TRANSPOSE($B$3:$B$6),TRANSPOSE(P704:S704))</f>
        <v>9.3235781279663851E-2</v>
      </c>
      <c r="V704" s="26"/>
      <c r="W704" s="9">
        <f t="array" ref="W704">SQRT(MMULT(MMULT(P704:S704,$K$3:$N$6),TRANSPOSE(P704:S704)))</f>
        <v>0.17075951811935636</v>
      </c>
    </row>
    <row r="705" spans="16:23" x14ac:dyDescent="0.3">
      <c r="P705" s="26">
        <v>0.28763901546524295</v>
      </c>
      <c r="Q705" s="26">
        <v>0.25229991958441123</v>
      </c>
      <c r="R705" s="26">
        <v>0.31261496667338484</v>
      </c>
      <c r="S705" s="26">
        <v>0.14744609827696115</v>
      </c>
      <c r="T705" s="26"/>
      <c r="U705" s="9">
        <f t="array" ref="U705">MMULT(TRANSPOSE($B$3:$B$6),TRANSPOSE(P705:S705))</f>
        <v>7.7871823938010912E-2</v>
      </c>
      <c r="V705" s="26"/>
      <c r="W705" s="9">
        <f t="array" ref="W705">SQRT(MMULT(MMULT(P705:S705,$K$3:$N$6),TRANSPOSE(P705:S705)))</f>
        <v>0.11408209393405433</v>
      </c>
    </row>
    <row r="706" spans="16:23" x14ac:dyDescent="0.3">
      <c r="P706" s="26">
        <v>0.40113431028354635</v>
      </c>
      <c r="Q706" s="26">
        <v>0.22235012226225742</v>
      </c>
      <c r="R706" s="26">
        <v>0.18482307211400617</v>
      </c>
      <c r="S706" s="26">
        <v>0.19169249534019006</v>
      </c>
      <c r="T706" s="26"/>
      <c r="U706" s="9">
        <f t="array" ref="U706">MMULT(TRANSPOSE($B$3:$B$6),TRANSPOSE(P706:S706))</f>
        <v>7.5258400003618706E-2</v>
      </c>
      <c r="V706" s="26"/>
      <c r="W706" s="9">
        <f t="array" ref="W706">SQRT(MMULT(MMULT(P706:S706,$K$3:$N$6),TRANSPOSE(P706:S706)))</f>
        <v>0.1062135534038131</v>
      </c>
    </row>
    <row r="707" spans="16:23" x14ac:dyDescent="0.3">
      <c r="P707" s="26">
        <v>0.39162004707032627</v>
      </c>
      <c r="Q707" s="26">
        <v>1.4334944209906778E-2</v>
      </c>
      <c r="R707" s="26">
        <v>1.0773067125590011E-2</v>
      </c>
      <c r="S707" s="26">
        <v>0.58327194159417695</v>
      </c>
      <c r="T707" s="26"/>
      <c r="U707" s="9">
        <f t="array" ref="U707">MMULT(TRANSPOSE($B$3:$B$6),TRANSPOSE(P707:S707))</f>
        <v>9.1546657480814114E-2</v>
      </c>
      <c r="V707" s="26"/>
      <c r="W707" s="9">
        <f t="array" ref="W707">SQRT(MMULT(MMULT(P707:S707,$K$3:$N$6),TRANSPOSE(P707:S707)))</f>
        <v>0.1824197056575016</v>
      </c>
    </row>
    <row r="708" spans="16:23" x14ac:dyDescent="0.3">
      <c r="P708" s="26">
        <v>0.35461568268046251</v>
      </c>
      <c r="Q708" s="26">
        <v>0.35742040610555781</v>
      </c>
      <c r="R708" s="26">
        <v>0.21571282979675047</v>
      </c>
      <c r="S708" s="26">
        <v>7.2251081417229274E-2</v>
      </c>
      <c r="T708" s="26"/>
      <c r="U708" s="9">
        <f t="array" ref="U708">MMULT(TRANSPOSE($B$3:$B$6),TRANSPOSE(P708:S708))</f>
        <v>7.0834497013187225E-2</v>
      </c>
      <c r="V708" s="26"/>
      <c r="W708" s="9">
        <f t="array" ref="W708">SQRT(MMULT(MMULT(P708:S708,$K$3:$N$6),TRANSPOSE(P708:S708)))</f>
        <v>9.9873080493648445E-2</v>
      </c>
    </row>
    <row r="709" spans="16:23" x14ac:dyDescent="0.3">
      <c r="P709" s="26">
        <v>0.25639874273642288</v>
      </c>
      <c r="Q709" s="26">
        <v>0.20114146578212591</v>
      </c>
      <c r="R709" s="26">
        <v>0.24814343626908195</v>
      </c>
      <c r="S709" s="26">
        <v>0.29431635521236932</v>
      </c>
      <c r="T709" s="26"/>
      <c r="U709" s="9">
        <f t="array" ref="U709">MMULT(TRANSPOSE($B$3:$B$6),TRANSPOSE(P709:S709))</f>
        <v>8.4550711631271647E-2</v>
      </c>
      <c r="V709" s="26"/>
      <c r="W709" s="9">
        <f t="array" ref="W709">SQRT(MMULT(MMULT(P709:S709,$K$3:$N$6),TRANSPOSE(P709:S709)))</f>
        <v>0.13249073575482584</v>
      </c>
    </row>
    <row r="710" spans="16:23" x14ac:dyDescent="0.3">
      <c r="P710" s="26">
        <v>0.25436155220619655</v>
      </c>
      <c r="Q710" s="26">
        <v>0.30626006940592831</v>
      </c>
      <c r="R710" s="26">
        <v>5.8868623190320025E-2</v>
      </c>
      <c r="S710" s="26">
        <v>0.38050975519755531</v>
      </c>
      <c r="T710" s="26"/>
      <c r="U710" s="9">
        <f t="array" ref="U710">MMULT(TRANSPOSE($B$3:$B$6),TRANSPOSE(P710:S710))</f>
        <v>8.5115629179560254E-2</v>
      </c>
      <c r="V710" s="26"/>
      <c r="W710" s="9">
        <f t="array" ref="W710">SQRT(MMULT(MMULT(P710:S710,$K$3:$N$6),TRANSPOSE(P710:S710)))</f>
        <v>0.13853918574798779</v>
      </c>
    </row>
    <row r="711" spans="16:23" x14ac:dyDescent="0.3">
      <c r="P711" s="26">
        <v>2.8943496693902764E-2</v>
      </c>
      <c r="Q711" s="26">
        <v>0.19957654540312977</v>
      </c>
      <c r="R711" s="26">
        <v>0.48580333943053816</v>
      </c>
      <c r="S711" s="26">
        <v>0.28567661847242942</v>
      </c>
      <c r="T711" s="26"/>
      <c r="U711" s="9">
        <f t="array" ref="U711">MMULT(TRANSPOSE($B$3:$B$6),TRANSPOSE(P711:S711))</f>
        <v>9.3421027778354176E-2</v>
      </c>
      <c r="V711" s="26"/>
      <c r="W711" s="9">
        <f t="array" ref="W711">SQRT(MMULT(MMULT(P711:S711,$K$3:$N$6),TRANSPOSE(P711:S711)))</f>
        <v>0.16347893005656616</v>
      </c>
    </row>
    <row r="712" spans="16:23" x14ac:dyDescent="0.3">
      <c r="P712" s="26">
        <v>4.2200098127873627E-2</v>
      </c>
      <c r="Q712" s="26">
        <v>0.33937488005006511</v>
      </c>
      <c r="R712" s="26">
        <v>0.49533000883674982</v>
      </c>
      <c r="S712" s="26">
        <v>0.12309501298531147</v>
      </c>
      <c r="T712" s="26"/>
      <c r="U712" s="9">
        <f t="array" ref="U712">MMULT(TRANSPOSE($B$3:$B$6),TRANSPOSE(P712:S712))</f>
        <v>8.5217348863443093E-2</v>
      </c>
      <c r="V712" s="26"/>
      <c r="W712" s="9">
        <f t="array" ref="W712">SQRT(MMULT(MMULT(P712:S712,$K$3:$N$6),TRANSPOSE(P712:S712)))</f>
        <v>0.14248044580067434</v>
      </c>
    </row>
    <row r="713" spans="16:23" x14ac:dyDescent="0.3">
      <c r="P713" s="26">
        <v>0.40939621704686108</v>
      </c>
      <c r="Q713" s="26">
        <v>4.2450995986950547E-2</v>
      </c>
      <c r="R713" s="26">
        <v>0.45436158499805362</v>
      </c>
      <c r="S713" s="26">
        <v>9.3791201968134771E-2</v>
      </c>
      <c r="T713" s="26"/>
      <c r="U713" s="9">
        <f t="array" ref="U713">MMULT(TRANSPOSE($B$3:$B$6),TRANSPOSE(P713:S713))</f>
        <v>7.5588867457430597E-2</v>
      </c>
      <c r="V713" s="26"/>
      <c r="W713" s="9">
        <f t="array" ref="W713">SQRT(MMULT(MMULT(P713:S713,$K$3:$N$6),TRANSPOSE(P713:S713)))</f>
        <v>0.11898806063754074</v>
      </c>
    </row>
    <row r="714" spans="16:23" x14ac:dyDescent="0.3">
      <c r="P714" s="26">
        <v>0.14792018237142027</v>
      </c>
      <c r="Q714" s="26">
        <v>0.24549571404265155</v>
      </c>
      <c r="R714" s="26">
        <v>0.35299722233734987</v>
      </c>
      <c r="S714" s="26">
        <v>0.25358688124857831</v>
      </c>
      <c r="T714" s="26"/>
      <c r="U714" s="9">
        <f t="array" ref="U714">MMULT(TRANSPOSE($B$3:$B$6),TRANSPOSE(P714:S714))</f>
        <v>8.6780884861747509E-2</v>
      </c>
      <c r="V714" s="26"/>
      <c r="W714" s="9">
        <f t="array" ref="W714">SQRT(MMULT(MMULT(P714:S714,$K$3:$N$6),TRANSPOSE(P714:S714)))</f>
        <v>0.13893474213602705</v>
      </c>
    </row>
    <row r="715" spans="16:23" x14ac:dyDescent="0.3">
      <c r="P715" s="26">
        <v>0.29101183409062925</v>
      </c>
      <c r="Q715" s="26">
        <v>0.26694378883431619</v>
      </c>
      <c r="R715" s="26">
        <v>0.21781897992844779</v>
      </c>
      <c r="S715" s="26">
        <v>0.22422539714660691</v>
      </c>
      <c r="T715" s="26"/>
      <c r="U715" s="9">
        <f t="array" ref="U715">MMULT(TRANSPOSE($B$3:$B$6),TRANSPOSE(P715:S715))</f>
        <v>7.9747412774086729E-2</v>
      </c>
      <c r="V715" s="26"/>
      <c r="W715" s="9">
        <f t="array" ref="W715">SQRT(MMULT(MMULT(P715:S715,$K$3:$N$6),TRANSPOSE(P715:S715)))</f>
        <v>0.11712394380321112</v>
      </c>
    </row>
    <row r="716" spans="16:23" x14ac:dyDescent="0.3">
      <c r="P716" s="26">
        <v>0.43275901243754011</v>
      </c>
      <c r="Q716" s="26">
        <v>0.39739251840552464</v>
      </c>
      <c r="R716" s="26">
        <v>6.0492107084475909E-2</v>
      </c>
      <c r="S716" s="26">
        <v>0.10935636207245952</v>
      </c>
      <c r="T716" s="26"/>
      <c r="U716" s="9">
        <f t="array" ref="U716">MMULT(TRANSPOSE($B$3:$B$6),TRANSPOSE(P716:S716))</f>
        <v>6.8022479996561705E-2</v>
      </c>
      <c r="V716" s="26"/>
      <c r="W716" s="9">
        <f t="array" ref="W716">SQRT(MMULT(MMULT(P716:S716,$K$3:$N$6),TRANSPOSE(P716:S716)))</f>
        <v>9.5229076783660105E-2</v>
      </c>
    </row>
    <row r="717" spans="16:23" x14ac:dyDescent="0.3">
      <c r="P717" s="26">
        <v>0.25599004938280001</v>
      </c>
      <c r="Q717" s="26">
        <v>0.21077577389537736</v>
      </c>
      <c r="R717" s="26">
        <v>0.30310496741884629</v>
      </c>
      <c r="S717" s="26">
        <v>0.23012920930297634</v>
      </c>
      <c r="T717" s="26"/>
      <c r="U717" s="9">
        <f t="array" ref="U717">MMULT(TRANSPOSE($B$3:$B$6),TRANSPOSE(P717:S717))</f>
        <v>8.2448758825869745E-2</v>
      </c>
      <c r="V717" s="26"/>
      <c r="W717" s="9">
        <f t="array" ref="W717">SQRT(MMULT(MMULT(P717:S717,$K$3:$N$6),TRANSPOSE(P717:S717)))</f>
        <v>0.12586372412761179</v>
      </c>
    </row>
    <row r="718" spans="16:23" x14ac:dyDescent="0.3">
      <c r="P718" s="26">
        <v>7.604112193571913E-2</v>
      </c>
      <c r="Q718" s="26">
        <v>0.28250441340555149</v>
      </c>
      <c r="R718" s="26">
        <v>0.35925691578308877</v>
      </c>
      <c r="S718" s="26">
        <v>0.28219754887564064</v>
      </c>
      <c r="T718" s="26"/>
      <c r="U718" s="9">
        <f t="array" ref="U718">MMULT(TRANSPOSE($B$3:$B$6),TRANSPOSE(P718:S718))</f>
        <v>8.9774193320729417E-2</v>
      </c>
      <c r="V718" s="26"/>
      <c r="W718" s="9">
        <f t="array" ref="W718">SQRT(MMULT(MMULT(P718:S718,$K$3:$N$6),TRANSPOSE(P718:S718)))</f>
        <v>0.14797475804229879</v>
      </c>
    </row>
    <row r="719" spans="16:23" x14ac:dyDescent="0.3">
      <c r="P719" s="26">
        <v>2.2976201007816804E-2</v>
      </c>
      <c r="Q719" s="26">
        <v>0.47287146772047689</v>
      </c>
      <c r="R719" s="26">
        <v>0.11483880302923463</v>
      </c>
      <c r="S719" s="26">
        <v>0.38931352824247167</v>
      </c>
      <c r="T719" s="26"/>
      <c r="U719" s="9">
        <f t="array" ref="U719">MMULT(TRANSPOSE($B$3:$B$6),TRANSPOSE(P719:S719))</f>
        <v>9.1302928452551946E-2</v>
      </c>
      <c r="V719" s="26"/>
      <c r="W719" s="9">
        <f t="array" ref="W719">SQRT(MMULT(MMULT(P719:S719,$K$3:$N$6),TRANSPOSE(P719:S719)))</f>
        <v>0.15520219602999807</v>
      </c>
    </row>
    <row r="720" spans="16:23" x14ac:dyDescent="0.3">
      <c r="P720" s="26">
        <v>0.50673292766871847</v>
      </c>
      <c r="Q720" s="26">
        <v>0.12891942784585889</v>
      </c>
      <c r="R720" s="26">
        <v>0.28811663056533987</v>
      </c>
      <c r="S720" s="26">
        <v>7.6231013920082746E-2</v>
      </c>
      <c r="T720" s="26"/>
      <c r="U720" s="9">
        <f t="array" ref="U720">MMULT(TRANSPOSE($B$3:$B$6),TRANSPOSE(P720:S720))</f>
        <v>6.9439224753936574E-2</v>
      </c>
      <c r="V720" s="26"/>
      <c r="W720" s="9">
        <f t="array" ref="W720">SQRT(MMULT(MMULT(P720:S720,$K$3:$N$6),TRANSPOSE(P720:S720)))</f>
        <v>9.8429252977671342E-2</v>
      </c>
    </row>
    <row r="721" spans="16:23" x14ac:dyDescent="0.3">
      <c r="P721" s="26">
        <v>0.2638919610882256</v>
      </c>
      <c r="Q721" s="26">
        <v>0.12394943469862603</v>
      </c>
      <c r="R721" s="26">
        <v>0.30053203112635318</v>
      </c>
      <c r="S721" s="26">
        <v>0.31162657308679526</v>
      </c>
      <c r="T721" s="26"/>
      <c r="U721" s="9">
        <f t="array" ref="U721">MMULT(TRANSPOSE($B$3:$B$6),TRANSPOSE(P721:S721))</f>
        <v>8.6314130055102328E-2</v>
      </c>
      <c r="V721" s="26"/>
      <c r="W721" s="9">
        <f t="array" ref="W721">SQRT(MMULT(MMULT(P721:S721,$K$3:$N$6),TRANSPOSE(P721:S721)))</f>
        <v>0.1402446843722682</v>
      </c>
    </row>
    <row r="722" spans="16:23" x14ac:dyDescent="0.3">
      <c r="P722" s="26">
        <v>0.27158037869879381</v>
      </c>
      <c r="Q722" s="26">
        <v>0.27828678726853712</v>
      </c>
      <c r="R722" s="26">
        <v>0.13316692947541722</v>
      </c>
      <c r="S722" s="26">
        <v>0.31696590455725182</v>
      </c>
      <c r="T722" s="26"/>
      <c r="U722" s="9">
        <f t="array" ref="U722">MMULT(TRANSPOSE($B$3:$B$6),TRANSPOSE(P722:S722))</f>
        <v>8.3080026243395055E-2</v>
      </c>
      <c r="V722" s="26"/>
      <c r="W722" s="9">
        <f t="array" ref="W722">SQRT(MMULT(MMULT(P722:S722,$K$3:$N$6),TRANSPOSE(P722:S722)))</f>
        <v>0.12874308799506251</v>
      </c>
    </row>
    <row r="723" spans="16:23" x14ac:dyDescent="0.3">
      <c r="P723" s="26">
        <v>9.3200444278258576E-2</v>
      </c>
      <c r="Q723" s="26">
        <v>0.24302557537287645</v>
      </c>
      <c r="R723" s="26">
        <v>0.3421077187986245</v>
      </c>
      <c r="S723" s="26">
        <v>0.32166626155024042</v>
      </c>
      <c r="T723" s="26"/>
      <c r="U723" s="9">
        <f t="array" ref="U723">MMULT(TRANSPOSE($B$3:$B$6),TRANSPOSE(P723:S723))</f>
        <v>9.1061458567919334E-2</v>
      </c>
      <c r="V723" s="26"/>
      <c r="W723" s="9">
        <f t="array" ref="W723">SQRT(MMULT(MMULT(P723:S723,$K$3:$N$6),TRANSPOSE(P723:S723)))</f>
        <v>0.15246339943853446</v>
      </c>
    </row>
    <row r="724" spans="16:23" x14ac:dyDescent="0.3">
      <c r="P724" s="26">
        <v>0.18088654908023363</v>
      </c>
      <c r="Q724" s="26">
        <v>0.28040827034745958</v>
      </c>
      <c r="R724" s="26">
        <v>0.29153744225006395</v>
      </c>
      <c r="S724" s="26">
        <v>0.24716773832224279</v>
      </c>
      <c r="T724" s="26"/>
      <c r="U724" s="9">
        <f t="array" ref="U724">MMULT(TRANSPOSE($B$3:$B$6),TRANSPOSE(P724:S724))</f>
        <v>8.4571404779508738E-2</v>
      </c>
      <c r="V724" s="26"/>
      <c r="W724" s="9">
        <f t="array" ref="W724">SQRT(MMULT(MMULT(P724:S724,$K$3:$N$6),TRANSPOSE(P724:S724)))</f>
        <v>0.13114060905654115</v>
      </c>
    </row>
    <row r="725" spans="16:23" x14ac:dyDescent="0.3">
      <c r="P725" s="26">
        <v>0.25211547497015901</v>
      </c>
      <c r="Q725" s="26">
        <v>0.31226371648309559</v>
      </c>
      <c r="R725" s="26">
        <v>0.3108654228394378</v>
      </c>
      <c r="S725" s="26">
        <v>0.12475538570730758</v>
      </c>
      <c r="T725" s="26"/>
      <c r="U725" s="9">
        <f t="array" ref="U725">MMULT(TRANSPOSE($B$3:$B$6),TRANSPOSE(P725:S725))</f>
        <v>7.7412768242750951E-2</v>
      </c>
      <c r="V725" s="26"/>
      <c r="W725" s="9">
        <f t="array" ref="W725">SQRT(MMULT(MMULT(P725:S725,$K$3:$N$6),TRANSPOSE(P725:S725)))</f>
        <v>0.11373421294885261</v>
      </c>
    </row>
    <row r="726" spans="16:23" x14ac:dyDescent="0.3">
      <c r="P726" s="26">
        <v>0.23973044344773192</v>
      </c>
      <c r="Q726" s="26">
        <v>0.27808055350855343</v>
      </c>
      <c r="R726" s="26">
        <v>0.22555578002797638</v>
      </c>
      <c r="S726" s="26">
        <v>0.25663322301573832</v>
      </c>
      <c r="T726" s="26"/>
      <c r="U726" s="9">
        <f t="array" ref="U726">MMULT(TRANSPOSE($B$3:$B$6),TRANSPOSE(P726:S726))</f>
        <v>8.2548167882391804E-2</v>
      </c>
      <c r="V726" s="26"/>
      <c r="W726" s="9">
        <f t="array" ref="W726">SQRT(MMULT(MMULT(P726:S726,$K$3:$N$6),TRANSPOSE(P726:S726)))</f>
        <v>0.12501078667611895</v>
      </c>
    </row>
    <row r="727" spans="16:23" x14ac:dyDescent="0.3">
      <c r="P727" s="26">
        <v>0.2593292466617752</v>
      </c>
      <c r="Q727" s="26">
        <v>0.25499924444121819</v>
      </c>
      <c r="R727" s="26">
        <v>0.36576756903620544</v>
      </c>
      <c r="S727" s="26">
        <v>0.11990393986080111</v>
      </c>
      <c r="T727" s="26"/>
      <c r="U727" s="9">
        <f t="array" ref="U727">MMULT(TRANSPOSE($B$3:$B$6),TRANSPOSE(P727:S727))</f>
        <v>7.812396344052866E-2</v>
      </c>
      <c r="V727" s="26"/>
      <c r="W727" s="9">
        <f t="array" ref="W727">SQRT(MMULT(MMULT(P727:S727,$K$3:$N$6),TRANSPOSE(P727:S727)))</f>
        <v>0.1170879489268379</v>
      </c>
    </row>
    <row r="728" spans="16:23" x14ac:dyDescent="0.3">
      <c r="P728" s="26">
        <v>0.31162390183378724</v>
      </c>
      <c r="Q728" s="26">
        <v>0.15440137791494576</v>
      </c>
      <c r="R728" s="26">
        <v>0.27690701122141076</v>
      </c>
      <c r="S728" s="26">
        <v>0.2570677090298561</v>
      </c>
      <c r="T728" s="26"/>
      <c r="U728" s="9">
        <f t="array" ref="U728">MMULT(TRANSPOSE($B$3:$B$6),TRANSPOSE(P728:S728))</f>
        <v>8.2159047639245267E-2</v>
      </c>
      <c r="V728" s="26"/>
      <c r="W728" s="9">
        <f t="array" ref="W728">SQRT(MMULT(MMULT(P728:S728,$K$3:$N$6),TRANSPOSE(P728:S728)))</f>
        <v>0.12625350648505504</v>
      </c>
    </row>
    <row r="729" spans="16:23" x14ac:dyDescent="0.3">
      <c r="P729" s="26">
        <v>0.35437378148176113</v>
      </c>
      <c r="Q729" s="26">
        <v>0.30907735249992913</v>
      </c>
      <c r="R729" s="26">
        <v>0.20506240231963893</v>
      </c>
      <c r="S729" s="26">
        <v>0.13148646369867073</v>
      </c>
      <c r="T729" s="26"/>
      <c r="U729" s="9">
        <f t="array" ref="U729">MMULT(TRANSPOSE($B$3:$B$6),TRANSPOSE(P729:S729))</f>
        <v>7.3588095601691092E-2</v>
      </c>
      <c r="V729" s="26"/>
      <c r="W729" s="9">
        <f t="array" ref="W729">SQRT(MMULT(MMULT(P729:S729,$K$3:$N$6),TRANSPOSE(P729:S729)))</f>
        <v>0.10262389964293897</v>
      </c>
    </row>
    <row r="730" spans="16:23" x14ac:dyDescent="0.3">
      <c r="P730" s="26">
        <v>7.7818912510309547E-3</v>
      </c>
      <c r="Q730" s="26">
        <v>0.35814888814961066</v>
      </c>
      <c r="R730" s="26">
        <v>1.6607449468505807E-2</v>
      </c>
      <c r="S730" s="26">
        <v>0.61746177113085254</v>
      </c>
      <c r="T730" s="26"/>
      <c r="U730" s="9">
        <f t="array" ref="U730">MMULT(TRANSPOSE($B$3:$B$6),TRANSPOSE(P730:S730))</f>
        <v>0.10104959972089211</v>
      </c>
      <c r="V730" s="26"/>
      <c r="W730" s="9">
        <f t="array" ref="W730">SQRT(MMULT(MMULT(P730:S730,$K$3:$N$6),TRANSPOSE(P730:S730)))</f>
        <v>0.19958021289426292</v>
      </c>
    </row>
    <row r="731" spans="16:23" x14ac:dyDescent="0.3">
      <c r="P731" s="26">
        <v>0.17229325419897842</v>
      </c>
      <c r="Q731" s="26">
        <v>0.27618031506796764</v>
      </c>
      <c r="R731" s="26">
        <v>0.20324651773210856</v>
      </c>
      <c r="S731" s="26">
        <v>0.34827991300094535</v>
      </c>
      <c r="T731" s="26"/>
      <c r="U731" s="9">
        <f t="array" ref="U731">MMULT(TRANSPOSE($B$3:$B$6),TRANSPOSE(P731:S731))</f>
        <v>8.8033060920709866E-2</v>
      </c>
      <c r="V731" s="26"/>
      <c r="W731" s="9">
        <f t="array" ref="W731">SQRT(MMULT(MMULT(P731:S731,$K$3:$N$6),TRANSPOSE(P731:S731)))</f>
        <v>0.14304458381526416</v>
      </c>
    </row>
    <row r="732" spans="16:23" x14ac:dyDescent="0.3">
      <c r="P732" s="26">
        <v>7.1924950670465643E-2</v>
      </c>
      <c r="Q732" s="26">
        <v>0.47060025530349436</v>
      </c>
      <c r="R732" s="26">
        <v>0.26255085374023546</v>
      </c>
      <c r="S732" s="26">
        <v>0.19492394028580456</v>
      </c>
      <c r="T732" s="26"/>
      <c r="U732" s="9">
        <f t="array" ref="U732">MMULT(TRANSPOSE($B$3:$B$6),TRANSPOSE(P732:S732))</f>
        <v>8.355871507568563E-2</v>
      </c>
      <c r="V732" s="26"/>
      <c r="W732" s="9">
        <f t="array" ref="W732">SQRT(MMULT(MMULT(P732:S732,$K$3:$N$6),TRANSPOSE(P732:S732)))</f>
        <v>0.1305311571944737</v>
      </c>
    </row>
    <row r="733" spans="16:23" x14ac:dyDescent="0.3">
      <c r="P733" s="26">
        <v>0.16882382647423635</v>
      </c>
      <c r="Q733" s="26">
        <v>0.22262003637292604</v>
      </c>
      <c r="R733" s="26">
        <v>0.31190866952772867</v>
      </c>
      <c r="S733" s="26">
        <v>0.29664746762510896</v>
      </c>
      <c r="T733" s="26"/>
      <c r="U733" s="9">
        <f t="array" ref="U733">MMULT(TRANSPOSE($B$3:$B$6),TRANSPOSE(P733:S733))</f>
        <v>8.7694070242325284E-2</v>
      </c>
      <c r="V733" s="26"/>
      <c r="W733" s="9">
        <f t="array" ref="W733">SQRT(MMULT(MMULT(P733:S733,$K$3:$N$6),TRANSPOSE(P733:S733)))</f>
        <v>0.14171610959687289</v>
      </c>
    </row>
    <row r="734" spans="16:23" x14ac:dyDescent="0.3">
      <c r="P734" s="26">
        <v>0.27843477525400456</v>
      </c>
      <c r="Q734" s="26">
        <v>0.33649832150505909</v>
      </c>
      <c r="R734" s="26">
        <v>0.23474966384263249</v>
      </c>
      <c r="S734" s="26">
        <v>0.15031723939830385</v>
      </c>
      <c r="T734" s="26"/>
      <c r="U734" s="9">
        <f t="array" ref="U734">MMULT(TRANSPOSE($B$3:$B$6),TRANSPOSE(P734:S734))</f>
        <v>7.6642159741687754E-2</v>
      </c>
      <c r="V734" s="26"/>
      <c r="W734" s="9">
        <f t="array" ref="W734">SQRT(MMULT(MMULT(P734:S734,$K$3:$N$6),TRANSPOSE(P734:S734)))</f>
        <v>0.1099130339078921</v>
      </c>
    </row>
    <row r="735" spans="16:23" x14ac:dyDescent="0.3">
      <c r="P735" s="26">
        <v>0.47282325049996199</v>
      </c>
      <c r="Q735" s="26">
        <v>7.6894808310867244E-2</v>
      </c>
      <c r="R735" s="26">
        <v>0.32141037981452669</v>
      </c>
      <c r="S735" s="26">
        <v>0.12887156137464414</v>
      </c>
      <c r="T735" s="26"/>
      <c r="U735" s="9">
        <f t="array" ref="U735">MMULT(TRANSPOSE($B$3:$B$6),TRANSPOSE(P735:S735))</f>
        <v>7.3415320655023514E-2</v>
      </c>
      <c r="V735" s="26"/>
      <c r="W735" s="9">
        <f t="array" ref="W735">SQRT(MMULT(MMULT(P735:S735,$K$3:$N$6),TRANSPOSE(P735:S735)))</f>
        <v>0.10736210803711294</v>
      </c>
    </row>
    <row r="736" spans="16:23" x14ac:dyDescent="0.3">
      <c r="P736" s="26">
        <v>0.45275380622015565</v>
      </c>
      <c r="Q736" s="26">
        <v>0.14075957754972299</v>
      </c>
      <c r="R736" s="26">
        <v>0.21945333752338275</v>
      </c>
      <c r="S736" s="26">
        <v>0.18703327870673858</v>
      </c>
      <c r="T736" s="26"/>
      <c r="U736" s="9">
        <f t="array" ref="U736">MMULT(TRANSPOSE($B$3:$B$6),TRANSPOSE(P736:S736))</f>
        <v>7.4685654561401471E-2</v>
      </c>
      <c r="V736" s="26"/>
      <c r="W736" s="9">
        <f t="array" ref="W736">SQRT(MMULT(MMULT(P736:S736,$K$3:$N$6),TRANSPOSE(P736:S736)))</f>
        <v>0.10661780570374896</v>
      </c>
    </row>
    <row r="737" spans="16:23" x14ac:dyDescent="0.3">
      <c r="P737" s="26">
        <v>0.27543430684199771</v>
      </c>
      <c r="Q737" s="26">
        <v>0.23314964924816431</v>
      </c>
      <c r="R737" s="26">
        <v>0.20511867824404176</v>
      </c>
      <c r="S737" s="26">
        <v>0.28629736566579611</v>
      </c>
      <c r="T737" s="26"/>
      <c r="U737" s="9">
        <f t="array" ref="U737">MMULT(TRANSPOSE($B$3:$B$6),TRANSPOSE(P737:S737))</f>
        <v>8.2908555711330684E-2</v>
      </c>
      <c r="V737" s="26"/>
      <c r="W737" s="9">
        <f t="array" ref="W737">SQRT(MMULT(MMULT(P737:S737,$K$3:$N$6),TRANSPOSE(P737:S737)))</f>
        <v>0.12716070150577818</v>
      </c>
    </row>
    <row r="738" spans="16:23" x14ac:dyDescent="0.3">
      <c r="P738" s="26">
        <v>0.18159364986360396</v>
      </c>
      <c r="Q738" s="26">
        <v>0.34175182909230922</v>
      </c>
      <c r="R738" s="26">
        <v>0.12244527815155026</v>
      </c>
      <c r="S738" s="26">
        <v>0.35420924289253658</v>
      </c>
      <c r="T738" s="26"/>
      <c r="U738" s="9">
        <f t="array" ref="U738">MMULT(TRANSPOSE($B$3:$B$6),TRANSPOSE(P738:S738))</f>
        <v>8.6527494710385761E-2</v>
      </c>
      <c r="V738" s="26"/>
      <c r="W738" s="9">
        <f t="array" ref="W738">SQRT(MMULT(MMULT(P738:S738,$K$3:$N$6),TRANSPOSE(P738:S738)))</f>
        <v>0.13938401525830463</v>
      </c>
    </row>
    <row r="739" spans="16:23" x14ac:dyDescent="0.3">
      <c r="P739" s="26">
        <v>0.34374226687315879</v>
      </c>
      <c r="Q739" s="26">
        <v>0.17623888359950246</v>
      </c>
      <c r="R739" s="26">
        <v>0.29665113563175893</v>
      </c>
      <c r="S739" s="26">
        <v>0.18336771389557996</v>
      </c>
      <c r="T739" s="26"/>
      <c r="U739" s="9">
        <f t="array" ref="U739">MMULT(TRANSPOSE($B$3:$B$6),TRANSPOSE(P739:S739))</f>
        <v>7.8226563069951016E-2</v>
      </c>
      <c r="V739" s="26"/>
      <c r="W739" s="9">
        <f t="array" ref="W739">SQRT(MMULT(MMULT(P739:S739,$K$3:$N$6),TRANSPOSE(P739:S739)))</f>
        <v>0.11502195521629387</v>
      </c>
    </row>
    <row r="740" spans="16:23" x14ac:dyDescent="0.3">
      <c r="P740" s="26">
        <v>7.567330916171798E-2</v>
      </c>
      <c r="Q740" s="26">
        <v>0.32194969723104216</v>
      </c>
      <c r="R740" s="26">
        <v>0.23832713071072342</v>
      </c>
      <c r="S740" s="26">
        <v>0.36404986289651636</v>
      </c>
      <c r="T740" s="26"/>
      <c r="U740" s="9">
        <f t="array" ref="U740">MMULT(TRANSPOSE($B$3:$B$6),TRANSPOSE(P740:S740))</f>
        <v>9.1455569575805917E-2</v>
      </c>
      <c r="V740" s="26"/>
      <c r="W740" s="9">
        <f t="array" ref="W740">SQRT(MMULT(MMULT(P740:S740,$K$3:$N$6),TRANSPOSE(P740:S740)))</f>
        <v>0.15326738832507553</v>
      </c>
    </row>
    <row r="741" spans="16:23" x14ac:dyDescent="0.3">
      <c r="P741" s="26">
        <v>0.19469840031037436</v>
      </c>
      <c r="Q741" s="26">
        <v>0.43553056899202652</v>
      </c>
      <c r="R741" s="26">
        <v>0.10062523851728505</v>
      </c>
      <c r="S741" s="26">
        <v>0.26914579218031404</v>
      </c>
      <c r="T741" s="26"/>
      <c r="U741" s="9">
        <f t="array" ref="U741">MMULT(TRANSPOSE($B$3:$B$6),TRANSPOSE(P741:S741))</f>
        <v>8.1575826373153915E-2</v>
      </c>
      <c r="V741" s="26"/>
      <c r="W741" s="9">
        <f t="array" ref="W741">SQRT(MMULT(MMULT(P741:S741,$K$3:$N$6),TRANSPOSE(P741:S741)))</f>
        <v>0.12433735820999155</v>
      </c>
    </row>
    <row r="742" spans="16:23" x14ac:dyDescent="0.3">
      <c r="P742" s="26">
        <v>1.1652775128839983E-2</v>
      </c>
      <c r="Q742" s="26">
        <v>0.44976932692188298</v>
      </c>
      <c r="R742" s="26">
        <v>0.13105330061739648</v>
      </c>
      <c r="S742" s="26">
        <v>0.40752459733188057</v>
      </c>
      <c r="T742" s="26"/>
      <c r="U742" s="9">
        <f t="array" ref="U742">MMULT(TRANSPOSE($B$3:$B$6),TRANSPOSE(P742:S742))</f>
        <v>9.2764240376365159E-2</v>
      </c>
      <c r="V742" s="26"/>
      <c r="W742" s="9">
        <f t="array" ref="W742">SQRT(MMULT(MMULT(P742:S742,$K$3:$N$6),TRANSPOSE(P742:S742)))</f>
        <v>0.15972719914013178</v>
      </c>
    </row>
    <row r="743" spans="16:23" x14ac:dyDescent="0.3">
      <c r="P743" s="26">
        <v>0.36748501490948615</v>
      </c>
      <c r="Q743" s="26">
        <v>0.31268275686053276</v>
      </c>
      <c r="R743" s="26">
        <v>0.21528395387833849</v>
      </c>
      <c r="S743" s="26">
        <v>0.10454827435164249</v>
      </c>
      <c r="T743" s="26"/>
      <c r="U743" s="9">
        <f t="array" ref="U743">MMULT(TRANSPOSE($B$3:$B$6),TRANSPOSE(P743:S743))</f>
        <v>7.2183392496959167E-2</v>
      </c>
      <c r="V743" s="26"/>
      <c r="W743" s="9">
        <f t="array" ref="W743">SQRT(MMULT(MMULT(P743:S743,$K$3:$N$6),TRANSPOSE(P743:S743)))</f>
        <v>0.10047544960958121</v>
      </c>
    </row>
    <row r="744" spans="16:23" x14ac:dyDescent="0.3">
      <c r="P744" s="26">
        <v>0.10582319751749043</v>
      </c>
      <c r="Q744" s="26">
        <v>0.3976408888356156</v>
      </c>
      <c r="R744" s="26">
        <v>0.20816393896123303</v>
      </c>
      <c r="S744" s="26">
        <v>0.28837197468566089</v>
      </c>
      <c r="T744" s="26"/>
      <c r="U744" s="9">
        <f t="array" ref="U744">MMULT(TRANSPOSE($B$3:$B$6),TRANSPOSE(P744:S744))</f>
        <v>8.64654135631579E-2</v>
      </c>
      <c r="V744" s="26"/>
      <c r="W744" s="9">
        <f t="array" ref="W744">SQRT(MMULT(MMULT(P744:S744,$K$3:$N$6),TRANSPOSE(P744:S744)))</f>
        <v>0.13683078987566233</v>
      </c>
    </row>
    <row r="745" spans="16:23" x14ac:dyDescent="0.3">
      <c r="P745" s="26">
        <v>0.44206839543230475</v>
      </c>
      <c r="Q745" s="26">
        <v>0.1227297245025567</v>
      </c>
      <c r="R745" s="26">
        <v>0.18903411265878256</v>
      </c>
      <c r="S745" s="26">
        <v>0.2461677674063559</v>
      </c>
      <c r="T745" s="26"/>
      <c r="U745" s="9">
        <f t="array" ref="U745">MMULT(TRANSPOSE($B$3:$B$6),TRANSPOSE(P745:S745))</f>
        <v>7.7247702714847336E-2</v>
      </c>
      <c r="V745" s="26"/>
      <c r="W745" s="9">
        <f t="array" ref="W745">SQRT(MMULT(MMULT(P745:S745,$K$3:$N$6),TRANSPOSE(P745:S745)))</f>
        <v>0.11439313962007083</v>
      </c>
    </row>
    <row r="746" spans="16:23" x14ac:dyDescent="0.3">
      <c r="P746" s="26">
        <v>0.30361041529590943</v>
      </c>
      <c r="Q746" s="26">
        <v>5.5786605119431863E-2</v>
      </c>
      <c r="R746" s="26">
        <v>0.32755098491528306</v>
      </c>
      <c r="S746" s="26">
        <v>0.31305199466937567</v>
      </c>
      <c r="T746" s="26"/>
      <c r="U746" s="9">
        <f t="array" ref="U746">MMULT(TRANSPOSE($B$3:$B$6),TRANSPOSE(P746:S746))</f>
        <v>8.6131411125856261E-2</v>
      </c>
      <c r="V746" s="26"/>
      <c r="W746" s="9">
        <f t="array" ref="W746">SQRT(MMULT(MMULT(P746:S746,$K$3:$N$6),TRANSPOSE(P746:S746)))</f>
        <v>0.14246448258315567</v>
      </c>
    </row>
    <row r="747" spans="16:23" x14ac:dyDescent="0.3">
      <c r="P747" s="26">
        <v>0.19079357250215473</v>
      </c>
      <c r="Q747" s="26">
        <v>0.23889083153311666</v>
      </c>
      <c r="R747" s="26">
        <v>0.23555808260196448</v>
      </c>
      <c r="S747" s="26">
        <v>0.33475751336276416</v>
      </c>
      <c r="T747" s="26"/>
      <c r="U747" s="9">
        <f t="array" ref="U747">MMULT(TRANSPOSE($B$3:$B$6),TRANSPOSE(P747:S747))</f>
        <v>8.7633165870134408E-2</v>
      </c>
      <c r="V747" s="26"/>
      <c r="W747" s="9">
        <f t="array" ref="W747">SQRT(MMULT(MMULT(P747:S747,$K$3:$N$6),TRANSPOSE(P747:S747)))</f>
        <v>0.14182995679488561</v>
      </c>
    </row>
    <row r="748" spans="16:23" x14ac:dyDescent="0.3">
      <c r="P748" s="26">
        <v>0.32325326025729506</v>
      </c>
      <c r="Q748" s="26">
        <v>0.17651981009393108</v>
      </c>
      <c r="R748" s="26">
        <v>0.28029168039775565</v>
      </c>
      <c r="S748" s="26">
        <v>0.21993524925101812</v>
      </c>
      <c r="T748" s="26"/>
      <c r="U748" s="9">
        <f t="array" ref="U748">MMULT(TRANSPOSE($B$3:$B$6),TRANSPOSE(P748:S748))</f>
        <v>8.0137530865360115E-2</v>
      </c>
      <c r="V748" s="26"/>
      <c r="W748" s="9">
        <f t="array" ref="W748">SQRT(MMULT(MMULT(P748:S748,$K$3:$N$6),TRANSPOSE(P748:S748)))</f>
        <v>0.11982926900987884</v>
      </c>
    </row>
    <row r="749" spans="16:23" x14ac:dyDescent="0.3">
      <c r="P749" s="26">
        <v>0.324426013250315</v>
      </c>
      <c r="Q749" s="26">
        <v>0.31613898073403351</v>
      </c>
      <c r="R749" s="26">
        <v>0.30636768908034429</v>
      </c>
      <c r="S749" s="26">
        <v>5.3067316935307092E-2</v>
      </c>
      <c r="T749" s="26"/>
      <c r="U749" s="9">
        <f t="array" ref="U749">MMULT(TRANSPOSE($B$3:$B$6),TRANSPOSE(P749:S749))</f>
        <v>7.2292199363365936E-2</v>
      </c>
      <c r="V749" s="26"/>
      <c r="W749" s="9">
        <f t="array" ref="W749">SQRT(MMULT(MMULT(P749:S749,$K$3:$N$6),TRANSPOSE(P749:S749)))</f>
        <v>0.10511198446917404</v>
      </c>
    </row>
    <row r="750" spans="16:23" x14ac:dyDescent="0.3">
      <c r="P750" s="26">
        <v>0.47099640740658655</v>
      </c>
      <c r="Q750" s="26">
        <v>0.390284084054976</v>
      </c>
      <c r="R750" s="26">
        <v>0.11831433363330607</v>
      </c>
      <c r="S750" s="26">
        <v>2.0405174905131364E-2</v>
      </c>
      <c r="T750" s="26"/>
      <c r="U750" s="9">
        <f t="array" ref="U750">MMULT(TRANSPOSE($B$3:$B$6),TRANSPOSE(P750:S750))</f>
        <v>6.3966617269790957E-2</v>
      </c>
      <c r="V750" s="26"/>
      <c r="W750" s="9">
        <f t="array" ref="W750">SQRT(MMULT(MMULT(P750:S750,$K$3:$N$6),TRANSPOSE(P750:S750)))</f>
        <v>9.2824653319024508E-2</v>
      </c>
    </row>
    <row r="751" spans="16:23" x14ac:dyDescent="0.3">
      <c r="P751" s="26">
        <v>0.2405681915371399</v>
      </c>
      <c r="Q751" s="26">
        <v>0.32260011102164959</v>
      </c>
      <c r="R751" s="26">
        <v>0.1861057481700589</v>
      </c>
      <c r="S751" s="26">
        <v>0.25072594927115166</v>
      </c>
      <c r="T751" s="26"/>
      <c r="U751" s="9">
        <f t="array" ref="U751">MMULT(TRANSPOSE($B$3:$B$6),TRANSPOSE(P751:S751))</f>
        <v>8.1447048596215973E-2</v>
      </c>
      <c r="V751" s="26"/>
      <c r="W751" s="9">
        <f t="array" ref="W751">SQRT(MMULT(MMULT(P751:S751,$K$3:$N$6),TRANSPOSE(P751:S751)))</f>
        <v>0.12180937171021687</v>
      </c>
    </row>
    <row r="752" spans="16:23" x14ac:dyDescent="0.3">
      <c r="P752" s="26">
        <v>0.18986250086863185</v>
      </c>
      <c r="Q752" s="26">
        <v>0.27659881360151517</v>
      </c>
      <c r="R752" s="26">
        <v>0.3830361064998527</v>
      </c>
      <c r="S752" s="26">
        <v>0.15050257903000008</v>
      </c>
      <c r="T752" s="26"/>
      <c r="U752" s="9">
        <f t="array" ref="U752">MMULT(TRANSPOSE($B$3:$B$6),TRANSPOSE(P752:S752))</f>
        <v>8.1388601064124405E-2</v>
      </c>
      <c r="V752" s="26"/>
      <c r="W752" s="9">
        <f t="array" ref="W752">SQRT(MMULT(MMULT(P752:S752,$K$3:$N$6),TRANSPOSE(P752:S752)))</f>
        <v>0.1254179776338416</v>
      </c>
    </row>
    <row r="753" spans="16:23" x14ac:dyDescent="0.3">
      <c r="P753" s="26">
        <v>0.17988753232553203</v>
      </c>
      <c r="Q753" s="26">
        <v>0.2872736202473139</v>
      </c>
      <c r="R753" s="26">
        <v>0.28501030333165089</v>
      </c>
      <c r="S753" s="26">
        <v>0.24782854409550314</v>
      </c>
      <c r="T753" s="26"/>
      <c r="U753" s="9">
        <f t="array" ref="U753">MMULT(TRANSPOSE($B$3:$B$6),TRANSPOSE(P753:S753))</f>
        <v>8.4493882624897543E-2</v>
      </c>
      <c r="V753" s="26"/>
      <c r="W753" s="9">
        <f t="array" ref="W753">SQRT(MMULT(MMULT(P753:S753,$K$3:$N$6),TRANSPOSE(P753:S753)))</f>
        <v>0.1308097744282129</v>
      </c>
    </row>
    <row r="754" spans="16:23" x14ac:dyDescent="0.3">
      <c r="P754" s="26">
        <v>0.33688772713988452</v>
      </c>
      <c r="Q754" s="26">
        <v>0.2715030588702258</v>
      </c>
      <c r="R754" s="26">
        <v>9.7762822772498332E-3</v>
      </c>
      <c r="S754" s="26">
        <v>0.38183293171263982</v>
      </c>
      <c r="T754" s="26"/>
      <c r="U754" s="9">
        <f t="array" ref="U754">MMULT(TRANSPOSE($B$3:$B$6),TRANSPOSE(P754:S754))</f>
        <v>8.2549417688379284E-2</v>
      </c>
      <c r="V754" s="26"/>
      <c r="W754" s="9">
        <f t="array" ref="W754">SQRT(MMULT(MMULT(P754:S754,$K$3:$N$6),TRANSPOSE(P754:S754)))</f>
        <v>0.13426408740153073</v>
      </c>
    </row>
    <row r="755" spans="16:23" x14ac:dyDescent="0.3">
      <c r="P755" s="26">
        <v>0.37217508188826276</v>
      </c>
      <c r="Q755" s="26">
        <v>1.4921475485048817E-2</v>
      </c>
      <c r="R755" s="26">
        <v>0.35580548221321434</v>
      </c>
      <c r="S755" s="26">
        <v>0.25709796041347405</v>
      </c>
      <c r="T755" s="26"/>
      <c r="U755" s="9">
        <f t="array" ref="U755">MMULT(TRANSPOSE($B$3:$B$6),TRANSPOSE(P755:S755))</f>
        <v>8.2527506027172737E-2</v>
      </c>
      <c r="V755" s="26"/>
      <c r="W755" s="9">
        <f t="array" ref="W755">SQRT(MMULT(MMULT(P755:S755,$K$3:$N$6),TRANSPOSE(P755:S755)))</f>
        <v>0.13331932260188689</v>
      </c>
    </row>
    <row r="756" spans="16:23" x14ac:dyDescent="0.3">
      <c r="P756" s="26">
        <v>0.12854140895621116</v>
      </c>
      <c r="Q756" s="26">
        <v>0.33321571858797111</v>
      </c>
      <c r="R756" s="26">
        <v>0.35457262828386299</v>
      </c>
      <c r="S756" s="26">
        <v>0.18367024417195474</v>
      </c>
      <c r="T756" s="26"/>
      <c r="U756" s="9">
        <f t="array" ref="U756">MMULT(TRANSPOSE($B$3:$B$6),TRANSPOSE(P756:S756))</f>
        <v>8.3704136595150774E-2</v>
      </c>
      <c r="V756" s="26"/>
      <c r="W756" s="9">
        <f t="array" ref="W756">SQRT(MMULT(MMULT(P756:S756,$K$3:$N$6),TRANSPOSE(P756:S756)))</f>
        <v>0.13054526694366186</v>
      </c>
    </row>
    <row r="757" spans="16:23" x14ac:dyDescent="0.3">
      <c r="P757" s="26">
        <v>0.18873026154257738</v>
      </c>
      <c r="Q757" s="26">
        <v>0.36041500738006688</v>
      </c>
      <c r="R757" s="26">
        <v>0.35789578263452376</v>
      </c>
      <c r="S757" s="26">
        <v>9.2958948442832062E-2</v>
      </c>
      <c r="T757" s="26"/>
      <c r="U757" s="9">
        <f t="array" ref="U757">MMULT(TRANSPOSE($B$3:$B$6),TRANSPOSE(P757:S757))</f>
        <v>7.8031257843980545E-2</v>
      </c>
      <c r="V757" s="26"/>
      <c r="W757" s="9">
        <f t="array" ref="W757">SQRT(MMULT(MMULT(P757:S757,$K$3:$N$6),TRANSPOSE(P757:S757)))</f>
        <v>0.11887587446290343</v>
      </c>
    </row>
    <row r="758" spans="16:23" x14ac:dyDescent="0.3">
      <c r="P758" s="26">
        <v>9.2959557029703543E-2</v>
      </c>
      <c r="Q758" s="26">
        <v>0.33317621355092747</v>
      </c>
      <c r="R758" s="26">
        <v>0.15950650239854941</v>
      </c>
      <c r="S758" s="26">
        <v>0.41435772702081958</v>
      </c>
      <c r="T758" s="26"/>
      <c r="U758" s="9">
        <f t="array" ref="U758">MMULT(TRANSPOSE($B$3:$B$6),TRANSPOSE(P758:S758))</f>
        <v>9.2048825258417899E-2</v>
      </c>
      <c r="V758" s="26"/>
      <c r="W758" s="9">
        <f t="array" ref="W758">SQRT(MMULT(MMULT(P758:S758,$K$3:$N$6),TRANSPOSE(P758:S758)))</f>
        <v>0.15743660858403027</v>
      </c>
    </row>
    <row r="759" spans="16:23" x14ac:dyDescent="0.3">
      <c r="P759" s="26">
        <v>0.36370953516903226</v>
      </c>
      <c r="Q759" s="26">
        <v>2.5217106232362408E-3</v>
      </c>
      <c r="R759" s="26">
        <v>0.27307571453990748</v>
      </c>
      <c r="S759" s="26">
        <v>0.36069303966782396</v>
      </c>
      <c r="T759" s="26"/>
      <c r="U759" s="9">
        <f t="array" ref="U759">MMULT(TRANSPOSE($B$3:$B$6),TRANSPOSE(P759:S759))</f>
        <v>8.6221975570808684E-2</v>
      </c>
      <c r="V759" s="26"/>
      <c r="W759" s="9">
        <f t="array" ref="W759">SQRT(MMULT(MMULT(P759:S759,$K$3:$N$6),TRANSPOSE(P759:S759)))</f>
        <v>0.14683158890920206</v>
      </c>
    </row>
    <row r="760" spans="16:23" x14ac:dyDescent="0.3">
      <c r="P760" s="26">
        <v>0.27020715110133847</v>
      </c>
      <c r="Q760" s="26">
        <v>9.5775541246150092E-2</v>
      </c>
      <c r="R760" s="26">
        <v>0.26888578870364138</v>
      </c>
      <c r="S760" s="26">
        <v>0.36513151894887003</v>
      </c>
      <c r="T760" s="26"/>
      <c r="U760" s="9">
        <f t="array" ref="U760">MMULT(TRANSPOSE($B$3:$B$6),TRANSPOSE(P760:S760))</f>
        <v>8.8230148699489558E-2</v>
      </c>
      <c r="V760" s="26"/>
      <c r="W760" s="9">
        <f t="array" ref="W760">SQRT(MMULT(MMULT(P760:S760,$K$3:$N$6),TRANSPOSE(P760:S760)))</f>
        <v>0.14852651156889021</v>
      </c>
    </row>
    <row r="761" spans="16:23" x14ac:dyDescent="0.3">
      <c r="P761" s="26">
        <v>0.22815220948757245</v>
      </c>
      <c r="Q761" s="26">
        <v>0.5584891395875643</v>
      </c>
      <c r="R761" s="26">
        <v>8.6220637395901412E-2</v>
      </c>
      <c r="S761" s="26">
        <v>0.12713801352896181</v>
      </c>
      <c r="T761" s="26"/>
      <c r="U761" s="9">
        <f t="array" ref="U761">MMULT(TRANSPOSE($B$3:$B$6),TRANSPOSE(P761:S761))</f>
        <v>7.3518269234614672E-2</v>
      </c>
      <c r="V761" s="26"/>
      <c r="W761" s="9">
        <f t="array" ref="W761">SQRT(MMULT(MMULT(P761:S761,$K$3:$N$6),TRANSPOSE(P761:S761)))</f>
        <v>0.11069257508070399</v>
      </c>
    </row>
    <row r="762" spans="16:23" x14ac:dyDescent="0.3">
      <c r="P762" s="26">
        <v>0.43959532699624726</v>
      </c>
      <c r="Q762" s="26">
        <v>7.336931467713162E-2</v>
      </c>
      <c r="R762" s="26">
        <v>0.38510187161613008</v>
      </c>
      <c r="S762" s="26">
        <v>0.10193348671049093</v>
      </c>
      <c r="T762" s="26"/>
      <c r="U762" s="9">
        <f t="array" ref="U762">MMULT(TRANSPOSE($B$3:$B$6),TRANSPOSE(P762:S762))</f>
        <v>7.400680522792219E-2</v>
      </c>
      <c r="V762" s="26"/>
      <c r="W762" s="9">
        <f t="array" ref="W762">SQRT(MMULT(MMULT(P762:S762,$K$3:$N$6),TRANSPOSE(P762:S762)))</f>
        <v>0.11129267748342504</v>
      </c>
    </row>
    <row r="763" spans="16:23" x14ac:dyDescent="0.3">
      <c r="P763" s="26">
        <v>0.38123883373315964</v>
      </c>
      <c r="Q763" s="26">
        <v>0.39400997892320677</v>
      </c>
      <c r="R763" s="26">
        <v>6.1397169824379859E-3</v>
      </c>
      <c r="S763" s="26">
        <v>0.21861147036119558</v>
      </c>
      <c r="T763" s="26"/>
      <c r="U763" s="9">
        <f t="array" ref="U763">MMULT(TRANSPOSE($B$3:$B$6),TRANSPOSE(P763:S763))</f>
        <v>7.3428591183045344E-2</v>
      </c>
      <c r="V763" s="26"/>
      <c r="W763" s="9">
        <f t="array" ref="W763">SQRT(MMULT(MMULT(P763:S763,$K$3:$N$6),TRANSPOSE(P763:S763)))</f>
        <v>0.10626835304882694</v>
      </c>
    </row>
    <row r="764" spans="16:23" x14ac:dyDescent="0.3">
      <c r="P764" s="26">
        <v>0.22464795793285514</v>
      </c>
      <c r="Q764" s="26">
        <v>0.33923436284837188</v>
      </c>
      <c r="R764" s="26">
        <v>0.27620776167503025</v>
      </c>
      <c r="S764" s="26">
        <v>0.15990991754374267</v>
      </c>
      <c r="T764" s="26"/>
      <c r="U764" s="9">
        <f t="array" ref="U764">MMULT(TRANSPOSE($B$3:$B$6),TRANSPOSE(P764:S764))</f>
        <v>7.9026691952030631E-2</v>
      </c>
      <c r="V764" s="26"/>
      <c r="W764" s="9">
        <f t="array" ref="W764">SQRT(MMULT(MMULT(P764:S764,$K$3:$N$6),TRANSPOSE(P764:S764)))</f>
        <v>0.11642640741174755</v>
      </c>
    </row>
    <row r="765" spans="16:23" x14ac:dyDescent="0.3">
      <c r="P765" s="26">
        <v>0.30187408211162942</v>
      </c>
      <c r="Q765" s="26">
        <v>0.1374171829007968</v>
      </c>
      <c r="R765" s="26">
        <v>0.35209458886170053</v>
      </c>
      <c r="S765" s="26">
        <v>0.20861414612587312</v>
      </c>
      <c r="T765" s="26"/>
      <c r="U765" s="9">
        <f t="array" ref="U765">MMULT(TRANSPOSE($B$3:$B$6),TRANSPOSE(P765:S765))</f>
        <v>8.1435117441295071E-2</v>
      </c>
      <c r="V765" s="26"/>
      <c r="W765" s="9">
        <f t="array" ref="W765">SQRT(MMULT(MMULT(P765:S765,$K$3:$N$6),TRANSPOSE(P765:S765)))</f>
        <v>0.12541670422615417</v>
      </c>
    </row>
    <row r="766" spans="16:23" x14ac:dyDescent="0.3">
      <c r="P766" s="26">
        <v>0.33555833408952412</v>
      </c>
      <c r="Q766" s="26">
        <v>0.27935667186734636</v>
      </c>
      <c r="R766" s="26">
        <v>6.2444044023986988E-3</v>
      </c>
      <c r="S766" s="26">
        <v>0.37884058964073092</v>
      </c>
      <c r="T766" s="26"/>
      <c r="U766" s="9">
        <f t="array" ref="U766">MMULT(TRANSPOSE($B$3:$B$6),TRANSPOSE(P766:S766))</f>
        <v>8.2355750888294041E-2</v>
      </c>
      <c r="V766" s="26"/>
      <c r="W766" s="9">
        <f t="array" ref="W766">SQRT(MMULT(MMULT(P766:S766,$K$3:$N$6),TRANSPOSE(P766:S766)))</f>
        <v>0.13360352777802062</v>
      </c>
    </row>
    <row r="767" spans="16:23" x14ac:dyDescent="0.3">
      <c r="P767" s="26">
        <v>0.31289062033990456</v>
      </c>
      <c r="Q767" s="26">
        <v>0.16997428691184183</v>
      </c>
      <c r="R767" s="26">
        <v>0.45785525630515711</v>
      </c>
      <c r="S767" s="26">
        <v>5.9279836443096437E-2</v>
      </c>
      <c r="T767" s="26"/>
      <c r="U767" s="9">
        <f t="array" ref="U767">MMULT(TRANSPOSE($B$3:$B$6),TRANSPOSE(P767:S767))</f>
        <v>7.5863284541459866E-2</v>
      </c>
      <c r="V767" s="26"/>
      <c r="W767" s="9">
        <f t="array" ref="W767">SQRT(MMULT(MMULT(P767:S767,$K$3:$N$6),TRANSPOSE(P767:S767)))</f>
        <v>0.1186282835499809</v>
      </c>
    </row>
    <row r="768" spans="16:23" x14ac:dyDescent="0.3">
      <c r="P768" s="26">
        <v>0.35231863418746401</v>
      </c>
      <c r="Q768" s="26">
        <v>1.3138805385636913E-2</v>
      </c>
      <c r="R768" s="26">
        <v>0.11433409872472916</v>
      </c>
      <c r="S768" s="26">
        <v>0.52020846170216994</v>
      </c>
      <c r="T768" s="26"/>
      <c r="U768" s="9">
        <f t="array" ref="U768">MMULT(TRANSPOSE($B$3:$B$6),TRANSPOSE(P768:S768))</f>
        <v>9.1250732375853794E-2</v>
      </c>
      <c r="V768" s="26"/>
      <c r="W768" s="9">
        <f t="array" ref="W768">SQRT(MMULT(MMULT(P768:S768,$K$3:$N$6),TRANSPOSE(P768:S768)))</f>
        <v>0.17264354251470104</v>
      </c>
    </row>
    <row r="769" spans="16:23" x14ac:dyDescent="0.3">
      <c r="P769" s="26">
        <v>9.6993363195697749E-2</v>
      </c>
      <c r="Q769" s="26">
        <v>0.25570594179252709</v>
      </c>
      <c r="R769" s="26">
        <v>0.1400109749460651</v>
      </c>
      <c r="S769" s="26">
        <v>0.50728972006571005</v>
      </c>
      <c r="T769" s="26"/>
      <c r="U769" s="9">
        <f t="array" ref="U769">MMULT(TRANSPOSE($B$3:$B$6),TRANSPOSE(P769:S769))</f>
        <v>9.6224838238292837E-2</v>
      </c>
      <c r="V769" s="26"/>
      <c r="W769" s="9">
        <f t="array" ref="W769">SQRT(MMULT(MMULT(P769:S769,$K$3:$N$6),TRANSPOSE(P769:S769)))</f>
        <v>0.17630119365266803</v>
      </c>
    </row>
    <row r="770" spans="16:23" x14ac:dyDescent="0.3">
      <c r="P770" s="26">
        <v>0.41594581500003686</v>
      </c>
      <c r="Q770" s="26">
        <v>0.43012734806701247</v>
      </c>
      <c r="R770" s="26">
        <v>3.6929105926394375E-2</v>
      </c>
      <c r="S770" s="26">
        <v>0.1169977310065563</v>
      </c>
      <c r="T770" s="26"/>
      <c r="U770" s="9">
        <f t="array" ref="U770">MMULT(TRANSPOSE($B$3:$B$6),TRANSPOSE(P770:S770))</f>
        <v>6.8269552368854972E-2</v>
      </c>
      <c r="V770" s="26"/>
      <c r="W770" s="9">
        <f t="array" ref="W770">SQRT(MMULT(MMULT(P770:S770,$K$3:$N$6),TRANSPOSE(P770:S770)))</f>
        <v>9.6986863090833181E-2</v>
      </c>
    </row>
    <row r="771" spans="16:23" x14ac:dyDescent="0.3">
      <c r="P771" s="26">
        <v>0.54417707148730787</v>
      </c>
      <c r="Q771" s="26">
        <v>4.0238574101257668E-2</v>
      </c>
      <c r="R771" s="26">
        <v>7.8753783029744569E-3</v>
      </c>
      <c r="S771" s="26">
        <v>0.40770897610845996</v>
      </c>
      <c r="T771" s="26"/>
      <c r="U771" s="9">
        <f t="array" ref="U771">MMULT(TRANSPOSE($B$3:$B$6),TRANSPOSE(P771:S771))</f>
        <v>7.9659414941736326E-2</v>
      </c>
      <c r="V771" s="26"/>
      <c r="W771" s="9">
        <f t="array" ref="W771">SQRT(MMULT(MMULT(P771:S771,$K$3:$N$6),TRANSPOSE(P771:S771)))</f>
        <v>0.13813830346114025</v>
      </c>
    </row>
    <row r="772" spans="16:23" x14ac:dyDescent="0.3">
      <c r="P772" s="26">
        <v>0.41063502665362922</v>
      </c>
      <c r="Q772" s="26">
        <v>0.32245053865878981</v>
      </c>
      <c r="R772" s="26">
        <v>9.4852079032218704E-4</v>
      </c>
      <c r="S772" s="26">
        <v>0.26596591389725888</v>
      </c>
      <c r="T772" s="26"/>
      <c r="U772" s="9">
        <f t="array" ref="U772">MMULT(TRANSPOSE($B$3:$B$6),TRANSPOSE(P772:S772))</f>
        <v>7.5104565577596816E-2</v>
      </c>
      <c r="V772" s="26"/>
      <c r="W772" s="9">
        <f t="array" ref="W772">SQRT(MMULT(MMULT(P772:S772,$K$3:$N$6),TRANSPOSE(P772:S772)))</f>
        <v>0.11092880590843286</v>
      </c>
    </row>
    <row r="773" spans="16:23" x14ac:dyDescent="0.3">
      <c r="P773" s="26">
        <v>0.46418618627915931</v>
      </c>
      <c r="Q773" s="26">
        <v>0.35397829483130988</v>
      </c>
      <c r="R773" s="26">
        <v>5.4474804112675142E-2</v>
      </c>
      <c r="S773" s="26">
        <v>0.12736071477685565</v>
      </c>
      <c r="T773" s="26"/>
      <c r="U773" s="9">
        <f t="array" ref="U773">MMULT(TRANSPOSE($B$3:$B$6),TRANSPOSE(P773:S773))</f>
        <v>6.81738080955131E-2</v>
      </c>
      <c r="V773" s="26"/>
      <c r="W773" s="9">
        <f t="array" ref="W773">SQRT(MMULT(MMULT(P773:S773,$K$3:$N$6),TRANSPOSE(P773:S773)))</f>
        <v>9.4354408578282215E-2</v>
      </c>
    </row>
    <row r="774" spans="16:23" x14ac:dyDescent="0.3">
      <c r="P774" s="26">
        <v>0.36568721638879198</v>
      </c>
      <c r="Q774" s="26">
        <v>0.27486489879275405</v>
      </c>
      <c r="R774" s="26">
        <v>0.248474628057617</v>
      </c>
      <c r="S774" s="26">
        <v>0.11097325676083704</v>
      </c>
      <c r="T774" s="26"/>
      <c r="U774" s="9">
        <f t="array" ref="U774">MMULT(TRANSPOSE($B$3:$B$6),TRANSPOSE(P774:S774))</f>
        <v>7.3204411071418354E-2</v>
      </c>
      <c r="V774" s="26"/>
      <c r="W774" s="9">
        <f t="array" ref="W774">SQRT(MMULT(MMULT(P774:S774,$K$3:$N$6),TRANSPOSE(P774:S774)))</f>
        <v>0.10261975765674175</v>
      </c>
    </row>
    <row r="775" spans="16:23" x14ac:dyDescent="0.3">
      <c r="P775" s="26">
        <v>0.32864663890254897</v>
      </c>
      <c r="Q775" s="26">
        <v>8.6040593531121243E-2</v>
      </c>
      <c r="R775" s="26">
        <v>0.37477550467651483</v>
      </c>
      <c r="S775" s="26">
        <v>0.21053726288981495</v>
      </c>
      <c r="T775" s="26"/>
      <c r="U775" s="9">
        <f t="array" ref="U775">MMULT(TRANSPOSE($B$3:$B$6),TRANSPOSE(P775:S775))</f>
        <v>8.1449440459970074E-2</v>
      </c>
      <c r="V775" s="26"/>
      <c r="W775" s="9">
        <f t="array" ref="W775">SQRT(MMULT(MMULT(P775:S775,$K$3:$N$6),TRANSPOSE(P775:S775)))</f>
        <v>0.12749521439664743</v>
      </c>
    </row>
    <row r="776" spans="16:23" x14ac:dyDescent="0.3">
      <c r="P776" s="26">
        <v>0.53122169063026514</v>
      </c>
      <c r="Q776" s="26">
        <v>0.27118449046684262</v>
      </c>
      <c r="R776" s="26">
        <v>6.7032744542873501E-2</v>
      </c>
      <c r="S776" s="26">
        <v>0.13056107436001874</v>
      </c>
      <c r="T776" s="26"/>
      <c r="U776" s="9">
        <f t="array" ref="U776">MMULT(TRANSPOSE($B$3:$B$6),TRANSPOSE(P776:S776))</f>
        <v>6.7244274796253112E-2</v>
      </c>
      <c r="V776" s="26"/>
      <c r="W776" s="9">
        <f t="array" ref="W776">SQRT(MMULT(MMULT(P776:S776,$K$3:$N$6),TRANSPOSE(P776:S776)))</f>
        <v>9.2039916973417013E-2</v>
      </c>
    </row>
    <row r="777" spans="16:23" x14ac:dyDescent="0.3">
      <c r="P777" s="26">
        <v>8.7434396540022524E-2</v>
      </c>
      <c r="Q777" s="26">
        <v>0.22763143721440143</v>
      </c>
      <c r="R777" s="26">
        <v>0.39521734469840103</v>
      </c>
      <c r="S777" s="26">
        <v>0.28971682154717493</v>
      </c>
      <c r="T777" s="26"/>
      <c r="U777" s="9">
        <f t="array" ref="U777">MMULT(TRANSPOSE($B$3:$B$6),TRANSPOSE(P777:S777))</f>
        <v>9.0641500040526304E-2</v>
      </c>
      <c r="V777" s="26"/>
      <c r="W777" s="9">
        <f t="array" ref="W777">SQRT(MMULT(MMULT(P777:S777,$K$3:$N$6),TRANSPOSE(P777:S777)))</f>
        <v>0.15194399929489585</v>
      </c>
    </row>
    <row r="778" spans="16:23" x14ac:dyDescent="0.3">
      <c r="P778" s="26">
        <v>0.28560030731473018</v>
      </c>
      <c r="Q778" s="26">
        <v>0.26579279428399893</v>
      </c>
      <c r="R778" s="26">
        <v>0.40281620179268557</v>
      </c>
      <c r="S778" s="26">
        <v>4.5790696608585368E-2</v>
      </c>
      <c r="T778" s="26"/>
      <c r="U778" s="9">
        <f t="array" ref="U778">MMULT(TRANSPOSE($B$3:$B$6),TRANSPOSE(P778:S778))</f>
        <v>7.4633852719988375E-2</v>
      </c>
      <c r="V778" s="26"/>
      <c r="W778" s="9">
        <f t="array" ref="W778">SQRT(MMULT(MMULT(P778:S778,$K$3:$N$6),TRANSPOSE(P778:S778)))</f>
        <v>0.1138477813300858</v>
      </c>
    </row>
    <row r="779" spans="16:23" x14ac:dyDescent="0.3">
      <c r="P779" s="26">
        <v>9.4609758238945157E-2</v>
      </c>
      <c r="Q779" s="26">
        <v>0.30097361967680913</v>
      </c>
      <c r="R779" s="26">
        <v>0.31655864347760748</v>
      </c>
      <c r="S779" s="26">
        <v>0.28785797860663831</v>
      </c>
      <c r="T779" s="26"/>
      <c r="U779" s="9">
        <f t="array" ref="U779">MMULT(TRANSPOSE($B$3:$B$6),TRANSPOSE(P779:S779))</f>
        <v>8.8831876635105167E-2</v>
      </c>
      <c r="V779" s="26"/>
      <c r="W779" s="9">
        <f t="array" ref="W779">SQRT(MMULT(MMULT(P779:S779,$K$3:$N$6),TRANSPOSE(P779:S779)))</f>
        <v>0.14434213737993695</v>
      </c>
    </row>
    <row r="780" spans="16:23" x14ac:dyDescent="0.3">
      <c r="P780" s="26">
        <v>8.9691822511877725E-2</v>
      </c>
      <c r="Q780" s="26">
        <v>0.56321454382518332</v>
      </c>
      <c r="R780" s="26">
        <v>0.27848123901185134</v>
      </c>
      <c r="S780" s="26">
        <v>6.8612394651087594E-2</v>
      </c>
      <c r="T780" s="26"/>
      <c r="U780" s="9">
        <f t="array" ref="U780">MMULT(TRANSPOSE($B$3:$B$6),TRANSPOSE(P780:S780))</f>
        <v>7.7206408062553855E-2</v>
      </c>
      <c r="V780" s="26"/>
      <c r="W780" s="9">
        <f t="array" ref="W780">SQRT(MMULT(MMULT(P780:S780,$K$3:$N$6),TRANSPOSE(P780:S780)))</f>
        <v>0.12350326928553533</v>
      </c>
    </row>
    <row r="781" spans="16:23" x14ac:dyDescent="0.3">
      <c r="P781" s="26">
        <v>0.26776770525237625</v>
      </c>
      <c r="Q781" s="26">
        <v>0.21573417106850074</v>
      </c>
      <c r="R781" s="26">
        <v>0.34607343259241069</v>
      </c>
      <c r="S781" s="26">
        <v>0.17042469108671229</v>
      </c>
      <c r="T781" s="26"/>
      <c r="U781" s="9">
        <f t="array" ref="U781">MMULT(TRANSPOSE($B$3:$B$6),TRANSPOSE(P781:S781))</f>
        <v>8.008734910113631E-2</v>
      </c>
      <c r="V781" s="26"/>
      <c r="W781" s="9">
        <f t="array" ref="W781">SQRT(MMULT(MMULT(P781:S781,$K$3:$N$6),TRANSPOSE(P781:S781)))</f>
        <v>0.12053555035894238</v>
      </c>
    </row>
    <row r="782" spans="16:23" x14ac:dyDescent="0.3">
      <c r="P782" s="26">
        <v>0.31164899732338164</v>
      </c>
      <c r="Q782" s="26">
        <v>5.2732653874977255E-2</v>
      </c>
      <c r="R782" s="26">
        <v>0.3846685803542475</v>
      </c>
      <c r="S782" s="26">
        <v>0.25094976844739353</v>
      </c>
      <c r="T782" s="26"/>
      <c r="U782" s="9">
        <f t="array" ref="U782">MMULT(TRANSPOSE($B$3:$B$6),TRANSPOSE(P782:S782))</f>
        <v>8.4007880082986985E-2</v>
      </c>
      <c r="V782" s="26"/>
      <c r="W782" s="9">
        <f t="array" ref="W782">SQRT(MMULT(MMULT(P782:S782,$K$3:$N$6),TRANSPOSE(P782:S782)))</f>
        <v>0.13620195271491697</v>
      </c>
    </row>
    <row r="783" spans="16:23" x14ac:dyDescent="0.3">
      <c r="P783" s="26">
        <v>0.16951491900390814</v>
      </c>
      <c r="Q783" s="26">
        <v>0.33796040636323421</v>
      </c>
      <c r="R783" s="26">
        <v>0.36844975349887327</v>
      </c>
      <c r="S783" s="26">
        <v>0.12407492113398437</v>
      </c>
      <c r="T783" s="26"/>
      <c r="U783" s="9">
        <f t="array" ref="U783">MMULT(TRANSPOSE($B$3:$B$6),TRANSPOSE(P783:S783))</f>
        <v>8.0182442746598526E-2</v>
      </c>
      <c r="V783" s="26"/>
      <c r="W783" s="9">
        <f t="array" ref="W783">SQRT(MMULT(MMULT(P783:S783,$K$3:$N$6),TRANSPOSE(P783:S783)))</f>
        <v>0.12305585071362291</v>
      </c>
    </row>
    <row r="784" spans="16:23" x14ac:dyDescent="0.3">
      <c r="P784" s="26">
        <v>4.3911171260207292E-2</v>
      </c>
      <c r="Q784" s="26">
        <v>0.39035748994623731</v>
      </c>
      <c r="R784" s="26">
        <v>0.2994847672074894</v>
      </c>
      <c r="S784" s="26">
        <v>0.26624657158606613</v>
      </c>
      <c r="T784" s="26"/>
      <c r="U784" s="9">
        <f t="array" ref="U784">MMULT(TRANSPOSE($B$3:$B$6),TRANSPOSE(P784:S784))</f>
        <v>8.8423800498248967E-2</v>
      </c>
      <c r="V784" s="26"/>
      <c r="W784" s="9">
        <f t="array" ref="W784">SQRT(MMULT(MMULT(P784:S784,$K$3:$N$6),TRANSPOSE(P784:S784)))</f>
        <v>0.14308349395810613</v>
      </c>
    </row>
    <row r="785" spans="16:23" x14ac:dyDescent="0.3">
      <c r="P785" s="26">
        <v>0.15077397587668653</v>
      </c>
      <c r="Q785" s="26">
        <v>0.30454184638798382</v>
      </c>
      <c r="R785" s="26">
        <v>0.29027466152089915</v>
      </c>
      <c r="S785" s="26">
        <v>0.25440951621443048</v>
      </c>
      <c r="T785" s="26"/>
      <c r="U785" s="9">
        <f t="array" ref="U785">MMULT(TRANSPOSE($B$3:$B$6),TRANSPOSE(P785:S785))</f>
        <v>8.5510489523605779E-2</v>
      </c>
      <c r="V785" s="26"/>
      <c r="W785" s="9">
        <f t="array" ref="W785">SQRT(MMULT(MMULT(P785:S785,$K$3:$N$6),TRANSPOSE(P785:S785)))</f>
        <v>0.13382284704446937</v>
      </c>
    </row>
    <row r="786" spans="16:23" x14ac:dyDescent="0.3">
      <c r="P786" s="26">
        <v>0.1015110783619565</v>
      </c>
      <c r="Q786" s="26">
        <v>0.33936591207297429</v>
      </c>
      <c r="R786" s="26">
        <v>0.37421219443378623</v>
      </c>
      <c r="S786" s="26">
        <v>0.18491081513128299</v>
      </c>
      <c r="T786" s="26"/>
      <c r="U786" s="9">
        <f t="array" ref="U786">MMULT(TRANSPOSE($B$3:$B$6),TRANSPOSE(P786:S786))</f>
        <v>8.469956307800075E-2</v>
      </c>
      <c r="V786" s="26"/>
      <c r="W786" s="9">
        <f t="array" ref="W786">SQRT(MMULT(MMULT(P786:S786,$K$3:$N$6),TRANSPOSE(P786:S786)))</f>
        <v>0.13401514965352535</v>
      </c>
    </row>
    <row r="787" spans="16:23" x14ac:dyDescent="0.3">
      <c r="P787" s="26">
        <v>0.34332573155353197</v>
      </c>
      <c r="Q787" s="26">
        <v>7.4027933937186249E-2</v>
      </c>
      <c r="R787" s="26">
        <v>0.21263816716142739</v>
      </c>
      <c r="S787" s="26">
        <v>0.37000816734785447</v>
      </c>
      <c r="T787" s="26"/>
      <c r="U787" s="9">
        <f t="array" ref="U787">MMULT(TRANSPOSE($B$3:$B$6),TRANSPOSE(P787:S787))</f>
        <v>8.5886657079550635E-2</v>
      </c>
      <c r="V787" s="26"/>
      <c r="W787" s="9">
        <f t="array" ref="W787">SQRT(MMULT(MMULT(P787:S787,$K$3:$N$6),TRANSPOSE(P787:S787)))</f>
        <v>0.14340216023288072</v>
      </c>
    </row>
    <row r="788" spans="16:23" x14ac:dyDescent="0.3">
      <c r="P788" s="26">
        <v>0.4258946487726728</v>
      </c>
      <c r="Q788" s="26">
        <v>7.1732683708980467E-3</v>
      </c>
      <c r="R788" s="26">
        <v>0.29994387322693328</v>
      </c>
      <c r="S788" s="26">
        <v>0.26698820962949571</v>
      </c>
      <c r="T788" s="26"/>
      <c r="U788" s="9">
        <f t="array" ref="U788">MMULT(TRANSPOSE($B$3:$B$6),TRANSPOSE(P788:S788))</f>
        <v>8.0830394970559993E-2</v>
      </c>
      <c r="V788" s="26"/>
      <c r="W788" s="9">
        <f t="array" ref="W788">SQRT(MMULT(MMULT(P788:S788,$K$3:$N$6),TRANSPOSE(P788:S788)))</f>
        <v>0.12883876555625917</v>
      </c>
    </row>
    <row r="789" spans="16:23" x14ac:dyDescent="0.3">
      <c r="P789" s="26">
        <v>0.32277429676660774</v>
      </c>
      <c r="Q789" s="26">
        <v>0.33859965099628803</v>
      </c>
      <c r="R789" s="26">
        <v>5.3317548736089695E-2</v>
      </c>
      <c r="S789" s="26">
        <v>0.28530850350101461</v>
      </c>
      <c r="T789" s="26"/>
      <c r="U789" s="9">
        <f t="array" ref="U789">MMULT(TRANSPOSE($B$3:$B$6),TRANSPOSE(P789:S789))</f>
        <v>7.887629021444037E-2</v>
      </c>
      <c r="V789" s="26"/>
      <c r="W789" s="9">
        <f t="array" ref="W789">SQRT(MMULT(MMULT(P789:S789,$K$3:$N$6),TRANSPOSE(P789:S789)))</f>
        <v>0.11826531301259967</v>
      </c>
    </row>
    <row r="790" spans="16:23" x14ac:dyDescent="0.3">
      <c r="P790" s="26">
        <v>0.26268632528030572</v>
      </c>
      <c r="Q790" s="26">
        <v>0.14534067733601755</v>
      </c>
      <c r="R790" s="26">
        <v>0.20595171856771738</v>
      </c>
      <c r="S790" s="26">
        <v>0.38602127881595938</v>
      </c>
      <c r="T790" s="26"/>
      <c r="U790" s="9">
        <f t="array" ref="U790">MMULT(TRANSPOSE($B$3:$B$6),TRANSPOSE(P790:S790))</f>
        <v>8.8166371806546212E-2</v>
      </c>
      <c r="V790" s="26"/>
      <c r="W790" s="9">
        <f t="array" ref="W790">SQRT(MMULT(MMULT(P790:S790,$K$3:$N$6),TRANSPOSE(P790:S790)))</f>
        <v>0.14792767977698576</v>
      </c>
    </row>
    <row r="791" spans="16:23" x14ac:dyDescent="0.3">
      <c r="P791" s="26">
        <v>0.21499766648623073</v>
      </c>
      <c r="Q791" s="26">
        <v>0.14922461317074129</v>
      </c>
      <c r="R791" s="26">
        <v>0.1357626223201614</v>
      </c>
      <c r="S791" s="26">
        <v>0.5000150980228667</v>
      </c>
      <c r="T791" s="26"/>
      <c r="U791" s="9">
        <f t="array" ref="U791">MMULT(TRANSPOSE($B$3:$B$6),TRANSPOSE(P791:S791))</f>
        <v>9.3416054017821964E-2</v>
      </c>
      <c r="V791" s="26"/>
      <c r="W791" s="9">
        <f t="array" ref="W791">SQRT(MMULT(MMULT(P791:S791,$K$3:$N$6),TRANSPOSE(P791:S791)))</f>
        <v>0.17066998316465584</v>
      </c>
    </row>
    <row r="792" spans="16:23" x14ac:dyDescent="0.3">
      <c r="P792" s="26">
        <v>0.5390527879534025</v>
      </c>
      <c r="Q792" s="26">
        <v>0.11141663605824206</v>
      </c>
      <c r="R792" s="26">
        <v>0.23176856207485771</v>
      </c>
      <c r="S792" s="26">
        <v>0.11776201391349782</v>
      </c>
      <c r="T792" s="26"/>
      <c r="U792" s="9">
        <f t="array" ref="U792">MMULT(TRANSPOSE($B$3:$B$6),TRANSPOSE(P792:S792))</f>
        <v>6.9742416178104005E-2</v>
      </c>
      <c r="V792" s="26"/>
      <c r="W792" s="9">
        <f t="array" ref="W792">SQRT(MMULT(MMULT(P792:S792,$K$3:$N$6),TRANSPOSE(P792:S792)))</f>
        <v>9.7598099893857163E-2</v>
      </c>
    </row>
    <row r="793" spans="16:23" x14ac:dyDescent="0.3">
      <c r="P793" s="26">
        <v>0.3522596339657072</v>
      </c>
      <c r="Q793" s="26">
        <v>0.33737745237729722</v>
      </c>
      <c r="R793" s="26">
        <v>0.2283963357570778</v>
      </c>
      <c r="S793" s="26">
        <v>8.1966577899917709E-2</v>
      </c>
      <c r="T793" s="26"/>
      <c r="U793" s="9">
        <f t="array" ref="U793">MMULT(TRANSPOSE($B$3:$B$6),TRANSPOSE(P793:S793))</f>
        <v>7.1621062930823293E-2</v>
      </c>
      <c r="V793" s="26"/>
      <c r="W793" s="9">
        <f t="array" ref="W793">SQRT(MMULT(MMULT(P793:S793,$K$3:$N$6),TRANSPOSE(P793:S793)))</f>
        <v>0.10074301771983243</v>
      </c>
    </row>
    <row r="794" spans="16:23" x14ac:dyDescent="0.3">
      <c r="P794" s="26">
        <v>8.1523113037600792E-2</v>
      </c>
      <c r="Q794" s="26">
        <v>0.27911404229275988</v>
      </c>
      <c r="R794" s="26">
        <v>0.36942088592495004</v>
      </c>
      <c r="S794" s="26">
        <v>0.26994195874468935</v>
      </c>
      <c r="T794" s="26"/>
      <c r="U794" s="9">
        <f t="array" ref="U794">MMULT(TRANSPOSE($B$3:$B$6),TRANSPOSE(P794:S794))</f>
        <v>8.9255053394981465E-2</v>
      </c>
      <c r="V794" s="26"/>
      <c r="W794" s="9">
        <f t="array" ref="W794">SQRT(MMULT(MMULT(P794:S794,$K$3:$N$6),TRANSPOSE(P794:S794)))</f>
        <v>0.14656102175657471</v>
      </c>
    </row>
    <row r="795" spans="16:23" x14ac:dyDescent="0.3">
      <c r="P795" s="26">
        <v>4.0804624475425884E-2</v>
      </c>
      <c r="Q795" s="26">
        <v>0.30864602873274904</v>
      </c>
      <c r="R795" s="26">
        <v>0.5738422261581847</v>
      </c>
      <c r="S795" s="26">
        <v>7.6707120633640408E-2</v>
      </c>
      <c r="T795" s="26"/>
      <c r="U795" s="9">
        <f t="array" ref="U795">MMULT(TRANSPOSE($B$3:$B$6),TRANSPOSE(P795:S795))</f>
        <v>8.4496108065337194E-2</v>
      </c>
      <c r="V795" s="26"/>
      <c r="W795" s="9">
        <f t="array" ref="W795">SQRT(MMULT(MMULT(P795:S795,$K$3:$N$6),TRANSPOSE(P795:S795)))</f>
        <v>0.14681284273576917</v>
      </c>
    </row>
    <row r="796" spans="16:23" x14ac:dyDescent="0.3">
      <c r="P796" s="26">
        <v>3.0513237822748982E-2</v>
      </c>
      <c r="Q796" s="26">
        <v>0.28673130604373892</v>
      </c>
      <c r="R796" s="26">
        <v>0.37446878538694928</v>
      </c>
      <c r="S796" s="26">
        <v>0.3082866707465628</v>
      </c>
      <c r="T796" s="26"/>
      <c r="U796" s="9">
        <f t="array" ref="U796">MMULT(TRANSPOSE($B$3:$B$6),TRANSPOSE(P796:S796))</f>
        <v>9.2293444488612139E-2</v>
      </c>
      <c r="V796" s="26"/>
      <c r="W796" s="9">
        <f t="array" ref="W796">SQRT(MMULT(MMULT(P796:S796,$K$3:$N$6),TRANSPOSE(P796:S796)))</f>
        <v>0.15626212836910452</v>
      </c>
    </row>
    <row r="797" spans="16:23" x14ac:dyDescent="0.3">
      <c r="P797" s="26">
        <v>0.14371500743269375</v>
      </c>
      <c r="Q797" s="26">
        <v>0.37848593312043394</v>
      </c>
      <c r="R797" s="26">
        <v>7.2856160540101481E-2</v>
      </c>
      <c r="S797" s="26">
        <v>0.40494289890677093</v>
      </c>
      <c r="T797" s="26"/>
      <c r="U797" s="9">
        <f t="array" ref="U797">MMULT(TRANSPOSE($B$3:$B$6),TRANSPOSE(P797:S797))</f>
        <v>8.8829968007486715E-2</v>
      </c>
      <c r="V797" s="26"/>
      <c r="W797" s="9">
        <f t="array" ref="W797">SQRT(MMULT(MMULT(P797:S797,$K$3:$N$6),TRANSPOSE(P797:S797)))</f>
        <v>0.1491134022332361</v>
      </c>
    </row>
    <row r="798" spans="16:23" x14ac:dyDescent="0.3">
      <c r="P798" s="26">
        <v>0.12380156036243443</v>
      </c>
      <c r="Q798" s="26">
        <v>0.41388400121622937</v>
      </c>
      <c r="R798" s="26">
        <v>0.12752573060811065</v>
      </c>
      <c r="S798" s="26">
        <v>0.33478870781322562</v>
      </c>
      <c r="T798" s="26"/>
      <c r="U798" s="9">
        <f t="array" ref="U798">MMULT(TRANSPOSE($B$3:$B$6),TRANSPOSE(P798:S798))</f>
        <v>8.6813918795574818E-2</v>
      </c>
      <c r="V798" s="26"/>
      <c r="W798" s="9">
        <f t="array" ref="W798">SQRT(MMULT(MMULT(P798:S798,$K$3:$N$6),TRANSPOSE(P798:S798)))</f>
        <v>0.13959556830654521</v>
      </c>
    </row>
    <row r="799" spans="16:23" x14ac:dyDescent="0.3">
      <c r="P799" s="26">
        <v>0.13734666002601495</v>
      </c>
      <c r="Q799" s="26">
        <v>0.28880565217290782</v>
      </c>
      <c r="R799" s="26">
        <v>0.29894814191508984</v>
      </c>
      <c r="S799" s="26">
        <v>0.27489954588598747</v>
      </c>
      <c r="T799" s="26"/>
      <c r="U799" s="9">
        <f t="array" ref="U799">MMULT(TRANSPOSE($B$3:$B$6),TRANSPOSE(P799:S799))</f>
        <v>8.697700693208088E-2</v>
      </c>
      <c r="V799" s="26"/>
      <c r="W799" s="9">
        <f t="array" ref="W799">SQRT(MMULT(MMULT(P799:S799,$K$3:$N$6),TRANSPOSE(P799:S799)))</f>
        <v>0.1384565310576068</v>
      </c>
    </row>
    <row r="800" spans="16:23" x14ac:dyDescent="0.3">
      <c r="P800" s="26">
        <v>0.39987039633026594</v>
      </c>
      <c r="Q800" s="26">
        <v>0.19716806635602876</v>
      </c>
      <c r="R800" s="26">
        <v>3.2123086605986478E-2</v>
      </c>
      <c r="S800" s="26">
        <v>0.37083845070771881</v>
      </c>
      <c r="T800" s="26"/>
      <c r="U800" s="9">
        <f t="array" ref="U800">MMULT(TRANSPOSE($B$3:$B$6),TRANSPOSE(P800:S800))</f>
        <v>8.1186976340900358E-2</v>
      </c>
      <c r="V800" s="26"/>
      <c r="W800" s="9">
        <f t="array" ref="W800">SQRT(MMULT(MMULT(P800:S800,$K$3:$N$6),TRANSPOSE(P800:S800)))</f>
        <v>0.13116779495217964</v>
      </c>
    </row>
    <row r="801" spans="16:23" x14ac:dyDescent="0.3">
      <c r="P801" s="26">
        <v>0.39267361749044116</v>
      </c>
      <c r="Q801" s="26">
        <v>0.30240692341289488</v>
      </c>
      <c r="R801" s="26">
        <v>4.0203691114888758E-2</v>
      </c>
      <c r="S801" s="26">
        <v>0.26471576798177526</v>
      </c>
      <c r="T801" s="26"/>
      <c r="U801" s="9">
        <f t="array" ref="U801">MMULT(TRANSPOSE($B$3:$B$6),TRANSPOSE(P801:S801))</f>
        <v>7.618638987157772E-2</v>
      </c>
      <c r="V801" s="26"/>
      <c r="W801" s="9">
        <f t="array" ref="W801">SQRT(MMULT(MMULT(P801:S801,$K$3:$N$6),TRANSPOSE(P801:S801)))</f>
        <v>0.11184151840357011</v>
      </c>
    </row>
    <row r="802" spans="16:23" x14ac:dyDescent="0.3">
      <c r="P802" s="26">
        <v>0.48555123439684417</v>
      </c>
      <c r="Q802" s="26">
        <v>0.16441459742558193</v>
      </c>
      <c r="R802" s="26">
        <v>0.31900427919673319</v>
      </c>
      <c r="S802" s="26">
        <v>3.1029888980840643E-2</v>
      </c>
      <c r="T802" s="26"/>
      <c r="U802" s="9">
        <f t="array" ref="U802">MMULT(TRANSPOSE($B$3:$B$6),TRANSPOSE(P802:S802))</f>
        <v>6.8220555345039818E-2</v>
      </c>
      <c r="V802" s="26"/>
      <c r="W802" s="9">
        <f t="array" ref="W802">SQRT(MMULT(MMULT(P802:S802,$K$3:$N$6),TRANSPOSE(P802:S802)))</f>
        <v>9.865051771451501E-2</v>
      </c>
    </row>
    <row r="803" spans="16:23" x14ac:dyDescent="0.3">
      <c r="P803" s="26">
        <v>0.55240354986371332</v>
      </c>
      <c r="Q803" s="26">
        <v>0.30604730872569963</v>
      </c>
      <c r="R803" s="26">
        <v>0.11415626773205689</v>
      </c>
      <c r="S803" s="26">
        <v>2.7392873678530175E-2</v>
      </c>
      <c r="T803" s="26"/>
      <c r="U803" s="9">
        <f t="array" ref="U803">MMULT(TRANSPOSE($B$3:$B$6),TRANSPOSE(P803:S803))</f>
        <v>6.2604698041293386E-2</v>
      </c>
      <c r="V803" s="26"/>
      <c r="W803" s="9">
        <f t="array" ref="W803">SQRT(MMULT(MMULT(P803:S803,$K$3:$N$6),TRANSPOSE(P803:S803)))</f>
        <v>8.8961707169949417E-2</v>
      </c>
    </row>
    <row r="804" spans="16:23" x14ac:dyDescent="0.3">
      <c r="P804" s="26">
        <v>0.22693428116823475</v>
      </c>
      <c r="Q804" s="26">
        <v>0.2835237395494718</v>
      </c>
      <c r="R804" s="26">
        <v>0.24396927282371633</v>
      </c>
      <c r="S804" s="26">
        <v>0.24557270645857718</v>
      </c>
      <c r="T804" s="26"/>
      <c r="U804" s="9">
        <f t="array" ref="U804">MMULT(TRANSPOSE($B$3:$B$6),TRANSPOSE(P804:S804))</f>
        <v>8.2619335156038504E-2</v>
      </c>
      <c r="V804" s="26"/>
      <c r="W804" s="9">
        <f t="array" ref="W804">SQRT(MMULT(MMULT(P804:S804,$K$3:$N$6),TRANSPOSE(P804:S804)))</f>
        <v>0.12511689099364562</v>
      </c>
    </row>
    <row r="805" spans="16:23" x14ac:dyDescent="0.3">
      <c r="P805" s="26">
        <v>0.11509463769617946</v>
      </c>
      <c r="Q805" s="26">
        <v>0.14717036407288553</v>
      </c>
      <c r="R805" s="26">
        <v>0.5396046956797802</v>
      </c>
      <c r="S805" s="26">
        <v>0.19813030255115488</v>
      </c>
      <c r="T805" s="26"/>
      <c r="U805" s="9">
        <f t="array" ref="U805">MMULT(TRANSPOSE($B$3:$B$6),TRANSPOSE(P805:S805))</f>
        <v>8.8396716287229768E-2</v>
      </c>
      <c r="V805" s="26"/>
      <c r="W805" s="9">
        <f t="array" ref="W805">SQRT(MMULT(MMULT(P805:S805,$K$3:$N$6),TRANSPOSE(P805:S805)))</f>
        <v>0.15179543524955824</v>
      </c>
    </row>
    <row r="806" spans="16:23" x14ac:dyDescent="0.3">
      <c r="P806" s="26">
        <v>3.537723074422456E-2</v>
      </c>
      <c r="Q806" s="26">
        <v>0.29328597437419573</v>
      </c>
      <c r="R806" s="26">
        <v>4.9548440371742317E-2</v>
      </c>
      <c r="S806" s="26">
        <v>0.62178835450983749</v>
      </c>
      <c r="T806" s="26"/>
      <c r="U806" s="9">
        <f t="array" ref="U806">MMULT(TRANSPOSE($B$3:$B$6),TRANSPOSE(P806:S806))</f>
        <v>0.10137284191804223</v>
      </c>
      <c r="V806" s="26"/>
      <c r="W806" s="9">
        <f t="array" ref="W806">SQRT(MMULT(MMULT(P806:S806,$K$3:$N$6),TRANSPOSE(P806:S806)))</f>
        <v>0.20089515180497242</v>
      </c>
    </row>
    <row r="807" spans="16:23" x14ac:dyDescent="0.3">
      <c r="P807" s="26">
        <v>1.5411696147038542E-2</v>
      </c>
      <c r="Q807" s="26">
        <v>7.4414985483835058E-2</v>
      </c>
      <c r="R807" s="26">
        <v>0.48983070575260523</v>
      </c>
      <c r="S807" s="26">
        <v>0.42034261261652128</v>
      </c>
      <c r="T807" s="26"/>
      <c r="U807" s="9">
        <f t="array" ref="U807">MMULT(TRANSPOSE($B$3:$B$6),TRANSPOSE(P807:S807))</f>
        <v>0.10050551082293741</v>
      </c>
      <c r="V807" s="26"/>
      <c r="W807" s="9">
        <f t="array" ref="W807">SQRT(MMULT(MMULT(P807:S807,$K$3:$N$6),TRANSPOSE(P807:S807)))</f>
        <v>0.19105871900545945</v>
      </c>
    </row>
    <row r="808" spans="16:23" x14ac:dyDescent="0.3">
      <c r="P808" s="26">
        <v>0.38290770138393571</v>
      </c>
      <c r="Q808" s="26">
        <v>0.2104854033714085</v>
      </c>
      <c r="R808" s="26">
        <v>0.21454299177299038</v>
      </c>
      <c r="S808" s="26">
        <v>0.1920639034716656</v>
      </c>
      <c r="T808" s="26"/>
      <c r="U808" s="9">
        <f t="array" ref="U808">MMULT(TRANSPOSE($B$3:$B$6),TRANSPOSE(P808:S808))</f>
        <v>7.6235900981364388E-2</v>
      </c>
      <c r="V808" s="26"/>
      <c r="W808" s="9">
        <f t="array" ref="W808">SQRT(MMULT(MMULT(P808:S808,$K$3:$N$6),TRANSPOSE(P808:S808)))</f>
        <v>0.10868083120206232</v>
      </c>
    </row>
    <row r="809" spans="16:23" x14ac:dyDescent="0.3">
      <c r="P809" s="26">
        <v>0.49878185397371261</v>
      </c>
      <c r="Q809" s="26">
        <v>8.4215230160566271E-2</v>
      </c>
      <c r="R809" s="26">
        <v>0.2351051105164019</v>
      </c>
      <c r="S809" s="26">
        <v>0.18189780534931932</v>
      </c>
      <c r="T809" s="26"/>
      <c r="U809" s="9">
        <f t="array" ref="U809">MMULT(TRANSPOSE($B$3:$B$6),TRANSPOSE(P809:S809))</f>
        <v>7.3821355398319771E-2</v>
      </c>
      <c r="V809" s="26"/>
      <c r="W809" s="9">
        <f t="array" ref="W809">SQRT(MMULT(MMULT(P809:S809,$K$3:$N$6),TRANSPOSE(P809:S809)))</f>
        <v>0.1066604714634254</v>
      </c>
    </row>
    <row r="810" spans="16:23" x14ac:dyDescent="0.3">
      <c r="P810" s="26">
        <v>0.13227034303976484</v>
      </c>
      <c r="Q810" s="26">
        <v>0.53516093204385673</v>
      </c>
      <c r="R810" s="26">
        <v>4.5042130982647345E-2</v>
      </c>
      <c r="S810" s="26">
        <v>0.28752659393373114</v>
      </c>
      <c r="T810" s="26"/>
      <c r="U810" s="9">
        <f t="array" ref="U810">MMULT(TRANSPOSE($B$3:$B$6),TRANSPOSE(P810:S810))</f>
        <v>8.2631765455544209E-2</v>
      </c>
      <c r="V810" s="26"/>
      <c r="W810" s="9">
        <f t="array" ref="W810">SQRT(MMULT(MMULT(P810:S810,$K$3:$N$6),TRANSPOSE(P810:S810)))</f>
        <v>0.13093320739781381</v>
      </c>
    </row>
    <row r="811" spans="16:23" x14ac:dyDescent="0.3">
      <c r="P811" s="26">
        <v>0.45974475359464545</v>
      </c>
      <c r="Q811" s="26">
        <v>0.28664910522269238</v>
      </c>
      <c r="R811" s="26">
        <v>0.15806092820112635</v>
      </c>
      <c r="S811" s="26">
        <v>9.5545212981535871E-2</v>
      </c>
      <c r="T811" s="26"/>
      <c r="U811" s="9">
        <f t="array" ref="U811">MMULT(TRANSPOSE($B$3:$B$6),TRANSPOSE(P811:S811))</f>
        <v>6.8743584141206418E-2</v>
      </c>
      <c r="V811" s="26"/>
      <c r="W811" s="9">
        <f t="array" ref="W811">SQRT(MMULT(MMULT(P811:S811,$K$3:$N$6),TRANSPOSE(P811:S811)))</f>
        <v>9.3720055568536437E-2</v>
      </c>
    </row>
    <row r="812" spans="16:23" x14ac:dyDescent="0.3">
      <c r="P812" s="26">
        <v>0.28202586887893999</v>
      </c>
      <c r="Q812" s="26">
        <v>0.47351413255490699</v>
      </c>
      <c r="R812" s="26">
        <v>5.6483759793458349E-2</v>
      </c>
      <c r="S812" s="26">
        <v>0.18797623877269468</v>
      </c>
      <c r="T812" s="26"/>
      <c r="U812" s="9">
        <f t="array" ref="U812">MMULT(TRANSPOSE($B$3:$B$6),TRANSPOSE(P812:S812))</f>
        <v>7.4887969756925105E-2</v>
      </c>
      <c r="V812" s="26"/>
      <c r="W812" s="9">
        <f t="array" ref="W812">SQRT(MMULT(MMULT(P812:S812,$K$3:$N$6),TRANSPOSE(P812:S812)))</f>
        <v>0.10938092517579211</v>
      </c>
    </row>
    <row r="813" spans="16:23" x14ac:dyDescent="0.3">
      <c r="P813" s="26">
        <v>0.32593093923776117</v>
      </c>
      <c r="Q813" s="26">
        <v>0.36074478574410568</v>
      </c>
      <c r="R813" s="26">
        <v>0.13178943027139958</v>
      </c>
      <c r="S813" s="26">
        <v>0.18153484474673351</v>
      </c>
      <c r="T813" s="26"/>
      <c r="U813" s="9">
        <f t="array" ref="U813">MMULT(TRANSPOSE($B$3:$B$6),TRANSPOSE(P813:S813))</f>
        <v>7.5193912058009446E-2</v>
      </c>
      <c r="V813" s="26"/>
      <c r="W813" s="9">
        <f t="array" ref="W813">SQRT(MMULT(MMULT(P813:S813,$K$3:$N$6),TRANSPOSE(P813:S813)))</f>
        <v>0.1062985263317574</v>
      </c>
    </row>
    <row r="814" spans="16:23" x14ac:dyDescent="0.3">
      <c r="P814" s="26">
        <v>0.11922800546333324</v>
      </c>
      <c r="Q814" s="26">
        <v>0.4114113102541474</v>
      </c>
      <c r="R814" s="26">
        <v>0.12539498359350115</v>
      </c>
      <c r="S814" s="26">
        <v>0.34396570068901816</v>
      </c>
      <c r="T814" s="26"/>
      <c r="U814" s="9">
        <f t="array" ref="U814">MMULT(TRANSPOSE($B$3:$B$6),TRANSPOSE(P814:S814))</f>
        <v>8.7321624597054268E-2</v>
      </c>
      <c r="V814" s="26"/>
      <c r="W814" s="9">
        <f t="array" ref="W814">SQRT(MMULT(MMULT(P814:S814,$K$3:$N$6),TRANSPOSE(P814:S814)))</f>
        <v>0.14134079856842344</v>
      </c>
    </row>
    <row r="815" spans="16:23" x14ac:dyDescent="0.3">
      <c r="P815" s="26">
        <v>0.36925223031039045</v>
      </c>
      <c r="Q815" s="26">
        <v>0.25433294101759096</v>
      </c>
      <c r="R815" s="26">
        <v>0.21145243356046384</v>
      </c>
      <c r="S815" s="26">
        <v>0.16496239511155486</v>
      </c>
      <c r="T815" s="26"/>
      <c r="U815" s="9">
        <f t="array" ref="U815">MMULT(TRANSPOSE($B$3:$B$6),TRANSPOSE(P815:S815))</f>
        <v>7.5092123820579226E-2</v>
      </c>
      <c r="V815" s="26"/>
      <c r="W815" s="9">
        <f t="array" ref="W815">SQRT(MMULT(MMULT(P815:S815,$K$3:$N$6),TRANSPOSE(P815:S815)))</f>
        <v>0.10552246054126713</v>
      </c>
    </row>
    <row r="816" spans="16:23" x14ac:dyDescent="0.3">
      <c r="P816" s="26">
        <v>0.21652233955699079</v>
      </c>
      <c r="Q816" s="26">
        <v>0.3703112236343386</v>
      </c>
      <c r="R816" s="26">
        <v>0.30539993121317222</v>
      </c>
      <c r="S816" s="26">
        <v>0.1077665055954984</v>
      </c>
      <c r="T816" s="26"/>
      <c r="U816" s="9">
        <f t="array" ref="U816">MMULT(TRANSPOSE($B$3:$B$6),TRANSPOSE(P816:S816))</f>
        <v>7.7165877112898545E-2</v>
      </c>
      <c r="V816" s="26"/>
      <c r="W816" s="9">
        <f t="array" ref="W816">SQRT(MMULT(MMULT(P816:S816,$K$3:$N$6),TRANSPOSE(P816:S816)))</f>
        <v>0.11454449798371702</v>
      </c>
    </row>
    <row r="817" spans="16:23" x14ac:dyDescent="0.3">
      <c r="P817" s="26">
        <v>4.5827337617463576E-2</v>
      </c>
      <c r="Q817" s="26">
        <v>0.44065622307024022</v>
      </c>
      <c r="R817" s="26">
        <v>0.25453609098494151</v>
      </c>
      <c r="S817" s="26">
        <v>0.25898034832735473</v>
      </c>
      <c r="T817" s="26"/>
      <c r="U817" s="9">
        <f t="array" ref="U817">MMULT(TRANSPOSE($B$3:$B$6),TRANSPOSE(P817:S817))</f>
        <v>8.7123192483717304E-2</v>
      </c>
      <c r="V817" s="26"/>
      <c r="W817" s="9">
        <f t="array" ref="W817">SQRT(MMULT(MMULT(P817:S817,$K$3:$N$6),TRANSPOSE(P817:S817)))</f>
        <v>0.13939701724020781</v>
      </c>
    </row>
    <row r="818" spans="16:23" x14ac:dyDescent="0.3">
      <c r="P818" s="26">
        <v>8.8450752242879571E-2</v>
      </c>
      <c r="Q818" s="26">
        <v>0.30163276472614642</v>
      </c>
      <c r="R818" s="26">
        <v>0.38332177534798084</v>
      </c>
      <c r="S818" s="26">
        <v>0.2265947076829932</v>
      </c>
      <c r="T818" s="26"/>
      <c r="U818" s="9">
        <f t="array" ref="U818">MMULT(TRANSPOSE($B$3:$B$6),TRANSPOSE(P818:S818))</f>
        <v>8.7227155846251694E-2</v>
      </c>
      <c r="V818" s="26"/>
      <c r="W818" s="9">
        <f t="array" ref="W818">SQRT(MMULT(MMULT(P818:S818,$K$3:$N$6),TRANSPOSE(P818:S818)))</f>
        <v>0.14087301711916339</v>
      </c>
    </row>
    <row r="819" spans="16:23" x14ac:dyDescent="0.3">
      <c r="P819" s="26">
        <v>0.22606616778056959</v>
      </c>
      <c r="Q819" s="26">
        <v>0.3022394862696256</v>
      </c>
      <c r="R819" s="26">
        <v>0.13178349971824535</v>
      </c>
      <c r="S819" s="26">
        <v>0.33991084623155948</v>
      </c>
      <c r="T819" s="26"/>
      <c r="U819" s="9">
        <f t="array" ref="U819">MMULT(TRANSPOSE($B$3:$B$6),TRANSPOSE(P819:S819))</f>
        <v>8.5109888950331489E-2</v>
      </c>
      <c r="V819" s="26"/>
      <c r="W819" s="9">
        <f t="array" ref="W819">SQRT(MMULT(MMULT(P819:S819,$K$3:$N$6),TRANSPOSE(P819:S819)))</f>
        <v>0.1349480357856766</v>
      </c>
    </row>
    <row r="820" spans="16:23" x14ac:dyDescent="0.3">
      <c r="P820" s="26">
        <v>9.8529719509174593E-2</v>
      </c>
      <c r="Q820" s="26">
        <v>0.27386319408812482</v>
      </c>
      <c r="R820" s="26">
        <v>0.5213773239807229</v>
      </c>
      <c r="S820" s="26">
        <v>0.10622976242197779</v>
      </c>
      <c r="T820" s="26"/>
      <c r="U820" s="9">
        <f t="array" ref="U820">MMULT(TRANSPOSE($B$3:$B$6),TRANSPOSE(P820:S820))</f>
        <v>8.3768440210529857E-2</v>
      </c>
      <c r="V820" s="26"/>
      <c r="W820" s="9">
        <f t="array" ref="W820">SQRT(MMULT(MMULT(P820:S820,$K$3:$N$6),TRANSPOSE(P820:S820)))</f>
        <v>0.13986740714342302</v>
      </c>
    </row>
    <row r="821" spans="16:23" x14ac:dyDescent="0.3">
      <c r="P821" s="26">
        <v>5.0463864018676328E-2</v>
      </c>
      <c r="Q821" s="26">
        <v>0.28563950057142606</v>
      </c>
      <c r="R821" s="26">
        <v>0.36929651894948162</v>
      </c>
      <c r="S821" s="26">
        <v>0.29460011646041601</v>
      </c>
      <c r="T821" s="26"/>
      <c r="U821" s="9">
        <f t="array" ref="U821">MMULT(TRANSPOSE($B$3:$B$6),TRANSPOSE(P821:S821))</f>
        <v>9.1106658921636913E-2</v>
      </c>
      <c r="V821" s="26"/>
      <c r="W821" s="9">
        <f t="array" ref="W821">SQRT(MMULT(MMULT(P821:S821,$K$3:$N$6),TRANSPOSE(P821:S821)))</f>
        <v>0.15235266734971148</v>
      </c>
    </row>
    <row r="822" spans="16:23" x14ac:dyDescent="0.3">
      <c r="P822" s="26">
        <v>0.30272346498487895</v>
      </c>
      <c r="Q822" s="26">
        <v>0.35643435203008861</v>
      </c>
      <c r="R822" s="26">
        <v>0.11724095553131943</v>
      </c>
      <c r="S822" s="26">
        <v>0.22360122745371291</v>
      </c>
      <c r="T822" s="26"/>
      <c r="U822" s="9">
        <f t="array" ref="U822">MMULT(TRANSPOSE($B$3:$B$6),TRANSPOSE(P822:S822))</f>
        <v>7.7470411183614446E-2</v>
      </c>
      <c r="V822" s="26"/>
      <c r="W822" s="9">
        <f t="array" ref="W822">SQRT(MMULT(MMULT(P822:S822,$K$3:$N$6),TRANSPOSE(P822:S822)))</f>
        <v>0.11200353276354916</v>
      </c>
    </row>
    <row r="823" spans="16:23" x14ac:dyDescent="0.3">
      <c r="P823" s="26">
        <v>0.2094966061848002</v>
      </c>
      <c r="Q823" s="26">
        <v>0.23149701533985345</v>
      </c>
      <c r="R823" s="26">
        <v>0.51729293776057061</v>
      </c>
      <c r="S823" s="26">
        <v>4.1713440714775618E-2</v>
      </c>
      <c r="T823" s="26"/>
      <c r="U823" s="9">
        <f t="array" ref="U823">MMULT(TRANSPOSE($B$3:$B$6),TRANSPOSE(P823:S823))</f>
        <v>7.8241598667254178E-2</v>
      </c>
      <c r="V823" s="26"/>
      <c r="W823" s="9">
        <f t="array" ref="W823">SQRT(MMULT(MMULT(P823:S823,$K$3:$N$6),TRANSPOSE(P823:S823)))</f>
        <v>0.12858397688487361</v>
      </c>
    </row>
    <row r="824" spans="16:23" x14ac:dyDescent="0.3">
      <c r="P824" s="26">
        <v>0.22326710765630728</v>
      </c>
      <c r="Q824" s="26">
        <v>8.3856600922297131E-2</v>
      </c>
      <c r="R824" s="26">
        <v>0.38910643249168692</v>
      </c>
      <c r="S824" s="26">
        <v>0.3037698589297087</v>
      </c>
      <c r="T824" s="26"/>
      <c r="U824" s="9">
        <f t="array" ref="U824">MMULT(TRANSPOSE($B$3:$B$6),TRANSPOSE(P824:S824))</f>
        <v>8.850527944319303E-2</v>
      </c>
      <c r="V824" s="26"/>
      <c r="W824" s="9">
        <f t="array" ref="W824">SQRT(MMULT(MMULT(P824:S824,$K$3:$N$6),TRANSPOSE(P824:S824)))</f>
        <v>0.14889972595963713</v>
      </c>
    </row>
    <row r="825" spans="16:23" x14ac:dyDescent="0.3">
      <c r="P825" s="26">
        <v>0.10526856347495829</v>
      </c>
      <c r="Q825" s="26">
        <v>0.14465786811341216</v>
      </c>
      <c r="R825" s="26">
        <v>0.37596013283566498</v>
      </c>
      <c r="S825" s="26">
        <v>0.37411343557596455</v>
      </c>
      <c r="T825" s="26"/>
      <c r="U825" s="9">
        <f t="array" ref="U825">MMULT(TRANSPOSE($B$3:$B$6),TRANSPOSE(P825:S825))</f>
        <v>9.4119503166012364E-2</v>
      </c>
      <c r="V825" s="26"/>
      <c r="W825" s="9">
        <f t="array" ref="W825">SQRT(MMULT(MMULT(P825:S825,$K$3:$N$6),TRANSPOSE(P825:S825)))</f>
        <v>0.16558103107789096</v>
      </c>
    </row>
    <row r="826" spans="16:23" x14ac:dyDescent="0.3">
      <c r="P826" s="26">
        <v>0.36923740571508135</v>
      </c>
      <c r="Q826" s="26">
        <v>7.3031760050427899E-2</v>
      </c>
      <c r="R826" s="26">
        <v>0.37191989585514018</v>
      </c>
      <c r="S826" s="26">
        <v>0.18581093837935073</v>
      </c>
      <c r="T826" s="26"/>
      <c r="U826" s="9">
        <f t="array" ref="U826">MMULT(TRANSPOSE($B$3:$B$6),TRANSPOSE(P826:S826))</f>
        <v>7.934419672176872E-2</v>
      </c>
      <c r="V826" s="26"/>
      <c r="W826" s="9">
        <f t="array" ref="W826">SQRT(MMULT(MMULT(P826:S826,$K$3:$N$6),TRANSPOSE(P826:S826)))</f>
        <v>0.12234688201962823</v>
      </c>
    </row>
    <row r="827" spans="16:23" x14ac:dyDescent="0.3">
      <c r="P827" s="26">
        <v>0.3578978286708695</v>
      </c>
      <c r="Q827" s="26">
        <v>0.25075968097116413</v>
      </c>
      <c r="R827" s="26">
        <v>0.23966140451156845</v>
      </c>
      <c r="S827" s="26">
        <v>0.15168108584639797</v>
      </c>
      <c r="T827" s="26"/>
      <c r="U827" s="9">
        <f t="array" ref="U827">MMULT(TRANSPOSE($B$3:$B$6),TRANSPOSE(P827:S827))</f>
        <v>7.5219325809133888E-2</v>
      </c>
      <c r="V827" s="26"/>
      <c r="W827" s="9">
        <f t="array" ref="W827">SQRT(MMULT(MMULT(P827:S827,$K$3:$N$6),TRANSPOSE(P827:S827)))</f>
        <v>0.10619450709565702</v>
      </c>
    </row>
    <row r="828" spans="16:23" x14ac:dyDescent="0.3">
      <c r="P828" s="26">
        <v>0.32409793839631912</v>
      </c>
      <c r="Q828" s="26">
        <v>0.29057573993496821</v>
      </c>
      <c r="R828" s="26">
        <v>8.2430397676916428E-2</v>
      </c>
      <c r="S828" s="26">
        <v>0.30289592399179638</v>
      </c>
      <c r="T828" s="26"/>
      <c r="U828" s="9">
        <f t="array" ref="U828">MMULT(TRANSPOSE($B$3:$B$6),TRANSPOSE(P828:S828))</f>
        <v>8.0311445385201768E-2</v>
      </c>
      <c r="V828" s="26"/>
      <c r="W828" s="9">
        <f t="array" ref="W828">SQRT(MMULT(MMULT(P828:S828,$K$3:$N$6),TRANSPOSE(P828:S828)))</f>
        <v>0.121931258108223</v>
      </c>
    </row>
    <row r="829" spans="16:23" x14ac:dyDescent="0.3">
      <c r="P829" s="26">
        <v>0.54685449637847172</v>
      </c>
      <c r="Q829" s="26">
        <v>1.8398818055065842E-2</v>
      </c>
      <c r="R829" s="26">
        <v>0.26935109693916748</v>
      </c>
      <c r="S829" s="26">
        <v>0.16539558862729498</v>
      </c>
      <c r="T829" s="26"/>
      <c r="U829" s="9">
        <f t="array" ref="U829">MMULT(TRANSPOSE($B$3:$B$6),TRANSPOSE(P829:S829))</f>
        <v>7.2719711442578661E-2</v>
      </c>
      <c r="V829" s="26"/>
      <c r="W829" s="9">
        <f t="array" ref="W829">SQRT(MMULT(MMULT(P829:S829,$K$3:$N$6),TRANSPOSE(P829:S829)))</f>
        <v>0.10741503237731631</v>
      </c>
    </row>
    <row r="830" spans="16:23" x14ac:dyDescent="0.3">
      <c r="P830" s="26">
        <v>0.31374357538163916</v>
      </c>
      <c r="Q830" s="26">
        <v>0.32241276424931109</v>
      </c>
      <c r="R830" s="26">
        <v>0.28288177181350932</v>
      </c>
      <c r="S830" s="26">
        <v>8.0961888555540429E-2</v>
      </c>
      <c r="T830" s="26"/>
      <c r="U830" s="9">
        <f t="array" ref="U830">MMULT(TRANSPOSE($B$3:$B$6),TRANSPOSE(P830:S830))</f>
        <v>7.3430858356414414E-2</v>
      </c>
      <c r="V830" s="26"/>
      <c r="W830" s="9">
        <f t="array" ref="W830">SQRT(MMULT(MMULT(P830:S830,$K$3:$N$6),TRANSPOSE(P830:S830)))</f>
        <v>0.10548993248966645</v>
      </c>
    </row>
    <row r="831" spans="16:23" x14ac:dyDescent="0.3">
      <c r="P831" s="26">
        <v>0.18126268837688303</v>
      </c>
      <c r="Q831" s="26">
        <v>0.31923491717212144</v>
      </c>
      <c r="R831" s="26">
        <v>0.27481877699298474</v>
      </c>
      <c r="S831" s="26">
        <v>0.22468361745801077</v>
      </c>
      <c r="T831" s="26"/>
      <c r="U831" s="9">
        <f t="array" ref="U831">MMULT(TRANSPOSE($B$3:$B$6),TRANSPOSE(P831:S831))</f>
        <v>8.3105302645222576E-2</v>
      </c>
      <c r="V831" s="26"/>
      <c r="W831" s="9">
        <f t="array" ref="W831">SQRT(MMULT(MMULT(P831:S831,$K$3:$N$6),TRANSPOSE(P831:S831)))</f>
        <v>0.12666187318689584</v>
      </c>
    </row>
    <row r="832" spans="16:23" x14ac:dyDescent="0.3">
      <c r="P832" s="26">
        <v>0.30158549077415814</v>
      </c>
      <c r="Q832" s="26">
        <v>0.36722389155979701</v>
      </c>
      <c r="R832" s="26">
        <v>0.20662628928898544</v>
      </c>
      <c r="S832" s="26">
        <v>0.12456432837705929</v>
      </c>
      <c r="T832" s="26"/>
      <c r="U832" s="9">
        <f t="array" ref="U832">MMULT(TRANSPOSE($B$3:$B$6),TRANSPOSE(P832:S832))</f>
        <v>7.4329032389149494E-2</v>
      </c>
      <c r="V832" s="26"/>
      <c r="W832" s="9">
        <f t="array" ref="W832">SQRT(MMULT(MMULT(P832:S832,$K$3:$N$6),TRANSPOSE(P832:S832)))</f>
        <v>0.10529657683999077</v>
      </c>
    </row>
    <row r="833" spans="16:23" x14ac:dyDescent="0.3">
      <c r="P833" s="26">
        <v>0.32161201272819601</v>
      </c>
      <c r="Q833" s="26">
        <v>0.38298556424812008</v>
      </c>
      <c r="R833" s="26">
        <v>0.10210537048506678</v>
      </c>
      <c r="S833" s="26">
        <v>0.19329705253861704</v>
      </c>
      <c r="T833" s="26"/>
      <c r="U833" s="9">
        <f t="array" ref="U833">MMULT(TRANSPOSE($B$3:$B$6),TRANSPOSE(P833:S833))</f>
        <v>7.5274719782068261E-2</v>
      </c>
      <c r="V833" s="26"/>
      <c r="W833" s="9">
        <f t="array" ref="W833">SQRT(MMULT(MMULT(P833:S833,$K$3:$N$6),TRANSPOSE(P833:S833)))</f>
        <v>0.10718564220657771</v>
      </c>
    </row>
    <row r="834" spans="16:23" x14ac:dyDescent="0.3">
      <c r="P834" s="26">
        <v>4.7796859073781443E-2</v>
      </c>
      <c r="Q834" s="26">
        <v>0.3629051447126922</v>
      </c>
      <c r="R834" s="26">
        <v>0.46409293835495524</v>
      </c>
      <c r="S834" s="26">
        <v>0.12520505785857108</v>
      </c>
      <c r="T834" s="26"/>
      <c r="U834" s="9">
        <f t="array" ref="U834">MMULT(TRANSPOSE($B$3:$B$6),TRANSPOSE(P834:S834))</f>
        <v>8.4586174478552031E-2</v>
      </c>
      <c r="V834" s="26"/>
      <c r="W834" s="9">
        <f t="array" ref="W834">SQRT(MMULT(MMULT(P834:S834,$K$3:$N$6),TRANSPOSE(P834:S834)))</f>
        <v>0.13947281908157882</v>
      </c>
    </row>
    <row r="835" spans="16:23" x14ac:dyDescent="0.3">
      <c r="P835" s="26">
        <v>0.26971550630949448</v>
      </c>
      <c r="Q835" s="26">
        <v>0.27196656927610213</v>
      </c>
      <c r="R835" s="26">
        <v>0.26549482034153515</v>
      </c>
      <c r="S835" s="26">
        <v>0.19282310407286818</v>
      </c>
      <c r="T835" s="26"/>
      <c r="U835" s="9">
        <f t="array" ref="U835">MMULT(TRANSPOSE($B$3:$B$6),TRANSPOSE(P835:S835))</f>
        <v>7.955674148428421E-2</v>
      </c>
      <c r="V835" s="26"/>
      <c r="W835" s="9">
        <f t="array" ref="W835">SQRT(MMULT(MMULT(P835:S835,$K$3:$N$6),TRANSPOSE(P835:S835)))</f>
        <v>0.11691451732293935</v>
      </c>
    </row>
    <row r="836" spans="16:23" x14ac:dyDescent="0.3">
      <c r="P836" s="26">
        <v>0.45942961149610373</v>
      </c>
      <c r="Q836" s="26">
        <v>0.37122653511901088</v>
      </c>
      <c r="R836" s="26">
        <v>5.7922015726907507E-2</v>
      </c>
      <c r="S836" s="26">
        <v>0.11142183765797785</v>
      </c>
      <c r="T836" s="26"/>
      <c r="U836" s="9">
        <f t="array" ref="U836">MMULT(TRANSPOSE($B$3:$B$6),TRANSPOSE(P836:S836))</f>
        <v>6.7540939967514979E-2</v>
      </c>
      <c r="V836" s="26"/>
      <c r="W836" s="9">
        <f t="array" ref="W836">SQRT(MMULT(MMULT(P836:S836,$K$3:$N$6),TRANSPOSE(P836:S836)))</f>
        <v>9.3890415277234116E-2</v>
      </c>
    </row>
    <row r="837" spans="16:23" x14ac:dyDescent="0.3">
      <c r="P837" s="26">
        <v>0.19963489754929234</v>
      </c>
      <c r="Q837" s="26">
        <v>5.268431041492453E-2</v>
      </c>
      <c r="R837" s="26">
        <v>0.18714796929193431</v>
      </c>
      <c r="S837" s="26">
        <v>0.56053282274384886</v>
      </c>
      <c r="T837" s="26"/>
      <c r="U837" s="9">
        <f t="array" ref="U837">MMULT(TRANSPOSE($B$3:$B$6),TRANSPOSE(P837:S837))</f>
        <v>9.7776902572045271E-2</v>
      </c>
      <c r="V837" s="26"/>
      <c r="W837" s="9">
        <f t="array" ref="W837">SQRT(MMULT(MMULT(P837:S837,$K$3:$N$6),TRANSPOSE(P837:S837)))</f>
        <v>0.19017502197107283</v>
      </c>
    </row>
    <row r="838" spans="16:23" x14ac:dyDescent="0.3">
      <c r="P838" s="26">
        <v>0.32810961073616046</v>
      </c>
      <c r="Q838" s="26">
        <v>9.9870329826933973E-2</v>
      </c>
      <c r="R838" s="26">
        <v>0.30555335654621196</v>
      </c>
      <c r="S838" s="26">
        <v>0.26646670289069357</v>
      </c>
      <c r="T838" s="26"/>
      <c r="U838" s="9">
        <f t="array" ref="U838">MMULT(TRANSPOSE($B$3:$B$6),TRANSPOSE(P838:S838))</f>
        <v>8.2872210060735696E-2</v>
      </c>
      <c r="V838" s="26"/>
      <c r="W838" s="9">
        <f t="array" ref="W838">SQRT(MMULT(MMULT(P838:S838,$K$3:$N$6),TRANSPOSE(P838:S838)))</f>
        <v>0.13031791486991126</v>
      </c>
    </row>
    <row r="839" spans="16:23" x14ac:dyDescent="0.3">
      <c r="P839" s="26">
        <v>8.2755282931807131E-2</v>
      </c>
      <c r="Q839" s="26">
        <v>0.17939650165454382</v>
      </c>
      <c r="R839" s="26">
        <v>0.29156344830319525</v>
      </c>
      <c r="S839" s="26">
        <v>0.44628476711045373</v>
      </c>
      <c r="T839" s="26"/>
      <c r="U839" s="9">
        <f t="array" ref="U839">MMULT(TRANSPOSE($B$3:$B$6),TRANSPOSE(P839:S839))</f>
        <v>9.6490401662950448E-2</v>
      </c>
      <c r="V839" s="26"/>
      <c r="W839" s="9">
        <f t="array" ref="W839">SQRT(MMULT(MMULT(P839:S839,$K$3:$N$6),TRANSPOSE(P839:S839)))</f>
        <v>0.1741335713575938</v>
      </c>
    </row>
    <row r="840" spans="16:23" x14ac:dyDescent="0.3">
      <c r="P840" s="26">
        <v>0.20235455426962867</v>
      </c>
      <c r="Q840" s="26">
        <v>0.40318453668356707</v>
      </c>
      <c r="R840" s="26">
        <v>0.11608946393387412</v>
      </c>
      <c r="S840" s="26">
        <v>0.27837144511293016</v>
      </c>
      <c r="T840" s="26"/>
      <c r="U840" s="9">
        <f t="array" ref="U840">MMULT(TRANSPOSE($B$3:$B$6),TRANSPOSE(P840:S840))</f>
        <v>8.2193270448931419E-2</v>
      </c>
      <c r="V840" s="26"/>
      <c r="W840" s="9">
        <f t="array" ref="W840">SQRT(MMULT(MMULT(P840:S840,$K$3:$N$6),TRANSPOSE(P840:S840)))</f>
        <v>0.12544523426329024</v>
      </c>
    </row>
    <row r="841" spans="16:23" x14ac:dyDescent="0.3">
      <c r="P841" s="26">
        <v>0.2604163092201246</v>
      </c>
      <c r="Q841" s="26">
        <v>0.35334160625141026</v>
      </c>
      <c r="R841" s="26">
        <v>0.21222854256173368</v>
      </c>
      <c r="S841" s="26">
        <v>0.17401354196673141</v>
      </c>
      <c r="T841" s="26"/>
      <c r="U841" s="9">
        <f t="array" ref="U841">MMULT(TRANSPOSE($B$3:$B$6),TRANSPOSE(P841:S841))</f>
        <v>7.7736921765168748E-2</v>
      </c>
      <c r="V841" s="26"/>
      <c r="W841" s="9">
        <f t="array" ref="W841">SQRT(MMULT(MMULT(P841:S841,$K$3:$N$6),TRANSPOSE(P841:S841)))</f>
        <v>0.11224601011722059</v>
      </c>
    </row>
    <row r="842" spans="16:23" x14ac:dyDescent="0.3">
      <c r="P842" s="26">
        <v>0.48249670622476493</v>
      </c>
      <c r="Q842" s="26">
        <v>0.23846120321451172</v>
      </c>
      <c r="R842" s="26">
        <v>5.1585494375519146E-2</v>
      </c>
      <c r="S842" s="26">
        <v>0.22745659618520422</v>
      </c>
      <c r="T842" s="26"/>
      <c r="U842" s="9">
        <f t="array" ref="U842">MMULT(TRANSPOSE($B$3:$B$6),TRANSPOSE(P842:S842))</f>
        <v>7.2754605572275297E-2</v>
      </c>
      <c r="V842" s="26"/>
      <c r="W842" s="9">
        <f t="array" ref="W842">SQRT(MMULT(MMULT(P842:S842,$K$3:$N$6),TRANSPOSE(P842:S842)))</f>
        <v>0.10374062156346757</v>
      </c>
    </row>
    <row r="843" spans="16:23" x14ac:dyDescent="0.3">
      <c r="P843" s="26">
        <v>0.16308162451985039</v>
      </c>
      <c r="Q843" s="26">
        <v>0.26611068158524337</v>
      </c>
      <c r="R843" s="26">
        <v>0.35488165376901204</v>
      </c>
      <c r="S843" s="26">
        <v>0.2159260401258942</v>
      </c>
      <c r="T843" s="26"/>
      <c r="U843" s="9">
        <f t="array" ref="U843">MMULT(TRANSPOSE($B$3:$B$6),TRANSPOSE(P843:S843))</f>
        <v>8.4632302591277936E-2</v>
      </c>
      <c r="V843" s="26"/>
      <c r="W843" s="9">
        <f t="array" ref="W843">SQRT(MMULT(MMULT(P843:S843,$K$3:$N$6),TRANSPOSE(P843:S843)))</f>
        <v>0.13261145231071345</v>
      </c>
    </row>
    <row r="844" spans="16:23" x14ac:dyDescent="0.3">
      <c r="P844" s="26">
        <v>1.147079962405867E-2</v>
      </c>
      <c r="Q844" s="26">
        <v>0.70695396339373184</v>
      </c>
      <c r="R844" s="26">
        <v>0.11397409672305099</v>
      </c>
      <c r="S844" s="26">
        <v>0.16760114025915857</v>
      </c>
      <c r="T844" s="26"/>
      <c r="U844" s="9">
        <f t="array" ref="U844">MMULT(TRANSPOSE($B$3:$B$6),TRANSPOSE(P844:S844))</f>
        <v>8.0430122954937788E-2</v>
      </c>
      <c r="V844" s="26"/>
      <c r="W844" s="9">
        <f t="array" ref="W844">SQRT(MMULT(MMULT(P844:S844,$K$3:$N$6),TRANSPOSE(P844:S844)))</f>
        <v>0.13336957998310159</v>
      </c>
    </row>
    <row r="845" spans="16:23" x14ac:dyDescent="0.3">
      <c r="P845" s="26">
        <v>0.28525468993395897</v>
      </c>
      <c r="Q845" s="26">
        <v>0.67648077068812007</v>
      </c>
      <c r="R845" s="26">
        <v>2.8431057225891459E-3</v>
      </c>
      <c r="S845" s="26">
        <v>3.5421433655331833E-2</v>
      </c>
      <c r="T845" s="26"/>
      <c r="U845" s="9">
        <f t="array" ref="U845">MMULT(TRANSPOSE($B$3:$B$6),TRANSPOSE(P845:S845))</f>
        <v>6.6122839998539198E-2</v>
      </c>
      <c r="V845" s="26"/>
      <c r="W845" s="9">
        <f t="array" ref="W845">SQRT(MMULT(MMULT(P845:S845,$K$3:$N$6),TRANSPOSE(P845:S845)))</f>
        <v>0.11256118331039264</v>
      </c>
    </row>
    <row r="846" spans="16:23" x14ac:dyDescent="0.3">
      <c r="P846" s="26">
        <v>0.17572626699123906</v>
      </c>
      <c r="Q846" s="26">
        <v>0.22036237356189742</v>
      </c>
      <c r="R846" s="26">
        <v>0.2092922147057002</v>
      </c>
      <c r="S846" s="26">
        <v>0.39461914474116327</v>
      </c>
      <c r="T846" s="26"/>
      <c r="U846" s="9">
        <f t="array" ref="U846">MMULT(TRANSPOSE($B$3:$B$6),TRANSPOSE(P846:S846))</f>
        <v>9.0402276191347386E-2</v>
      </c>
      <c r="V846" s="26"/>
      <c r="W846" s="9">
        <f t="array" ref="W846">SQRT(MMULT(MMULT(P846:S846,$K$3:$N$6),TRANSPOSE(P846:S846)))</f>
        <v>0.15275254118919865</v>
      </c>
    </row>
    <row r="847" spans="16:23" x14ac:dyDescent="0.3">
      <c r="P847" s="26">
        <v>0.59354387846900114</v>
      </c>
      <c r="Q847" s="26">
        <v>4.933120035309578E-2</v>
      </c>
      <c r="R847" s="26">
        <v>0.35151930740949389</v>
      </c>
      <c r="S847" s="26">
        <v>5.6056137684092162E-3</v>
      </c>
      <c r="T847" s="26"/>
      <c r="U847" s="9">
        <f t="array" ref="U847">MMULT(TRANSPOSE($B$3:$B$6),TRANSPOSE(P847:S847))</f>
        <v>6.5439789267230319E-2</v>
      </c>
      <c r="V847" s="26"/>
      <c r="W847" s="9">
        <f t="array" ref="W847">SQRT(MMULT(MMULT(P847:S847,$K$3:$N$6),TRANSPOSE(P847:S847)))</f>
        <v>9.9762711591549161E-2</v>
      </c>
    </row>
    <row r="848" spans="16:23" x14ac:dyDescent="0.3">
      <c r="P848" s="26">
        <v>0.2787344485285087</v>
      </c>
      <c r="Q848" s="26">
        <v>0.38291945231868935</v>
      </c>
      <c r="R848" s="26">
        <v>0.10847486423994164</v>
      </c>
      <c r="S848" s="26">
        <v>0.22987123491286035</v>
      </c>
      <c r="T848" s="26"/>
      <c r="U848" s="9">
        <f t="array" ref="U848">MMULT(TRANSPOSE($B$3:$B$6),TRANSPOSE(P848:S848))</f>
        <v>7.8088370059871681E-2</v>
      </c>
      <c r="V848" s="26"/>
      <c r="W848" s="9">
        <f t="array" ref="W848">SQRT(MMULT(MMULT(P848:S848,$K$3:$N$6),TRANSPOSE(P848:S848)))</f>
        <v>0.11398554588286837</v>
      </c>
    </row>
    <row r="849" spans="16:23" x14ac:dyDescent="0.3">
      <c r="P849" s="26">
        <v>0.37059596785272519</v>
      </c>
      <c r="Q849" s="26">
        <v>0.20031727066202459</v>
      </c>
      <c r="R849" s="26">
        <v>1.2845429288483767E-2</v>
      </c>
      <c r="S849" s="26">
        <v>0.41624133219676634</v>
      </c>
      <c r="T849" s="26"/>
      <c r="U849" s="9">
        <f t="array" ref="U849">MMULT(TRANSPOSE($B$3:$B$6),TRANSPOSE(P849:S849))</f>
        <v>8.3657055838553485E-2</v>
      </c>
      <c r="V849" s="26"/>
      <c r="W849" s="9">
        <f t="array" ref="W849">SQRT(MMULT(MMULT(P849:S849,$K$3:$N$6),TRANSPOSE(P849:S849)))</f>
        <v>0.14091347902451526</v>
      </c>
    </row>
    <row r="850" spans="16:23" x14ac:dyDescent="0.3">
      <c r="P850" s="26">
        <v>0.16374925145642871</v>
      </c>
      <c r="Q850" s="26">
        <v>0.29196224645407576</v>
      </c>
      <c r="R850" s="26">
        <v>0.22981880229783597</v>
      </c>
      <c r="S850" s="26">
        <v>0.31446969979165967</v>
      </c>
      <c r="T850" s="26"/>
      <c r="U850" s="9">
        <f t="array" ref="U850">MMULT(TRANSPOSE($B$3:$B$6),TRANSPOSE(P850:S850))</f>
        <v>8.7044876006411143E-2</v>
      </c>
      <c r="V850" s="26"/>
      <c r="W850" s="9">
        <f t="array" ref="W850">SQRT(MMULT(MMULT(P850:S850,$K$3:$N$6),TRANSPOSE(P850:S850)))</f>
        <v>0.13890256585644448</v>
      </c>
    </row>
    <row r="851" spans="16:23" x14ac:dyDescent="0.3">
      <c r="P851" s="26">
        <v>0.24819443162394039</v>
      </c>
      <c r="Q851" s="26">
        <v>0.49255257211205933</v>
      </c>
      <c r="R851" s="26">
        <v>9.3250828848943215E-2</v>
      </c>
      <c r="S851" s="26">
        <v>0.16600216741505705</v>
      </c>
      <c r="T851" s="26"/>
      <c r="U851" s="9">
        <f t="array" ref="U851">MMULT(TRANSPOSE($B$3:$B$6),TRANSPOSE(P851:S851))</f>
        <v>7.5201236315252912E-2</v>
      </c>
      <c r="V851" s="26"/>
      <c r="W851" s="9">
        <f t="array" ref="W851">SQRT(MMULT(MMULT(P851:S851,$K$3:$N$6),TRANSPOSE(P851:S851)))</f>
        <v>0.1102631576710868</v>
      </c>
    </row>
    <row r="852" spans="16:23" x14ac:dyDescent="0.3">
      <c r="P852" s="26">
        <v>0.34914844153193419</v>
      </c>
      <c r="Q852" s="26">
        <v>0.15341564660237039</v>
      </c>
      <c r="R852" s="26">
        <v>0.377852871742207</v>
      </c>
      <c r="S852" s="26">
        <v>0.11958304012348833</v>
      </c>
      <c r="T852" s="26"/>
      <c r="U852" s="9">
        <f t="array" ref="U852">MMULT(TRANSPOSE($B$3:$B$6),TRANSPOSE(P852:S852))</f>
        <v>7.6553240610379866E-2</v>
      </c>
      <c r="V852" s="26"/>
      <c r="W852" s="9">
        <f t="array" ref="W852">SQRT(MMULT(MMULT(P852:S852,$K$3:$N$6),TRANSPOSE(P852:S852)))</f>
        <v>0.11444782767890344</v>
      </c>
    </row>
    <row r="853" spans="16:23" x14ac:dyDescent="0.3">
      <c r="P853" s="26">
        <v>0.38764606227629855</v>
      </c>
      <c r="Q853" s="26">
        <v>0.33633302473178039</v>
      </c>
      <c r="R853" s="26">
        <v>3.8985155659904167E-2</v>
      </c>
      <c r="S853" s="26">
        <v>0.23703575733201676</v>
      </c>
      <c r="T853" s="26"/>
      <c r="U853" s="9">
        <f t="array" ref="U853">MMULT(TRANSPOSE($B$3:$B$6),TRANSPOSE(P853:S853))</f>
        <v>7.4878569734272954E-2</v>
      </c>
      <c r="V853" s="26"/>
      <c r="W853" s="9">
        <f t="array" ref="W853">SQRT(MMULT(MMULT(P853:S853,$K$3:$N$6),TRANSPOSE(P853:S853)))</f>
        <v>0.10807813385989255</v>
      </c>
    </row>
    <row r="854" spans="16:23" x14ac:dyDescent="0.3">
      <c r="P854" s="26">
        <v>0.21019217439120566</v>
      </c>
      <c r="Q854" s="26">
        <v>0.10163513366116382</v>
      </c>
      <c r="R854" s="26">
        <v>0.49399572035407235</v>
      </c>
      <c r="S854" s="26">
        <v>0.19417697159355812</v>
      </c>
      <c r="T854" s="26"/>
      <c r="U854" s="9">
        <f t="array" ref="U854">MMULT(TRANSPOSE($B$3:$B$6),TRANSPOSE(P854:S854))</f>
        <v>8.538491949893523E-2</v>
      </c>
      <c r="V854" s="26"/>
      <c r="W854" s="9">
        <f t="array" ref="W854">SQRT(MMULT(MMULT(P854:S854,$K$3:$N$6),TRANSPOSE(P854:S854)))</f>
        <v>0.14205811978315883</v>
      </c>
    </row>
    <row r="855" spans="16:23" x14ac:dyDescent="0.3">
      <c r="P855" s="26">
        <v>0.46394599023209754</v>
      </c>
      <c r="Q855" s="26">
        <v>4.2853898487297912E-2</v>
      </c>
      <c r="R855" s="26">
        <v>0.37298981451115409</v>
      </c>
      <c r="S855" s="26">
        <v>0.12021029676945044</v>
      </c>
      <c r="T855" s="26"/>
      <c r="U855" s="9">
        <f t="array" ref="U855">MMULT(TRANSPOSE($B$3:$B$6),TRANSPOSE(P855:S855))</f>
        <v>7.4191391324053654E-2</v>
      </c>
      <c r="V855" s="26"/>
      <c r="W855" s="9">
        <f t="array" ref="W855">SQRT(MMULT(MMULT(P855:S855,$K$3:$N$6),TRANSPOSE(P855:S855)))</f>
        <v>0.11191174025791012</v>
      </c>
    </row>
    <row r="856" spans="16:23" x14ac:dyDescent="0.3">
      <c r="P856" s="26">
        <v>4.3731994188824008E-2</v>
      </c>
      <c r="Q856" s="26">
        <v>0.44344771041853143</v>
      </c>
      <c r="R856" s="26">
        <v>0.11269251817511865</v>
      </c>
      <c r="S856" s="26">
        <v>0.40012777721752596</v>
      </c>
      <c r="T856" s="26"/>
      <c r="U856" s="9">
        <f t="array" ref="U856">MMULT(TRANSPOSE($B$3:$B$6),TRANSPOSE(P856:S856))</f>
        <v>9.1385599340602197E-2</v>
      </c>
      <c r="V856" s="26"/>
      <c r="W856" s="9">
        <f t="array" ref="W856">SQRT(MMULT(MMULT(P856:S856,$K$3:$N$6),TRANSPOSE(P856:S856)))</f>
        <v>0.15559638641255491</v>
      </c>
    </row>
    <row r="857" spans="16:23" x14ac:dyDescent="0.3">
      <c r="P857" s="26">
        <v>0.32325427569696863</v>
      </c>
      <c r="Q857" s="26">
        <v>0.27540069016445912</v>
      </c>
      <c r="R857" s="26">
        <v>0.18848309643363875</v>
      </c>
      <c r="S857" s="26">
        <v>0.21286193770493347</v>
      </c>
      <c r="T857" s="26"/>
      <c r="U857" s="9">
        <f t="array" ref="U857">MMULT(TRANSPOSE($B$3:$B$6),TRANSPOSE(P857:S857))</f>
        <v>7.7947673299980078E-2</v>
      </c>
      <c r="V857" s="26"/>
      <c r="W857" s="9">
        <f t="array" ref="W857">SQRT(MMULT(MMULT(P857:S857,$K$3:$N$6),TRANSPOSE(P857:S857)))</f>
        <v>0.11234967454121417</v>
      </c>
    </row>
    <row r="858" spans="16:23" x14ac:dyDescent="0.3">
      <c r="P858" s="26">
        <v>0.4245071340140083</v>
      </c>
      <c r="Q858" s="26">
        <v>7.2009539990399232E-2</v>
      </c>
      <c r="R858" s="26">
        <v>0.32791211311205898</v>
      </c>
      <c r="S858" s="26">
        <v>0.17557121288353347</v>
      </c>
      <c r="T858" s="26"/>
      <c r="U858" s="9">
        <f t="array" ref="U858">MMULT(TRANSPOSE($B$3:$B$6),TRANSPOSE(P858:S858))</f>
        <v>7.6846660226137675E-2</v>
      </c>
      <c r="V858" s="26"/>
      <c r="W858" s="9">
        <f t="array" ref="W858">SQRT(MMULT(MMULT(P858:S858,$K$3:$N$6),TRANSPOSE(P858:S858)))</f>
        <v>0.11515267281190264</v>
      </c>
    </row>
    <row r="859" spans="16:23" x14ac:dyDescent="0.3">
      <c r="P859" s="26">
        <v>0.16603063320549855</v>
      </c>
      <c r="Q859" s="26">
        <v>0.43930835283160147</v>
      </c>
      <c r="R859" s="26">
        <v>0.29621659459504118</v>
      </c>
      <c r="S859" s="26">
        <v>9.8444419367858846E-2</v>
      </c>
      <c r="T859" s="26"/>
      <c r="U859" s="9">
        <f t="array" ref="U859">MMULT(TRANSPOSE($B$3:$B$6),TRANSPOSE(P859:S859))</f>
        <v>7.7525940196183793E-2</v>
      </c>
      <c r="V859" s="26"/>
      <c r="W859" s="9">
        <f t="array" ref="W859">SQRT(MMULT(MMULT(P859:S859,$K$3:$N$6),TRANSPOSE(P859:S859)))</f>
        <v>0.11753575161530264</v>
      </c>
    </row>
    <row r="860" spans="16:23" x14ac:dyDescent="0.3">
      <c r="P860" s="26">
        <v>0.43122356453705341</v>
      </c>
      <c r="Q860" s="26">
        <v>0.28405823115181283</v>
      </c>
      <c r="R860" s="26">
        <v>3.5396953944109161E-2</v>
      </c>
      <c r="S860" s="26">
        <v>0.24932125036702457</v>
      </c>
      <c r="T860" s="26"/>
      <c r="U860" s="9">
        <f t="array" ref="U860">MMULT(TRANSPOSE($B$3:$B$6),TRANSPOSE(P860:S860))</f>
        <v>7.4549530306492348E-2</v>
      </c>
      <c r="V860" s="26"/>
      <c r="W860" s="9">
        <f t="array" ref="W860">SQRT(MMULT(MMULT(P860:S860,$K$3:$N$6),TRANSPOSE(P860:S860)))</f>
        <v>0.10807497833078544</v>
      </c>
    </row>
    <row r="861" spans="16:23" x14ac:dyDescent="0.3">
      <c r="P861" s="26">
        <v>2.2183256390465637E-2</v>
      </c>
      <c r="Q861" s="26">
        <v>0.33268648058157918</v>
      </c>
      <c r="R861" s="26">
        <v>0.22412284759141871</v>
      </c>
      <c r="S861" s="26">
        <v>0.42100741543653636</v>
      </c>
      <c r="T861" s="26"/>
      <c r="U861" s="9">
        <f t="array" ref="U861">MMULT(TRANSPOSE($B$3:$B$6),TRANSPOSE(P861:S861))</f>
        <v>9.5089162595845877E-2</v>
      </c>
      <c r="V861" s="26"/>
      <c r="W861" s="9">
        <f t="array" ref="W861">SQRT(MMULT(MMULT(P861:S861,$K$3:$N$6),TRANSPOSE(P861:S861)))</f>
        <v>0.16637535915590201</v>
      </c>
    </row>
    <row r="862" spans="16:23" x14ac:dyDescent="0.3">
      <c r="P862" s="26">
        <v>0.67809503688920403</v>
      </c>
      <c r="Q862" s="26">
        <v>4.8532123193833772E-2</v>
      </c>
      <c r="R862" s="26">
        <v>5.7860611928562969E-2</v>
      </c>
      <c r="S862" s="26">
        <v>0.21551222798839917</v>
      </c>
      <c r="T862" s="26"/>
      <c r="U862" s="9">
        <f t="array" ref="U862">MMULT(TRANSPOSE($B$3:$B$6),TRANSPOSE(P862:S862))</f>
        <v>6.8370922900207132E-2</v>
      </c>
      <c r="V862" s="26"/>
      <c r="W862" s="9">
        <f t="array" ref="W862">SQRT(MMULT(MMULT(P862:S862,$K$3:$N$6),TRANSPOSE(P862:S862)))</f>
        <v>0.10247520841191583</v>
      </c>
    </row>
    <row r="863" spans="16:23" x14ac:dyDescent="0.3">
      <c r="P863" s="26">
        <v>0.31649746684839342</v>
      </c>
      <c r="Q863" s="26">
        <v>0.36471274786994806</v>
      </c>
      <c r="R863" s="26">
        <v>9.2344636340312217E-2</v>
      </c>
      <c r="S863" s="26">
        <v>0.22644514894134629</v>
      </c>
      <c r="T863" s="26"/>
      <c r="U863" s="9">
        <f t="array" ref="U863">MMULT(TRANSPOSE($B$3:$B$6),TRANSPOSE(P863:S863))</f>
        <v>7.6839200836905694E-2</v>
      </c>
      <c r="V863" s="26"/>
      <c r="W863" s="9">
        <f t="array" ref="W863">SQRT(MMULT(MMULT(P863:S863,$K$3:$N$6),TRANSPOSE(P863:S863)))</f>
        <v>0.11103315360087544</v>
      </c>
    </row>
    <row r="864" spans="16:23" x14ac:dyDescent="0.3">
      <c r="P864" s="26">
        <v>0.28254106435006615</v>
      </c>
      <c r="Q864" s="26">
        <v>0.3761506345007779</v>
      </c>
      <c r="R864" s="26">
        <v>0.21001887220393087</v>
      </c>
      <c r="S864" s="26">
        <v>0.13128942894522488</v>
      </c>
      <c r="T864" s="26"/>
      <c r="U864" s="9">
        <f t="array" ref="U864">MMULT(TRANSPOSE($B$3:$B$6),TRANSPOSE(P864:S864))</f>
        <v>7.5114027604338524E-2</v>
      </c>
      <c r="V864" s="26"/>
      <c r="W864" s="9">
        <f t="array" ref="W864">SQRT(MMULT(MMULT(P864:S864,$K$3:$N$6),TRANSPOSE(P864:S864)))</f>
        <v>0.1071153858149376</v>
      </c>
    </row>
    <row r="865" spans="16:23" x14ac:dyDescent="0.3">
      <c r="P865" s="26">
        <v>8.6343262954646977E-2</v>
      </c>
      <c r="Q865" s="26">
        <v>0.30785489976278951</v>
      </c>
      <c r="R865" s="26">
        <v>0.34012208652648068</v>
      </c>
      <c r="S865" s="26">
        <v>0.26567975075608263</v>
      </c>
      <c r="T865" s="26"/>
      <c r="U865" s="9">
        <f t="array" ref="U865">MMULT(TRANSPOSE($B$3:$B$6),TRANSPOSE(P865:S865))</f>
        <v>8.8359564009240804E-2</v>
      </c>
      <c r="V865" s="26"/>
      <c r="W865" s="9">
        <f t="array" ref="W865">SQRT(MMULT(MMULT(P865:S865,$K$3:$N$6),TRANSPOSE(P865:S865)))</f>
        <v>0.14314716016237164</v>
      </c>
    </row>
    <row r="866" spans="16:23" x14ac:dyDescent="0.3">
      <c r="P866" s="26">
        <v>0.51478063945941877</v>
      </c>
      <c r="Q866" s="26">
        <v>2.2418149933709441E-2</v>
      </c>
      <c r="R866" s="26">
        <v>0.34657086920970465</v>
      </c>
      <c r="S866" s="26">
        <v>0.11623034139716709</v>
      </c>
      <c r="T866" s="26"/>
      <c r="U866" s="9">
        <f t="array" ref="U866">MMULT(TRANSPOSE($B$3:$B$6),TRANSPOSE(P866:S866))</f>
        <v>7.2447321664864062E-2</v>
      </c>
      <c r="V866" s="26"/>
      <c r="W866" s="9">
        <f t="array" ref="W866">SQRT(MMULT(MMULT(P866:S866,$K$3:$N$6),TRANSPOSE(P866:S866)))</f>
        <v>0.10835507312850708</v>
      </c>
    </row>
    <row r="867" spans="16:23" x14ac:dyDescent="0.3">
      <c r="P867" s="26">
        <v>0.3904345255370712</v>
      </c>
      <c r="Q867" s="26">
        <v>9.0872140699015294E-2</v>
      </c>
      <c r="R867" s="26">
        <v>0.29896288919033071</v>
      </c>
      <c r="S867" s="26">
        <v>0.21973044457358273</v>
      </c>
      <c r="T867" s="26"/>
      <c r="U867" s="9">
        <f t="array" ref="U867">MMULT(TRANSPOSE($B$3:$B$6),TRANSPOSE(P867:S867))</f>
        <v>7.9157089501744327E-2</v>
      </c>
      <c r="V867" s="26"/>
      <c r="W867" s="9">
        <f t="array" ref="W867">SQRT(MMULT(MMULT(P867:S867,$K$3:$N$6),TRANSPOSE(P867:S867)))</f>
        <v>0.11995717973733258</v>
      </c>
    </row>
    <row r="868" spans="16:23" x14ac:dyDescent="0.3">
      <c r="P868" s="26">
        <v>0.26685700627615494</v>
      </c>
      <c r="Q868" s="26">
        <v>0.26395391639788246</v>
      </c>
      <c r="R868" s="26">
        <v>0.17986083673860334</v>
      </c>
      <c r="S868" s="26">
        <v>0.28932824058735923</v>
      </c>
      <c r="T868" s="26"/>
      <c r="U868" s="9">
        <f t="array" ref="U868">MMULT(TRANSPOSE($B$3:$B$6),TRANSPOSE(P868:S868))</f>
        <v>8.2726488638616924E-2</v>
      </c>
      <c r="V868" s="26"/>
      <c r="W868" s="9">
        <f t="array" ref="W868">SQRT(MMULT(MMULT(P868:S868,$K$3:$N$6),TRANSPOSE(P868:S868)))</f>
        <v>0.12646616755541001</v>
      </c>
    </row>
    <row r="869" spans="16:23" x14ac:dyDescent="0.3">
      <c r="P869" s="26">
        <v>0.38995113655287139</v>
      </c>
      <c r="Q869" s="26">
        <v>3.7227918158172016E-2</v>
      </c>
      <c r="R869" s="26">
        <v>0.22775386875739739</v>
      </c>
      <c r="S869" s="26">
        <v>0.34506707653155927</v>
      </c>
      <c r="T869" s="26"/>
      <c r="U869" s="9">
        <f t="array" ref="U869">MMULT(TRANSPOSE($B$3:$B$6),TRANSPOSE(P869:S869))</f>
        <v>8.4009408470668484E-2</v>
      </c>
      <c r="V869" s="26"/>
      <c r="W869" s="9">
        <f t="array" ref="W869">SQRT(MMULT(MMULT(P869:S869,$K$3:$N$6),TRANSPOSE(P869:S869)))</f>
        <v>0.13867117105219598</v>
      </c>
    </row>
    <row r="870" spans="16:23" x14ac:dyDescent="0.3">
      <c r="P870" s="26">
        <v>0.34709345087939769</v>
      </c>
      <c r="Q870" s="26">
        <v>0.22512563714466563</v>
      </c>
      <c r="R870" s="26">
        <v>0.33096159502659156</v>
      </c>
      <c r="S870" s="26">
        <v>9.6819316949345161E-2</v>
      </c>
      <c r="T870" s="26"/>
      <c r="U870" s="9">
        <f t="array" ref="U870">MMULT(TRANSPOSE($B$3:$B$6),TRANSPOSE(P870:S870))</f>
        <v>7.4518328730411143E-2</v>
      </c>
      <c r="V870" s="26"/>
      <c r="W870" s="9">
        <f t="array" ref="W870">SQRT(MMULT(MMULT(P870:S870,$K$3:$N$6),TRANSPOSE(P870:S870)))</f>
        <v>0.10804955104871949</v>
      </c>
    </row>
    <row r="871" spans="16:23" x14ac:dyDescent="0.3">
      <c r="P871" s="26">
        <v>0.28898514614369369</v>
      </c>
      <c r="Q871" s="26">
        <v>0.41384576631624825</v>
      </c>
      <c r="R871" s="26">
        <v>8.1271543906969182E-2</v>
      </c>
      <c r="S871" s="26">
        <v>0.21589754363308888</v>
      </c>
      <c r="T871" s="26"/>
      <c r="U871" s="9">
        <f t="array" ref="U871">MMULT(TRANSPOSE($B$3:$B$6),TRANSPOSE(P871:S871))</f>
        <v>7.6640605136919962E-2</v>
      </c>
      <c r="V871" s="26"/>
      <c r="W871" s="9">
        <f t="array" ref="W871">SQRT(MMULT(MMULT(P871:S871,$K$3:$N$6),TRANSPOSE(P871:S871)))</f>
        <v>0.11134801194679836</v>
      </c>
    </row>
    <row r="872" spans="16:23" x14ac:dyDescent="0.3">
      <c r="P872" s="26">
        <v>0.15719107428565696</v>
      </c>
      <c r="Q872" s="26">
        <v>0.36647185492387846</v>
      </c>
      <c r="R872" s="26">
        <v>0.42834485590947968</v>
      </c>
      <c r="S872" s="26">
        <v>4.7992214880985012E-2</v>
      </c>
      <c r="T872" s="26"/>
      <c r="U872" s="9">
        <f t="array" ref="U872">MMULT(TRANSPOSE($B$3:$B$6),TRANSPOSE(P872:S872))</f>
        <v>7.7822686376525715E-2</v>
      </c>
      <c r="V872" s="26"/>
      <c r="W872" s="9">
        <f t="array" ref="W872">SQRT(MMULT(MMULT(P872:S872,$K$3:$N$6),TRANSPOSE(P872:S872)))</f>
        <v>0.12419158281797517</v>
      </c>
    </row>
    <row r="873" spans="16:23" x14ac:dyDescent="0.3">
      <c r="P873" s="26">
        <v>2.6947909221945645E-3</v>
      </c>
      <c r="Q873" s="26">
        <v>0.41329573762615474</v>
      </c>
      <c r="R873" s="26">
        <v>3.0929640111778543E-2</v>
      </c>
      <c r="S873" s="26">
        <v>0.55307983133987215</v>
      </c>
      <c r="T873" s="26"/>
      <c r="U873" s="9">
        <f t="array" ref="U873">MMULT(TRANSPOSE($B$3:$B$6),TRANSPOSE(P873:S873))</f>
        <v>9.8218688550785291E-2</v>
      </c>
      <c r="V873" s="26"/>
      <c r="W873" s="9">
        <f t="array" ref="W873">SQRT(MMULT(MMULT(P873:S873,$K$3:$N$6),TRANSPOSE(P873:S873)))</f>
        <v>0.18582885552031833</v>
      </c>
    </row>
    <row r="874" spans="16:23" x14ac:dyDescent="0.3">
      <c r="P874" s="26">
        <v>0.12525579778244433</v>
      </c>
      <c r="Q874" s="26">
        <v>1.706977955402875E-2</v>
      </c>
      <c r="R874" s="26">
        <v>0.29901074894041307</v>
      </c>
      <c r="S874" s="26">
        <v>0.55866367372311387</v>
      </c>
      <c r="T874" s="26"/>
      <c r="U874" s="9">
        <f t="array" ref="U874">MMULT(TRANSPOSE($B$3:$B$6),TRANSPOSE(P874:S874))</f>
        <v>0.10140828270931507</v>
      </c>
      <c r="V874" s="26"/>
      <c r="W874" s="9">
        <f t="array" ref="W874">SQRT(MMULT(MMULT(P874:S874,$K$3:$N$6),TRANSPOSE(P874:S874)))</f>
        <v>0.20099178657325981</v>
      </c>
    </row>
    <row r="875" spans="16:23" x14ac:dyDescent="0.3">
      <c r="P875" s="26">
        <v>0.31168503942437631</v>
      </c>
      <c r="Q875" s="26">
        <v>0.19803480048462385</v>
      </c>
      <c r="R875" s="26">
        <v>0.15277320811457276</v>
      </c>
      <c r="S875" s="26">
        <v>0.33750695197642716</v>
      </c>
      <c r="T875" s="26"/>
      <c r="U875" s="9">
        <f t="array" ref="U875">MMULT(TRANSPOSE($B$3:$B$6),TRANSPOSE(P875:S875))</f>
        <v>8.3697110972625305E-2</v>
      </c>
      <c r="V875" s="26"/>
      <c r="W875" s="9">
        <f t="array" ref="W875">SQRT(MMULT(MMULT(P875:S875,$K$3:$N$6),TRANSPOSE(P875:S875)))</f>
        <v>0.13242714662638738</v>
      </c>
    </row>
    <row r="876" spans="16:23" x14ac:dyDescent="0.3">
      <c r="P876" s="26">
        <v>3.2278302292407968E-2</v>
      </c>
      <c r="Q876" s="26">
        <v>0.42175078117644105</v>
      </c>
      <c r="R876" s="26">
        <v>4.8621735681158053E-2</v>
      </c>
      <c r="S876" s="26">
        <v>0.49734918084999297</v>
      </c>
      <c r="T876" s="26"/>
      <c r="U876" s="9">
        <f t="array" ref="U876">MMULT(TRANSPOSE($B$3:$B$6),TRANSPOSE(P876:S876))</f>
        <v>9.5194327710274654E-2</v>
      </c>
      <c r="V876" s="26"/>
      <c r="W876" s="9">
        <f t="array" ref="W876">SQRT(MMULT(MMULT(P876:S876,$K$3:$N$6),TRANSPOSE(P876:S876)))</f>
        <v>0.17298260723113426</v>
      </c>
    </row>
    <row r="877" spans="16:23" x14ac:dyDescent="0.3">
      <c r="P877" s="26">
        <v>0.34022342233645181</v>
      </c>
      <c r="Q877" s="26">
        <v>9.6821852586970375E-2</v>
      </c>
      <c r="R877" s="26">
        <v>0.21125334224904993</v>
      </c>
      <c r="S877" s="26">
        <v>0.35170138282752778</v>
      </c>
      <c r="T877" s="26"/>
      <c r="U877" s="9">
        <f t="array" ref="U877">MMULT(TRANSPOSE($B$3:$B$6),TRANSPOSE(P877:S877))</f>
        <v>8.5005667539628349E-2</v>
      </c>
      <c r="V877" s="26"/>
      <c r="W877" s="9">
        <f t="array" ref="W877">SQRT(MMULT(MMULT(P877:S877,$K$3:$N$6),TRANSPOSE(P877:S877)))</f>
        <v>0.13918000443090739</v>
      </c>
    </row>
    <row r="878" spans="16:23" x14ac:dyDescent="0.3">
      <c r="P878" s="26">
        <v>0.21328094960898819</v>
      </c>
      <c r="Q878" s="26">
        <v>6.5115855109772205E-2</v>
      </c>
      <c r="R878" s="26">
        <v>0.3701301545120928</v>
      </c>
      <c r="S878" s="26">
        <v>0.35147304076914682</v>
      </c>
      <c r="T878" s="26"/>
      <c r="U878" s="9">
        <f t="array" ref="U878">MMULT(TRANSPOSE($B$3:$B$6),TRANSPOSE(P878:S878))</f>
        <v>9.0710636136519432E-2</v>
      </c>
      <c r="V878" s="26"/>
      <c r="W878" s="9">
        <f t="array" ref="W878">SQRT(MMULT(MMULT(P878:S878,$K$3:$N$6),TRANSPOSE(P878:S878)))</f>
        <v>0.15702318606045926</v>
      </c>
    </row>
    <row r="879" spans="16:23" x14ac:dyDescent="0.3">
      <c r="P879" s="26">
        <v>0.31633008220680425</v>
      </c>
      <c r="Q879" s="26">
        <v>0.13330640547516173</v>
      </c>
      <c r="R879" s="26">
        <v>1.9906239700001934E-2</v>
      </c>
      <c r="S879" s="26">
        <v>0.53045727261803211</v>
      </c>
      <c r="T879" s="26"/>
      <c r="U879" s="9">
        <f t="array" ref="U879">MMULT(TRANSPOSE($B$3:$B$6),TRANSPOSE(P879:S879))</f>
        <v>9.0594386780765562E-2</v>
      </c>
      <c r="V879" s="26"/>
      <c r="W879" s="9">
        <f t="array" ref="W879">SQRT(MMULT(MMULT(P879:S879,$K$3:$N$6),TRANSPOSE(P879:S879)))</f>
        <v>0.16945092293588482</v>
      </c>
    </row>
    <row r="880" spans="16:23" x14ac:dyDescent="0.3">
      <c r="P880" s="26">
        <v>0.26900685819005021</v>
      </c>
      <c r="Q880" s="26">
        <v>0.30337256448025351</v>
      </c>
      <c r="R880" s="26">
        <v>0.30601776722323115</v>
      </c>
      <c r="S880" s="26">
        <v>0.12160281010646515</v>
      </c>
      <c r="T880" s="26"/>
      <c r="U880" s="9">
        <f t="array" ref="U880">MMULT(TRANSPOSE($B$3:$B$6),TRANSPOSE(P880:S880))</f>
        <v>7.6820358685986884E-2</v>
      </c>
      <c r="V880" s="26"/>
      <c r="W880" s="9">
        <f t="array" ref="W880">SQRT(MMULT(MMULT(P880:S880,$K$3:$N$6),TRANSPOSE(P880:S880)))</f>
        <v>0.11214959687608704</v>
      </c>
    </row>
    <row r="881" spans="16:23" x14ac:dyDescent="0.3">
      <c r="P881" s="26">
        <v>0.39912865542821258</v>
      </c>
      <c r="Q881" s="26">
        <v>4.0235000375052836E-2</v>
      </c>
      <c r="R881" s="26">
        <v>0.24917769510835019</v>
      </c>
      <c r="S881" s="26">
        <v>0.31145864908838439</v>
      </c>
      <c r="T881" s="26"/>
      <c r="U881" s="9">
        <f t="array" ref="U881">MMULT(TRANSPOSE($B$3:$B$6),TRANSPOSE(P881:S881))</f>
        <v>8.2573913248021963E-2</v>
      </c>
      <c r="V881" s="26"/>
      <c r="W881" s="9">
        <f t="array" ref="W881">SQRT(MMULT(MMULT(P881:S881,$K$3:$N$6),TRANSPOSE(P881:S881)))</f>
        <v>0.1331509968709523</v>
      </c>
    </row>
    <row r="882" spans="16:23" x14ac:dyDescent="0.3">
      <c r="P882" s="26">
        <v>0.22050327673850076</v>
      </c>
      <c r="Q882" s="26">
        <v>6.2542873896806678E-3</v>
      </c>
      <c r="R882" s="26">
        <v>0.46202748068002081</v>
      </c>
      <c r="S882" s="26">
        <v>0.31121495519179776</v>
      </c>
      <c r="T882" s="26"/>
      <c r="U882" s="9">
        <f t="array" ref="U882">MMULT(TRANSPOSE($B$3:$B$6),TRANSPOSE(P882:S882))</f>
        <v>9.0391231838420294E-2</v>
      </c>
      <c r="V882" s="26"/>
      <c r="W882" s="9">
        <f t="array" ref="W882">SQRT(MMULT(MMULT(P882:S882,$K$3:$N$6),TRANSPOSE(P882:S882)))</f>
        <v>0.15917256572479588</v>
      </c>
    </row>
    <row r="883" spans="16:23" x14ac:dyDescent="0.3">
      <c r="P883" s="26">
        <v>0.28948511819505424</v>
      </c>
      <c r="Q883" s="26">
        <v>0.32055282329862739</v>
      </c>
      <c r="R883" s="26">
        <v>0.33534306576306161</v>
      </c>
      <c r="S883" s="26">
        <v>5.4618992743256843E-2</v>
      </c>
      <c r="T883" s="26"/>
      <c r="U883" s="9">
        <f t="array" ref="U883">MMULT(TRANSPOSE($B$3:$B$6),TRANSPOSE(P883:S883))</f>
        <v>7.3648108588522998E-2</v>
      </c>
      <c r="V883" s="26"/>
      <c r="W883" s="9">
        <f t="array" ref="W883">SQRT(MMULT(MMULT(P883:S883,$K$3:$N$6),TRANSPOSE(P883:S883)))</f>
        <v>0.10899929907597469</v>
      </c>
    </row>
    <row r="884" spans="16:23" x14ac:dyDescent="0.3">
      <c r="P884" s="26">
        <v>0.44223011305221455</v>
      </c>
      <c r="Q884" s="26">
        <v>0.28139080922733112</v>
      </c>
      <c r="R884" s="26">
        <v>4.2609062061652971E-2</v>
      </c>
      <c r="S884" s="26">
        <v>0.23377001565880129</v>
      </c>
      <c r="T884" s="26"/>
      <c r="U884" s="9">
        <f t="array" ref="U884">MMULT(TRANSPOSE($B$3:$B$6),TRANSPOSE(P884:S884))</f>
        <v>7.3696079763128836E-2</v>
      </c>
      <c r="V884" s="26"/>
      <c r="W884" s="9">
        <f t="array" ref="W884">SQRT(MMULT(MMULT(P884:S884,$K$3:$N$6),TRANSPOSE(P884:S884)))</f>
        <v>0.1055761741295337</v>
      </c>
    </row>
    <row r="885" spans="16:23" x14ac:dyDescent="0.3">
      <c r="P885" s="26">
        <v>0.26823940643874927</v>
      </c>
      <c r="Q885" s="26">
        <v>0.3969845527058859</v>
      </c>
      <c r="R885" s="26">
        <v>0.30211043068240107</v>
      </c>
      <c r="S885" s="26">
        <v>3.2665610172963926E-2</v>
      </c>
      <c r="T885" s="26"/>
      <c r="U885" s="9">
        <f t="array" ref="U885">MMULT(TRANSPOSE($B$3:$B$6),TRANSPOSE(P885:S885))</f>
        <v>7.2310700993521243E-2</v>
      </c>
      <c r="V885" s="26"/>
      <c r="W885" s="9">
        <f t="array" ref="W885">SQRT(MMULT(MMULT(P885:S885,$K$3:$N$6),TRANSPOSE(P885:S885)))</f>
        <v>0.10840144359244661</v>
      </c>
    </row>
    <row r="886" spans="16:23" x14ac:dyDescent="0.3">
      <c r="P886" s="26">
        <v>0.40979809979840898</v>
      </c>
      <c r="Q886" s="26">
        <v>0.12043127068888981</v>
      </c>
      <c r="R886" s="26">
        <v>0.2934146750372994</v>
      </c>
      <c r="S886" s="26">
        <v>0.1763559544754017</v>
      </c>
      <c r="T886" s="26"/>
      <c r="U886" s="9">
        <f t="array" ref="U886">MMULT(TRANSPOSE($B$3:$B$6),TRANSPOSE(P886:S886))</f>
        <v>7.6490129228547893E-2</v>
      </c>
      <c r="V886" s="26"/>
      <c r="W886" s="9">
        <f t="array" ref="W886">SQRT(MMULT(MMULT(P886:S886,$K$3:$N$6),TRANSPOSE(P886:S886)))</f>
        <v>0.11204179893151082</v>
      </c>
    </row>
    <row r="887" spans="16:23" x14ac:dyDescent="0.3">
      <c r="P887" s="26">
        <v>2.2113419273835223E-3</v>
      </c>
      <c r="Q887" s="26">
        <v>0.71533675547009168</v>
      </c>
      <c r="R887" s="26">
        <v>0.13776631535734593</v>
      </c>
      <c r="S887" s="26">
        <v>0.1446855872451788</v>
      </c>
      <c r="T887" s="26"/>
      <c r="U887" s="9">
        <f t="array" ref="U887">MMULT(TRANSPOSE($B$3:$B$6),TRANSPOSE(P887:S887))</f>
        <v>7.9945378830858199E-2</v>
      </c>
      <c r="V887" s="26"/>
      <c r="W887" s="9">
        <f t="array" ref="W887">SQRT(MMULT(MMULT(P887:S887,$K$3:$N$6),TRANSPOSE(P887:S887)))</f>
        <v>0.13353091738202147</v>
      </c>
    </row>
    <row r="888" spans="16:23" x14ac:dyDescent="0.3">
      <c r="P888" s="26">
        <v>2.5403877764010537E-2</v>
      </c>
      <c r="Q888" s="26">
        <v>0.54553513752484994</v>
      </c>
      <c r="R888" s="26">
        <v>0.41076822110114564</v>
      </c>
      <c r="S888" s="26">
        <v>1.8292763609993951E-2</v>
      </c>
      <c r="T888" s="26"/>
      <c r="U888" s="9">
        <f t="array" ref="U888">MMULT(TRANSPOSE($B$3:$B$6),TRANSPOSE(P888:S888))</f>
        <v>7.86219250472424E-2</v>
      </c>
      <c r="V888" s="26"/>
      <c r="W888" s="9">
        <f t="array" ref="W888">SQRT(MMULT(MMULT(P888:S888,$K$3:$N$6),TRANSPOSE(P888:S888)))</f>
        <v>0.13450782236646633</v>
      </c>
    </row>
    <row r="889" spans="16:23" x14ac:dyDescent="0.3">
      <c r="P889" s="26">
        <v>0.33450311870266142</v>
      </c>
      <c r="Q889" s="26">
        <v>0.14861496023366638</v>
      </c>
      <c r="R889" s="26">
        <v>0.28666942470693441</v>
      </c>
      <c r="S889" s="26">
        <v>0.23021249635673777</v>
      </c>
      <c r="T889" s="26"/>
      <c r="U889" s="9">
        <f t="array" ref="U889">MMULT(TRANSPOSE($B$3:$B$6),TRANSPOSE(P889:S889))</f>
        <v>8.055395093792235E-2</v>
      </c>
      <c r="V889" s="26"/>
      <c r="W889" s="9">
        <f t="array" ref="W889">SQRT(MMULT(MMULT(P889:S889,$K$3:$N$6),TRANSPOSE(P889:S889)))</f>
        <v>0.12177124512313185</v>
      </c>
    </row>
    <row r="890" spans="16:23" x14ac:dyDescent="0.3">
      <c r="P890" s="26">
        <v>0.40769589865339112</v>
      </c>
      <c r="Q890" s="26">
        <v>9.6319185722758063E-2</v>
      </c>
      <c r="R890" s="26">
        <v>2.2587814872887319E-2</v>
      </c>
      <c r="S890" s="26">
        <v>0.47339710075096353</v>
      </c>
      <c r="T890" s="26"/>
      <c r="U890" s="9">
        <f t="array" ref="U890">MMULT(TRANSPOSE($B$3:$B$6),TRANSPOSE(P890:S890))</f>
        <v>8.5967693361938102E-2</v>
      </c>
      <c r="V890" s="26"/>
      <c r="W890" s="9">
        <f t="array" ref="W890">SQRT(MMULT(MMULT(P890:S890,$K$3:$N$6),TRANSPOSE(P890:S890)))</f>
        <v>0.1545153675411968</v>
      </c>
    </row>
    <row r="891" spans="16:23" x14ac:dyDescent="0.3">
      <c r="P891" s="26">
        <v>0.13422624436573516</v>
      </c>
      <c r="Q891" s="26">
        <v>6.420373390477277E-2</v>
      </c>
      <c r="R891" s="26">
        <v>0.48089028976289344</v>
      </c>
      <c r="S891" s="26">
        <v>0.32067973196659871</v>
      </c>
      <c r="T891" s="26"/>
      <c r="U891" s="9">
        <f t="array" ref="U891">MMULT(TRANSPOSE($B$3:$B$6),TRANSPOSE(P891:S891))</f>
        <v>9.2967267506273099E-2</v>
      </c>
      <c r="V891" s="26"/>
      <c r="W891" s="9">
        <f t="array" ref="W891">SQRT(MMULT(MMULT(P891:S891,$K$3:$N$6),TRANSPOSE(P891:S891)))</f>
        <v>0.16541031211291718</v>
      </c>
    </row>
    <row r="892" spans="16:23" x14ac:dyDescent="0.3">
      <c r="P892" s="26">
        <v>0.1006389877008879</v>
      </c>
      <c r="Q892" s="26">
        <v>0.51972102732724057</v>
      </c>
      <c r="R892" s="26">
        <v>0.24244438513808433</v>
      </c>
      <c r="S892" s="26">
        <v>0.13719559983378726</v>
      </c>
      <c r="T892" s="26"/>
      <c r="U892" s="9">
        <f t="array" ref="U892">MMULT(TRANSPOSE($B$3:$B$6),TRANSPOSE(P892:S892))</f>
        <v>7.9695887940433308E-2</v>
      </c>
      <c r="V892" s="26"/>
      <c r="W892" s="9">
        <f t="array" ref="W892">SQRT(MMULT(MMULT(P892:S892,$K$3:$N$6),TRANSPOSE(P892:S892)))</f>
        <v>0.1232200948090731</v>
      </c>
    </row>
    <row r="893" spans="16:23" x14ac:dyDescent="0.3">
      <c r="P893" s="26">
        <v>0.28713973385339397</v>
      </c>
      <c r="Q893" s="26">
        <v>0.22855290895538249</v>
      </c>
      <c r="R893" s="26">
        <v>0.14431546247476978</v>
      </c>
      <c r="S893" s="26">
        <v>0.33999189471645375</v>
      </c>
      <c r="T893" s="26"/>
      <c r="U893" s="9">
        <f t="array" ref="U893">MMULT(TRANSPOSE($B$3:$B$6),TRANSPOSE(P893:S893))</f>
        <v>8.4143109308250197E-2</v>
      </c>
      <c r="V893" s="26"/>
      <c r="W893" s="9">
        <f t="array" ref="W893">SQRT(MMULT(MMULT(P893:S893,$K$3:$N$6),TRANSPOSE(P893:S893)))</f>
        <v>0.13318039840650631</v>
      </c>
    </row>
    <row r="894" spans="16:23" x14ac:dyDescent="0.3">
      <c r="P894" s="26">
        <v>0.29115651698670686</v>
      </c>
      <c r="Q894" s="26">
        <v>8.3172483771245712E-2</v>
      </c>
      <c r="R894" s="26">
        <v>0.34040898642031781</v>
      </c>
      <c r="S894" s="26">
        <v>0.28526201282172964</v>
      </c>
      <c r="T894" s="26"/>
      <c r="U894" s="9">
        <f t="array" ref="U894">MMULT(TRANSPOSE($B$3:$B$6),TRANSPOSE(P894:S894))</f>
        <v>8.524815002975869E-2</v>
      </c>
      <c r="V894" s="26"/>
      <c r="W894" s="9">
        <f t="array" ref="W894">SQRT(MMULT(MMULT(P894:S894,$K$3:$N$6),TRANSPOSE(P894:S894)))</f>
        <v>0.13833780693674277</v>
      </c>
    </row>
    <row r="895" spans="16:23" x14ac:dyDescent="0.3">
      <c r="P895" s="26">
        <v>0.45849268680158156</v>
      </c>
      <c r="Q895" s="26">
        <v>0.13386166082870418</v>
      </c>
      <c r="R895" s="26">
        <v>0.19660159832219681</v>
      </c>
      <c r="S895" s="26">
        <v>0.21104405404751744</v>
      </c>
      <c r="T895" s="26"/>
      <c r="U895" s="9">
        <f t="array" ref="U895">MMULT(TRANSPOSE($B$3:$B$6),TRANSPOSE(P895:S895))</f>
        <v>7.531438093278818E-2</v>
      </c>
      <c r="V895" s="26"/>
      <c r="W895" s="9">
        <f t="array" ref="W895">SQRT(MMULT(MMULT(P895:S895,$K$3:$N$6),TRANSPOSE(P895:S895)))</f>
        <v>0.10862156671898261</v>
      </c>
    </row>
    <row r="896" spans="16:23" x14ac:dyDescent="0.3">
      <c r="P896" s="26">
        <v>9.2332050436162341E-2</v>
      </c>
      <c r="Q896" s="26">
        <v>0.54647093302410099</v>
      </c>
      <c r="R896" s="26">
        <v>3.7767136742653661E-2</v>
      </c>
      <c r="S896" s="26">
        <v>0.32342987979708293</v>
      </c>
      <c r="T896" s="26"/>
      <c r="U896" s="9">
        <f t="array" ref="U896">MMULT(TRANSPOSE($B$3:$B$6),TRANSPOSE(P896:S896))</f>
        <v>8.5080195715983964E-2</v>
      </c>
      <c r="V896" s="26"/>
      <c r="W896" s="9">
        <f t="array" ref="W896">SQRT(MMULT(MMULT(P896:S896,$K$3:$N$6),TRANSPOSE(P896:S896)))</f>
        <v>0.13867556306124063</v>
      </c>
    </row>
    <row r="897" spans="16:23" x14ac:dyDescent="0.3">
      <c r="P897" s="26">
        <v>0.3841797768962476</v>
      </c>
      <c r="Q897" s="26">
        <v>0.37308980307959982</v>
      </c>
      <c r="R897" s="26">
        <v>1.1163400054170105E-2</v>
      </c>
      <c r="S897" s="26">
        <v>0.23156701996998247</v>
      </c>
      <c r="T897" s="26"/>
      <c r="U897" s="9">
        <f t="array" ref="U897">MMULT(TRANSPOSE($B$3:$B$6),TRANSPOSE(P897:S897))</f>
        <v>7.4118023461657578E-2</v>
      </c>
      <c r="V897" s="26"/>
      <c r="W897" s="9">
        <f t="array" ref="W897">SQRT(MMULT(MMULT(P897:S897,$K$3:$N$6),TRANSPOSE(P897:S897)))</f>
        <v>0.10751552607037436</v>
      </c>
    </row>
    <row r="898" spans="16:23" x14ac:dyDescent="0.3">
      <c r="P898" s="26">
        <v>0.43870472438993624</v>
      </c>
      <c r="Q898" s="26">
        <v>0.20965758127467615</v>
      </c>
      <c r="R898" s="26">
        <v>0.29559773044249771</v>
      </c>
      <c r="S898" s="26">
        <v>5.6039963892889823E-2</v>
      </c>
      <c r="T898" s="26"/>
      <c r="U898" s="9">
        <f t="array" ref="U898">MMULT(TRANSPOSE($B$3:$B$6),TRANSPOSE(P898:S898))</f>
        <v>6.9939858315695713E-2</v>
      </c>
      <c r="V898" s="26"/>
      <c r="W898" s="9">
        <f t="array" ref="W898">SQRT(MMULT(MMULT(P898:S898,$K$3:$N$6),TRANSPOSE(P898:S898)))</f>
        <v>9.925802236181247E-2</v>
      </c>
    </row>
    <row r="899" spans="16:23" x14ac:dyDescent="0.3">
      <c r="P899" s="26">
        <v>0.19011943473824169</v>
      </c>
      <c r="Q899" s="26">
        <v>0.42132833646074391</v>
      </c>
      <c r="R899" s="26">
        <v>0.30094540601321507</v>
      </c>
      <c r="S899" s="26">
        <v>8.7606822787799285E-2</v>
      </c>
      <c r="T899" s="26"/>
      <c r="U899" s="9">
        <f t="array" ref="U899">MMULT(TRANSPOSE($B$3:$B$6),TRANSPOSE(P899:S899))</f>
        <v>7.659686056488943E-2</v>
      </c>
      <c r="V899" s="26"/>
      <c r="W899" s="9">
        <f t="array" ref="W899">SQRT(MMULT(MMULT(P899:S899,$K$3:$N$6),TRANSPOSE(P899:S899)))</f>
        <v>0.11536279448949949</v>
      </c>
    </row>
    <row r="900" spans="16:23" x14ac:dyDescent="0.3">
      <c r="P900" s="26">
        <v>9.5820875595268168E-2</v>
      </c>
      <c r="Q900" s="26">
        <v>0.36082539730537183</v>
      </c>
      <c r="R900" s="26">
        <v>8.5204992651572206E-2</v>
      </c>
      <c r="S900" s="26">
        <v>0.45814873444778781</v>
      </c>
      <c r="T900" s="26"/>
      <c r="U900" s="9">
        <f t="array" ref="U900">MMULT(TRANSPOSE($B$3:$B$6),TRANSPOSE(P900:S900))</f>
        <v>9.2695119063515463E-2</v>
      </c>
      <c r="V900" s="26"/>
      <c r="W900" s="9">
        <f t="array" ref="W900">SQRT(MMULT(MMULT(P900:S900,$K$3:$N$6),TRANSPOSE(P900:S900)))</f>
        <v>0.16275559223319425</v>
      </c>
    </row>
    <row r="901" spans="16:23" x14ac:dyDescent="0.3">
      <c r="P901" s="26">
        <v>0.2990323490794573</v>
      </c>
      <c r="Q901" s="26">
        <v>0.34429486600776582</v>
      </c>
      <c r="R901" s="26">
        <v>0.22101178233686189</v>
      </c>
      <c r="S901" s="26">
        <v>0.13566100257591496</v>
      </c>
      <c r="T901" s="26"/>
      <c r="U901" s="9">
        <f t="array" ref="U901">MMULT(TRANSPOSE($B$3:$B$6),TRANSPOSE(P901:S901))</f>
        <v>7.5222638793943836E-2</v>
      </c>
      <c r="V901" s="26"/>
      <c r="W901" s="9">
        <f t="array" ref="W901">SQRT(MMULT(MMULT(P901:S901,$K$3:$N$6),TRANSPOSE(P901:S901)))</f>
        <v>0.10679201584322266</v>
      </c>
    </row>
    <row r="902" spans="16:23" x14ac:dyDescent="0.3">
      <c r="P902" s="26">
        <v>0.30390585790982527</v>
      </c>
      <c r="Q902" s="26">
        <v>5.8884498320789916E-2</v>
      </c>
      <c r="R902" s="26">
        <v>0.30346562474684474</v>
      </c>
      <c r="S902" s="26">
        <v>0.33374401902254003</v>
      </c>
      <c r="T902" s="26"/>
      <c r="U902" s="9">
        <f t="array" ref="U902">MMULT(TRANSPOSE($B$3:$B$6),TRANSPOSE(P902:S902))</f>
        <v>8.6678396287867387E-2</v>
      </c>
      <c r="V902" s="26"/>
      <c r="W902" s="9">
        <f t="array" ref="W902">SQRT(MMULT(MMULT(P902:S902,$K$3:$N$6),TRANSPOSE(P902:S902)))</f>
        <v>0.14439674777912756</v>
      </c>
    </row>
    <row r="903" spans="16:23" x14ac:dyDescent="0.3">
      <c r="P903" s="26">
        <v>0.20950958799315661</v>
      </c>
      <c r="Q903" s="26">
        <v>0.36200464910910113</v>
      </c>
      <c r="R903" s="26">
        <v>0.27652596994349704</v>
      </c>
      <c r="S903" s="26">
        <v>0.15195979295424525</v>
      </c>
      <c r="T903" s="26"/>
      <c r="U903" s="9">
        <f t="array" ref="U903">MMULT(TRANSPOSE($B$3:$B$6),TRANSPOSE(P903:S903))</f>
        <v>7.8938317286719073E-2</v>
      </c>
      <c r="V903" s="26"/>
      <c r="W903" s="9">
        <f t="array" ref="W903">SQRT(MMULT(MMULT(P903:S903,$K$3:$N$6),TRANSPOSE(P903:S903)))</f>
        <v>0.11670776166812372</v>
      </c>
    </row>
    <row r="904" spans="16:23" x14ac:dyDescent="0.3">
      <c r="P904" s="26">
        <v>0.26152824747825976</v>
      </c>
      <c r="Q904" s="26">
        <v>3.2817494706509159E-2</v>
      </c>
      <c r="R904" s="26">
        <v>0.38286763068990426</v>
      </c>
      <c r="S904" s="26">
        <v>0.32278662712532674</v>
      </c>
      <c r="T904" s="26"/>
      <c r="U904" s="9">
        <f t="array" ref="U904">MMULT(TRANSPOSE($B$3:$B$6),TRANSPOSE(P904:S904))</f>
        <v>8.8566119020499212E-2</v>
      </c>
      <c r="V904" s="26"/>
      <c r="W904" s="9">
        <f t="array" ref="W904">SQRT(MMULT(MMULT(P904:S904,$K$3:$N$6),TRANSPOSE(P904:S904)))</f>
        <v>0.15135306391952982</v>
      </c>
    </row>
    <row r="905" spans="16:23" x14ac:dyDescent="0.3">
      <c r="P905" s="26">
        <v>0.37266551395275321</v>
      </c>
      <c r="Q905" s="26">
        <v>7.0378373344472819E-2</v>
      </c>
      <c r="R905" s="26">
        <v>0.18483952651603577</v>
      </c>
      <c r="S905" s="26">
        <v>0.37211658618673821</v>
      </c>
      <c r="T905" s="26"/>
      <c r="U905" s="9">
        <f t="array" ref="U905">MMULT(TRANSPOSE($B$3:$B$6),TRANSPOSE(P905:S905))</f>
        <v>8.4849309560602562E-2</v>
      </c>
      <c r="V905" s="26"/>
      <c r="W905" s="9">
        <f t="array" ref="W905">SQRT(MMULT(MMULT(P905:S905,$K$3:$N$6),TRANSPOSE(P905:S905)))</f>
        <v>0.14124285820873184</v>
      </c>
    </row>
    <row r="906" spans="16:23" x14ac:dyDescent="0.3">
      <c r="P906" s="26">
        <v>0.48533424525796037</v>
      </c>
      <c r="Q906" s="26">
        <v>0.27198050976999105</v>
      </c>
      <c r="R906" s="26">
        <v>0.23854061331278625</v>
      </c>
      <c r="S906" s="26">
        <v>4.1446316592624183E-3</v>
      </c>
      <c r="T906" s="26"/>
      <c r="U906" s="9">
        <f t="array" ref="U906">MMULT(TRANSPOSE($B$3:$B$6),TRANSPOSE(P906:S906))</f>
        <v>6.5271358944059651E-2</v>
      </c>
      <c r="V906" s="26"/>
      <c r="W906" s="9">
        <f t="array" ref="W906">SQRT(MMULT(MMULT(P906:S906,$K$3:$N$6),TRANSPOSE(P906:S906)))</f>
        <v>9.3723257960349526E-2</v>
      </c>
    </row>
    <row r="907" spans="16:23" x14ac:dyDescent="0.3">
      <c r="P907" s="26">
        <v>0.38603555552212332</v>
      </c>
      <c r="Q907" s="26">
        <v>0.26047945277308665</v>
      </c>
      <c r="R907" s="26">
        <v>1.2379873751644175E-2</v>
      </c>
      <c r="S907" s="26">
        <v>0.34110511795314585</v>
      </c>
      <c r="T907" s="26"/>
      <c r="U907" s="9">
        <f t="array" ref="U907">MMULT(TRANSPOSE($B$3:$B$6),TRANSPOSE(P907:S907))</f>
        <v>7.9582142262247718E-2</v>
      </c>
      <c r="V907" s="26"/>
      <c r="W907" s="9">
        <f t="array" ref="W907">SQRT(MMULT(MMULT(P907:S907,$K$3:$N$6),TRANSPOSE(P907:S907)))</f>
        <v>0.12479022394566149</v>
      </c>
    </row>
    <row r="908" spans="16:23" x14ac:dyDescent="0.3">
      <c r="P908" s="26">
        <v>3.5421297365578024E-2</v>
      </c>
      <c r="Q908" s="26">
        <v>0.44359271984935783</v>
      </c>
      <c r="R908" s="26">
        <v>0.35329047931138541</v>
      </c>
      <c r="S908" s="26">
        <v>0.1676955034736787</v>
      </c>
      <c r="T908" s="26"/>
      <c r="U908" s="9">
        <f t="array" ref="U908">MMULT(TRANSPOSE($B$3:$B$6),TRANSPOSE(P908:S908))</f>
        <v>8.4742158812600096E-2</v>
      </c>
      <c r="V908" s="26"/>
      <c r="W908" s="9">
        <f t="array" ref="W908">SQRT(MMULT(MMULT(P908:S908,$K$3:$N$6),TRANSPOSE(P908:S908)))</f>
        <v>0.13586694401359778</v>
      </c>
    </row>
    <row r="909" spans="16:23" x14ac:dyDescent="0.3">
      <c r="P909" s="26">
        <v>0.15388289210262859</v>
      </c>
      <c r="Q909" s="26">
        <v>0.53383803311724565</v>
      </c>
      <c r="R909" s="26">
        <v>9.7010574563570068E-2</v>
      </c>
      <c r="S909" s="26">
        <v>0.21526850021655558</v>
      </c>
      <c r="T909" s="26"/>
      <c r="U909" s="9">
        <f t="array" ref="U909">MMULT(TRANSPOSE($B$3:$B$6),TRANSPOSE(P909:S909))</f>
        <v>7.9625978660046615E-2</v>
      </c>
      <c r="V909" s="26"/>
      <c r="W909" s="9">
        <f t="array" ref="W909">SQRT(MMULT(MMULT(P909:S909,$K$3:$N$6),TRANSPOSE(P909:S909)))</f>
        <v>0.12172443899178158</v>
      </c>
    </row>
    <row r="910" spans="16:23" x14ac:dyDescent="0.3">
      <c r="P910" s="26">
        <v>0.31386615949382707</v>
      </c>
      <c r="Q910" s="26">
        <v>0.36404495246286983</v>
      </c>
      <c r="R910" s="26">
        <v>0.27297834712896607</v>
      </c>
      <c r="S910" s="26">
        <v>4.9110540914337066E-2</v>
      </c>
      <c r="T910" s="26"/>
      <c r="U910" s="9">
        <f t="array" ref="U910">MMULT(TRANSPOSE($B$3:$B$6),TRANSPOSE(P910:S910))</f>
        <v>7.1637770798419639E-2</v>
      </c>
      <c r="V910" s="26"/>
      <c r="W910" s="9">
        <f t="array" ref="W910">SQRT(MMULT(MMULT(P910:S910,$K$3:$N$6),TRANSPOSE(P910:S910)))</f>
        <v>0.10407914840643627</v>
      </c>
    </row>
    <row r="911" spans="16:23" x14ac:dyDescent="0.3">
      <c r="P911" s="26">
        <v>0.30442442662873537</v>
      </c>
      <c r="Q911" s="26">
        <v>8.9140934809656694E-2</v>
      </c>
      <c r="R911" s="26">
        <v>0.2488856373326537</v>
      </c>
      <c r="S911" s="26">
        <v>0.35754900122895411</v>
      </c>
      <c r="T911" s="26"/>
      <c r="U911" s="9">
        <f t="array" ref="U911">MMULT(TRANSPOSE($B$3:$B$6),TRANSPOSE(P911:S911))</f>
        <v>8.6766674275526062E-2</v>
      </c>
      <c r="V911" s="26"/>
      <c r="W911" s="9">
        <f t="array" ref="W911">SQRT(MMULT(MMULT(P911:S911,$K$3:$N$6),TRANSPOSE(P911:S911)))</f>
        <v>0.14435752466594354</v>
      </c>
    </row>
    <row r="912" spans="16:23" x14ac:dyDescent="0.3">
      <c r="P912" s="26">
        <v>0.1831450590721477</v>
      </c>
      <c r="Q912" s="26">
        <v>0.38091171325176748</v>
      </c>
      <c r="R912" s="26">
        <v>0.31961706359019887</v>
      </c>
      <c r="S912" s="26">
        <v>0.11632616408588588</v>
      </c>
      <c r="T912" s="26"/>
      <c r="U912" s="9">
        <f t="array" ref="U912">MMULT(TRANSPOSE($B$3:$B$6),TRANSPOSE(P912:S912))</f>
        <v>7.8545748294655313E-2</v>
      </c>
      <c r="V912" s="26"/>
      <c r="W912" s="9">
        <f t="array" ref="W912">SQRT(MMULT(MMULT(P912:S912,$K$3:$N$6),TRANSPOSE(P912:S912)))</f>
        <v>0.11830288119919109</v>
      </c>
    </row>
    <row r="913" spans="16:23" x14ac:dyDescent="0.3">
      <c r="P913" s="26">
        <v>0.3072470522762008</v>
      </c>
      <c r="Q913" s="26">
        <v>0.18874431428105351</v>
      </c>
      <c r="R913" s="26">
        <v>0.11065181672681035</v>
      </c>
      <c r="S913" s="26">
        <v>0.39335681671593536</v>
      </c>
      <c r="T913" s="26"/>
      <c r="U913" s="9">
        <f t="array" ref="U913">MMULT(TRANSPOSE($B$3:$B$6),TRANSPOSE(P913:S913))</f>
        <v>8.5735936124808954E-2</v>
      </c>
      <c r="V913" s="26"/>
      <c r="W913" s="9">
        <f t="array" ref="W913">SQRT(MMULT(MMULT(P913:S913,$K$3:$N$6),TRANSPOSE(P913:S913)))</f>
        <v>0.14191841421789644</v>
      </c>
    </row>
    <row r="914" spans="16:23" x14ac:dyDescent="0.3">
      <c r="P914" s="26">
        <v>0.19875832114307176</v>
      </c>
      <c r="Q914" s="26">
        <v>0.28807710039855289</v>
      </c>
      <c r="R914" s="26">
        <v>0.23418980283063145</v>
      </c>
      <c r="S914" s="26">
        <v>0.27897477562774387</v>
      </c>
      <c r="T914" s="26"/>
      <c r="U914" s="9">
        <f t="array" ref="U914">MMULT(TRANSPOSE($B$3:$B$6),TRANSPOSE(P914:S914))</f>
        <v>8.4657368415138393E-2</v>
      </c>
      <c r="V914" s="26"/>
      <c r="W914" s="9">
        <f t="array" ref="W914">SQRT(MMULT(MMULT(P914:S914,$K$3:$N$6),TRANSPOSE(P914:S914)))</f>
        <v>0.13126398600330694</v>
      </c>
    </row>
    <row r="915" spans="16:23" x14ac:dyDescent="0.3">
      <c r="P915" s="26">
        <v>0.28082506138510754</v>
      </c>
      <c r="Q915" s="26">
        <v>0.41845041480359679</v>
      </c>
      <c r="R915" s="26">
        <v>7.4607191970349164E-3</v>
      </c>
      <c r="S915" s="26">
        <v>0.29326380461426071</v>
      </c>
      <c r="T915" s="26"/>
      <c r="U915" s="9">
        <f t="array" ref="U915">MMULT(TRANSPOSE($B$3:$B$6),TRANSPOSE(P915:S915))</f>
        <v>7.9195903386951594E-2</v>
      </c>
      <c r="V915" s="26"/>
      <c r="W915" s="9">
        <f t="array" ref="W915">SQRT(MMULT(MMULT(P915:S915,$K$3:$N$6),TRANSPOSE(P915:S915)))</f>
        <v>0.12123172162490113</v>
      </c>
    </row>
    <row r="916" spans="16:23" x14ac:dyDescent="0.3">
      <c r="P916" s="26">
        <v>0.3295666148881945</v>
      </c>
      <c r="Q916" s="26">
        <v>9.9877814512621094E-2</v>
      </c>
      <c r="R916" s="26">
        <v>0.30592067539254603</v>
      </c>
      <c r="S916" s="26">
        <v>0.26463489520663847</v>
      </c>
      <c r="T916" s="26"/>
      <c r="U916" s="9">
        <f t="array" ref="U916">MMULT(TRANSPOSE($B$3:$B$6),TRANSPOSE(P916:S916))</f>
        <v>8.2758825970418948E-2</v>
      </c>
      <c r="V916" s="26"/>
      <c r="W916" s="9">
        <f t="array" ref="W916">SQRT(MMULT(MMULT(P916:S916,$K$3:$N$6),TRANSPOSE(P916:S916)))</f>
        <v>0.12997376364320298</v>
      </c>
    </row>
    <row r="917" spans="16:23" x14ac:dyDescent="0.3">
      <c r="P917" s="26">
        <v>0.54188672898747048</v>
      </c>
      <c r="Q917" s="26">
        <v>0.12604643772588514</v>
      </c>
      <c r="R917" s="26">
        <v>3.6282176682378015E-2</v>
      </c>
      <c r="S917" s="26">
        <v>0.29578465660426639</v>
      </c>
      <c r="T917" s="26"/>
      <c r="U917" s="9">
        <f t="array" ref="U917">MMULT(TRANSPOSE($B$3:$B$6),TRANSPOSE(P917:S917))</f>
        <v>7.4677141784111473E-2</v>
      </c>
      <c r="V917" s="26"/>
      <c r="W917" s="9">
        <f t="array" ref="W917">SQRT(MMULT(MMULT(P917:S917,$K$3:$N$6),TRANSPOSE(P917:S917)))</f>
        <v>0.11455479922140718</v>
      </c>
    </row>
    <row r="918" spans="16:23" x14ac:dyDescent="0.3">
      <c r="P918" s="26">
        <v>3.8851591274390834E-2</v>
      </c>
      <c r="Q918" s="26">
        <v>0.38154439010776614</v>
      </c>
      <c r="R918" s="26">
        <v>0.15587919699223809</v>
      </c>
      <c r="S918" s="26">
        <v>0.42372482162560487</v>
      </c>
      <c r="T918" s="26"/>
      <c r="U918" s="9">
        <f t="array" ref="U918">MMULT(TRANSPOSE($B$3:$B$6),TRANSPOSE(P918:S918))</f>
        <v>9.3526793195637184E-2</v>
      </c>
      <c r="V918" s="26"/>
      <c r="W918" s="9">
        <f t="array" ref="W918">SQRT(MMULT(MMULT(P918:S918,$K$3:$N$6),TRANSPOSE(P918:S918)))</f>
        <v>0.16211063723148192</v>
      </c>
    </row>
    <row r="919" spans="16:23" x14ac:dyDescent="0.3">
      <c r="P919" s="26">
        <v>0.4405490557604505</v>
      </c>
      <c r="Q919" s="26">
        <v>3.7289307619899667E-2</v>
      </c>
      <c r="R919" s="26">
        <v>0.36427322151744934</v>
      </c>
      <c r="S919" s="26">
        <v>0.15788841510220047</v>
      </c>
      <c r="T919" s="26"/>
      <c r="U919" s="9">
        <f t="array" ref="U919">MMULT(TRANSPOSE($B$3:$B$6),TRANSPOSE(P919:S919))</f>
        <v>7.6368904070250002E-2</v>
      </c>
      <c r="V919" s="26"/>
      <c r="W919" s="9">
        <f t="array" ref="W919">SQRT(MMULT(MMULT(P919:S919,$K$3:$N$6),TRANSPOSE(P919:S919)))</f>
        <v>0.11632220695950149</v>
      </c>
    </row>
    <row r="920" spans="16:23" x14ac:dyDescent="0.3">
      <c r="P920" s="26">
        <v>0.1806796853463789</v>
      </c>
      <c r="Q920" s="26">
        <v>0.25500038308681494</v>
      </c>
      <c r="R920" s="26">
        <v>0.2385257893246614</v>
      </c>
      <c r="S920" s="26">
        <v>0.3257941422421447</v>
      </c>
      <c r="T920" s="26"/>
      <c r="U920" s="9">
        <f t="array" ref="U920">MMULT(TRANSPOSE($B$3:$B$6),TRANSPOSE(P920:S920))</f>
        <v>8.744662919167287E-2</v>
      </c>
      <c r="V920" s="26"/>
      <c r="W920" s="9">
        <f t="array" ref="W920">SQRT(MMULT(MMULT(P920:S920,$K$3:$N$6),TRANSPOSE(P920:S920)))</f>
        <v>0.14076971771794722</v>
      </c>
    </row>
    <row r="921" spans="16:23" x14ac:dyDescent="0.3">
      <c r="P921" s="26">
        <v>0.47587991728055695</v>
      </c>
      <c r="Q921" s="26">
        <v>0.12110301968548777</v>
      </c>
      <c r="R921" s="26">
        <v>0.336365241203474</v>
      </c>
      <c r="S921" s="26">
        <v>6.6651821830481212E-2</v>
      </c>
      <c r="T921" s="26"/>
      <c r="U921" s="9">
        <f t="array" ref="U921">MMULT(TRANSPOSE($B$3:$B$6),TRANSPOSE(P921:S921))</f>
        <v>7.0542297569982398E-2</v>
      </c>
      <c r="V921" s="26"/>
      <c r="W921" s="9">
        <f t="array" ref="W921">SQRT(MMULT(MMULT(P921:S921,$K$3:$N$6),TRANSPOSE(P921:S921)))</f>
        <v>0.10238800278270227</v>
      </c>
    </row>
    <row r="922" spans="16:23" x14ac:dyDescent="0.3">
      <c r="P922" s="26">
        <v>0.27747557977625803</v>
      </c>
      <c r="Q922" s="26">
        <v>0.11356455877410715</v>
      </c>
      <c r="R922" s="26">
        <v>0.29898196988519354</v>
      </c>
      <c r="S922" s="26">
        <v>0.30997789156444122</v>
      </c>
      <c r="T922" s="26"/>
      <c r="U922" s="9">
        <f t="array" ref="U922">MMULT(TRANSPOSE($B$3:$B$6),TRANSPOSE(P922:S922))</f>
        <v>8.592902238040076E-2</v>
      </c>
      <c r="V922" s="26"/>
      <c r="W922" s="9">
        <f t="array" ref="W922">SQRT(MMULT(MMULT(P922:S922,$K$3:$N$6),TRANSPOSE(P922:S922)))</f>
        <v>0.13942363545096559</v>
      </c>
    </row>
    <row r="923" spans="16:23" x14ac:dyDescent="0.3">
      <c r="P923" s="26">
        <v>0.36371364935474998</v>
      </c>
      <c r="Q923" s="26">
        <v>7.0157889506943891E-2</v>
      </c>
      <c r="R923" s="26">
        <v>0.37052472773666845</v>
      </c>
      <c r="S923" s="26">
        <v>0.19560373340163784</v>
      </c>
      <c r="T923" s="26"/>
      <c r="U923" s="9">
        <f t="array" ref="U923">MMULT(TRANSPOSE($B$3:$B$6),TRANSPOSE(P923:S923))</f>
        <v>7.9916408237720282E-2</v>
      </c>
      <c r="V923" s="26"/>
      <c r="W923" s="9">
        <f t="array" ref="W923">SQRT(MMULT(MMULT(P923:S923,$K$3:$N$6),TRANSPOSE(P923:S923)))</f>
        <v>0.12387294903170717</v>
      </c>
    </row>
    <row r="924" spans="16:23" x14ac:dyDescent="0.3">
      <c r="P924" s="26">
        <v>0.40097785672713937</v>
      </c>
      <c r="Q924" s="26">
        <v>0.16367271999727295</v>
      </c>
      <c r="R924" s="26">
        <v>7.2307316272766847E-2</v>
      </c>
      <c r="S924" s="26">
        <v>0.3630421070028208</v>
      </c>
      <c r="T924" s="26"/>
      <c r="U924" s="9">
        <f t="array" ref="U924">MMULT(TRANSPOSE($B$3:$B$6),TRANSPOSE(P924:S924))</f>
        <v>8.1578694541053584E-2</v>
      </c>
      <c r="V924" s="26"/>
      <c r="W924" s="9">
        <f t="array" ref="W924">SQRT(MMULT(MMULT(P924:S924,$K$3:$N$6),TRANSPOSE(P924:S924)))</f>
        <v>0.1312858506989294</v>
      </c>
    </row>
    <row r="925" spans="16:23" x14ac:dyDescent="0.3">
      <c r="P925" s="26">
        <v>0.31989262992814255</v>
      </c>
      <c r="Q925" s="26">
        <v>1.0572115620920714E-2</v>
      </c>
      <c r="R925" s="26">
        <v>0.25677124213749758</v>
      </c>
      <c r="S925" s="26">
        <v>0.41276401231343918</v>
      </c>
      <c r="T925" s="26"/>
      <c r="U925" s="9">
        <f t="array" ref="U925">MMULT(TRANSPOSE($B$3:$B$6),TRANSPOSE(P925:S925))</f>
        <v>8.9375772859859065E-2</v>
      </c>
      <c r="V925" s="26"/>
      <c r="W925" s="9">
        <f t="array" ref="W925">SQRT(MMULT(MMULT(P925:S925,$K$3:$N$6),TRANSPOSE(P925:S925)))</f>
        <v>0.15785179462873453</v>
      </c>
    </row>
    <row r="926" spans="16:23" x14ac:dyDescent="0.3">
      <c r="P926" s="26">
        <v>0.25952993871159075</v>
      </c>
      <c r="Q926" s="26">
        <v>0.10132057357790783</v>
      </c>
      <c r="R926" s="26">
        <v>0.52466636269206546</v>
      </c>
      <c r="S926" s="26">
        <v>0.11448312501843608</v>
      </c>
      <c r="T926" s="26"/>
      <c r="U926" s="9">
        <f t="array" ref="U926">MMULT(TRANSPOSE($B$3:$B$6),TRANSPOSE(P926:S926))</f>
        <v>8.1026884730531296E-2</v>
      </c>
      <c r="V926" s="26"/>
      <c r="W926" s="9">
        <f t="array" ref="W926">SQRT(MMULT(MMULT(P926:S926,$K$3:$N$6),TRANSPOSE(P926:S926)))</f>
        <v>0.13353310498934495</v>
      </c>
    </row>
    <row r="927" spans="16:23" x14ac:dyDescent="0.3">
      <c r="P927" s="26">
        <v>7.4483788860596728E-2</v>
      </c>
      <c r="Q927" s="26">
        <v>0.42332854425086824</v>
      </c>
      <c r="R927" s="26">
        <v>4.5444499554316543E-2</v>
      </c>
      <c r="S927" s="26">
        <v>0.45674316733421838</v>
      </c>
      <c r="T927" s="26"/>
      <c r="U927" s="9">
        <f t="array" ref="U927">MMULT(TRANSPOSE($B$3:$B$6),TRANSPOSE(P927:S927))</f>
        <v>9.2256372580585305E-2</v>
      </c>
      <c r="V927" s="26"/>
      <c r="W927" s="9">
        <f t="array" ref="W927">SQRT(MMULT(MMULT(P927:S927,$K$3:$N$6),TRANSPOSE(P927:S927)))</f>
        <v>0.16227472211112789</v>
      </c>
    </row>
    <row r="928" spans="16:23" x14ac:dyDescent="0.3">
      <c r="P928" s="26">
        <v>0.22333713848963549</v>
      </c>
      <c r="Q928" s="26">
        <v>0.29181864078774772</v>
      </c>
      <c r="R928" s="26">
        <v>0.16676255886085001</v>
      </c>
      <c r="S928" s="26">
        <v>0.31808166186176684</v>
      </c>
      <c r="T928" s="26"/>
      <c r="U928" s="9">
        <f t="array" ref="U928">MMULT(TRANSPOSE($B$3:$B$6),TRANSPOSE(P928:S928))</f>
        <v>8.477259150051264E-2</v>
      </c>
      <c r="V928" s="26"/>
      <c r="W928" s="9">
        <f t="array" ref="W928">SQRT(MMULT(MMULT(P928:S928,$K$3:$N$6),TRANSPOSE(P928:S928)))</f>
        <v>0.13282956338611562</v>
      </c>
    </row>
    <row r="929" spans="16:23" x14ac:dyDescent="0.3">
      <c r="P929" s="26">
        <v>4.3669887854598043E-2</v>
      </c>
      <c r="Q929" s="26">
        <v>0.40786990481886365</v>
      </c>
      <c r="R929" s="26">
        <v>0.21538742964235111</v>
      </c>
      <c r="S929" s="26">
        <v>0.3330727776841873</v>
      </c>
      <c r="T929" s="26"/>
      <c r="U929" s="9">
        <f t="array" ref="U929">MMULT(TRANSPOSE($B$3:$B$6),TRANSPOSE(P929:S929))</f>
        <v>9.0087989719964429E-2</v>
      </c>
      <c r="V929" s="26"/>
      <c r="W929" s="9">
        <f t="array" ref="W929">SQRT(MMULT(MMULT(P929:S929,$K$3:$N$6),TRANSPOSE(P929:S929)))</f>
        <v>0.14845118248397837</v>
      </c>
    </row>
    <row r="930" spans="16:23" x14ac:dyDescent="0.3">
      <c r="P930" s="26">
        <v>0.29059191885034624</v>
      </c>
      <c r="Q930" s="26">
        <v>0.3532156224837768</v>
      </c>
      <c r="R930" s="26">
        <v>0.12267974908525574</v>
      </c>
      <c r="S930" s="26">
        <v>0.23351270958062131</v>
      </c>
      <c r="T930" s="26"/>
      <c r="U930" s="9">
        <f t="array" ref="U930">MMULT(TRANSPOSE($B$3:$B$6),TRANSPOSE(P930:S930))</f>
        <v>7.8317392083729259E-2</v>
      </c>
      <c r="V930" s="26"/>
      <c r="W930" s="9">
        <f t="array" ref="W930">SQRT(MMULT(MMULT(P930:S930,$K$3:$N$6),TRANSPOSE(P930:S930)))</f>
        <v>0.1141074492531023</v>
      </c>
    </row>
    <row r="931" spans="16:23" x14ac:dyDescent="0.3">
      <c r="P931" s="26">
        <v>4.7646033735923993E-2</v>
      </c>
      <c r="Q931" s="26">
        <v>0.30585276043466603</v>
      </c>
      <c r="R931" s="26">
        <v>0.28802537123799837</v>
      </c>
      <c r="S931" s="26">
        <v>0.35847583459141152</v>
      </c>
      <c r="T931" s="26"/>
      <c r="U931" s="9">
        <f t="array" ref="U931">MMULT(TRANSPOSE($B$3:$B$6),TRANSPOSE(P931:S931))</f>
        <v>9.2731378479612048E-2</v>
      </c>
      <c r="V931" s="26"/>
      <c r="W931" s="9">
        <f t="array" ref="W931">SQRT(MMULT(MMULT(P931:S931,$K$3:$N$6),TRANSPOSE(P931:S931)))</f>
        <v>0.15726822763983975</v>
      </c>
    </row>
    <row r="932" spans="16:23" x14ac:dyDescent="0.3">
      <c r="P932" s="26">
        <v>0.24087072006185647</v>
      </c>
      <c r="Q932" s="26">
        <v>0.4591469353171988</v>
      </c>
      <c r="R932" s="26">
        <v>0.14237062957276136</v>
      </c>
      <c r="S932" s="26">
        <v>0.15761171504818333</v>
      </c>
      <c r="T932" s="26"/>
      <c r="U932" s="9">
        <f t="array" ref="U932">MMULT(TRANSPOSE($B$3:$B$6),TRANSPOSE(P932:S932))</f>
        <v>7.5910583942627258E-2</v>
      </c>
      <c r="V932" s="26"/>
      <c r="W932" s="9">
        <f t="array" ref="W932">SQRT(MMULT(MMULT(P932:S932,$K$3:$N$6),TRANSPOSE(P932:S932)))</f>
        <v>0.11040704776565403</v>
      </c>
    </row>
    <row r="933" spans="16:23" x14ac:dyDescent="0.3">
      <c r="P933" s="26">
        <v>0.27322642938836567</v>
      </c>
      <c r="Q933" s="26">
        <v>0.27569617420798753</v>
      </c>
      <c r="R933" s="26">
        <v>0.18892264631895625</v>
      </c>
      <c r="S933" s="26">
        <v>0.26215475008469058</v>
      </c>
      <c r="T933" s="26"/>
      <c r="U933" s="9">
        <f t="array" ref="U933">MMULT(TRANSPOSE($B$3:$B$6),TRANSPOSE(P933:S933))</f>
        <v>8.1421661842846341E-2</v>
      </c>
      <c r="V933" s="26"/>
      <c r="W933" s="9">
        <f t="array" ref="W933">SQRT(MMULT(MMULT(P933:S933,$K$3:$N$6),TRANSPOSE(P933:S933)))</f>
        <v>0.12209943952954277</v>
      </c>
    </row>
    <row r="934" spans="16:23" x14ac:dyDescent="0.3">
      <c r="P934" s="26">
        <v>0.39754742246716651</v>
      </c>
      <c r="Q934" s="26">
        <v>3.0548743504057838E-3</v>
      </c>
      <c r="R934" s="26">
        <v>0.55104166686109535</v>
      </c>
      <c r="S934" s="26">
        <v>4.835603632133232E-2</v>
      </c>
      <c r="T934" s="26"/>
      <c r="U934" s="9">
        <f t="array" ref="U934">MMULT(TRANSPOSE($B$3:$B$6),TRANSPOSE(P934:S934))</f>
        <v>7.5487686703945178E-2</v>
      </c>
      <c r="V934" s="26"/>
      <c r="W934" s="9">
        <f t="array" ref="W934">SQRT(MMULT(MMULT(P934:S934,$K$3:$N$6),TRANSPOSE(P934:S934)))</f>
        <v>0.12723537235884139</v>
      </c>
    </row>
    <row r="935" spans="16:23" x14ac:dyDescent="0.3">
      <c r="P935" s="26">
        <v>0.36294465169240731</v>
      </c>
      <c r="Q935" s="26">
        <v>0.28461763881763052</v>
      </c>
      <c r="R935" s="26">
        <v>0.20798293851480462</v>
      </c>
      <c r="S935" s="26">
        <v>0.14445477097515746</v>
      </c>
      <c r="T935" s="26"/>
      <c r="U935" s="9">
        <f t="array" ref="U935">MMULT(TRANSPOSE($B$3:$B$6),TRANSPOSE(P935:S935))</f>
        <v>7.412350428520581E-2</v>
      </c>
      <c r="V935" s="26"/>
      <c r="W935" s="9">
        <f t="array" ref="W935">SQRT(MMULT(MMULT(P935:S935,$K$3:$N$6),TRANSPOSE(P935:S935)))</f>
        <v>0.10346485529015297</v>
      </c>
    </row>
    <row r="936" spans="16:23" x14ac:dyDescent="0.3">
      <c r="P936" s="26">
        <v>0.30986136547842169</v>
      </c>
      <c r="Q936" s="26">
        <v>0.16319145359705609</v>
      </c>
      <c r="R936" s="26">
        <v>0.18784493613149328</v>
      </c>
      <c r="S936" s="26">
        <v>0.33910224479302903</v>
      </c>
      <c r="T936" s="26"/>
      <c r="U936" s="9">
        <f t="array" ref="U936">MMULT(TRANSPOSE($B$3:$B$6),TRANSPOSE(P936:S936))</f>
        <v>8.4514783652712894E-2</v>
      </c>
      <c r="V936" s="26"/>
      <c r="W936" s="9">
        <f t="array" ref="W936">SQRT(MMULT(MMULT(P936:S936,$K$3:$N$6),TRANSPOSE(P936:S936)))</f>
        <v>0.13519882159191579</v>
      </c>
    </row>
    <row r="937" spans="16:23" x14ac:dyDescent="0.3">
      <c r="P937" s="26">
        <v>0.21734639044940277</v>
      </c>
      <c r="Q937" s="26">
        <v>0.21355234049889285</v>
      </c>
      <c r="R937" s="26">
        <v>0.19770579808053934</v>
      </c>
      <c r="S937" s="26">
        <v>0.3713954709711651</v>
      </c>
      <c r="T937" s="26"/>
      <c r="U937" s="9">
        <f t="array" ref="U937">MMULT(TRANSPOSE($B$3:$B$6),TRANSPOSE(P937:S937))</f>
        <v>8.8176961701180986E-2</v>
      </c>
      <c r="V937" s="26"/>
      <c r="W937" s="9">
        <f t="array" ref="W937">SQRT(MMULT(MMULT(P937:S937,$K$3:$N$6),TRANSPOSE(P937:S937)))</f>
        <v>0.14548858984753049</v>
      </c>
    </row>
    <row r="938" spans="16:23" x14ac:dyDescent="0.3">
      <c r="P938" s="26">
        <v>0.30574051643538697</v>
      </c>
      <c r="Q938" s="26">
        <v>0.3206738969719935</v>
      </c>
      <c r="R938" s="26">
        <v>0.20671933313532301</v>
      </c>
      <c r="S938" s="26">
        <v>0.16686625345729658</v>
      </c>
      <c r="T938" s="26"/>
      <c r="U938" s="9">
        <f t="array" ref="U938">MMULT(TRANSPOSE($B$3:$B$6),TRANSPOSE(P938:S938))</f>
        <v>7.6362889006863555E-2</v>
      </c>
      <c r="V938" s="26"/>
      <c r="W938" s="9">
        <f t="array" ref="W938">SQRT(MMULT(MMULT(P938:S938,$K$3:$N$6),TRANSPOSE(P938:S938)))</f>
        <v>0.10857461738038576</v>
      </c>
    </row>
    <row r="939" spans="16:23" x14ac:dyDescent="0.3">
      <c r="P939" s="26">
        <v>0.32335781064535729</v>
      </c>
      <c r="Q939" s="26">
        <v>0.12346318331152106</v>
      </c>
      <c r="R939" s="26">
        <v>0.42766234646116436</v>
      </c>
      <c r="S939" s="26">
        <v>0.12551665958195729</v>
      </c>
      <c r="T939" s="26"/>
      <c r="U939" s="9">
        <f t="array" ref="U939">MMULT(TRANSPOSE($B$3:$B$6),TRANSPOSE(P939:S939))</f>
        <v>7.8361923695414004E-2</v>
      </c>
      <c r="V939" s="26"/>
      <c r="W939" s="9">
        <f t="array" ref="W939">SQRT(MMULT(MMULT(P939:S939,$K$3:$N$6),TRANSPOSE(P939:S939)))</f>
        <v>0.1212566905273553</v>
      </c>
    </row>
    <row r="940" spans="16:23" x14ac:dyDescent="0.3">
      <c r="P940" s="26">
        <v>0.29269174035359036</v>
      </c>
      <c r="Q940" s="26">
        <v>0.25322415652942148</v>
      </c>
      <c r="R940" s="26">
        <v>0.24575308411749053</v>
      </c>
      <c r="S940" s="26">
        <v>0.2083310189994976</v>
      </c>
      <c r="T940" s="26"/>
      <c r="U940" s="9">
        <f t="array" ref="U940">MMULT(TRANSPOSE($B$3:$B$6),TRANSPOSE(P940:S940))</f>
        <v>7.9477777825252879E-2</v>
      </c>
      <c r="V940" s="26"/>
      <c r="W940" s="9">
        <f t="array" ref="W940">SQRT(MMULT(MMULT(P940:S940,$K$3:$N$6),TRANSPOSE(P940:S940)))</f>
        <v>0.11657264187598859</v>
      </c>
    </row>
    <row r="941" spans="16:23" x14ac:dyDescent="0.3">
      <c r="P941" s="26">
        <v>4.673817580228188E-2</v>
      </c>
      <c r="Q941" s="26">
        <v>0.29601014040902351</v>
      </c>
      <c r="R941" s="26">
        <v>0.1947487463932269</v>
      </c>
      <c r="S941" s="26">
        <v>0.46250293739546777</v>
      </c>
      <c r="T941" s="26"/>
      <c r="U941" s="9">
        <f t="array" ref="U941">MMULT(TRANSPOSE($B$3:$B$6),TRANSPOSE(P941:S941))</f>
        <v>9.6085358281592287E-2</v>
      </c>
      <c r="V941" s="26"/>
      <c r="W941" s="9">
        <f t="array" ref="W941">SQRT(MMULT(MMULT(P941:S941,$K$3:$N$6),TRANSPOSE(P941:S941)))</f>
        <v>0.17187133112199315</v>
      </c>
    </row>
    <row r="942" spans="16:23" x14ac:dyDescent="0.3">
      <c r="P942" s="26">
        <v>0.33343119006373062</v>
      </c>
      <c r="Q942" s="26">
        <v>0.35917425072503173</v>
      </c>
      <c r="R942" s="26">
        <v>0.29674633503833153</v>
      </c>
      <c r="S942" s="26">
        <v>1.0648224172906284E-2</v>
      </c>
      <c r="T942" s="26"/>
      <c r="U942" s="9">
        <f t="array" ref="U942">MMULT(TRANSPOSE($B$3:$B$6),TRANSPOSE(P942:S942))</f>
        <v>6.9798714108137344E-2</v>
      </c>
      <c r="V942" s="26"/>
      <c r="W942" s="9">
        <f t="array" ref="W942">SQRT(MMULT(MMULT(P942:S942,$K$3:$N$6),TRANSPOSE(P942:S942)))</f>
        <v>0.10381006061596645</v>
      </c>
    </row>
    <row r="943" spans="16:23" x14ac:dyDescent="0.3">
      <c r="P943" s="26">
        <v>0.38377137113126347</v>
      </c>
      <c r="Q943" s="26">
        <v>0.24587491458294855</v>
      </c>
      <c r="R943" s="26">
        <v>0.18723103955407108</v>
      </c>
      <c r="S943" s="26">
        <v>0.18312267473171692</v>
      </c>
      <c r="T943" s="26"/>
      <c r="U943" s="9">
        <f t="array" ref="U943">MMULT(TRANSPOSE($B$3:$B$6),TRANSPOSE(P943:S943))</f>
        <v>7.5225327105041997E-2</v>
      </c>
      <c r="V943" s="26"/>
      <c r="W943" s="9">
        <f t="array" ref="W943">SQRT(MMULT(MMULT(P943:S943,$K$3:$N$6),TRANSPOSE(P943:S943)))</f>
        <v>0.10581735122275984</v>
      </c>
    </row>
    <row r="944" spans="16:23" x14ac:dyDescent="0.3">
      <c r="P944" s="26">
        <v>0.12021402417747178</v>
      </c>
      <c r="Q944" s="26">
        <v>6.2072058867804002E-2</v>
      </c>
      <c r="R944" s="26">
        <v>0.26775878809177339</v>
      </c>
      <c r="S944" s="26">
        <v>0.54995512886295095</v>
      </c>
      <c r="T944" s="26"/>
      <c r="U944" s="9">
        <f t="array" ref="U944">MMULT(TRANSPOSE($B$3:$B$6),TRANSPOSE(P944:S944))</f>
        <v>0.10044865172143359</v>
      </c>
      <c r="V944" s="26"/>
      <c r="W944" s="9">
        <f t="array" ref="W944">SQRT(MMULT(MMULT(P944:S944,$K$3:$N$6),TRANSPOSE(P944:S944)))</f>
        <v>0.19587258355514839</v>
      </c>
    </row>
    <row r="945" spans="16:23" x14ac:dyDescent="0.3">
      <c r="P945" s="26">
        <v>0.23771424342873004</v>
      </c>
      <c r="Q945" s="26">
        <v>0.15390812160503764</v>
      </c>
      <c r="R945" s="26">
        <v>0.31439823979537868</v>
      </c>
      <c r="S945" s="26">
        <v>0.2939793951708537</v>
      </c>
      <c r="T945" s="26"/>
      <c r="U945" s="9">
        <f t="array" ref="U945">MMULT(TRANSPOSE($B$3:$B$6),TRANSPOSE(P945:S945))</f>
        <v>8.6232649685875656E-2</v>
      </c>
      <c r="V945" s="26"/>
      <c r="W945" s="9">
        <f t="array" ref="W945">SQRT(MMULT(MMULT(P945:S945,$K$3:$N$6),TRANSPOSE(P945:S945)))</f>
        <v>0.13882668732480458</v>
      </c>
    </row>
    <row r="946" spans="16:23" x14ac:dyDescent="0.3">
      <c r="P946" s="26">
        <v>0.27918198725321097</v>
      </c>
      <c r="Q946" s="26">
        <v>0.32102306451936791</v>
      </c>
      <c r="R946" s="26">
        <v>0.13862964424058102</v>
      </c>
      <c r="S946" s="26">
        <v>0.26116530398684012</v>
      </c>
      <c r="T946" s="26"/>
      <c r="U946" s="9">
        <f t="array" ref="U946">MMULT(TRANSPOSE($B$3:$B$6),TRANSPOSE(P946:S946))</f>
        <v>8.0247218339089404E-2</v>
      </c>
      <c r="V946" s="26"/>
      <c r="W946" s="9">
        <f t="array" ref="W946">SQRT(MMULT(MMULT(P946:S946,$K$3:$N$6),TRANSPOSE(P946:S946)))</f>
        <v>0.11920709846117772</v>
      </c>
    </row>
    <row r="947" spans="16:23" x14ac:dyDescent="0.3">
      <c r="P947" s="26">
        <v>8.6805819536101295E-2</v>
      </c>
      <c r="Q947" s="26">
        <v>0.32638765321370955</v>
      </c>
      <c r="R947" s="26">
        <v>0.35613597438259575</v>
      </c>
      <c r="S947" s="26">
        <v>0.23067055286759339</v>
      </c>
      <c r="T947" s="26"/>
      <c r="U947" s="9">
        <f t="array" ref="U947">MMULT(TRANSPOSE($B$3:$B$6),TRANSPOSE(P947:S947))</f>
        <v>8.6920130740309548E-2</v>
      </c>
      <c r="V947" s="26"/>
      <c r="W947" s="9">
        <f t="array" ref="W947">SQRT(MMULT(MMULT(P947:S947,$K$3:$N$6),TRANSPOSE(P947:S947)))</f>
        <v>0.13928811105909905</v>
      </c>
    </row>
    <row r="948" spans="16:23" x14ac:dyDescent="0.3">
      <c r="P948" s="26">
        <v>0.11896362083467915</v>
      </c>
      <c r="Q948" s="26">
        <v>0.27029782986182554</v>
      </c>
      <c r="R948" s="26">
        <v>0.26694556490163407</v>
      </c>
      <c r="S948" s="26">
        <v>0.34379298440186118</v>
      </c>
      <c r="T948" s="26"/>
      <c r="U948" s="9">
        <f t="array" ref="U948">MMULT(TRANSPOSE($B$3:$B$6),TRANSPOSE(P948:S948))</f>
        <v>9.0149288101432162E-2</v>
      </c>
      <c r="V948" s="26"/>
      <c r="W948" s="9">
        <f t="array" ref="W948">SQRT(MMULT(MMULT(P948:S948,$K$3:$N$6),TRANSPOSE(P948:S948)))</f>
        <v>0.14918495890776287</v>
      </c>
    </row>
    <row r="949" spans="16:23" x14ac:dyDescent="0.3">
      <c r="P949" s="26">
        <v>0.13268883799834075</v>
      </c>
      <c r="Q949" s="26">
        <v>0.34476493926570023</v>
      </c>
      <c r="R949" s="26">
        <v>0.33259782059340282</v>
      </c>
      <c r="S949" s="26">
        <v>0.18994840214255621</v>
      </c>
      <c r="T949" s="26"/>
      <c r="U949" s="9">
        <f t="array" ref="U949">MMULT(TRANSPOSE($B$3:$B$6),TRANSPOSE(P949:S949))</f>
        <v>8.3495599759029066E-2</v>
      </c>
      <c r="V949" s="26"/>
      <c r="W949" s="9">
        <f t="array" ref="W949">SQRT(MMULT(MMULT(P949:S949,$K$3:$N$6),TRANSPOSE(P949:S949)))</f>
        <v>0.12936408377087869</v>
      </c>
    </row>
    <row r="950" spans="16:23" x14ac:dyDescent="0.3">
      <c r="P950" s="26">
        <v>5.6714926966582646E-2</v>
      </c>
      <c r="Q950" s="26">
        <v>0.19183488706012922</v>
      </c>
      <c r="R950" s="26">
        <v>0.27972202440242055</v>
      </c>
      <c r="S950" s="26">
        <v>0.47172816157086755</v>
      </c>
      <c r="T950" s="26"/>
      <c r="U950" s="9">
        <f t="array" ref="U950">MMULT(TRANSPOSE($B$3:$B$6),TRANSPOSE(P950:S950))</f>
        <v>9.8046550027260135E-2</v>
      </c>
      <c r="V950" s="26"/>
      <c r="W950" s="9">
        <f t="array" ref="W950">SQRT(MMULT(MMULT(P950:S950,$K$3:$N$6),TRANSPOSE(P950:S950)))</f>
        <v>0.17983462474552386</v>
      </c>
    </row>
    <row r="951" spans="16:23" x14ac:dyDescent="0.3">
      <c r="P951" s="26">
        <v>8.7488056043721785E-2</v>
      </c>
      <c r="Q951" s="26">
        <v>0.42506411895836627</v>
      </c>
      <c r="R951" s="26">
        <v>0.10865929045261712</v>
      </c>
      <c r="S951" s="26">
        <v>0.37878853454529493</v>
      </c>
      <c r="T951" s="26"/>
      <c r="U951" s="9">
        <f t="array" ref="U951">MMULT(TRANSPOSE($B$3:$B$6),TRANSPOSE(P951:S951))</f>
        <v>8.9362851415442673E-2</v>
      </c>
      <c r="V951" s="26"/>
      <c r="W951" s="9">
        <f t="array" ref="W951">SQRT(MMULT(MMULT(P951:S951,$K$3:$N$6),TRANSPOSE(P951:S951)))</f>
        <v>0.14880868505787637</v>
      </c>
    </row>
    <row r="952" spans="16:23" x14ac:dyDescent="0.3">
      <c r="P952" s="26">
        <v>3.2241188059112469E-2</v>
      </c>
      <c r="Q952" s="26">
        <v>0.2745067972066455</v>
      </c>
      <c r="R952" s="26">
        <v>0.47968208872070273</v>
      </c>
      <c r="S952" s="26">
        <v>0.21356992601353936</v>
      </c>
      <c r="T952" s="26"/>
      <c r="U952" s="9">
        <f t="array" ref="U952">MMULT(TRANSPOSE($B$3:$B$6),TRANSPOSE(P952:S952))</f>
        <v>8.9627314313908787E-2</v>
      </c>
      <c r="V952" s="26"/>
      <c r="W952" s="9">
        <f t="array" ref="W952">SQRT(MMULT(MMULT(P952:S952,$K$3:$N$6),TRANSPOSE(P952:S952)))</f>
        <v>0.15154393879311839</v>
      </c>
    </row>
    <row r="953" spans="16:23" x14ac:dyDescent="0.3">
      <c r="P953" s="26">
        <v>0.29489977840924725</v>
      </c>
      <c r="Q953" s="26">
        <v>0.22621666602971002</v>
      </c>
      <c r="R953" s="26">
        <v>0.32896252348661353</v>
      </c>
      <c r="S953" s="26">
        <v>0.14992103207442931</v>
      </c>
      <c r="T953" s="26"/>
      <c r="U953" s="9">
        <f t="array" ref="U953">MMULT(TRANSPOSE($B$3:$B$6),TRANSPOSE(P953:S953))</f>
        <v>7.8177306505268801E-2</v>
      </c>
      <c r="V953" s="26"/>
      <c r="W953" s="9">
        <f t="array" ref="W953">SQRT(MMULT(MMULT(P953:S953,$K$3:$N$6),TRANSPOSE(P953:S953)))</f>
        <v>0.1153497261407351</v>
      </c>
    </row>
    <row r="954" spans="16:23" x14ac:dyDescent="0.3">
      <c r="P954" s="26">
        <v>0.29640704640108301</v>
      </c>
      <c r="Q954" s="26">
        <v>5.9214655993894312E-2</v>
      </c>
      <c r="R954" s="26">
        <v>0.2033294380920245</v>
      </c>
      <c r="S954" s="26">
        <v>0.44104885951299816</v>
      </c>
      <c r="T954" s="26"/>
      <c r="U954" s="9">
        <f t="array" ref="U954">MMULT(TRANSPOSE($B$3:$B$6),TRANSPOSE(P954:S954))</f>
        <v>9.0190890809468738E-2</v>
      </c>
      <c r="V954" s="26"/>
      <c r="W954" s="9">
        <f t="array" ref="W954">SQRT(MMULT(MMULT(P954:S954,$K$3:$N$6),TRANSPOSE(P954:S954)))</f>
        <v>0.16004138762005843</v>
      </c>
    </row>
    <row r="955" spans="16:23" x14ac:dyDescent="0.3">
      <c r="P955" s="26">
        <v>0.56076779739764837</v>
      </c>
      <c r="Q955" s="26">
        <v>5.8316980526156763E-3</v>
      </c>
      <c r="R955" s="26">
        <v>0.20638754281043015</v>
      </c>
      <c r="S955" s="26">
        <v>0.2270129617393058</v>
      </c>
      <c r="T955" s="26"/>
      <c r="U955" s="9">
        <f t="array" ref="U955">MMULT(TRANSPOSE($B$3:$B$6),TRANSPOSE(P955:S955))</f>
        <v>7.4263042995220935E-2</v>
      </c>
      <c r="V955" s="26"/>
      <c r="W955" s="9">
        <f t="array" ref="W955">SQRT(MMULT(MMULT(P955:S955,$K$3:$N$6),TRANSPOSE(P955:S955)))</f>
        <v>0.11240247903811543</v>
      </c>
    </row>
    <row r="956" spans="16:23" x14ac:dyDescent="0.3">
      <c r="P956" s="26">
        <v>0.20599491735392644</v>
      </c>
      <c r="Q956" s="26">
        <v>0.24289921291656932</v>
      </c>
      <c r="R956" s="26">
        <v>0.27797590809090367</v>
      </c>
      <c r="S956" s="26">
        <v>0.27312996163860059</v>
      </c>
      <c r="T956" s="26"/>
      <c r="U956" s="9">
        <f t="array" ref="U956">MMULT(TRANSPOSE($B$3:$B$6),TRANSPOSE(P956:S956))</f>
        <v>8.5096117896669571E-2</v>
      </c>
      <c r="V956" s="26"/>
      <c r="W956" s="9">
        <f t="array" ref="W956">SQRT(MMULT(MMULT(P956:S956,$K$3:$N$6),TRANSPOSE(P956:S956)))</f>
        <v>0.13308453915793308</v>
      </c>
    </row>
    <row r="957" spans="16:23" x14ac:dyDescent="0.3">
      <c r="P957" s="26">
        <v>0.32962895853291241</v>
      </c>
      <c r="Q957" s="26">
        <v>0.32347543731713313</v>
      </c>
      <c r="R957" s="26">
        <v>0.15601878366417962</v>
      </c>
      <c r="S957" s="26">
        <v>0.19087682048577476</v>
      </c>
      <c r="T957" s="26"/>
      <c r="U957" s="9">
        <f t="array" ref="U957">MMULT(TRANSPOSE($B$3:$B$6),TRANSPOSE(P957:S957))</f>
        <v>7.6071637526914065E-2</v>
      </c>
      <c r="V957" s="26"/>
      <c r="W957" s="9">
        <f t="array" ref="W957">SQRT(MMULT(MMULT(P957:S957,$K$3:$N$6),TRANSPOSE(P957:S957)))</f>
        <v>0.10780265905828157</v>
      </c>
    </row>
    <row r="958" spans="16:23" x14ac:dyDescent="0.3">
      <c r="P958" s="26">
        <v>0.14754632984017041</v>
      </c>
      <c r="Q958" s="26">
        <v>0.44552173205267342</v>
      </c>
      <c r="R958" s="26">
        <v>0.30013381675460893</v>
      </c>
      <c r="S958" s="26">
        <v>0.10679812135254718</v>
      </c>
      <c r="T958" s="26"/>
      <c r="U958" s="9">
        <f t="array" ref="U958">MMULT(TRANSPOSE($B$3:$B$6),TRANSPOSE(P958:S958))</f>
        <v>7.839165580591613E-2</v>
      </c>
      <c r="V958" s="26"/>
      <c r="W958" s="9">
        <f t="array" ref="W958">SQRT(MMULT(MMULT(P958:S958,$K$3:$N$6),TRANSPOSE(P958:S958)))</f>
        <v>0.11960756181054645</v>
      </c>
    </row>
    <row r="959" spans="16:23" x14ac:dyDescent="0.3">
      <c r="P959" s="26">
        <v>0.26401160475024016</v>
      </c>
      <c r="Q959" s="26">
        <v>0.25616810893029124</v>
      </c>
      <c r="R959" s="26">
        <v>0.1222620412853699</v>
      </c>
      <c r="S959" s="26">
        <v>0.35755824503409883</v>
      </c>
      <c r="T959" s="26"/>
      <c r="U959" s="9">
        <f t="array" ref="U959">MMULT(TRANSPOSE($B$3:$B$6),TRANSPOSE(P959:S959))</f>
        <v>8.5042920982407538E-2</v>
      </c>
      <c r="V959" s="26"/>
      <c r="W959" s="9">
        <f t="array" ref="W959">SQRT(MMULT(MMULT(P959:S959,$K$3:$N$6),TRANSPOSE(P959:S959)))</f>
        <v>0.136316975552388</v>
      </c>
    </row>
    <row r="960" spans="16:23" x14ac:dyDescent="0.3">
      <c r="P960" s="26">
        <v>0.21022729214127589</v>
      </c>
      <c r="Q960" s="26">
        <v>7.3101626659851399E-2</v>
      </c>
      <c r="R960" s="26">
        <v>0.56481525690888679</v>
      </c>
      <c r="S960" s="26">
        <v>0.1518558242899859</v>
      </c>
      <c r="T960" s="26"/>
      <c r="U960" s="9">
        <f t="array" ref="U960">MMULT(TRANSPOSE($B$3:$B$6),TRANSPOSE(P960:S960))</f>
        <v>8.4684550509851506E-2</v>
      </c>
      <c r="V960" s="26"/>
      <c r="W960" s="9">
        <f t="array" ref="W960">SQRT(MMULT(MMULT(P960:S960,$K$3:$N$6),TRANSPOSE(P960:S960)))</f>
        <v>0.1449872086676256</v>
      </c>
    </row>
    <row r="961" spans="16:23" x14ac:dyDescent="0.3">
      <c r="P961" s="26">
        <v>0.26938480975678625</v>
      </c>
      <c r="Q961" s="26">
        <v>0.4138033704636519</v>
      </c>
      <c r="R961" s="26">
        <v>0.17041682808033798</v>
      </c>
      <c r="S961" s="26">
        <v>0.14639499169922385</v>
      </c>
      <c r="T961" s="26"/>
      <c r="U961" s="9">
        <f t="array" ref="U961">MMULT(TRANSPOSE($B$3:$B$6),TRANSPOSE(P961:S961))</f>
        <v>7.5340389951432232E-2</v>
      </c>
      <c r="V961" s="26"/>
      <c r="W961" s="9">
        <f t="array" ref="W961">SQRT(MMULT(MMULT(P961:S961,$K$3:$N$6),TRANSPOSE(P961:S961)))</f>
        <v>0.10794340259664473</v>
      </c>
    </row>
    <row r="962" spans="16:23" x14ac:dyDescent="0.3">
      <c r="P962" s="26">
        <v>0.25284006370812645</v>
      </c>
      <c r="Q962" s="26">
        <v>0.18363457803296235</v>
      </c>
      <c r="R962" s="26">
        <v>0.46418999422825891</v>
      </c>
      <c r="S962" s="26">
        <v>9.9335364030652226E-2</v>
      </c>
      <c r="T962" s="26"/>
      <c r="U962" s="9">
        <f t="array" ref="U962">MMULT(TRANSPOSE($B$3:$B$6),TRANSPOSE(P962:S962))</f>
        <v>7.9193766811935254E-2</v>
      </c>
      <c r="V962" s="26"/>
      <c r="W962" s="9">
        <f t="array" ref="W962">SQRT(MMULT(MMULT(P962:S962,$K$3:$N$6),TRANSPOSE(P962:S962)))</f>
        <v>0.12506078803049642</v>
      </c>
    </row>
    <row r="963" spans="16:23" x14ac:dyDescent="0.3">
      <c r="P963" s="26">
        <v>0.13727201064654532</v>
      </c>
      <c r="Q963" s="26">
        <v>0.32394553414843419</v>
      </c>
      <c r="R963" s="26">
        <v>0.20900380140436331</v>
      </c>
      <c r="S963" s="26">
        <v>0.32977865380065713</v>
      </c>
      <c r="T963" s="26"/>
      <c r="U963" s="9">
        <f t="array" ref="U963">MMULT(TRANSPOSE($B$3:$B$6),TRANSPOSE(P963:S963))</f>
        <v>8.7923568505189204E-2</v>
      </c>
      <c r="V963" s="26"/>
      <c r="W963" s="9">
        <f t="array" ref="W963">SQRT(MMULT(MMULT(P963:S963,$K$3:$N$6),TRANSPOSE(P963:S963)))</f>
        <v>0.14174174175739326</v>
      </c>
    </row>
    <row r="964" spans="16:23" x14ac:dyDescent="0.3">
      <c r="P964" s="26">
        <v>0.51631521749669917</v>
      </c>
      <c r="Q964" s="26">
        <v>0.16142818595663894</v>
      </c>
      <c r="R964" s="26">
        <v>0.17771917417512734</v>
      </c>
      <c r="S964" s="26">
        <v>0.1445374223715345</v>
      </c>
      <c r="T964" s="26"/>
      <c r="U964" s="9">
        <f t="array" ref="U964">MMULT(TRANSPOSE($B$3:$B$6),TRANSPOSE(P964:S964))</f>
        <v>7.0454950252145293E-2</v>
      </c>
      <c r="V964" s="26"/>
      <c r="W964" s="9">
        <f t="array" ref="W964">SQRT(MMULT(MMULT(P964:S964,$K$3:$N$6),TRANSPOSE(P964:S964)))</f>
        <v>9.7190936557302515E-2</v>
      </c>
    </row>
    <row r="965" spans="16:23" x14ac:dyDescent="0.3">
      <c r="P965" s="26">
        <v>0.27746686984280627</v>
      </c>
      <c r="Q965" s="26">
        <v>0.19969096468421629</v>
      </c>
      <c r="R965" s="26">
        <v>0.37366602005150557</v>
      </c>
      <c r="S965" s="26">
        <v>0.14917614542147198</v>
      </c>
      <c r="T965" s="26"/>
      <c r="U965" s="9">
        <f t="array" ref="U965">MMULT(TRANSPOSE($B$3:$B$6),TRANSPOSE(P965:S965))</f>
        <v>7.9382790275247583E-2</v>
      </c>
      <c r="V965" s="26"/>
      <c r="W965" s="9">
        <f t="array" ref="W965">SQRT(MMULT(MMULT(P965:S965,$K$3:$N$6),TRANSPOSE(P965:S965)))</f>
        <v>0.12005477115651922</v>
      </c>
    </row>
    <row r="966" spans="16:23" x14ac:dyDescent="0.3">
      <c r="P966" s="26">
        <v>7.1545253266283276E-2</v>
      </c>
      <c r="Q966" s="26">
        <v>0.16411153181542398</v>
      </c>
      <c r="R966" s="26">
        <v>0.21384937529538259</v>
      </c>
      <c r="S966" s="26">
        <v>0.55049383962291021</v>
      </c>
      <c r="T966" s="26"/>
      <c r="U966" s="9">
        <f t="array" ref="U966">MMULT(TRANSPOSE($B$3:$B$6),TRANSPOSE(P966:S966))</f>
        <v>0.10037077442172748</v>
      </c>
      <c r="V966" s="26"/>
      <c r="W966" s="9">
        <f t="array" ref="W966">SQRT(MMULT(MMULT(P966:S966,$K$3:$N$6),TRANSPOSE(P966:S966)))</f>
        <v>0.19262823110868216</v>
      </c>
    </row>
    <row r="967" spans="16:23" x14ac:dyDescent="0.3">
      <c r="P967" s="26">
        <v>5.106524540456496E-2</v>
      </c>
      <c r="Q967" s="26">
        <v>0.33267836449236504</v>
      </c>
      <c r="R967" s="26">
        <v>0.27862642562566398</v>
      </c>
      <c r="S967" s="26">
        <v>0.33762996447740595</v>
      </c>
      <c r="T967" s="26"/>
      <c r="U967" s="9">
        <f t="array" ref="U967">MMULT(TRANSPOSE($B$3:$B$6),TRANSPOSE(P967:S967))</f>
        <v>9.1432721828292263E-2</v>
      </c>
      <c r="V967" s="26"/>
      <c r="W967" s="9">
        <f t="array" ref="W967">SQRT(MMULT(MMULT(P967:S967,$K$3:$N$6),TRANSPOSE(P967:S967)))</f>
        <v>0.15259899698841978</v>
      </c>
    </row>
    <row r="968" spans="16:23" x14ac:dyDescent="0.3">
      <c r="P968" s="26">
        <v>0.42207609434447568</v>
      </c>
      <c r="Q968" s="26">
        <v>0.13289296662179312</v>
      </c>
      <c r="R968" s="26">
        <v>0.26452318547862069</v>
      </c>
      <c r="S968" s="26">
        <v>0.18050775355511064</v>
      </c>
      <c r="T968" s="26"/>
      <c r="U968" s="9">
        <f t="array" ref="U968">MMULT(TRANSPOSE($B$3:$B$6),TRANSPOSE(P968:S968))</f>
        <v>7.5874329500438445E-2</v>
      </c>
      <c r="V968" s="26"/>
      <c r="W968" s="9">
        <f t="array" ref="W968">SQRT(MMULT(MMULT(P968:S968,$K$3:$N$6),TRANSPOSE(P968:S968)))</f>
        <v>0.1098294356834961</v>
      </c>
    </row>
    <row r="969" spans="16:23" x14ac:dyDescent="0.3">
      <c r="P969" s="26">
        <v>9.9197868275942513E-2</v>
      </c>
      <c r="Q969" s="26">
        <v>0.45672995859588705</v>
      </c>
      <c r="R969" s="26">
        <v>0.37817496811470702</v>
      </c>
      <c r="S969" s="26">
        <v>6.5897205013463467E-2</v>
      </c>
      <c r="T969" s="26"/>
      <c r="U969" s="9">
        <f t="array" ref="U969">MMULT(TRANSPOSE($B$3:$B$6),TRANSPOSE(P969:S969))</f>
        <v>7.8874402247448475E-2</v>
      </c>
      <c r="V969" s="26"/>
      <c r="W969" s="9">
        <f t="array" ref="W969">SQRT(MMULT(MMULT(P969:S969,$K$3:$N$6),TRANSPOSE(P969:S969)))</f>
        <v>0.12617855754607354</v>
      </c>
    </row>
    <row r="970" spans="16:23" x14ac:dyDescent="0.3">
      <c r="P970" s="26">
        <v>0.44928383949541439</v>
      </c>
      <c r="Q970" s="26">
        <v>7.8586595891871835E-2</v>
      </c>
      <c r="R970" s="26">
        <v>0.43963725861802705</v>
      </c>
      <c r="S970" s="26">
        <v>3.2492305994686853E-2</v>
      </c>
      <c r="T970" s="26"/>
      <c r="U970" s="9">
        <f t="array" ref="U970">MMULT(TRANSPOSE($B$3:$B$6),TRANSPOSE(P970:S970))</f>
        <v>7.1431683682186595E-2</v>
      </c>
      <c r="V970" s="26"/>
      <c r="W970" s="9">
        <f t="array" ref="W970">SQRT(MMULT(MMULT(P970:S970,$K$3:$N$6),TRANSPOSE(P970:S970)))</f>
        <v>0.11117573858242319</v>
      </c>
    </row>
    <row r="971" spans="16:23" x14ac:dyDescent="0.3">
      <c r="P971" s="26">
        <v>0.32276708322059705</v>
      </c>
      <c r="Q971" s="26">
        <v>0.51517396334122034</v>
      </c>
      <c r="R971" s="26">
        <v>0.16073240973507785</v>
      </c>
      <c r="S971" s="26">
        <v>1.3265437031047829E-3</v>
      </c>
      <c r="T971" s="26"/>
      <c r="U971" s="9">
        <f t="array" ref="U971">MMULT(TRANSPOSE($B$3:$B$6),TRANSPOSE(P971:S971))</f>
        <v>6.6825633715444852E-2</v>
      </c>
      <c r="V971" s="26"/>
      <c r="W971" s="9">
        <f t="array" ref="W971">SQRT(MMULT(MMULT(P971:S971,$K$3:$N$6),TRANSPOSE(P971:S971)))</f>
        <v>0.10373187265792197</v>
      </c>
    </row>
    <row r="972" spans="16:23" x14ac:dyDescent="0.3">
      <c r="P972" s="26">
        <v>1.4965430714938487E-2</v>
      </c>
      <c r="Q972" s="26">
        <v>0.1010311821967121</v>
      </c>
      <c r="R972" s="26">
        <v>0.79163087537875709</v>
      </c>
      <c r="S972" s="26">
        <v>9.2372511709592431E-2</v>
      </c>
      <c r="T972" s="26"/>
      <c r="U972" s="9">
        <f t="array" ref="U972">MMULT(TRANSPOSE($B$3:$B$6),TRANSPOSE(P972:S972))</f>
        <v>9.015193447875601E-2</v>
      </c>
      <c r="V972" s="26"/>
      <c r="W972" s="9">
        <f t="array" ref="W972">SQRT(MMULT(MMULT(P972:S972,$K$3:$N$6),TRANSPOSE(P972:S972)))</f>
        <v>0.17652549065263251</v>
      </c>
    </row>
    <row r="973" spans="16:23" x14ac:dyDescent="0.3">
      <c r="P973" s="26">
        <v>0.45224420898038276</v>
      </c>
      <c r="Q973" s="26">
        <v>0.32638693451522088</v>
      </c>
      <c r="R973" s="26">
        <v>0.18328949996903615</v>
      </c>
      <c r="S973" s="26">
        <v>3.8079356535360091E-2</v>
      </c>
      <c r="T973" s="26"/>
      <c r="U973" s="9">
        <f t="array" ref="U973">MMULT(TRANSPOSE($B$3:$B$6),TRANSPOSE(P973:S973))</f>
        <v>6.6524873646541055E-2</v>
      </c>
      <c r="V973" s="26"/>
      <c r="W973" s="9">
        <f t="array" ref="W973">SQRT(MMULT(MMULT(P973:S973,$K$3:$N$6),TRANSPOSE(P973:S973)))</f>
        <v>9.3322063496277682E-2</v>
      </c>
    </row>
    <row r="974" spans="16:23" x14ac:dyDescent="0.3">
      <c r="P974" s="26">
        <v>0.37469526349615517</v>
      </c>
      <c r="Q974" s="26">
        <v>0.21466874021269516</v>
      </c>
      <c r="R974" s="26">
        <v>8.8029866763218514E-2</v>
      </c>
      <c r="S974" s="26">
        <v>0.32260612952793122</v>
      </c>
      <c r="T974" s="26"/>
      <c r="U974" s="9">
        <f t="array" ref="U974">MMULT(TRANSPOSE($B$3:$B$6),TRANSPOSE(P974:S974))</f>
        <v>8.0396998541737832E-2</v>
      </c>
      <c r="V974" s="26"/>
      <c r="W974" s="9">
        <f t="array" ref="W974">SQRT(MMULT(MMULT(P974:S974,$K$3:$N$6),TRANSPOSE(P974:S974)))</f>
        <v>0.12418248356291983</v>
      </c>
    </row>
    <row r="975" spans="16:23" x14ac:dyDescent="0.3">
      <c r="P975" s="26">
        <v>0.17701235876510324</v>
      </c>
      <c r="Q975" s="26">
        <v>0.30220451267322818</v>
      </c>
      <c r="R975" s="26">
        <v>0.44768339682410063</v>
      </c>
      <c r="S975" s="26">
        <v>7.3099731737567952E-2</v>
      </c>
      <c r="T975" s="26"/>
      <c r="U975" s="9">
        <f t="array" ref="U975">MMULT(TRANSPOSE($B$3:$B$6),TRANSPOSE(P975:S975))</f>
        <v>7.9068407348058353E-2</v>
      </c>
      <c r="V975" s="26"/>
      <c r="W975" s="9">
        <f t="array" ref="W975">SQRT(MMULT(MMULT(P975:S975,$K$3:$N$6),TRANSPOSE(P975:S975)))</f>
        <v>0.12548946933793922</v>
      </c>
    </row>
    <row r="976" spans="16:23" x14ac:dyDescent="0.3">
      <c r="P976" s="26">
        <v>0.38509864723659221</v>
      </c>
      <c r="Q976" s="26">
        <v>0.35449972275986646</v>
      </c>
      <c r="R976" s="26">
        <v>0.24531003845449567</v>
      </c>
      <c r="S976" s="26">
        <v>1.5091591549045724E-2</v>
      </c>
      <c r="T976" s="26"/>
      <c r="U976" s="9">
        <f t="array" ref="U976">MMULT(TRANSPOSE($B$3:$B$6),TRANSPOSE(P976:S976))</f>
        <v>6.7958807401810359E-2</v>
      </c>
      <c r="V976" s="26"/>
      <c r="W976" s="9">
        <f t="array" ref="W976">SQRT(MMULT(MMULT(P976:S976,$K$3:$N$6),TRANSPOSE(P976:S976)))</f>
        <v>9.8710443978134568E-2</v>
      </c>
    </row>
    <row r="977" spans="16:23" x14ac:dyDescent="0.3">
      <c r="P977" s="26">
        <v>5.6013678367320921E-2</v>
      </c>
      <c r="Q977" s="26">
        <v>0.60904211552915566</v>
      </c>
      <c r="R977" s="26">
        <v>0.18975321609213625</v>
      </c>
      <c r="S977" s="26">
        <v>0.14519099001138719</v>
      </c>
      <c r="T977" s="26"/>
      <c r="U977" s="9">
        <f t="array" ref="U977">MMULT(TRANSPOSE($B$3:$B$6),TRANSPOSE(P977:S977))</f>
        <v>7.9934340255065656E-2</v>
      </c>
      <c r="V977" s="26"/>
      <c r="W977" s="9">
        <f t="array" ref="W977">SQRT(MMULT(MMULT(P977:S977,$K$3:$N$6),TRANSPOSE(P977:S977)))</f>
        <v>0.12722000693700553</v>
      </c>
    </row>
    <row r="978" spans="16:23" x14ac:dyDescent="0.3">
      <c r="P978" s="26">
        <v>0.4789810256335284</v>
      </c>
      <c r="Q978" s="26">
        <v>7.2072790774206391E-2</v>
      </c>
      <c r="R978" s="26">
        <v>0.28338751499318154</v>
      </c>
      <c r="S978" s="26">
        <v>0.16555866859908366</v>
      </c>
      <c r="T978" s="26"/>
      <c r="U978" s="9">
        <f t="array" ref="U978">MMULT(TRANSPOSE($B$3:$B$6),TRANSPOSE(P978:S978))</f>
        <v>7.4366063217147241E-2</v>
      </c>
      <c r="V978" s="26"/>
      <c r="W978" s="9">
        <f t="array" ref="W978">SQRT(MMULT(MMULT(P978:S978,$K$3:$N$6),TRANSPOSE(P978:S978)))</f>
        <v>0.10865243162497482</v>
      </c>
    </row>
    <row r="979" spans="16:23" x14ac:dyDescent="0.3">
      <c r="P979" s="26">
        <v>0.25597951378686556</v>
      </c>
      <c r="Q979" s="26">
        <v>0.2888214325699287</v>
      </c>
      <c r="R979" s="26">
        <v>0.44158490928096378</v>
      </c>
      <c r="S979" s="26">
        <v>1.3614144362241903E-2</v>
      </c>
      <c r="T979" s="26"/>
      <c r="U979" s="9">
        <f t="array" ref="U979">MMULT(TRANSPOSE($B$3:$B$6),TRANSPOSE(P979:S979))</f>
        <v>7.4392815127994061E-2</v>
      </c>
      <c r="V979" s="26"/>
      <c r="W979" s="9">
        <f t="array" ref="W979">SQRT(MMULT(MMULT(P979:S979,$K$3:$N$6),TRANSPOSE(P979:S979)))</f>
        <v>0.11779041765347138</v>
      </c>
    </row>
    <row r="980" spans="16:23" x14ac:dyDescent="0.3">
      <c r="P980" s="26">
        <v>0.20869353994736758</v>
      </c>
      <c r="Q980" s="26">
        <v>0.25565293301219078</v>
      </c>
      <c r="R980" s="26">
        <v>0.34217413426105064</v>
      </c>
      <c r="S980" s="26">
        <v>0.19347939277939111</v>
      </c>
      <c r="T980" s="26"/>
      <c r="U980" s="9">
        <f t="array" ref="U980">MMULT(TRANSPOSE($B$3:$B$6),TRANSPOSE(P980:S980))</f>
        <v>8.2343581525243223E-2</v>
      </c>
      <c r="V980" s="26"/>
      <c r="W980" s="9">
        <f t="array" ref="W980">SQRT(MMULT(MMULT(P980:S980,$K$3:$N$6),TRANSPOSE(P980:S980)))</f>
        <v>0.12602754902043592</v>
      </c>
    </row>
    <row r="981" spans="16:23" x14ac:dyDescent="0.3">
      <c r="P981" s="26">
        <v>0.43260033504075668</v>
      </c>
      <c r="Q981" s="26">
        <v>0.15804974967735472</v>
      </c>
      <c r="R981" s="26">
        <v>1.2284839366891263E-2</v>
      </c>
      <c r="S981" s="26">
        <v>0.39706507591499735</v>
      </c>
      <c r="T981" s="26"/>
      <c r="U981" s="9">
        <f t="array" ref="U981">MMULT(TRANSPOSE($B$3:$B$6),TRANSPOSE(P981:S981))</f>
        <v>8.1446943882272554E-2</v>
      </c>
      <c r="V981" s="26"/>
      <c r="W981" s="9">
        <f t="array" ref="W981">SQRT(MMULT(MMULT(P981:S981,$K$3:$N$6),TRANSPOSE(P981:S981)))</f>
        <v>0.1356822271199026</v>
      </c>
    </row>
    <row r="982" spans="16:23" x14ac:dyDescent="0.3">
      <c r="P982" s="26">
        <v>6.3425789833704407E-2</v>
      </c>
      <c r="Q982" s="26">
        <v>0.40880253877076062</v>
      </c>
      <c r="R982" s="26">
        <v>0.50223993115860521</v>
      </c>
      <c r="S982" s="26">
        <v>2.5531740236929841E-2</v>
      </c>
      <c r="T982" s="26"/>
      <c r="U982" s="9">
        <f t="array" ref="U982">MMULT(TRANSPOSE($B$3:$B$6),TRANSPOSE(P982:S982))</f>
        <v>8.0052869838344504E-2</v>
      </c>
      <c r="V982" s="26"/>
      <c r="W982" s="9">
        <f t="array" ref="W982">SQRT(MMULT(MMULT(P982:S982,$K$3:$N$6),TRANSPOSE(P982:S982)))</f>
        <v>0.1365352790227132</v>
      </c>
    </row>
    <row r="983" spans="16:23" x14ac:dyDescent="0.3">
      <c r="P983" s="26">
        <v>0.38083017838985678</v>
      </c>
      <c r="Q983" s="26">
        <v>7.14767655381114E-2</v>
      </c>
      <c r="R983" s="26">
        <v>0.36232056937213514</v>
      </c>
      <c r="S983" s="26">
        <v>0.18537248669989664</v>
      </c>
      <c r="T983" s="26"/>
      <c r="U983" s="9">
        <f t="array" ref="U983">MMULT(TRANSPOSE($B$3:$B$6),TRANSPOSE(P983:S983))</f>
        <v>7.8898432154640402E-2</v>
      </c>
      <c r="V983" s="26"/>
      <c r="W983" s="9">
        <f t="array" ref="W983">SQRT(MMULT(MMULT(P983:S983,$K$3:$N$6),TRANSPOSE(P983:S983)))</f>
        <v>0.12101780533989319</v>
      </c>
    </row>
    <row r="984" spans="16:23" x14ac:dyDescent="0.3">
      <c r="P984" s="26">
        <v>0.17492495940040553</v>
      </c>
      <c r="Q984" s="26">
        <v>0.17752844457038683</v>
      </c>
      <c r="R984" s="26">
        <v>0.45722764488703038</v>
      </c>
      <c r="S984" s="26">
        <v>0.19031895114217717</v>
      </c>
      <c r="T984" s="26"/>
      <c r="U984" s="9">
        <f t="array" ref="U984">MMULT(TRANSPOSE($B$3:$B$6),TRANSPOSE(P984:S984))</f>
        <v>8.5162001266841342E-2</v>
      </c>
      <c r="V984" s="26"/>
      <c r="W984" s="9">
        <f t="array" ref="W984">SQRT(MMULT(MMULT(P984:S984,$K$3:$N$6),TRANSPOSE(P984:S984)))</f>
        <v>0.1385117495170404</v>
      </c>
    </row>
    <row r="985" spans="16:23" x14ac:dyDescent="0.3">
      <c r="P985" s="26">
        <v>6.6259442913345276E-3</v>
      </c>
      <c r="Q985" s="26">
        <v>0.35827765963153985</v>
      </c>
      <c r="R985" s="26">
        <v>0.40052910424700067</v>
      </c>
      <c r="S985" s="26">
        <v>0.23456729183012504</v>
      </c>
      <c r="T985" s="26"/>
      <c r="U985" s="9">
        <f t="array" ref="U985">MMULT(TRANSPOSE($B$3:$B$6),TRANSPOSE(P985:S985))</f>
        <v>8.9606427790619572E-2</v>
      </c>
      <c r="V985" s="26"/>
      <c r="W985" s="9">
        <f t="array" ref="W985">SQRT(MMULT(MMULT(P985:S985,$K$3:$N$6),TRANSPOSE(P985:S985)))</f>
        <v>0.1487819011738446</v>
      </c>
    </row>
    <row r="986" spans="16:23" x14ac:dyDescent="0.3">
      <c r="P986" s="26">
        <v>0.23644587428676958</v>
      </c>
      <c r="Q986" s="26">
        <v>0.27237066763429835</v>
      </c>
      <c r="R986" s="26">
        <v>0.40075318076322097</v>
      </c>
      <c r="S986" s="26">
        <v>9.0430277315711294E-2</v>
      </c>
      <c r="T986" s="26"/>
      <c r="U986" s="9">
        <f t="array" ref="U986">MMULT(TRANSPOSE($B$3:$B$6),TRANSPOSE(P986:S986))</f>
        <v>7.780765999531461E-2</v>
      </c>
      <c r="V986" s="26"/>
      <c r="W986" s="9">
        <f t="array" ref="W986">SQRT(MMULT(MMULT(P986:S986,$K$3:$N$6),TRANSPOSE(P986:S986)))</f>
        <v>0.11892813837120837</v>
      </c>
    </row>
    <row r="987" spans="16:23" x14ac:dyDescent="0.3">
      <c r="P987" s="26">
        <v>0.40945193160988086</v>
      </c>
      <c r="Q987" s="26">
        <v>4.3722455512460311E-2</v>
      </c>
      <c r="R987" s="26">
        <v>0.15183231126295074</v>
      </c>
      <c r="S987" s="26">
        <v>0.39499330161470814</v>
      </c>
      <c r="T987" s="26"/>
      <c r="U987" s="9">
        <f t="array" ref="U987">MMULT(TRANSPOSE($B$3:$B$6),TRANSPOSE(P987:S987))</f>
        <v>8.4597272673796797E-2</v>
      </c>
      <c r="V987" s="26"/>
      <c r="W987" s="9">
        <f t="array" ref="W987">SQRT(MMULT(MMULT(P987:S987,$K$3:$N$6),TRANSPOSE(P987:S987)))</f>
        <v>0.14379954759121569</v>
      </c>
    </row>
    <row r="988" spans="16:23" x14ac:dyDescent="0.3">
      <c r="P988" s="26">
        <v>0.32887490745937392</v>
      </c>
      <c r="Q988" s="26">
        <v>0.2365452564004682</v>
      </c>
      <c r="R988" s="26">
        <v>0.26826382137248961</v>
      </c>
      <c r="S988" s="26">
        <v>0.16631601476766827</v>
      </c>
      <c r="T988" s="26"/>
      <c r="U988" s="9">
        <f t="array" ref="U988">MMULT(TRANSPOSE($B$3:$B$6),TRANSPOSE(P988:S988))</f>
        <v>7.7103579016645718E-2</v>
      </c>
      <c r="V988" s="26"/>
      <c r="W988" s="9">
        <f t="array" ref="W988">SQRT(MMULT(MMULT(P988:S988,$K$3:$N$6),TRANSPOSE(P988:S988)))</f>
        <v>0.11104185954793948</v>
      </c>
    </row>
    <row r="989" spans="16:23" x14ac:dyDescent="0.3">
      <c r="P989" s="26">
        <v>0.15933666454352868</v>
      </c>
      <c r="Q989" s="26">
        <v>0.30056721948522103</v>
      </c>
      <c r="R989" s="26">
        <v>0.309239896272619</v>
      </c>
      <c r="S989" s="26">
        <v>0.23085621969863143</v>
      </c>
      <c r="T989" s="26"/>
      <c r="U989" s="9">
        <f t="array" ref="U989">MMULT(TRANSPOSE($B$3:$B$6),TRANSPOSE(P989:S989))</f>
        <v>8.4540875619513386E-2</v>
      </c>
      <c r="V989" s="26"/>
      <c r="W989" s="9">
        <f t="array" ref="W989">SQRT(MMULT(MMULT(P989:S989,$K$3:$N$6),TRANSPOSE(P989:S989)))</f>
        <v>0.1312527567082733</v>
      </c>
    </row>
    <row r="990" spans="16:23" x14ac:dyDescent="0.3">
      <c r="P990" s="26">
        <v>0.16552575240196085</v>
      </c>
      <c r="Q990" s="26">
        <v>0.18788750286965936</v>
      </c>
      <c r="R990" s="26">
        <v>0.48926024046385158</v>
      </c>
      <c r="S990" s="26">
        <v>0.1573265042645281</v>
      </c>
      <c r="T990" s="26"/>
      <c r="U990" s="9">
        <f t="array" ref="U990">MMULT(TRANSPOSE($B$3:$B$6),TRANSPOSE(P990:S990))</f>
        <v>8.4341014974464196E-2</v>
      </c>
      <c r="V990" s="26"/>
      <c r="W990" s="9">
        <f t="array" ref="W990">SQRT(MMULT(MMULT(P990:S990,$K$3:$N$6),TRANSPOSE(P990:S990)))</f>
        <v>0.13811245067825889</v>
      </c>
    </row>
    <row r="991" spans="16:23" x14ac:dyDescent="0.3">
      <c r="P991" s="26">
        <v>2.8887634607950904E-2</v>
      </c>
      <c r="Q991" s="26">
        <v>0.28307005868051527</v>
      </c>
      <c r="R991" s="26">
        <v>0.30387406479465118</v>
      </c>
      <c r="S991" s="26">
        <v>0.38416824191688265</v>
      </c>
      <c r="T991" s="26"/>
      <c r="U991" s="9">
        <f t="array" ref="U991">MMULT(TRANSPOSE($B$3:$B$6),TRANSPOSE(P991:S991))</f>
        <v>9.4708140699578142E-2</v>
      </c>
      <c r="V991" s="26"/>
      <c r="W991" s="9">
        <f t="array" ref="W991">SQRT(MMULT(MMULT(P991:S991,$K$3:$N$6),TRANSPOSE(P991:S991)))</f>
        <v>0.16442461961493507</v>
      </c>
    </row>
    <row r="992" spans="16:23" x14ac:dyDescent="0.3">
      <c r="P992" s="26">
        <v>0.31263614160927644</v>
      </c>
      <c r="Q992" s="26">
        <v>2.5647659970908388E-2</v>
      </c>
      <c r="R992" s="26">
        <v>0.38950340578231474</v>
      </c>
      <c r="S992" s="26">
        <v>0.27221279263750031</v>
      </c>
      <c r="T992" s="26"/>
      <c r="U992" s="9">
        <f t="array" ref="U992">MMULT(TRANSPOSE($B$3:$B$6),TRANSPOSE(P992:S992))</f>
        <v>8.5147984915335762E-2</v>
      </c>
      <c r="V992" s="26"/>
      <c r="W992" s="9">
        <f t="array" ref="W992">SQRT(MMULT(MMULT(P992:S992,$K$3:$N$6),TRANSPOSE(P992:S992)))</f>
        <v>0.14089787714417132</v>
      </c>
    </row>
    <row r="993" spans="16:23" x14ac:dyDescent="0.3">
      <c r="P993" s="26">
        <v>0.54441905808060498</v>
      </c>
      <c r="Q993" s="26">
        <v>0.19790756515055113</v>
      </c>
      <c r="R993" s="26">
        <v>0.10870752871508821</v>
      </c>
      <c r="S993" s="26">
        <v>0.14896584805375587</v>
      </c>
      <c r="T993" s="26"/>
      <c r="U993" s="9">
        <f t="array" ref="U993">MMULT(TRANSPOSE($B$3:$B$6),TRANSPOSE(P993:S993))</f>
        <v>6.8734061815377473E-2</v>
      </c>
      <c r="V993" s="26"/>
      <c r="W993" s="9">
        <f t="array" ref="W993">SQRT(MMULT(MMULT(P993:S993,$K$3:$N$6),TRANSPOSE(P993:S993)))</f>
        <v>9.4188301760221763E-2</v>
      </c>
    </row>
    <row r="994" spans="16:23" x14ac:dyDescent="0.3">
      <c r="P994" s="26">
        <v>0.26297862076956602</v>
      </c>
      <c r="Q994" s="26">
        <v>0.15276933502582254</v>
      </c>
      <c r="R994" s="26">
        <v>0.22452643946143042</v>
      </c>
      <c r="S994" s="26">
        <v>0.35972560474318099</v>
      </c>
      <c r="T994" s="26"/>
      <c r="U994" s="9">
        <f t="array" ref="U994">MMULT(TRANSPOSE($B$3:$B$6),TRANSPOSE(P994:S994))</f>
        <v>8.721723661099634E-2</v>
      </c>
      <c r="V994" s="26"/>
      <c r="W994" s="9">
        <f t="array" ref="W994">SQRT(MMULT(MMULT(P994:S994,$K$3:$N$6),TRANSPOSE(P994:S994)))</f>
        <v>0.1436290570301825</v>
      </c>
    </row>
    <row r="995" spans="16:23" x14ac:dyDescent="0.3">
      <c r="P995" s="26">
        <v>0.3090739955246678</v>
      </c>
      <c r="Q995" s="26">
        <v>0.28959099177408526</v>
      </c>
      <c r="R995" s="26">
        <v>0.33524299011610792</v>
      </c>
      <c r="S995" s="26">
        <v>6.609202258513909E-2</v>
      </c>
      <c r="T995" s="26"/>
      <c r="U995" s="9">
        <f t="array" ref="U995">MMULT(TRANSPOSE($B$3:$B$6),TRANSPOSE(P995:S995))</f>
        <v>7.3827981021085759E-2</v>
      </c>
      <c r="V995" s="26"/>
      <c r="W995" s="9">
        <f t="array" ref="W995">SQRT(MMULT(MMULT(P995:S995,$K$3:$N$6),TRANSPOSE(P995:S995)))</f>
        <v>0.10829077350801265</v>
      </c>
    </row>
    <row r="996" spans="16:23" x14ac:dyDescent="0.3">
      <c r="P996" s="26">
        <v>0.36114917518573841</v>
      </c>
      <c r="Q996" s="26">
        <v>0.38079187594427305</v>
      </c>
      <c r="R996" s="26">
        <v>4.449563880572467E-4</v>
      </c>
      <c r="S996" s="26">
        <v>0.25761399248193129</v>
      </c>
      <c r="T996" s="26"/>
      <c r="U996" s="9">
        <f t="array" ref="U996">MMULT(TRANSPOSE($B$3:$B$6),TRANSPOSE(P996:S996))</f>
        <v>7.5666615248142943E-2</v>
      </c>
      <c r="V996" s="26"/>
      <c r="W996" s="9">
        <f t="array" ref="W996">SQRT(MMULT(MMULT(P996:S996,$K$3:$N$6),TRANSPOSE(P996:S996)))</f>
        <v>0.11196434892870324</v>
      </c>
    </row>
    <row r="997" spans="16:23" x14ac:dyDescent="0.3">
      <c r="P997" s="26">
        <v>0.25022933427758826</v>
      </c>
      <c r="Q997" s="26">
        <v>0.32293790097293323</v>
      </c>
      <c r="R997" s="26">
        <v>0.11499942996215515</v>
      </c>
      <c r="S997" s="26">
        <v>0.31183333478732322</v>
      </c>
      <c r="T997" s="26"/>
      <c r="U997" s="9">
        <f t="array" ref="U997">MMULT(TRANSPOSE($B$3:$B$6),TRANSPOSE(P997:S997))</f>
        <v>8.2887068653057491E-2</v>
      </c>
      <c r="V997" s="26"/>
      <c r="W997" s="9">
        <f t="array" ref="W997">SQRT(MMULT(MMULT(P997:S997,$K$3:$N$6),TRANSPOSE(P997:S997)))</f>
        <v>0.12799767589619895</v>
      </c>
    </row>
    <row r="998" spans="16:23" x14ac:dyDescent="0.3">
      <c r="P998" s="26">
        <v>0.18734160883937928</v>
      </c>
      <c r="Q998" s="26">
        <v>7.8460592356969588E-2</v>
      </c>
      <c r="R998" s="26">
        <v>0.24820796181988056</v>
      </c>
      <c r="S998" s="26">
        <v>0.48598983698377052</v>
      </c>
      <c r="T998" s="26"/>
      <c r="U998" s="9">
        <f t="array" ref="U998">MMULT(TRANSPOSE($B$3:$B$6),TRANSPOSE(P998:S998))</f>
        <v>9.551681890879854E-2</v>
      </c>
      <c r="V998" s="26"/>
      <c r="W998" s="9">
        <f t="array" ref="W998">SQRT(MMULT(MMULT(P998:S998,$K$3:$N$6),TRANSPOSE(P998:S998)))</f>
        <v>0.17675306232455654</v>
      </c>
    </row>
    <row r="999" spans="16:23" x14ac:dyDescent="0.3">
      <c r="P999" s="26">
        <v>0.1874012624126748</v>
      </c>
      <c r="Q999" s="26">
        <v>0.37259683796898024</v>
      </c>
      <c r="R999" s="26">
        <v>0.17085515997157441</v>
      </c>
      <c r="S999" s="26">
        <v>0.26914673964677055</v>
      </c>
      <c r="T999" s="26"/>
      <c r="U999" s="9">
        <f t="array" ref="U999">MMULT(TRANSPOSE($B$3:$B$6),TRANSPOSE(P999:S999))</f>
        <v>8.3126414933516524E-2</v>
      </c>
      <c r="V999" s="26"/>
      <c r="W999" s="9">
        <f t="array" ref="W999">SQRT(MMULT(MMULT(P999:S999,$K$3:$N$6),TRANSPOSE(P999:S999)))</f>
        <v>0.12694937475668891</v>
      </c>
    </row>
    <row r="1000" spans="16:23" x14ac:dyDescent="0.3">
      <c r="P1000" s="26">
        <v>0.26617424455526262</v>
      </c>
      <c r="Q1000" s="26">
        <v>0.26826283430638787</v>
      </c>
      <c r="R1000" s="26">
        <v>1.3552302321917091E-2</v>
      </c>
      <c r="S1000" s="26">
        <v>0.45201061881643245</v>
      </c>
      <c r="T1000" s="26"/>
      <c r="U1000" s="9">
        <f t="array" ref="U1000">MMULT(TRANSPOSE($B$3:$B$6),TRANSPOSE(P1000:S1000))</f>
        <v>8.7548092096154717E-2</v>
      </c>
      <c r="V1000" s="26"/>
      <c r="W1000" s="9">
        <f t="array" ref="W1000">SQRT(MMULT(MMULT(P1000:S1000,$K$3:$N$6),TRANSPOSE(P1000:S1000)))</f>
        <v>0.15158451074127624</v>
      </c>
    </row>
    <row r="1001" spans="16:23" x14ac:dyDescent="0.3">
      <c r="P1001" s="26">
        <v>0.27319506204144878</v>
      </c>
      <c r="Q1001" s="26">
        <v>0.18321574945306746</v>
      </c>
      <c r="R1001" s="26">
        <v>0.32387694491811531</v>
      </c>
      <c r="S1001" s="26">
        <v>0.21971224358736846</v>
      </c>
      <c r="T1001" s="26"/>
      <c r="U1001" s="9">
        <f t="array" ref="U1001">MMULT(TRANSPOSE($B$3:$B$6),TRANSPOSE(P1001:S1001))</f>
        <v>8.1999249836901753E-2</v>
      </c>
      <c r="V1001" s="26"/>
      <c r="W1001" s="9">
        <f t="array" ref="W1001">SQRT(MMULT(MMULT(P1001:S1001,$K$3:$N$6),TRANSPOSE(P1001:S1001)))</f>
        <v>0.1253893464626942</v>
      </c>
    </row>
    <row r="1002" spans="16:23" x14ac:dyDescent="0.3">
      <c r="P1002" s="26">
        <v>0.13977391864832842</v>
      </c>
      <c r="Q1002" s="26">
        <v>0.32978426985118792</v>
      </c>
      <c r="R1002" s="26">
        <v>0.14549947219261333</v>
      </c>
      <c r="S1002" s="26">
        <v>0.38494233930787042</v>
      </c>
      <c r="T1002" s="26"/>
      <c r="U1002" s="9">
        <f t="array" ref="U1002">MMULT(TRANSPOSE($B$3:$B$6),TRANSPOSE(P1002:S1002))</f>
        <v>8.9361628036279228E-2</v>
      </c>
      <c r="V1002" s="26"/>
      <c r="W1002" s="9">
        <f t="array" ref="W1002">SQRT(MMULT(MMULT(P1002:S1002,$K$3:$N$6),TRANSPOSE(P1002:S1002)))</f>
        <v>0.14845695752799434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4FAD8-5729-43E5-8624-35AA74F53575}">
  <sheetPr codeName="Sheet6"/>
  <dimension ref="A1:AL1005"/>
  <sheetViews>
    <sheetView topLeftCell="B1" zoomScale="85" zoomScaleNormal="85" workbookViewId="0">
      <selection activeCell="K14" sqref="K14"/>
    </sheetView>
  </sheetViews>
  <sheetFormatPr defaultRowHeight="14.4" x14ac:dyDescent="0.3"/>
  <cols>
    <col min="1" max="1" width="8.88671875" style="6"/>
    <col min="16" max="19" width="10.77734375" style="9" bestFit="1" customWidth="1"/>
    <col min="20" max="24" width="8.88671875" style="9"/>
    <col min="25" max="25" width="7.21875" style="31" bestFit="1" customWidth="1"/>
    <col min="26" max="26" width="3.44140625" style="31" customWidth="1"/>
    <col min="28" max="29" width="8.88671875" style="26"/>
    <col min="31" max="31" width="4.33203125" customWidth="1"/>
    <col min="37" max="37" width="12.44140625" bestFit="1" customWidth="1"/>
  </cols>
  <sheetData>
    <row r="1" spans="1:38" s="2" customFormat="1" x14ac:dyDescent="0.3">
      <c r="A1" s="1"/>
      <c r="B1" s="2" t="s">
        <v>57</v>
      </c>
      <c r="F1" s="2" t="s">
        <v>47</v>
      </c>
      <c r="K1" s="2" t="s">
        <v>48</v>
      </c>
      <c r="P1" s="44" t="s">
        <v>49</v>
      </c>
      <c r="Q1" s="44"/>
      <c r="R1" s="44"/>
      <c r="S1" s="44"/>
      <c r="T1" s="44"/>
      <c r="U1" s="44" t="s">
        <v>50</v>
      </c>
      <c r="V1" s="44"/>
      <c r="W1" s="44" t="s">
        <v>51</v>
      </c>
      <c r="X1" s="44"/>
      <c r="Y1" s="53" t="s">
        <v>61</v>
      </c>
      <c r="Z1" s="53"/>
      <c r="AB1" s="37" t="s">
        <v>62</v>
      </c>
      <c r="AC1" s="42"/>
      <c r="AF1" s="2" t="s">
        <v>63</v>
      </c>
    </row>
    <row r="2" spans="1:38" s="2" customFormat="1" x14ac:dyDescent="0.3">
      <c r="A2" s="1" t="s">
        <v>40</v>
      </c>
      <c r="B2" s="2" t="s">
        <v>56</v>
      </c>
      <c r="C2" s="41" t="s">
        <v>46</v>
      </c>
      <c r="D2" s="41" t="s">
        <v>61</v>
      </c>
      <c r="F2" s="1" t="s">
        <v>53</v>
      </c>
      <c r="G2" s="1" t="s">
        <v>54</v>
      </c>
      <c r="H2" s="1" t="s">
        <v>55</v>
      </c>
      <c r="I2" s="1" t="s">
        <v>7</v>
      </c>
      <c r="J2" s="1"/>
      <c r="K2" s="1" t="s">
        <v>53</v>
      </c>
      <c r="L2" s="1" t="s">
        <v>54</v>
      </c>
      <c r="M2" s="1" t="s">
        <v>55</v>
      </c>
      <c r="N2" s="1" t="s">
        <v>7</v>
      </c>
      <c r="P2" s="46" t="s">
        <v>53</v>
      </c>
      <c r="Q2" s="46" t="s">
        <v>54</v>
      </c>
      <c r="R2" s="46" t="s">
        <v>55</v>
      </c>
      <c r="S2" s="46" t="s">
        <v>7</v>
      </c>
      <c r="T2" s="44"/>
      <c r="U2" s="44"/>
      <c r="V2" s="44"/>
      <c r="W2" s="44"/>
      <c r="X2" s="44"/>
      <c r="Y2" s="53"/>
      <c r="Z2" s="53"/>
      <c r="AB2" s="42"/>
      <c r="AC2" s="42"/>
    </row>
    <row r="3" spans="1:38" x14ac:dyDescent="0.3">
      <c r="A3" s="43" t="s">
        <v>9</v>
      </c>
      <c r="B3" s="9">
        <v>5.04697411694357E-2</v>
      </c>
      <c r="C3" s="9">
        <f>SQRT(K3)</f>
        <v>6.9999999999999993E-2</v>
      </c>
      <c r="D3" s="31">
        <f>B3/C3</f>
        <v>0.72099630242051005</v>
      </c>
      <c r="F3" s="31"/>
      <c r="G3" s="31"/>
      <c r="H3" s="31"/>
      <c r="I3" s="31"/>
      <c r="K3" s="16">
        <v>4.8999999999999998E-3</v>
      </c>
      <c r="L3" s="16">
        <v>2.1099999999999999E-3</v>
      </c>
      <c r="M3" s="16">
        <v>3.8419999999999999E-3</v>
      </c>
      <c r="N3" s="16">
        <v>2.8500000000000001E-3</v>
      </c>
      <c r="P3" s="9">
        <v>0.15037196562408348</v>
      </c>
      <c r="Q3" s="9">
        <v>0.63689721873389737</v>
      </c>
      <c r="R3" s="9">
        <v>0.19846571257171428</v>
      </c>
      <c r="S3" s="9">
        <v>1.4265103070304883E-2</v>
      </c>
      <c r="U3" s="9">
        <f t="array" ref="U3">MMULT(TRANSPOSE($B$3:$B$6),TRANSPOSE(P3:S3))</f>
        <v>0.10602014058785428</v>
      </c>
      <c r="V3" s="9">
        <f>INT(200*U3)/200</f>
        <v>0.105</v>
      </c>
      <c r="W3" s="9">
        <f t="array" ref="W3">SQRT(MMULT(MMULT(P3:S3,$K$3:$N$6),TRANSPOSE(P3:S3)))</f>
        <v>7.487849216093187E-2</v>
      </c>
      <c r="Y3" s="31">
        <f>U3/W3</f>
        <v>1.4158957736487472</v>
      </c>
    </row>
    <row r="4" spans="1:38" x14ac:dyDescent="0.3">
      <c r="A4" s="43" t="s">
        <v>15</v>
      </c>
      <c r="B4" s="9">
        <v>0.12353320047005689</v>
      </c>
      <c r="C4" s="9">
        <f>SQRT(L4)</f>
        <v>8.7549985722443158E-2</v>
      </c>
      <c r="D4" s="31">
        <f t="shared" ref="D4:D6" si="0">B4/C4</f>
        <v>1.4110019487803247</v>
      </c>
      <c r="F4" s="31"/>
      <c r="G4" s="31"/>
      <c r="H4" s="31"/>
      <c r="I4" s="31"/>
      <c r="K4" s="16">
        <v>2.1099999999999999E-3</v>
      </c>
      <c r="L4" s="16">
        <v>7.6649999999999999E-3</v>
      </c>
      <c r="M4" s="16">
        <v>2.8479999999999998E-3</v>
      </c>
      <c r="N4" s="16">
        <v>7.7380000000000001E-3</v>
      </c>
      <c r="P4" s="9">
        <v>0.28525468993395897</v>
      </c>
      <c r="Q4" s="9">
        <v>0.67648077068812007</v>
      </c>
      <c r="R4" s="9">
        <v>2.8431057225891459E-3</v>
      </c>
      <c r="S4" s="9">
        <v>3.5421433655331833E-2</v>
      </c>
      <c r="U4" s="9">
        <f t="array" ref="U4">MMULT(TRANSPOSE($B$3:$B$6),TRANSPOSE(P4:S4))</f>
        <v>0.10163733791259595</v>
      </c>
      <c r="V4" s="9">
        <f>INT(200*U4)/200</f>
        <v>0.1</v>
      </c>
      <c r="W4" s="9">
        <f t="array" ref="W4">SQRT(MMULT(MMULT(P4:S4,$K$3:$N$6),TRANSPOSE(P4:S4)))</f>
        <v>7.2109506463761505E-2</v>
      </c>
      <c r="Y4" s="31">
        <f>U4/W4</f>
        <v>1.4094859734433711</v>
      </c>
    </row>
    <row r="5" spans="1:38" x14ac:dyDescent="0.3">
      <c r="A5" s="43" t="s">
        <v>17</v>
      </c>
      <c r="B5" s="9">
        <v>9.2609819612241351E-2</v>
      </c>
      <c r="C5" s="9">
        <f>SQRT(M5)</f>
        <v>0.14348170615099334</v>
      </c>
      <c r="D5" s="31">
        <f t="shared" si="0"/>
        <v>0.64544688027882224</v>
      </c>
      <c r="F5" s="31"/>
      <c r="G5" s="31"/>
      <c r="H5" s="31"/>
      <c r="I5" s="31"/>
      <c r="K5" s="16">
        <v>3.8419999999999999E-3</v>
      </c>
      <c r="L5" s="16">
        <v>2.8479999999999998E-3</v>
      </c>
      <c r="M5" s="16">
        <v>2.0587000000000001E-2</v>
      </c>
      <c r="N5" s="16">
        <v>1.1403E-2</v>
      </c>
      <c r="P5" s="9">
        <v>0.34529088631163818</v>
      </c>
      <c r="Q5" s="9">
        <v>0.5943539292104143</v>
      </c>
      <c r="R5" s="9">
        <v>3.8732053334130524E-2</v>
      </c>
      <c r="S5" s="9">
        <v>2.1623131143816966E-2</v>
      </c>
      <c r="U5" s="9">
        <f t="array" ref="U5">MMULT(TRANSPOSE($B$3:$B$6),TRANSPOSE(P5:S5))</f>
        <v>9.651747750164856E-2</v>
      </c>
      <c r="V5" s="9">
        <f>INT(200*U5)/200</f>
        <v>9.5000000000000001E-2</v>
      </c>
      <c r="W5" s="9">
        <f t="array" ref="W5">SQRT(MMULT(MMULT(P5:S5,$K$3:$N$6),TRANSPOSE(P5:S5)))</f>
        <v>6.85188165507985E-2</v>
      </c>
      <c r="Y5" s="31">
        <f>U5/W5</f>
        <v>1.4086273283790942</v>
      </c>
    </row>
    <row r="6" spans="1:38" x14ac:dyDescent="0.3">
      <c r="A6" s="43" t="s">
        <v>7</v>
      </c>
      <c r="B6" s="9">
        <v>9.6254527972403636E-2</v>
      </c>
      <c r="C6" s="9">
        <f>SQRT(N6)</f>
        <v>0.15706686474237652</v>
      </c>
      <c r="D6" s="31">
        <f t="shared" si="0"/>
        <v>0.61282516926967245</v>
      </c>
      <c r="F6" s="31"/>
      <c r="G6" s="31"/>
      <c r="H6" s="31"/>
      <c r="I6" s="31"/>
      <c r="K6" s="16">
        <v>2.8500000000000001E-3</v>
      </c>
      <c r="L6" s="16">
        <v>7.7380000000000001E-3</v>
      </c>
      <c r="M6" s="16">
        <v>1.1403E-2</v>
      </c>
      <c r="N6" s="16">
        <v>2.4670000000000001E-2</v>
      </c>
      <c r="P6" s="9">
        <v>0.17268483292204984</v>
      </c>
      <c r="Q6" s="9">
        <v>0.63275259150148078</v>
      </c>
      <c r="R6" s="9">
        <v>0.13877038191577459</v>
      </c>
      <c r="S6" s="9">
        <v>5.5792193660694822E-2</v>
      </c>
      <c r="U6" s="9">
        <f t="array" ref="U6">MMULT(TRANSPOSE($B$3:$B$6),TRANSPOSE(P6:S6))</f>
        <v>0.10510306285746036</v>
      </c>
      <c r="V6" s="9">
        <f>INT(200*U6)/200</f>
        <v>0.105</v>
      </c>
      <c r="W6" s="9">
        <f t="array" ref="W6">SQRT(MMULT(MMULT(P6:S6,$K$3:$N$6),TRANSPOSE(P6:S6)))</f>
        <v>7.4909698366106989E-2</v>
      </c>
      <c r="Y6" s="31">
        <f>U6/W6</f>
        <v>1.4030634904413712</v>
      </c>
    </row>
    <row r="7" spans="1:38" x14ac:dyDescent="0.3">
      <c r="P7" s="9">
        <v>0.25054865647111263</v>
      </c>
      <c r="Q7" s="9">
        <v>0.60343413027361026</v>
      </c>
      <c r="R7" s="9">
        <v>7.6947793161259007E-2</v>
      </c>
      <c r="S7" s="9">
        <v>6.9069420094018161E-2</v>
      </c>
      <c r="U7" s="9">
        <f t="array" ref="U7">MMULT(TRANSPOSE($B$3:$B$6),TRANSPOSE(P7:S7))</f>
        <v>0.10096364090071286</v>
      </c>
      <c r="V7" s="9">
        <f>INT(200*U7)/200</f>
        <v>0.1</v>
      </c>
      <c r="W7" s="9">
        <f t="array" ref="W7">SQRT(MMULT(MMULT(P7:S7,$K$3:$N$6),TRANSPOSE(P7:S7)))</f>
        <v>7.2482903461917825E-2</v>
      </c>
      <c r="Y7" s="31">
        <f>U7/W7</f>
        <v>1.3929304163947942</v>
      </c>
      <c r="AK7">
        <f>COMBIN(100,10)</f>
        <v>17310309456440.006</v>
      </c>
      <c r="AL7">
        <f>5^5</f>
        <v>3125</v>
      </c>
    </row>
    <row r="8" spans="1:38" x14ac:dyDescent="0.3">
      <c r="P8" s="9">
        <v>0.3838247483180961</v>
      </c>
      <c r="Q8" s="9">
        <v>0.53009469958065314</v>
      </c>
      <c r="R8" s="9">
        <v>6.7484511392000734E-2</v>
      </c>
      <c r="S8" s="9">
        <v>1.8596040709250077E-2</v>
      </c>
      <c r="U8" s="9">
        <f t="array" ref="U8">MMULT(TRANSPOSE($B$3:$B$6),TRANSPOSE(P8:S8))</f>
        <v>9.2895512040707423E-2</v>
      </c>
      <c r="V8" s="9">
        <f>INT(200*U8)/200</f>
        <v>0.09</v>
      </c>
      <c r="W8" s="9">
        <f t="array" ref="W8">SQRT(MMULT(MMULT(P8:S8,$K$3:$N$6),TRANSPOSE(P8:S8)))</f>
        <v>6.6793002427279022E-2</v>
      </c>
      <c r="Y8" s="31">
        <f>U8/W8</f>
        <v>1.3907970695260712</v>
      </c>
    </row>
    <row r="9" spans="1:38" x14ac:dyDescent="0.3">
      <c r="P9" s="9">
        <v>0.32276708322059705</v>
      </c>
      <c r="Q9" s="9">
        <v>0.51517396334122034</v>
      </c>
      <c r="R9" s="9">
        <v>0.16073240973507785</v>
      </c>
      <c r="S9" s="9">
        <v>1.3265437031047829E-3</v>
      </c>
      <c r="U9" s="9">
        <f t="array" ref="U9">MMULT(TRANSPOSE($B$3:$B$6),TRANSPOSE(P9:S9))</f>
        <v>9.494414494792551E-2</v>
      </c>
      <c r="V9" s="9">
        <f>INT(200*U9)/200</f>
        <v>0.09</v>
      </c>
      <c r="W9" s="9">
        <f t="array" ref="W9">SQRT(MMULT(MMULT(P9:S9,$K$3:$N$6),TRANSPOSE(P9:S9)))</f>
        <v>6.8312433646639636E-2</v>
      </c>
      <c r="Y9" s="31">
        <f>U9/W9</f>
        <v>1.3898515962561657</v>
      </c>
    </row>
    <row r="10" spans="1:38" x14ac:dyDescent="0.3">
      <c r="P10" s="9">
        <v>9.5499588358516116E-2</v>
      </c>
      <c r="Q10" s="9">
        <v>0.78643801831865445</v>
      </c>
      <c r="R10" s="9">
        <v>2.7657750003402561E-2</v>
      </c>
      <c r="S10" s="9">
        <v>9.0404643319426797E-2</v>
      </c>
      <c r="U10" s="9">
        <f t="array" ref="U10">MMULT(TRANSPOSE($B$3:$B$6),TRANSPOSE(P10:S10))</f>
        <v>0.1132342803883951</v>
      </c>
      <c r="V10" s="9">
        <f>INT(200*U10)/200</f>
        <v>0.11</v>
      </c>
      <c r="W10" s="9">
        <f t="array" ref="W10">SQRT(MMULT(MMULT(P10:S10,$K$3:$N$6),TRANSPOSE(P10:S10)))</f>
        <v>8.1672664835351724E-2</v>
      </c>
      <c r="Y10" s="31">
        <f>U10/W10</f>
        <v>1.3864403790015927</v>
      </c>
    </row>
    <row r="11" spans="1:38" x14ac:dyDescent="0.3">
      <c r="P11" s="9">
        <v>0.11018476289889395</v>
      </c>
      <c r="Q11" s="9">
        <v>0.77652330669168479</v>
      </c>
      <c r="R11" s="9">
        <v>1.4246716389759925E-2</v>
      </c>
      <c r="S11" s="9">
        <v>9.9045214019661182E-2</v>
      </c>
      <c r="U11" s="9">
        <f t="array" ref="U11">MMULT(TRANSPOSE($B$3:$B$6),TRANSPOSE(P11:S11))</f>
        <v>0.11234034193784879</v>
      </c>
      <c r="V11" s="9">
        <f>INT(200*U11)/200</f>
        <v>0.11</v>
      </c>
      <c r="W11" s="9">
        <f t="array" ref="W11">SQRT(MMULT(MMULT(P11:S11,$K$3:$N$6),TRANSPOSE(P11:S11)))</f>
        <v>8.1537658437613708E-2</v>
      </c>
      <c r="Y11" s="31">
        <f>U11/W11</f>
        <v>1.3777724807219343</v>
      </c>
    </row>
    <row r="12" spans="1:38" x14ac:dyDescent="0.3">
      <c r="P12" s="9">
        <v>0.29268955441502065</v>
      </c>
      <c r="Q12" s="9">
        <v>0.52573228490034185</v>
      </c>
      <c r="R12" s="9">
        <v>0.12457507470370573</v>
      </c>
      <c r="S12" s="9">
        <v>5.7003085980931914E-2</v>
      </c>
      <c r="U12" s="9">
        <f t="array" ref="U12">MMULT(TRANSPOSE($B$3:$B$6),TRANSPOSE(P12:S12))</f>
        <v>9.6741038129055157E-2</v>
      </c>
      <c r="V12" s="9">
        <f>INT(200*U12)/200</f>
        <v>9.5000000000000001E-2</v>
      </c>
      <c r="W12" s="9">
        <f t="array" ref="W12">SQRT(MMULT(MMULT(P12:S12,$K$3:$N$6),TRANSPOSE(P12:S12)))</f>
        <v>7.0437219445973087E-2</v>
      </c>
      <c r="Y12" s="31">
        <f>U12/W12</f>
        <v>1.3734363577945845</v>
      </c>
      <c r="AA12" s="46" t="s">
        <v>53</v>
      </c>
      <c r="AB12" s="46" t="s">
        <v>54</v>
      </c>
      <c r="AC12" s="46" t="s">
        <v>55</v>
      </c>
      <c r="AD12" s="46" t="s">
        <v>7</v>
      </c>
      <c r="AE12" s="46"/>
      <c r="AF12" s="46" t="s">
        <v>53</v>
      </c>
      <c r="AG12" s="46" t="s">
        <v>54</v>
      </c>
      <c r="AH12" s="46" t="s">
        <v>55</v>
      </c>
      <c r="AI12" s="46" t="s">
        <v>7</v>
      </c>
    </row>
    <row r="13" spans="1:38" x14ac:dyDescent="0.3">
      <c r="P13" s="9">
        <v>0.41386162227793388</v>
      </c>
      <c r="Q13" s="9">
        <v>0.48199889749410418</v>
      </c>
      <c r="R13" s="9">
        <v>9.0506708171758057E-2</v>
      </c>
      <c r="S13" s="9">
        <v>1.3632772056203866E-2</v>
      </c>
      <c r="U13" s="9">
        <f t="array" ref="U13">MMULT(TRANSPOSE($B$3:$B$6),TRANSPOSE(P13:S13))</f>
        <v>9.0124381343525239E-2</v>
      </c>
      <c r="V13" s="9">
        <f>INT(200*U13)/200</f>
        <v>0.09</v>
      </c>
      <c r="W13" s="9">
        <f t="array" ref="W13">SQRT(MMULT(MMULT(P13:S13,$K$3:$N$6),TRANSPOSE(P13:S13)))</f>
        <v>6.5828280533267183E-2</v>
      </c>
      <c r="Y13" s="31">
        <f>U13/W13</f>
        <v>1.3690830234883578</v>
      </c>
      <c r="AA13" s="9">
        <f>AVERAGE(P3:P23)</f>
        <v>0.26301304767081202</v>
      </c>
      <c r="AB13" s="9">
        <f t="shared" ref="AB13:AD13" si="1">AVERAGE(Q3:Q23)</f>
        <v>0.57914717837982332</v>
      </c>
      <c r="AC13" s="9">
        <f t="shared" si="1"/>
        <v>9.8971955346848245E-2</v>
      </c>
      <c r="AD13" s="9">
        <f t="shared" si="1"/>
        <v>5.8867818602516581E-2</v>
      </c>
      <c r="AE13" s="9"/>
      <c r="AF13" s="9">
        <f>STDEV(P3:P23)/AA13</f>
        <v>0.47419409735309931</v>
      </c>
      <c r="AG13" s="9">
        <f t="shared" ref="AG13:AI13" si="2">STDEV(Q3:Q23)/AB13</f>
        <v>0.16751486238900412</v>
      </c>
      <c r="AH13" s="9">
        <f t="shared" si="2"/>
        <v>0.67252601500980602</v>
      </c>
      <c r="AI13" s="9">
        <f t="shared" si="2"/>
        <v>0.67946945461269048</v>
      </c>
    </row>
    <row r="14" spans="1:38" x14ac:dyDescent="0.3">
      <c r="P14" s="9">
        <v>7.9752350014602111E-2</v>
      </c>
      <c r="Q14" s="9">
        <v>0.69629138055875839</v>
      </c>
      <c r="R14" s="9">
        <v>0.1122595128247878</v>
      </c>
      <c r="S14" s="9">
        <v>0.11169675660185166</v>
      </c>
      <c r="U14" s="9">
        <f t="array" ref="U14">MMULT(TRANSPOSE($B$3:$B$6),TRANSPOSE(P14:S14))</f>
        <v>0.11118783497825038</v>
      </c>
      <c r="V14" s="9">
        <f>INT(200*U14)/200</f>
        <v>0.11</v>
      </c>
      <c r="W14" s="9">
        <f t="array" ref="W14">SQRT(MMULT(MMULT(P14:S14,$K$3:$N$6),TRANSPOSE(P14:S14)))</f>
        <v>8.1260574191483678E-2</v>
      </c>
      <c r="Y14" s="31">
        <f>U14/W14</f>
        <v>1.3682875869944708</v>
      </c>
      <c r="AA14" s="9">
        <f t="shared" ref="AA14:AA77" si="3">AVERAGE(P4:P24)</f>
        <v>0.26607024319235317</v>
      </c>
      <c r="AB14" s="9">
        <f t="shared" ref="AB14:AB77" si="4">AVERAGE(Q4:Q24)</f>
        <v>0.57345574213223349</v>
      </c>
      <c r="AC14" s="9">
        <f t="shared" ref="AC14:AC77" si="5">AVERAGE(R4:R24)</f>
        <v>9.8422860956228361E-2</v>
      </c>
      <c r="AD14" s="9">
        <f t="shared" ref="AD14:AD77" si="6">AVERAGE(S4:S24)</f>
        <v>6.2051153719185091E-2</v>
      </c>
      <c r="AE14" s="9"/>
      <c r="AF14" s="9">
        <f t="shared" ref="AF14:AF77" si="7">STDEV(P4:P24)/AA14</f>
        <v>0.46073818717713139</v>
      </c>
      <c r="AG14" s="9">
        <f t="shared" ref="AG14:AG77" si="8">STDEV(Q4:Q24)/AB14</f>
        <v>0.1690876256805241</v>
      </c>
      <c r="AH14" s="9">
        <f t="shared" ref="AH14:AH77" si="9">STDEV(R4:R24)/AC14</f>
        <v>0.66795382011279325</v>
      </c>
      <c r="AI14" s="9">
        <f t="shared" ref="AI14:AI77" si="10">STDEV(S4:S24)/AD14</f>
        <v>0.62717912000395892</v>
      </c>
    </row>
    <row r="15" spans="1:38" x14ac:dyDescent="0.3">
      <c r="P15" s="9">
        <v>9.4357919035092816E-2</v>
      </c>
      <c r="Q15" s="9">
        <v>0.5986729567730672</v>
      </c>
      <c r="R15" s="9">
        <v>0.25530007983687802</v>
      </c>
      <c r="S15" s="9">
        <v>5.1669044354962022E-2</v>
      </c>
      <c r="U15" s="9">
        <f t="array" ref="U15">MMULT(TRANSPOSE($B$3:$B$6),TRANSPOSE(P15:S15))</f>
        <v>0.10733487995189285</v>
      </c>
      <c r="V15" s="9">
        <f>INT(200*U15)/200</f>
        <v>0.105</v>
      </c>
      <c r="W15" s="9">
        <f t="array" ref="W15">SQRT(MMULT(MMULT(P15:S15,$K$3:$N$6),TRANSPOSE(P15:S15)))</f>
        <v>7.9372127439206144E-2</v>
      </c>
      <c r="Y15" s="31">
        <f>U15/W15</f>
        <v>1.3522993954534523</v>
      </c>
      <c r="AA15" s="9">
        <f t="shared" si="3"/>
        <v>0.25259198852537335</v>
      </c>
      <c r="AB15" s="9">
        <f t="shared" si="4"/>
        <v>0.57530602712185119</v>
      </c>
      <c r="AC15" s="9">
        <f t="shared" si="5"/>
        <v>0.10484777570074059</v>
      </c>
      <c r="AD15" s="9">
        <f t="shared" si="6"/>
        <v>6.725420865203495E-2</v>
      </c>
      <c r="AE15" s="9"/>
      <c r="AF15" s="9">
        <f t="shared" si="7"/>
        <v>0.53555619457886638</v>
      </c>
      <c r="AG15" s="9">
        <f t="shared" si="8"/>
        <v>0.17272442474943092</v>
      </c>
      <c r="AH15" s="9">
        <f t="shared" si="9"/>
        <v>0.5955701051151292</v>
      </c>
      <c r="AI15" s="9">
        <f t="shared" si="10"/>
        <v>0.62944841197859269</v>
      </c>
    </row>
    <row r="16" spans="1:38" x14ac:dyDescent="0.3">
      <c r="P16" s="9">
        <v>0.29681064011498054</v>
      </c>
      <c r="Q16" s="9">
        <v>0.48309355185317943</v>
      </c>
      <c r="R16" s="9">
        <v>0.17770078121866406</v>
      </c>
      <c r="S16" s="9">
        <v>4.239502681317589E-2</v>
      </c>
      <c r="U16" s="9">
        <f t="array" ref="U16">MMULT(TRANSPOSE($B$3:$B$6),TRANSPOSE(P16:S16))</f>
        <v>9.519559935770272E-2</v>
      </c>
      <c r="V16" s="9">
        <f>INT(200*U16)/200</f>
        <v>9.5000000000000001E-2</v>
      </c>
      <c r="W16" s="9">
        <f t="array" ref="W16">SQRT(MMULT(MMULT(P16:S16,$K$3:$N$6),TRANSPOSE(P16:S16)))</f>
        <v>7.0532301667815919E-2</v>
      </c>
      <c r="Y16" s="31">
        <f>U16/W16</f>
        <v>1.3496737963556453</v>
      </c>
      <c r="AA16" s="9">
        <f t="shared" si="3"/>
        <v>0.23856890170471734</v>
      </c>
      <c r="AB16" s="9">
        <f t="shared" si="4"/>
        <v>0.58461379252581624</v>
      </c>
      <c r="AC16" s="9">
        <f t="shared" si="5"/>
        <v>0.10320272019746976</v>
      </c>
      <c r="AD16" s="9">
        <f t="shared" si="6"/>
        <v>7.3614585571996821E-2</v>
      </c>
      <c r="AE16" s="9"/>
      <c r="AF16" s="9">
        <f t="shared" si="7"/>
        <v>0.58832269799972359</v>
      </c>
      <c r="AG16" s="9">
        <f t="shared" si="8"/>
        <v>0.18789323379884496</v>
      </c>
      <c r="AH16" s="9">
        <f t="shared" si="9"/>
        <v>0.62680336366151312</v>
      </c>
      <c r="AI16" s="9">
        <f t="shared" si="10"/>
        <v>0.61236939584571537</v>
      </c>
    </row>
    <row r="17" spans="16:35" x14ac:dyDescent="0.3">
      <c r="P17" s="9">
        <v>0.12564466746144573</v>
      </c>
      <c r="Q17" s="9">
        <v>0.63441833009912663</v>
      </c>
      <c r="R17" s="9">
        <v>0.11168490739908343</v>
      </c>
      <c r="S17" s="9">
        <v>0.12825209504034416</v>
      </c>
      <c r="U17" s="9">
        <f t="array" ref="U17">MMULT(TRANSPOSE($B$3:$B$6),TRANSPOSE(P17:S17))</f>
        <v>0.10740094459733229</v>
      </c>
      <c r="V17" s="9">
        <f>INT(200*U17)/200</f>
        <v>0.105</v>
      </c>
      <c r="W17" s="9">
        <f t="array" ref="W17">SQRT(MMULT(MMULT(P17:S17,$K$3:$N$6),TRANSPOSE(P17:S17)))</f>
        <v>7.969017285619022E-2</v>
      </c>
      <c r="Y17" s="31">
        <f>U17/W17</f>
        <v>1.347731354418684</v>
      </c>
      <c r="AA17" s="9">
        <f t="shared" si="3"/>
        <v>0.24197310069140329</v>
      </c>
      <c r="AB17" s="9">
        <f t="shared" si="4"/>
        <v>0.58070254493457429</v>
      </c>
      <c r="AC17" s="9">
        <f t="shared" si="5"/>
        <v>9.98073069397937E-2</v>
      </c>
      <c r="AD17" s="9">
        <f t="shared" si="6"/>
        <v>7.7517047434228811E-2</v>
      </c>
      <c r="AE17" s="9"/>
      <c r="AF17" s="9">
        <f t="shared" si="7"/>
        <v>0.57668487389079881</v>
      </c>
      <c r="AG17" s="9">
        <f t="shared" si="8"/>
        <v>0.18857672809688408</v>
      </c>
      <c r="AH17" s="9">
        <f t="shared" si="9"/>
        <v>0.64723541179333455</v>
      </c>
      <c r="AI17" s="9">
        <f t="shared" si="10"/>
        <v>0.6058927758766649</v>
      </c>
    </row>
    <row r="18" spans="16:35" x14ac:dyDescent="0.3">
      <c r="P18" s="9">
        <v>0.47729400005615114</v>
      </c>
      <c r="Q18" s="9">
        <v>0.47001370725780045</v>
      </c>
      <c r="R18" s="9">
        <v>3.9914957718634979E-2</v>
      </c>
      <c r="S18" s="9">
        <v>1.2777334967413475E-2</v>
      </c>
      <c r="U18" s="9">
        <f t="array" ref="U18">MMULT(TRANSPOSE($B$3:$B$6),TRANSPOSE(P18:S18))</f>
        <v>8.7077595547097764E-2</v>
      </c>
      <c r="V18" s="9">
        <f>INT(200*U18)/200</f>
        <v>8.5000000000000006E-2</v>
      </c>
      <c r="W18" s="9">
        <f t="array" ref="W18">SQRT(MMULT(MMULT(P18:S18,$K$3:$N$6),TRANSPOSE(P18:S18)))</f>
        <v>6.4696734035392889E-2</v>
      </c>
      <c r="Y18" s="31">
        <f>U18/W18</f>
        <v>1.345934950896613</v>
      </c>
      <c r="AA18" s="9">
        <f t="shared" si="3"/>
        <v>0.23130324836877209</v>
      </c>
      <c r="AB18" s="9">
        <f t="shared" si="4"/>
        <v>0.58777583946181</v>
      </c>
      <c r="AC18" s="9">
        <f t="shared" si="5"/>
        <v>9.8426955432433835E-2</v>
      </c>
      <c r="AD18" s="9">
        <f t="shared" si="6"/>
        <v>8.2493956736984272E-2</v>
      </c>
      <c r="AE18" s="9"/>
      <c r="AF18" s="9">
        <f t="shared" si="7"/>
        <v>0.63643517892818913</v>
      </c>
      <c r="AG18" s="9">
        <f t="shared" si="8"/>
        <v>0.19679672178656432</v>
      </c>
      <c r="AH18" s="9">
        <f t="shared" si="9"/>
        <v>0.66461712750575375</v>
      </c>
      <c r="AI18" s="9">
        <f t="shared" si="10"/>
        <v>0.62258197002586524</v>
      </c>
    </row>
    <row r="19" spans="16:35" x14ac:dyDescent="0.3">
      <c r="P19" s="9">
        <v>0.36501927924963118</v>
      </c>
      <c r="Q19" s="9">
        <v>0.47540793612060339</v>
      </c>
      <c r="R19" s="9">
        <v>8.42997715073633E-2</v>
      </c>
      <c r="S19" s="9">
        <v>7.5273013122402324E-2</v>
      </c>
      <c r="U19" s="9">
        <f t="array" ref="U19">MMULT(TRANSPOSE($B$3:$B$6),TRANSPOSE(P19:S19))</f>
        <v>9.2203447403232802E-2</v>
      </c>
      <c r="V19" s="9">
        <f>INT(200*U19)/200</f>
        <v>0.09</v>
      </c>
      <c r="W19" s="9">
        <f t="array" ref="W19">SQRT(MMULT(MMULT(P19:S19,$K$3:$N$6),TRANSPOSE(P19:S19)))</f>
        <v>6.8727837540451558E-2</v>
      </c>
      <c r="Y19" s="31">
        <f>U19/W19</f>
        <v>1.3415735268691389</v>
      </c>
      <c r="AA19" s="9">
        <f t="shared" si="3"/>
        <v>0.2135721079547703</v>
      </c>
      <c r="AB19" s="9">
        <f t="shared" si="4"/>
        <v>0.59619770916719461</v>
      </c>
      <c r="AC19" s="9">
        <f t="shared" si="5"/>
        <v>0.10064074521010291</v>
      </c>
      <c r="AD19" s="9">
        <f t="shared" si="6"/>
        <v>8.9589437667932301E-2</v>
      </c>
      <c r="AE19" s="9"/>
      <c r="AF19" s="9">
        <f t="shared" si="7"/>
        <v>0.70379990119641156</v>
      </c>
      <c r="AG19" s="9">
        <f t="shared" si="8"/>
        <v>0.19739026825830672</v>
      </c>
      <c r="AH19" s="9">
        <f t="shared" si="9"/>
        <v>0.64688144604419373</v>
      </c>
      <c r="AI19" s="9">
        <f t="shared" si="10"/>
        <v>0.58458822996145443</v>
      </c>
    </row>
    <row r="20" spans="16:35" x14ac:dyDescent="0.3">
      <c r="P20" s="9">
        <v>0.48140203478022409</v>
      </c>
      <c r="Q20" s="9">
        <v>0.48571599412637101</v>
      </c>
      <c r="R20" s="9">
        <v>7.210187448673396E-3</v>
      </c>
      <c r="S20" s="9">
        <v>2.5671783644731588E-2</v>
      </c>
      <c r="U20" s="9">
        <f t="array" ref="U20">MMULT(TRANSPOSE($B$3:$B$6),TRANSPOSE(P20:S20))</f>
        <v>8.7437046943648955E-2</v>
      </c>
      <c r="V20" s="9">
        <f>INT(200*U20)/200</f>
        <v>8.5000000000000006E-2</v>
      </c>
      <c r="W20" s="9">
        <f t="array" ref="W20">SQRT(MMULT(MMULT(P20:S20,$K$3:$N$6),TRANSPOSE(P20:S20)))</f>
        <v>6.5285661626006394E-2</v>
      </c>
      <c r="Y20" s="31">
        <f>U20/W20</f>
        <v>1.3392993923311731</v>
      </c>
      <c r="AA20" s="9">
        <f t="shared" si="3"/>
        <v>0.20247328601625986</v>
      </c>
      <c r="AB20" s="9">
        <f t="shared" si="4"/>
        <v>0.59848535585690699</v>
      </c>
      <c r="AC20" s="9">
        <f t="shared" si="5"/>
        <v>0.10624783231852068</v>
      </c>
      <c r="AD20" s="9">
        <f t="shared" si="6"/>
        <v>9.2793525808312433E-2</v>
      </c>
      <c r="AE20" s="9"/>
      <c r="AF20" s="9">
        <f t="shared" si="7"/>
        <v>0.74306590398799932</v>
      </c>
      <c r="AG20" s="9">
        <f t="shared" si="8"/>
        <v>0.19464259301448658</v>
      </c>
      <c r="AH20" s="9">
        <f t="shared" si="9"/>
        <v>0.70471316822580488</v>
      </c>
      <c r="AI20" s="9">
        <f t="shared" si="10"/>
        <v>0.52403929680679995</v>
      </c>
    </row>
    <row r="21" spans="16:35" x14ac:dyDescent="0.3">
      <c r="P21" s="9">
        <v>0.24426232301668516</v>
      </c>
      <c r="Q21" s="9">
        <v>0.51222677111097192</v>
      </c>
      <c r="R21" s="9">
        <v>0.14883035982210868</v>
      </c>
      <c r="S21" s="9">
        <v>9.468054605023421E-2</v>
      </c>
      <c r="U21" s="9">
        <f t="array" ref="U21">MMULT(TRANSPOSE($B$3:$B$6),TRANSPOSE(P21:S21))</f>
        <v>9.8501452666064027E-2</v>
      </c>
      <c r="V21" s="9">
        <f>INT(200*U21)/200</f>
        <v>9.5000000000000001E-2</v>
      </c>
      <c r="W21" s="9">
        <f t="array" ref="W21">SQRT(MMULT(MMULT(P21:S21,$K$3:$N$6),TRANSPOSE(P21:S21)))</f>
        <v>7.3661034105805615E-2</v>
      </c>
      <c r="Y21" s="31">
        <f>U21/W21</f>
        <v>1.3372260362864035</v>
      </c>
      <c r="AA21" s="9">
        <f t="shared" si="3"/>
        <v>0.21846562421097854</v>
      </c>
      <c r="AB21" s="9">
        <f t="shared" si="4"/>
        <v>0.58152339956974308</v>
      </c>
      <c r="AC21" s="9">
        <f t="shared" si="5"/>
        <v>0.10817505406073294</v>
      </c>
      <c r="AD21" s="9">
        <f t="shared" si="6"/>
        <v>9.1835922158545427E-2</v>
      </c>
      <c r="AE21" s="9"/>
      <c r="AF21" s="9">
        <f t="shared" si="7"/>
        <v>0.71521105776995475</v>
      </c>
      <c r="AG21" s="9">
        <f t="shared" si="8"/>
        <v>0.1954405798512017</v>
      </c>
      <c r="AH21" s="9">
        <f t="shared" si="9"/>
        <v>0.67717605806716652</v>
      </c>
      <c r="AI21" s="9">
        <f t="shared" si="10"/>
        <v>0.53219076759719663</v>
      </c>
    </row>
    <row r="22" spans="16:35" x14ac:dyDescent="0.3">
      <c r="P22" s="9">
        <v>0.22815220948757245</v>
      </c>
      <c r="Q22" s="9">
        <v>0.5584891395875643</v>
      </c>
      <c r="R22" s="9">
        <v>8.6220637395901412E-2</v>
      </c>
      <c r="S22" s="9">
        <v>0.12713801352896181</v>
      </c>
      <c r="U22" s="9">
        <f t="array" ref="U22">MMULT(TRANSPOSE($B$3:$B$6),TRANSPOSE(P22:S22))</f>
        <v>0.100729220956759</v>
      </c>
      <c r="V22" s="9">
        <f>INT(200*U22)/200</f>
        <v>0.1</v>
      </c>
      <c r="W22" s="9">
        <f t="array" ref="W22">SQRT(MMULT(MMULT(P22:S22,$K$3:$N$6),TRANSPOSE(P22:S22)))</f>
        <v>7.5332783377225807E-2</v>
      </c>
      <c r="Y22" s="31">
        <f>U22/W22</f>
        <v>1.3371233139277701</v>
      </c>
      <c r="AA22" s="9">
        <f t="shared" si="3"/>
        <v>0.23343220328479616</v>
      </c>
      <c r="AB22" s="9">
        <f t="shared" si="4"/>
        <v>0.56681317104754991</v>
      </c>
      <c r="AC22" s="9">
        <f t="shared" si="5"/>
        <v>0.10816977031458269</v>
      </c>
      <c r="AD22" s="9">
        <f t="shared" si="6"/>
        <v>9.1584855353071121E-2</v>
      </c>
      <c r="AE22" s="9"/>
      <c r="AF22" s="9">
        <f t="shared" si="7"/>
        <v>0.68695470955889337</v>
      </c>
      <c r="AG22" s="9">
        <f t="shared" si="8"/>
        <v>0.18867937657360948</v>
      </c>
      <c r="AH22" s="9">
        <f t="shared" si="9"/>
        <v>0.67727493450509246</v>
      </c>
      <c r="AI22" s="9">
        <f t="shared" si="10"/>
        <v>0.53337289755287876</v>
      </c>
    </row>
    <row r="23" spans="16:35" x14ac:dyDescent="0.3">
      <c r="P23" s="9">
        <v>0.30760018711876491</v>
      </c>
      <c r="Q23" s="9">
        <v>0.48788116775466334</v>
      </c>
      <c r="R23" s="9">
        <v>0.11402765001054559</v>
      </c>
      <c r="S23" s="9">
        <v>9.0490995116026027E-2</v>
      </c>
      <c r="U23" s="9">
        <f t="array" ref="U23">MMULT(TRANSPOSE($B$3:$B$6),TRANSPOSE(P23:S23))</f>
        <v>9.5064272048286921E-2</v>
      </c>
      <c r="V23" s="9">
        <f>INT(200*U23)/200</f>
        <v>9.5000000000000001E-2</v>
      </c>
      <c r="W23" s="9">
        <f t="array" ref="W23">SQRT(MMULT(MMULT(P23:S23,$K$3:$N$6),TRANSPOSE(P23:S23)))</f>
        <v>7.1096661604247491E-2</v>
      </c>
      <c r="Y23" s="31">
        <f>U23/W23</f>
        <v>1.3371130219510552</v>
      </c>
      <c r="AA23" s="9">
        <f t="shared" si="3"/>
        <v>0.22721182001730972</v>
      </c>
      <c r="AB23" s="9">
        <f t="shared" si="4"/>
        <v>0.56730894684310607</v>
      </c>
      <c r="AC23" s="9">
        <f t="shared" si="5"/>
        <v>0.11084563850582513</v>
      </c>
      <c r="AD23" s="9">
        <f t="shared" si="6"/>
        <v>9.4633594633759005E-2</v>
      </c>
      <c r="AE23" s="9"/>
      <c r="AF23" s="9">
        <f t="shared" si="7"/>
        <v>0.70628947732031777</v>
      </c>
      <c r="AG23" s="9">
        <f t="shared" si="8"/>
        <v>0.18820429414253553</v>
      </c>
      <c r="AH23" s="9">
        <f t="shared" si="9"/>
        <v>0.67569450419846211</v>
      </c>
      <c r="AI23" s="9">
        <f t="shared" si="10"/>
        <v>0.51334650502581913</v>
      </c>
    </row>
    <row r="24" spans="16:35" x14ac:dyDescent="0.3">
      <c r="P24" s="9">
        <v>0.21457307157644848</v>
      </c>
      <c r="Q24" s="9">
        <v>0.51737705753451169</v>
      </c>
      <c r="R24" s="9">
        <v>0.18693473036869646</v>
      </c>
      <c r="S24" s="9">
        <v>8.1115140520343368E-2</v>
      </c>
      <c r="U24" s="9">
        <f t="array" ref="U24">MMULT(TRANSPOSE($B$3:$B$6),TRANSPOSE(P24:S24))</f>
        <v>9.9862382372321923E-2</v>
      </c>
      <c r="V24" s="9">
        <f>INT(200*U24)/200</f>
        <v>9.5000000000000001E-2</v>
      </c>
      <c r="W24" s="9">
        <f t="array" ref="W24">SQRT(MMULT(MMULT(P24:S24,$K$3:$N$6),TRANSPOSE(P24:S24)))</f>
        <v>7.470732468027115E-2</v>
      </c>
      <c r="Y24" s="31">
        <f>U24/W24</f>
        <v>1.3367147438314542</v>
      </c>
      <c r="AA24" s="9">
        <f t="shared" si="3"/>
        <v>0.21377010619935252</v>
      </c>
      <c r="AB24" s="9">
        <f t="shared" si="4"/>
        <v>0.572181918471796</v>
      </c>
      <c r="AC24" s="9">
        <f t="shared" si="5"/>
        <v>0.11252815114549349</v>
      </c>
      <c r="AD24" s="9">
        <f t="shared" si="6"/>
        <v>0.10151982418335782</v>
      </c>
      <c r="AE24" s="9"/>
      <c r="AF24" s="9">
        <f t="shared" si="7"/>
        <v>0.72889429284128249</v>
      </c>
      <c r="AG24" s="9">
        <f t="shared" si="8"/>
        <v>0.18351217587642807</v>
      </c>
      <c r="AH24" s="9">
        <f t="shared" si="9"/>
        <v>0.66485462399493989</v>
      </c>
      <c r="AI24" s="9">
        <f t="shared" si="10"/>
        <v>0.46038536143329523</v>
      </c>
    </row>
    <row r="25" spans="16:35" x14ac:dyDescent="0.3">
      <c r="P25" s="9">
        <v>2.2113419273835223E-3</v>
      </c>
      <c r="Q25" s="9">
        <v>0.71533675547009168</v>
      </c>
      <c r="R25" s="9">
        <v>0.13776631535734593</v>
      </c>
      <c r="S25" s="9">
        <v>0.1446855872451788</v>
      </c>
      <c r="U25" s="9">
        <f t="array" ref="U25">MMULT(TRANSPOSE($B$3:$B$6),TRANSPOSE(P25:S25))</f>
        <v>0.11516460119038073</v>
      </c>
      <c r="V25" s="9">
        <f>INT(200*U25)/200</f>
        <v>0.115</v>
      </c>
      <c r="W25" s="9">
        <f t="array" ref="W25">SQRT(MMULT(MMULT(P25:S25,$K$3:$N$6),TRANSPOSE(P25:S25)))</f>
        <v>8.6359372266244377E-2</v>
      </c>
      <c r="Y25" s="31">
        <f>U25/W25</f>
        <v>1.3335506982997787</v>
      </c>
      <c r="AA25" s="9">
        <f t="shared" si="3"/>
        <v>0.21263969326376767</v>
      </c>
      <c r="AB25" s="9">
        <f t="shared" si="4"/>
        <v>0.56802719156562442</v>
      </c>
      <c r="AC25" s="9">
        <f t="shared" si="5"/>
        <v>0.11621832749155772</v>
      </c>
      <c r="AD25" s="9">
        <f t="shared" si="6"/>
        <v>0.10311478767904998</v>
      </c>
      <c r="AE25" s="9"/>
      <c r="AF25" s="9">
        <f t="shared" si="7"/>
        <v>0.73795677091525691</v>
      </c>
      <c r="AG25" s="9">
        <f t="shared" si="8"/>
        <v>0.17871372646421363</v>
      </c>
      <c r="AH25" s="9">
        <f t="shared" si="9"/>
        <v>0.65986698899839491</v>
      </c>
      <c r="AI25" s="9">
        <f t="shared" si="10"/>
        <v>0.46225385878909359</v>
      </c>
    </row>
    <row r="26" spans="16:35" x14ac:dyDescent="0.3">
      <c r="P26" s="9">
        <v>5.0806063077861799E-2</v>
      </c>
      <c r="Q26" s="9">
        <v>0.78981700269367883</v>
      </c>
      <c r="R26" s="9">
        <v>4.1858877654430823E-3</v>
      </c>
      <c r="S26" s="9">
        <v>0.15519104646301618</v>
      </c>
      <c r="U26" s="9">
        <f t="array" ref="U26">MMULT(TRANSPOSE($B$3:$B$6),TRANSPOSE(P26:S26))</f>
        <v>0.11545828621551114</v>
      </c>
      <c r="V26" s="9">
        <f>INT(200*U26)/200</f>
        <v>0.115</v>
      </c>
      <c r="W26" s="9">
        <f t="array" ref="W26">SQRT(MMULT(MMULT(P26:S26,$K$3:$N$6),TRANSPOSE(P26:S26)))</f>
        <v>8.6805366865800815E-2</v>
      </c>
      <c r="Y26" s="31">
        <f>U26/W26</f>
        <v>1.3300823484106359</v>
      </c>
      <c r="AA26" s="9">
        <f t="shared" si="3"/>
        <v>0.23057485937669595</v>
      </c>
      <c r="AB26" s="9">
        <f t="shared" si="4"/>
        <v>0.55810391191238207</v>
      </c>
      <c r="AC26" s="9">
        <f t="shared" si="5"/>
        <v>0.10969519671995906</v>
      </c>
      <c r="AD26" s="9">
        <f t="shared" si="6"/>
        <v>0.10162603199096285</v>
      </c>
      <c r="AE26" s="9"/>
      <c r="AF26" s="9">
        <f t="shared" si="7"/>
        <v>0.71163150342136627</v>
      </c>
      <c r="AG26" s="9">
        <f t="shared" si="8"/>
        <v>0.19409563892715115</v>
      </c>
      <c r="AH26" s="9">
        <f t="shared" si="9"/>
        <v>0.63614282587173643</v>
      </c>
      <c r="AI26" s="9">
        <f t="shared" si="10"/>
        <v>0.48996431053276457</v>
      </c>
    </row>
    <row r="27" spans="16:35" x14ac:dyDescent="0.3">
      <c r="P27" s="9">
        <v>0.24417301164245556</v>
      </c>
      <c r="Q27" s="9">
        <v>0.55061639208540025</v>
      </c>
      <c r="R27" s="9">
        <v>6.7466703504577619E-2</v>
      </c>
      <c r="S27" s="9">
        <v>0.13774389276756666</v>
      </c>
      <c r="U27" s="9">
        <f t="array" ref="U27">MMULT(TRANSPOSE($B$3:$B$6),TRANSPOSE(P27:S27))</f>
        <v>9.9849306464556559E-2</v>
      </c>
      <c r="V27" s="9">
        <f>INT(200*U27)/200</f>
        <v>9.5000000000000001E-2</v>
      </c>
      <c r="W27" s="9">
        <f t="array" ref="W27">SQRT(MMULT(MMULT(P27:S27,$K$3:$N$6),TRANSPOSE(P27:S27)))</f>
        <v>7.5237853460577014E-2</v>
      </c>
      <c r="Y27" s="31">
        <f>U27/W27</f>
        <v>1.327115299971648</v>
      </c>
      <c r="AA27" s="9">
        <f t="shared" si="3"/>
        <v>0.23177429790848919</v>
      </c>
      <c r="AB27" s="9">
        <f t="shared" si="4"/>
        <v>0.55780933085048912</v>
      </c>
      <c r="AC27" s="9">
        <f t="shared" si="5"/>
        <v>0.10387139741587517</v>
      </c>
      <c r="AD27" s="9">
        <f t="shared" si="6"/>
        <v>0.10654497382514644</v>
      </c>
      <c r="AE27" s="9"/>
      <c r="AF27" s="9">
        <f t="shared" si="7"/>
        <v>0.71053471994609763</v>
      </c>
      <c r="AG27" s="9">
        <f t="shared" si="8"/>
        <v>0.19459678298772332</v>
      </c>
      <c r="AH27" s="9">
        <f t="shared" si="9"/>
        <v>0.66351819694560699</v>
      </c>
      <c r="AI27" s="9">
        <f t="shared" si="10"/>
        <v>0.45746332099955223</v>
      </c>
    </row>
    <row r="28" spans="16:35" x14ac:dyDescent="0.3">
      <c r="P28" s="9">
        <v>2.6481757695856558E-2</v>
      </c>
      <c r="Q28" s="9">
        <v>0.75197331534555834</v>
      </c>
      <c r="R28" s="9">
        <v>4.7960411506702362E-2</v>
      </c>
      <c r="S28" s="9">
        <v>0.17358451545188272</v>
      </c>
      <c r="U28" s="9">
        <f t="array" ref="U28">MMULT(TRANSPOSE($B$3:$B$6),TRANSPOSE(P28:S28))</f>
        <v>0.1153800984256417</v>
      </c>
      <c r="V28" s="9">
        <f>INT(200*U28)/200</f>
        <v>0.115</v>
      </c>
      <c r="W28" s="9">
        <f t="array" ref="W28">SQRT(MMULT(MMULT(P28:S28,$K$3:$N$6),TRANSPOSE(P28:S28)))</f>
        <v>8.7543134395825409E-2</v>
      </c>
      <c r="Y28" s="31">
        <f>U28/W28</f>
        <v>1.3179799789204685</v>
      </c>
      <c r="AA28" s="9">
        <f t="shared" si="3"/>
        <v>0.24310159932643849</v>
      </c>
      <c r="AB28" s="9">
        <f t="shared" si="4"/>
        <v>0.54682930181544231</v>
      </c>
      <c r="AC28" s="9">
        <f t="shared" si="5"/>
        <v>0.10916420807831824</v>
      </c>
      <c r="AD28" s="9">
        <f t="shared" si="6"/>
        <v>0.10090489077980096</v>
      </c>
      <c r="AE28" s="9"/>
      <c r="AF28" s="9">
        <f t="shared" si="7"/>
        <v>0.67954626814697439</v>
      </c>
      <c r="AG28" s="9">
        <f t="shared" si="8"/>
        <v>0.20484955344888134</v>
      </c>
      <c r="AH28" s="9">
        <f t="shared" si="9"/>
        <v>0.67472507386296809</v>
      </c>
      <c r="AI28" s="9">
        <f t="shared" si="10"/>
        <v>0.52314363067805147</v>
      </c>
    </row>
    <row r="29" spans="16:35" x14ac:dyDescent="0.3">
      <c r="P29" s="9">
        <v>1.147079962405867E-2</v>
      </c>
      <c r="Q29" s="9">
        <v>0.70695396339373184</v>
      </c>
      <c r="R29" s="9">
        <v>0.11397409672305099</v>
      </c>
      <c r="S29" s="9">
        <v>0.16760114025915857</v>
      </c>
      <c r="U29" s="9">
        <f t="array" ref="U29">MMULT(TRANSPOSE($B$3:$B$6),TRANSPOSE(P29:S29))</f>
        <v>0.11459870315232366</v>
      </c>
      <c r="V29" s="9">
        <f>INT(200*U29)/200</f>
        <v>0.11</v>
      </c>
      <c r="W29" s="9">
        <f t="array" ref="W29">SQRT(MMULT(MMULT(P29:S29,$K$3:$N$6),TRANSPOSE(P29:S29)))</f>
        <v>8.7036861157842663E-2</v>
      </c>
      <c r="Y29" s="31">
        <f>U29/W29</f>
        <v>1.3166686117563131</v>
      </c>
      <c r="AA29" s="9">
        <f t="shared" si="3"/>
        <v>0.24257319249416773</v>
      </c>
      <c r="AB29" s="9">
        <f t="shared" si="4"/>
        <v>0.54394689845806476</v>
      </c>
      <c r="AC29" s="9">
        <f t="shared" si="5"/>
        <v>0.10944053326884649</v>
      </c>
      <c r="AD29" s="9">
        <f t="shared" si="6"/>
        <v>0.10403937577892111</v>
      </c>
      <c r="AE29" s="9"/>
      <c r="AF29" s="9">
        <f t="shared" si="7"/>
        <v>0.6778497954309437</v>
      </c>
      <c r="AG29" s="9">
        <f t="shared" si="8"/>
        <v>0.21111706391635721</v>
      </c>
      <c r="AH29" s="9">
        <f t="shared" si="9"/>
        <v>0.67062413240752028</v>
      </c>
      <c r="AI29" s="9">
        <f t="shared" si="10"/>
        <v>0.47212939920437036</v>
      </c>
    </row>
    <row r="30" spans="16:35" x14ac:dyDescent="0.3">
      <c r="P30" s="9">
        <v>8.9691822511877725E-2</v>
      </c>
      <c r="Q30" s="9">
        <v>0.56321454382518332</v>
      </c>
      <c r="R30" s="9">
        <v>0.27848123901185134</v>
      </c>
      <c r="S30" s="9">
        <v>6.8612394651087594E-2</v>
      </c>
      <c r="U30" s="9">
        <f t="array" ref="U30">MMULT(TRANSPOSE($B$3:$B$6),TRANSPOSE(P30:S30))</f>
        <v>0.10649676918767517</v>
      </c>
      <c r="V30" s="9">
        <f>INT(200*U30)/200</f>
        <v>0.105</v>
      </c>
      <c r="W30" s="9">
        <f t="array" ref="W30">SQRT(MMULT(MMULT(P30:S30,$K$3:$N$6),TRANSPOSE(P30:S30)))</f>
        <v>8.0937694830720192E-2</v>
      </c>
      <c r="Y30" s="31">
        <f>U30/W30</f>
        <v>1.3157870311282196</v>
      </c>
      <c r="AA30" s="9">
        <f t="shared" si="3"/>
        <v>0.24858533501630264</v>
      </c>
      <c r="AB30" s="9">
        <f t="shared" si="4"/>
        <v>0.54167029819440349</v>
      </c>
      <c r="AC30" s="9">
        <f t="shared" si="5"/>
        <v>0.1055210909443012</v>
      </c>
      <c r="AD30" s="9">
        <f t="shared" si="6"/>
        <v>0.10422327584499276</v>
      </c>
      <c r="AE30" s="9"/>
      <c r="AF30" s="9">
        <f t="shared" si="7"/>
        <v>0.68907525263522973</v>
      </c>
      <c r="AG30" s="9">
        <f t="shared" si="8"/>
        <v>0.21548458394677053</v>
      </c>
      <c r="AH30" s="9">
        <f t="shared" si="9"/>
        <v>0.72891966133768193</v>
      </c>
      <c r="AI30" s="9">
        <f t="shared" si="10"/>
        <v>0.47027959482079729</v>
      </c>
    </row>
    <row r="31" spans="16:35" x14ac:dyDescent="0.3">
      <c r="P31" s="9">
        <v>0.43133869044760781</v>
      </c>
      <c r="Q31" s="9">
        <v>0.43023693628821263</v>
      </c>
      <c r="R31" s="9">
        <v>6.8129406589859845E-2</v>
      </c>
      <c r="S31" s="9">
        <v>7.0294966674319698E-2</v>
      </c>
      <c r="U31" s="9">
        <f t="array" ref="U31">MMULT(TRANSPOSE($B$3:$B$6),TRANSPOSE(P31:S31))</f>
        <v>8.7993758654017429E-2</v>
      </c>
      <c r="V31" s="9">
        <f>INT(200*U31)/200</f>
        <v>8.5000000000000006E-2</v>
      </c>
      <c r="W31" s="9">
        <f t="array" ref="W31">SQRT(MMULT(MMULT(P31:S31,$K$3:$N$6),TRANSPOSE(P31:S31)))</f>
        <v>6.6887575062975241E-2</v>
      </c>
      <c r="Y31" s="31">
        <f>U31/W31</f>
        <v>1.3155471486471222</v>
      </c>
      <c r="AA31" s="9">
        <f t="shared" si="3"/>
        <v>0.24546837216962702</v>
      </c>
      <c r="AB31" s="9">
        <f t="shared" si="4"/>
        <v>0.5390232198106244</v>
      </c>
      <c r="AC31" s="9">
        <f t="shared" si="5"/>
        <v>0.10693627753847841</v>
      </c>
      <c r="AD31" s="9">
        <f t="shared" si="6"/>
        <v>0.10857213048127014</v>
      </c>
      <c r="AE31" s="9"/>
      <c r="AF31" s="9">
        <f t="shared" si="7"/>
        <v>0.68194904880047769</v>
      </c>
      <c r="AG31" s="9">
        <f t="shared" si="8"/>
        <v>0.22015399473277344</v>
      </c>
      <c r="AH31" s="9">
        <f t="shared" si="9"/>
        <v>0.70390494533942649</v>
      </c>
      <c r="AI31" s="9">
        <f t="shared" si="10"/>
        <v>0.42028040684977541</v>
      </c>
    </row>
    <row r="32" spans="16:35" x14ac:dyDescent="0.3">
      <c r="P32" s="9">
        <v>0.42448292344906474</v>
      </c>
      <c r="Q32" s="9">
        <v>0.46760850772562934</v>
      </c>
      <c r="R32" s="9">
        <v>1.413575772060475E-2</v>
      </c>
      <c r="S32" s="9">
        <v>9.3772811104701093E-2</v>
      </c>
      <c r="U32" s="9">
        <f t="array" ref="U32">MMULT(TRANSPOSE($B$3:$B$6),TRANSPOSE(P32:S32))</f>
        <v>8.9523886445809914E-2</v>
      </c>
      <c r="V32" s="9">
        <f>INT(200*U32)/200</f>
        <v>8.5000000000000006E-2</v>
      </c>
      <c r="W32" s="9">
        <f t="array" ref="W32">SQRT(MMULT(MMULT(P32:S32,$K$3:$N$6),TRANSPOSE(P32:S32)))</f>
        <v>6.8096147717815775E-2</v>
      </c>
      <c r="Y32" s="31">
        <f>U32/W32</f>
        <v>1.3146688828388462</v>
      </c>
      <c r="AA32" s="9">
        <f t="shared" si="3"/>
        <v>0.23798971310700412</v>
      </c>
      <c r="AB32" s="9">
        <f t="shared" si="4"/>
        <v>0.54018575674458502</v>
      </c>
      <c r="AC32" s="9">
        <f t="shared" si="5"/>
        <v>0.11416899656826882</v>
      </c>
      <c r="AD32" s="9">
        <f t="shared" si="6"/>
        <v>0.10765553358014202</v>
      </c>
      <c r="AE32" s="9"/>
      <c r="AF32" s="9">
        <f t="shared" si="7"/>
        <v>0.71820149909561759</v>
      </c>
      <c r="AG32" s="9">
        <f t="shared" si="8"/>
        <v>0.21939111792493721</v>
      </c>
      <c r="AH32" s="9">
        <f t="shared" si="9"/>
        <v>0.75351850492804162</v>
      </c>
      <c r="AI32" s="9">
        <f t="shared" si="10"/>
        <v>0.42835230826230192</v>
      </c>
    </row>
    <row r="33" spans="16:35" x14ac:dyDescent="0.3">
      <c r="P33" s="9">
        <v>0.16206150579780523</v>
      </c>
      <c r="Q33" s="9">
        <v>0.53614357660702083</v>
      </c>
      <c r="R33" s="9">
        <v>0.18076830671979707</v>
      </c>
      <c r="S33" s="9">
        <v>0.12102661087537697</v>
      </c>
      <c r="U33" s="9">
        <f t="array" ref="U33">MMULT(TRANSPOSE($B$3:$B$6),TRANSPOSE(P33:S33))</f>
        <v>0.10280101375971257</v>
      </c>
      <c r="V33" s="9">
        <f>INT(200*U33)/200</f>
        <v>0.1</v>
      </c>
      <c r="W33" s="9">
        <f t="array" ref="W33">SQRT(MMULT(MMULT(P33:S33,$K$3:$N$6),TRANSPOSE(P33:S33)))</f>
        <v>7.8261342811324922E-2</v>
      </c>
      <c r="Y33" s="31">
        <f>U33/W33</f>
        <v>1.3135605660070095</v>
      </c>
      <c r="AA33" s="9">
        <f t="shared" si="3"/>
        <v>0.23894410463730736</v>
      </c>
      <c r="AB33" s="9">
        <f t="shared" si="4"/>
        <v>0.53704592019813246</v>
      </c>
      <c r="AC33" s="9">
        <f t="shared" si="5"/>
        <v>0.11450376758984225</v>
      </c>
      <c r="AD33" s="9">
        <f t="shared" si="6"/>
        <v>0.10950620757471799</v>
      </c>
      <c r="AE33" s="9"/>
      <c r="AF33" s="9">
        <f t="shared" si="7"/>
        <v>0.71532565199295284</v>
      </c>
      <c r="AG33" s="9">
        <f t="shared" si="8"/>
        <v>0.22135105694817409</v>
      </c>
      <c r="AH33" s="9">
        <f t="shared" si="9"/>
        <v>0.7504371003219289</v>
      </c>
      <c r="AI33" s="9">
        <f t="shared" si="10"/>
        <v>0.435486308926267</v>
      </c>
    </row>
    <row r="34" spans="16:35" x14ac:dyDescent="0.3">
      <c r="P34" s="9">
        <v>0.13158563210083285</v>
      </c>
      <c r="Q34" s="9">
        <v>0.58433130169659397</v>
      </c>
      <c r="R34" s="9">
        <v>0.12583947360479369</v>
      </c>
      <c r="S34" s="9">
        <v>0.15824359259777959</v>
      </c>
      <c r="U34" s="9">
        <f t="array" ref="U34">MMULT(TRANSPOSE($B$3:$B$6),TRANSPOSE(P34:S34))</f>
        <v>0.10571104188795623</v>
      </c>
      <c r="V34" s="9">
        <f>INT(200*U34)/200</f>
        <v>0.105</v>
      </c>
      <c r="W34" s="9">
        <f t="array" ref="W34">SQRT(MMULT(MMULT(P34:S34,$K$3:$N$6),TRANSPOSE(P34:S34)))</f>
        <v>8.0747553029300839E-2</v>
      </c>
      <c r="Y34" s="31">
        <f>U34/W34</f>
        <v>1.3091547411919331</v>
      </c>
      <c r="AA34" s="9">
        <f t="shared" si="3"/>
        <v>0.24526247085724337</v>
      </c>
      <c r="AB34" s="9">
        <f t="shared" si="4"/>
        <v>0.53154822136818736</v>
      </c>
      <c r="AC34" s="9">
        <f t="shared" si="5"/>
        <v>0.11662174684358793</v>
      </c>
      <c r="AD34" s="9">
        <f t="shared" si="6"/>
        <v>0.10656756093098137</v>
      </c>
      <c r="AE34" s="9"/>
      <c r="AF34" s="9">
        <f t="shared" si="7"/>
        <v>0.71745892296435287</v>
      </c>
      <c r="AG34" s="9">
        <f t="shared" si="8"/>
        <v>0.2329601753778498</v>
      </c>
      <c r="AH34" s="9">
        <f t="shared" si="9"/>
        <v>0.74138866959446281</v>
      </c>
      <c r="AI34" s="9">
        <f t="shared" si="10"/>
        <v>0.4759759377349761</v>
      </c>
    </row>
    <row r="35" spans="16:35" x14ac:dyDescent="0.3">
      <c r="P35" s="9">
        <v>5.6013678367320921E-2</v>
      </c>
      <c r="Q35" s="9">
        <v>0.60904211552915566</v>
      </c>
      <c r="R35" s="9">
        <v>0.18975321609213625</v>
      </c>
      <c r="S35" s="9">
        <v>0.14519099001138719</v>
      </c>
      <c r="U35" s="9">
        <f t="array" ref="U35">MMULT(TRANSPOSE($B$3:$B$6),TRANSPOSE(P35:S35))</f>
        <v>0.10961221892404488</v>
      </c>
      <c r="V35" s="9">
        <f>INT(200*U35)/200</f>
        <v>0.105</v>
      </c>
      <c r="W35" s="9">
        <f t="array" ref="W35">SQRT(MMULT(MMULT(P35:S35,$K$3:$N$6),TRANSPOSE(P35:S35)))</f>
        <v>8.3946229090628627E-2</v>
      </c>
      <c r="Y35" s="31">
        <f>U35/W35</f>
        <v>1.3057432133813558</v>
      </c>
      <c r="AA35" s="9">
        <f t="shared" si="3"/>
        <v>0.25770919701257766</v>
      </c>
      <c r="AB35" s="9">
        <f t="shared" si="4"/>
        <v>0.52426727207414758</v>
      </c>
      <c r="AC35" s="9">
        <f t="shared" si="5"/>
        <v>0.11457176522825176</v>
      </c>
      <c r="AD35" s="9">
        <f t="shared" si="6"/>
        <v>0.10345176568502296</v>
      </c>
      <c r="AE35" s="9"/>
      <c r="AF35" s="9">
        <f t="shared" si="7"/>
        <v>0.70931902412024705</v>
      </c>
      <c r="AG35" s="9">
        <f t="shared" si="8"/>
        <v>0.24622543351691564</v>
      </c>
      <c r="AH35" s="9">
        <f t="shared" si="9"/>
        <v>0.74375143759294815</v>
      </c>
      <c r="AI35" s="9">
        <f t="shared" si="10"/>
        <v>0.52441963210756282</v>
      </c>
    </row>
    <row r="36" spans="16:35" x14ac:dyDescent="0.3">
      <c r="P36" s="9">
        <v>0.47099640740658655</v>
      </c>
      <c r="Q36" s="9">
        <v>0.390284084054976</v>
      </c>
      <c r="R36" s="9">
        <v>0.11831433363330607</v>
      </c>
      <c r="S36" s="9">
        <v>2.0405174905131364E-2</v>
      </c>
      <c r="U36" s="9">
        <f t="array" ref="U36">MMULT(TRANSPOSE($B$3:$B$6),TRANSPOSE(P36:S36))</f>
        <v>8.4905268343391169E-2</v>
      </c>
      <c r="V36" s="9">
        <f>INT(200*U36)/200</f>
        <v>0.08</v>
      </c>
      <c r="W36" s="9">
        <f t="array" ref="W36">SQRT(MMULT(MMULT(P36:S36,$K$3:$N$6),TRANSPOSE(P36:S36)))</f>
        <v>6.5215323657787705E-2</v>
      </c>
      <c r="Y36" s="31">
        <f>U36/W36</f>
        <v>1.3019220572901686</v>
      </c>
      <c r="AA36" s="9">
        <f t="shared" si="3"/>
        <v>0.26846625832818122</v>
      </c>
      <c r="AB36" s="9">
        <f t="shared" si="4"/>
        <v>0.51752251923110193</v>
      </c>
      <c r="AC36" s="9">
        <f t="shared" si="5"/>
        <v>0.10808913482336344</v>
      </c>
      <c r="AD36" s="9">
        <f t="shared" si="6"/>
        <v>0.10592208761735344</v>
      </c>
      <c r="AE36" s="9"/>
      <c r="AF36" s="9">
        <f t="shared" si="7"/>
        <v>0.64595470768492713</v>
      </c>
      <c r="AG36" s="9">
        <f t="shared" si="8"/>
        <v>0.23596583428372478</v>
      </c>
      <c r="AH36" s="9">
        <f t="shared" si="9"/>
        <v>0.81854630167278897</v>
      </c>
      <c r="AI36" s="9">
        <f t="shared" si="10"/>
        <v>0.54113369675426781</v>
      </c>
    </row>
    <row r="37" spans="16:35" x14ac:dyDescent="0.3">
      <c r="P37" s="9">
        <v>0.32199884928263856</v>
      </c>
      <c r="Q37" s="9">
        <v>0.47690734955342756</v>
      </c>
      <c r="R37" s="9">
        <v>5.5400995832902193E-2</v>
      </c>
      <c r="S37" s="9">
        <v>0.1456928053310316</v>
      </c>
      <c r="U37" s="9">
        <f t="array" ref="U37">MMULT(TRANSPOSE($B$3:$B$6),TRANSPOSE(P37:S37))</f>
        <v>9.4319358234715323E-2</v>
      </c>
      <c r="V37" s="9">
        <f>INT(200*U37)/200</f>
        <v>0.09</v>
      </c>
      <c r="W37" s="9">
        <f t="array" ref="W37">SQRT(MMULT(MMULT(P37:S37,$K$3:$N$6),TRANSPOSE(P37:S37)))</f>
        <v>7.2805335921828584E-2</v>
      </c>
      <c r="Y37" s="31">
        <f>U37/W37</f>
        <v>1.295500625613299</v>
      </c>
      <c r="AA37" s="9">
        <f t="shared" si="3"/>
        <v>0.28665449401197535</v>
      </c>
      <c r="AB37" s="9">
        <f t="shared" si="4"/>
        <v>0.49883563902690409</v>
      </c>
      <c r="AC37" s="9">
        <f t="shared" si="5"/>
        <v>0.110770383362365</v>
      </c>
      <c r="AD37" s="9">
        <f t="shared" si="6"/>
        <v>0.1037394835987555</v>
      </c>
      <c r="AE37" s="9"/>
      <c r="AF37" s="9">
        <f t="shared" si="7"/>
        <v>0.59106410955724742</v>
      </c>
      <c r="AG37" s="9">
        <f t="shared" si="8"/>
        <v>0.21554056680577838</v>
      </c>
      <c r="AH37" s="9">
        <f t="shared" si="9"/>
        <v>0.77627198979838485</v>
      </c>
      <c r="AI37" s="9">
        <f t="shared" si="10"/>
        <v>0.54183861345333084</v>
      </c>
    </row>
    <row r="38" spans="16:35" x14ac:dyDescent="0.3">
      <c r="P38" s="9">
        <v>0.36351799723837946</v>
      </c>
      <c r="Q38" s="9">
        <v>0.40383772036314358</v>
      </c>
      <c r="R38" s="9">
        <v>0.2228339313103882</v>
      </c>
      <c r="S38" s="9">
        <v>9.8103510880888714E-3</v>
      </c>
      <c r="U38" s="9">
        <f t="array" ref="U38">MMULT(TRANSPOSE($B$3:$B$6),TRANSPOSE(P38:S38))</f>
        <v>8.9814926193412831E-2</v>
      </c>
      <c r="V38" s="9">
        <f>INT(200*U38)/200</f>
        <v>8.5000000000000006E-2</v>
      </c>
      <c r="W38" s="9">
        <f t="array" ref="W38">SQRT(MMULT(MMULT(P38:S38,$K$3:$N$6),TRANSPOSE(P38:S38)))</f>
        <v>6.9341129459873196E-2</v>
      </c>
      <c r="Y38" s="31">
        <f>U38/W38</f>
        <v>1.295261944721964</v>
      </c>
      <c r="AA38" s="9">
        <f t="shared" si="3"/>
        <v>0.29137758630217064</v>
      </c>
      <c r="AB38" s="9">
        <f t="shared" si="4"/>
        <v>0.49126679532879286</v>
      </c>
      <c r="AC38" s="9">
        <f t="shared" si="5"/>
        <v>0.11813440240338043</v>
      </c>
      <c r="AD38" s="9">
        <f t="shared" si="6"/>
        <v>9.9221215965656029E-2</v>
      </c>
      <c r="AE38" s="9"/>
      <c r="AF38" s="9">
        <f t="shared" si="7"/>
        <v>0.5819601447014594</v>
      </c>
      <c r="AG38" s="9">
        <f t="shared" si="8"/>
        <v>0.22242937012813138</v>
      </c>
      <c r="AH38" s="9">
        <f t="shared" si="9"/>
        <v>0.75061893596153517</v>
      </c>
      <c r="AI38" s="9">
        <f t="shared" si="10"/>
        <v>0.57594261444519135</v>
      </c>
    </row>
    <row r="39" spans="16:35" x14ac:dyDescent="0.3">
      <c r="P39" s="9">
        <v>0.46619745657846468</v>
      </c>
      <c r="Q39" s="9">
        <v>0.40948323675287074</v>
      </c>
      <c r="R39" s="9">
        <v>4.5717786719728003E-2</v>
      </c>
      <c r="S39" s="9">
        <v>7.8601519948936632E-2</v>
      </c>
      <c r="U39" s="9">
        <f t="array" ref="U39">MMULT(TRANSPOSE($B$3:$B$6),TRANSPOSE(P39:S39))</f>
        <v>8.5913307924067789E-2</v>
      </c>
      <c r="V39" s="9">
        <f>INT(200*U39)/200</f>
        <v>8.5000000000000006E-2</v>
      </c>
      <c r="W39" s="9">
        <f t="array" ref="W39">SQRT(MMULT(MMULT(P39:S39,$K$3:$N$6),TRANSPOSE(P39:S39)))</f>
        <v>6.6412272418024332E-2</v>
      </c>
      <c r="Y39" s="31">
        <f>U39/W39</f>
        <v>1.2936360223197372</v>
      </c>
      <c r="AA39" s="9">
        <f t="shared" si="3"/>
        <v>0.30871420034821984</v>
      </c>
      <c r="AB39" s="9">
        <f t="shared" si="4"/>
        <v>0.47427336166637296</v>
      </c>
      <c r="AC39" s="9">
        <f t="shared" si="5"/>
        <v>0.12074739504629403</v>
      </c>
      <c r="AD39" s="9">
        <f t="shared" si="6"/>
        <v>9.6265042939113143E-2</v>
      </c>
      <c r="AE39" s="9"/>
      <c r="AF39" s="9">
        <f t="shared" si="7"/>
        <v>0.51647092185781818</v>
      </c>
      <c r="AG39" s="9">
        <f t="shared" si="8"/>
        <v>0.19667905420556345</v>
      </c>
      <c r="AH39" s="9">
        <f t="shared" si="9"/>
        <v>0.72300131204487073</v>
      </c>
      <c r="AI39" s="9">
        <f t="shared" si="10"/>
        <v>0.56778759213872554</v>
      </c>
    </row>
    <row r="40" spans="16:35" x14ac:dyDescent="0.3">
      <c r="P40" s="9">
        <v>0.49127427221446457</v>
      </c>
      <c r="Q40" s="9">
        <v>0.42759933058371558</v>
      </c>
      <c r="R40" s="9">
        <v>1.9914826919126324E-3</v>
      </c>
      <c r="S40" s="9">
        <v>7.91349145099072E-2</v>
      </c>
      <c r="U40" s="9">
        <f t="array" ref="U40">MMULT(TRANSPOSE($B$3:$B$6),TRANSPOSE(P40:S40))</f>
        <v>8.5418723882873762E-2</v>
      </c>
      <c r="V40" s="9">
        <f>INT(200*U40)/200</f>
        <v>8.5000000000000006E-2</v>
      </c>
      <c r="W40" s="9">
        <f t="array" ref="W40">SQRT(MMULT(MMULT(P40:S40,$K$3:$N$6),TRANSPOSE(P40:S40)))</f>
        <v>6.6229871210042937E-2</v>
      </c>
      <c r="Y40" s="31">
        <f>U40/W40</f>
        <v>1.2897310884385516</v>
      </c>
      <c r="AA40" s="9">
        <f t="shared" si="3"/>
        <v>0.31963800608335308</v>
      </c>
      <c r="AB40" s="9">
        <f t="shared" si="4"/>
        <v>0.46247302699606185</v>
      </c>
      <c r="AC40" s="9">
        <f t="shared" si="5"/>
        <v>0.12209961089628026</v>
      </c>
      <c r="AD40" s="9">
        <f t="shared" si="6"/>
        <v>9.57893560243048E-2</v>
      </c>
      <c r="AE40" s="9"/>
      <c r="AF40" s="9">
        <f t="shared" si="7"/>
        <v>0.45454218073943964</v>
      </c>
      <c r="AG40" s="9">
        <f t="shared" si="8"/>
        <v>0.16551476398930656</v>
      </c>
      <c r="AH40" s="9">
        <f t="shared" si="9"/>
        <v>0.71589267731243</v>
      </c>
      <c r="AI40" s="9">
        <f t="shared" si="10"/>
        <v>0.56421994094935968</v>
      </c>
    </row>
    <row r="41" spans="16:35" x14ac:dyDescent="0.3">
      <c r="P41" s="9">
        <v>0.41594581500003686</v>
      </c>
      <c r="Q41" s="9">
        <v>0.43012734806701247</v>
      </c>
      <c r="R41" s="9">
        <v>3.6929105926394375E-2</v>
      </c>
      <c r="S41" s="9">
        <v>0.1169977310065563</v>
      </c>
      <c r="U41" s="9">
        <f t="array" ref="U41">MMULT(TRANSPOSE($B$3:$B$6),TRANSPOSE(P41:S41))</f>
        <v>8.8809244750141098E-2</v>
      </c>
      <c r="V41" s="9">
        <f>INT(200*U41)/200</f>
        <v>8.5000000000000006E-2</v>
      </c>
      <c r="W41" s="9">
        <f t="array" ref="W41">SQRT(MMULT(MMULT(P41:S41,$K$3:$N$6),TRANSPOSE(P41:S41)))</f>
        <v>6.8919266657146608E-2</v>
      </c>
      <c r="Y41" s="31">
        <f>U41/W41</f>
        <v>1.2885982259785405</v>
      </c>
      <c r="AA41" s="9">
        <f t="shared" si="3"/>
        <v>0.3201592996637822</v>
      </c>
      <c r="AB41" s="9">
        <f t="shared" si="4"/>
        <v>0.46040190716282647</v>
      </c>
      <c r="AC41" s="9">
        <f t="shared" si="5"/>
        <v>0.12038357023562464</v>
      </c>
      <c r="AD41" s="9">
        <f t="shared" si="6"/>
        <v>9.9055222937766682E-2</v>
      </c>
      <c r="AE41" s="9"/>
      <c r="AF41" s="9">
        <f t="shared" si="7"/>
        <v>0.45114985028348847</v>
      </c>
      <c r="AG41" s="9">
        <f t="shared" si="8"/>
        <v>0.16124529742937332</v>
      </c>
      <c r="AH41" s="9">
        <f t="shared" si="9"/>
        <v>0.70185355188076548</v>
      </c>
      <c r="AI41" s="9">
        <f t="shared" si="10"/>
        <v>0.54911753189382184</v>
      </c>
    </row>
    <row r="42" spans="16:35" x14ac:dyDescent="0.3">
      <c r="P42" s="9">
        <v>8.7210482701604156E-2</v>
      </c>
      <c r="Q42" s="9">
        <v>0.536640046724145</v>
      </c>
      <c r="R42" s="9">
        <v>0.300717459447707</v>
      </c>
      <c r="S42" s="9">
        <v>7.5432011126543935E-2</v>
      </c>
      <c r="U42" s="9">
        <f t="array" ref="U42">MMULT(TRANSPOSE($B$3:$B$6),TRANSPOSE(P42:S42))</f>
        <v>0.10580441526014424</v>
      </c>
      <c r="V42" s="9">
        <f>INT(200*U42)/200</f>
        <v>0.105</v>
      </c>
      <c r="W42" s="9">
        <f t="array" ref="W42">SQRT(MMULT(MMULT(P42:S42,$K$3:$N$6),TRANSPOSE(P42:S42)))</f>
        <v>8.2135483163731746E-2</v>
      </c>
      <c r="Y42" s="31">
        <f>U42/W42</f>
        <v>1.2881693901919347</v>
      </c>
      <c r="AA42" s="9">
        <f t="shared" si="3"/>
        <v>0.31768752355680824</v>
      </c>
      <c r="AB42" s="9">
        <f t="shared" si="4"/>
        <v>0.45838574501342721</v>
      </c>
      <c r="AC42" s="9">
        <f t="shared" si="5"/>
        <v>0.12276989977188903</v>
      </c>
      <c r="AD42" s="9">
        <f t="shared" si="6"/>
        <v>0.10115683165787552</v>
      </c>
      <c r="AE42" s="9"/>
      <c r="AF42" s="9">
        <f t="shared" si="7"/>
        <v>0.44974315545640009</v>
      </c>
      <c r="AG42" s="9">
        <f t="shared" si="8"/>
        <v>0.16505563996333514</v>
      </c>
      <c r="AH42" s="9">
        <f t="shared" si="9"/>
        <v>0.68131889338006535</v>
      </c>
      <c r="AI42" s="9">
        <f t="shared" si="10"/>
        <v>0.53459435034842706</v>
      </c>
    </row>
    <row r="43" spans="16:35" x14ac:dyDescent="0.3">
      <c r="P43" s="9">
        <v>0.24819443162394039</v>
      </c>
      <c r="Q43" s="9">
        <v>0.49255257211205933</v>
      </c>
      <c r="R43" s="9">
        <v>9.3250828848943215E-2</v>
      </c>
      <c r="S43" s="9">
        <v>0.16600216741505705</v>
      </c>
      <c r="U43" s="9">
        <f t="array" ref="U43">MMULT(TRANSPOSE($B$3:$B$6),TRANSPOSE(P43:S43))</f>
        <v>9.7987307061841528E-2</v>
      </c>
      <c r="V43" s="9">
        <f>INT(200*U43)/200</f>
        <v>9.5000000000000001E-2</v>
      </c>
      <c r="W43" s="9">
        <f t="array" ref="W43">SQRT(MMULT(MMULT(P43:S43,$K$3:$N$6),TRANSPOSE(P43:S43)))</f>
        <v>7.6347229172401068E-2</v>
      </c>
      <c r="Y43" s="31">
        <f>U43/W43</f>
        <v>1.2834428717848372</v>
      </c>
      <c r="AA43" s="9">
        <f t="shared" si="3"/>
        <v>0.31636521403776424</v>
      </c>
      <c r="AB43" s="9">
        <f t="shared" si="4"/>
        <v>0.4555622705007592</v>
      </c>
      <c r="AC43" s="9">
        <f t="shared" si="5"/>
        <v>0.12472128310486538</v>
      </c>
      <c r="AD43" s="9">
        <f t="shared" si="6"/>
        <v>0.10335123235661117</v>
      </c>
      <c r="AE43" s="9"/>
      <c r="AF43" s="9">
        <f t="shared" si="7"/>
        <v>0.44873954377914516</v>
      </c>
      <c r="AG43" s="9">
        <f t="shared" si="8"/>
        <v>0.16770592303435908</v>
      </c>
      <c r="AH43" s="9">
        <f t="shared" si="9"/>
        <v>0.65292090340695075</v>
      </c>
      <c r="AI43" s="9">
        <f t="shared" si="10"/>
        <v>0.52921204165807934</v>
      </c>
    </row>
    <row r="44" spans="16:35" x14ac:dyDescent="0.3">
      <c r="P44" s="9">
        <v>0.44028587773742162</v>
      </c>
      <c r="Q44" s="9">
        <v>0.3724294923258159</v>
      </c>
      <c r="R44" s="9">
        <v>0.1585052143392055</v>
      </c>
      <c r="S44" s="9">
        <v>2.8779415597556923E-2</v>
      </c>
      <c r="U44" s="9">
        <f t="array" ref="U44">MMULT(TRANSPOSE($B$3:$B$6),TRANSPOSE(P44:S44))</f>
        <v>8.5677809797629956E-2</v>
      </c>
      <c r="V44" s="9">
        <f>INT(200*U44)/200</f>
        <v>8.5000000000000006E-2</v>
      </c>
      <c r="W44" s="9">
        <f t="array" ref="W44">SQRT(MMULT(MMULT(P44:S44,$K$3:$N$6),TRANSPOSE(P44:S44)))</f>
        <v>6.6763033956955084E-2</v>
      </c>
      <c r="Y44" s="31">
        <f>U44/W44</f>
        <v>1.2833121073088143</v>
      </c>
      <c r="AA44" s="9">
        <f t="shared" si="3"/>
        <v>0.31307232983117989</v>
      </c>
      <c r="AB44" s="9">
        <f t="shared" si="4"/>
        <v>0.45722644897004117</v>
      </c>
      <c r="AC44" s="9">
        <f t="shared" si="5"/>
        <v>0.12256573853455432</v>
      </c>
      <c r="AD44" s="9">
        <f t="shared" si="6"/>
        <v>0.10713548266422457</v>
      </c>
      <c r="AE44" s="9"/>
      <c r="AF44" s="9">
        <f t="shared" si="7"/>
        <v>0.46779797196801592</v>
      </c>
      <c r="AG44" s="9">
        <f t="shared" si="8"/>
        <v>0.17189003521113472</v>
      </c>
      <c r="AH44" s="9">
        <f t="shared" si="9"/>
        <v>0.65653565006514381</v>
      </c>
      <c r="AI44" s="9">
        <f t="shared" si="10"/>
        <v>0.54687130097967818</v>
      </c>
    </row>
    <row r="45" spans="16:35" x14ac:dyDescent="0.3">
      <c r="P45" s="9">
        <v>0.47595432083846956</v>
      </c>
      <c r="Q45" s="9">
        <v>0.36447712235967716</v>
      </c>
      <c r="R45" s="9">
        <v>0.14388511644663662</v>
      </c>
      <c r="S45" s="9">
        <v>1.5683440355216658E-2</v>
      </c>
      <c r="U45" s="9">
        <f t="array" ref="U45">MMULT(TRANSPOSE($B$3:$B$6),TRANSPOSE(P45:S45))</f>
        <v>8.3881093631783657E-2</v>
      </c>
      <c r="V45" s="9">
        <f>INT(200*U45)/200</f>
        <v>0.08</v>
      </c>
      <c r="W45" s="9">
        <f t="array" ref="W45">SQRT(MMULT(MMULT(P45:S45,$K$3:$N$6),TRANSPOSE(P45:S45)))</f>
        <v>6.5574460537276766E-2</v>
      </c>
      <c r="Y45" s="31">
        <f>U45/W45</f>
        <v>1.2791732168974568</v>
      </c>
      <c r="AA45" s="9">
        <f t="shared" si="3"/>
        <v>0.33119801836472201</v>
      </c>
      <c r="AB45" s="9">
        <f t="shared" si="4"/>
        <v>0.44791139296841015</v>
      </c>
      <c r="AC45" s="9">
        <f t="shared" si="5"/>
        <v>0.11718137074175924</v>
      </c>
      <c r="AD45" s="9">
        <f t="shared" si="6"/>
        <v>0.10370921792510852</v>
      </c>
      <c r="AE45" s="9"/>
      <c r="AF45" s="9">
        <f t="shared" si="7"/>
        <v>0.44210630915312926</v>
      </c>
      <c r="AG45" s="9">
        <f t="shared" si="8"/>
        <v>0.16576254465330112</v>
      </c>
      <c r="AH45" s="9">
        <f t="shared" si="9"/>
        <v>0.71638155777332246</v>
      </c>
      <c r="AI45" s="9">
        <f t="shared" si="10"/>
        <v>0.55487505712562124</v>
      </c>
    </row>
    <row r="46" spans="16:35" x14ac:dyDescent="0.3">
      <c r="P46" s="9">
        <v>0.22810962955505773</v>
      </c>
      <c r="Q46" s="9">
        <v>0.57369694576613239</v>
      </c>
      <c r="R46" s="9">
        <v>1.63107685469083E-3</v>
      </c>
      <c r="S46" s="9">
        <v>0.19656234782411902</v>
      </c>
      <c r="U46" s="9">
        <f t="array" ref="U46">MMULT(TRANSPOSE($B$3:$B$6),TRANSPOSE(P46:S46))</f>
        <v>0.10145432351253124</v>
      </c>
      <c r="V46" s="9">
        <f>INT(200*U46)/200</f>
        <v>0.1</v>
      </c>
      <c r="W46" s="9">
        <f t="array" ref="W46">SQRT(MMULT(MMULT(P46:S46,$K$3:$N$6),TRANSPOSE(P46:S46)))</f>
        <v>7.9369218484031029E-2</v>
      </c>
      <c r="Y46" s="31">
        <f>U46/W46</f>
        <v>1.2782578114076264</v>
      </c>
      <c r="AA46" s="9">
        <f t="shared" si="3"/>
        <v>0.35233851767023283</v>
      </c>
      <c r="AB46" s="9">
        <f t="shared" si="4"/>
        <v>0.43552681741402399</v>
      </c>
      <c r="AC46" s="9">
        <f t="shared" si="5"/>
        <v>0.11414554851768255</v>
      </c>
      <c r="AD46" s="9">
        <f t="shared" si="6"/>
        <v>9.7989116398060627E-2</v>
      </c>
      <c r="AE46" s="9"/>
      <c r="AF46" s="9">
        <f t="shared" si="7"/>
        <v>0.38716676862465577</v>
      </c>
      <c r="AG46" s="9">
        <f t="shared" si="8"/>
        <v>0.15475773391956363</v>
      </c>
      <c r="AH46" s="9">
        <f t="shared" si="9"/>
        <v>0.72125490779908685</v>
      </c>
      <c r="AI46" s="9">
        <f t="shared" si="10"/>
        <v>0.60377675037188772</v>
      </c>
    </row>
    <row r="47" spans="16:35" x14ac:dyDescent="0.3">
      <c r="P47" s="9">
        <v>0.43275901243754011</v>
      </c>
      <c r="Q47" s="9">
        <v>0.39739251840552464</v>
      </c>
      <c r="R47" s="9">
        <v>6.0492107084475909E-2</v>
      </c>
      <c r="S47" s="9">
        <v>0.10935636207245952</v>
      </c>
      <c r="U47" s="9">
        <f t="array" ref="U47">MMULT(TRANSPOSE($B$3:$B$6),TRANSPOSE(P47:S47))</f>
        <v>8.7060613125075265E-2</v>
      </c>
      <c r="V47" s="9">
        <f>INT(200*U47)/200</f>
        <v>8.5000000000000006E-2</v>
      </c>
      <c r="W47" s="9">
        <f t="array" ref="W47">SQRT(MMULT(MMULT(P47:S47,$K$3:$N$6),TRANSPOSE(P47:S47)))</f>
        <v>6.8231059690848181E-2</v>
      </c>
      <c r="Y47" s="31">
        <f>U47/W47</f>
        <v>1.2759674775614351</v>
      </c>
      <c r="AA47" s="9">
        <f t="shared" si="3"/>
        <v>0.34129941341427383</v>
      </c>
      <c r="AB47" s="9">
        <f t="shared" si="4"/>
        <v>0.43730627863214444</v>
      </c>
      <c r="AC47" s="9">
        <f t="shared" si="5"/>
        <v>0.12216037328166025</v>
      </c>
      <c r="AD47" s="9">
        <f t="shared" si="6"/>
        <v>9.9233934671921473E-2</v>
      </c>
      <c r="AE47" s="9"/>
      <c r="AF47" s="9">
        <f t="shared" si="7"/>
        <v>0.39762598242438829</v>
      </c>
      <c r="AG47" s="9">
        <f t="shared" si="8"/>
        <v>0.1523781163137938</v>
      </c>
      <c r="AH47" s="9">
        <f t="shared" si="9"/>
        <v>0.74113721470106231</v>
      </c>
      <c r="AI47" s="9">
        <f t="shared" si="10"/>
        <v>0.58152095284480221</v>
      </c>
    </row>
    <row r="48" spans="16:35" x14ac:dyDescent="0.3">
      <c r="P48" s="9">
        <v>0.34335794973655576</v>
      </c>
      <c r="Q48" s="9">
        <v>0.39167067442506476</v>
      </c>
      <c r="R48" s="9">
        <v>0.22211110336590145</v>
      </c>
      <c r="S48" s="9">
        <v>4.2860272472477881E-2</v>
      </c>
      <c r="U48" s="9">
        <f t="array" ref="U48">MMULT(TRANSPOSE($B$3:$B$6),TRANSPOSE(P48:S48))</f>
        <v>9.040868330586499E-2</v>
      </c>
      <c r="V48" s="9">
        <f>INT(200*U48)/200</f>
        <v>0.09</v>
      </c>
      <c r="W48" s="9">
        <f t="array" ref="W48">SQRT(MMULT(MMULT(P48:S48,$K$3:$N$6),TRANSPOSE(P48:S48)))</f>
        <v>7.088245085526626E-2</v>
      </c>
      <c r="Y48" s="31">
        <f>U48/W48</f>
        <v>1.2754734382769726</v>
      </c>
      <c r="AA48" s="9">
        <f t="shared" si="3"/>
        <v>0.34037593455549581</v>
      </c>
      <c r="AB48" s="9">
        <f t="shared" si="4"/>
        <v>0.43355076014623573</v>
      </c>
      <c r="AC48" s="9">
        <f t="shared" si="5"/>
        <v>0.13244770279932391</v>
      </c>
      <c r="AD48" s="9">
        <f t="shared" si="6"/>
        <v>9.3625602498944513E-2</v>
      </c>
      <c r="AE48" s="9"/>
      <c r="AF48" s="9">
        <f t="shared" si="7"/>
        <v>0.39930334279972246</v>
      </c>
      <c r="AG48" s="9">
        <f t="shared" si="8"/>
        <v>0.15341854770957147</v>
      </c>
      <c r="AH48" s="9">
        <f t="shared" si="9"/>
        <v>0.71536384323589541</v>
      </c>
      <c r="AI48" s="9">
        <f t="shared" si="10"/>
        <v>0.62675734225765822</v>
      </c>
    </row>
    <row r="49" spans="1:35" x14ac:dyDescent="0.3">
      <c r="P49" s="9">
        <v>0.39055065266289041</v>
      </c>
      <c r="Q49" s="9">
        <v>0.39511120843473885</v>
      </c>
      <c r="R49" s="9">
        <v>0.10283325700788844</v>
      </c>
      <c r="S49" s="9">
        <v>0.11150488189448228</v>
      </c>
      <c r="U49" s="9">
        <f t="array" ref="U49">MMULT(TRANSPOSE($B$3:$B$6),TRANSPOSE(P49:S49))</f>
        <v>8.8776561627997103E-2</v>
      </c>
      <c r="V49" s="9">
        <f>INT(200*U49)/200</f>
        <v>8.5000000000000006E-2</v>
      </c>
      <c r="W49" s="9">
        <f t="array" ref="W49">SQRT(MMULT(MMULT(P49:S49,$K$3:$N$6),TRANSPOSE(P49:S49)))</f>
        <v>6.9650627836364568E-2</v>
      </c>
      <c r="Y49" s="31">
        <f>U49/W49</f>
        <v>1.2745981534662763</v>
      </c>
      <c r="AA49" s="9">
        <f t="shared" si="3"/>
        <v>0.32942537050510018</v>
      </c>
      <c r="AB49" s="9">
        <f t="shared" si="4"/>
        <v>0.43778100645100892</v>
      </c>
      <c r="AC49" s="9">
        <f t="shared" si="5"/>
        <v>0.13321676290773971</v>
      </c>
      <c r="AD49" s="9">
        <f t="shared" si="6"/>
        <v>9.9576860136151121E-2</v>
      </c>
      <c r="AE49" s="9"/>
      <c r="AF49" s="9">
        <f t="shared" si="7"/>
        <v>0.43418943882258582</v>
      </c>
      <c r="AG49" s="9">
        <f t="shared" si="8"/>
        <v>0.15384446524468495</v>
      </c>
      <c r="AH49" s="9">
        <f t="shared" si="9"/>
        <v>0.71748120823197148</v>
      </c>
      <c r="AI49" s="9">
        <f t="shared" si="10"/>
        <v>0.56270942813888691</v>
      </c>
    </row>
    <row r="50" spans="1:35" x14ac:dyDescent="0.3">
      <c r="P50" s="9">
        <v>0.24087072006185647</v>
      </c>
      <c r="Q50" s="9">
        <v>0.4591469353171988</v>
      </c>
      <c r="R50" s="9">
        <v>0.14237062957276136</v>
      </c>
      <c r="S50" s="9">
        <v>0.15761171504818333</v>
      </c>
      <c r="U50" s="9">
        <f t="array" ref="U50">MMULT(TRANSPOSE($B$3:$B$6),TRANSPOSE(P50:S50))</f>
        <v>9.7232332860267806E-2</v>
      </c>
      <c r="V50" s="9">
        <f>INT(200*U50)/200</f>
        <v>9.5000000000000001E-2</v>
      </c>
      <c r="W50" s="9">
        <f t="array" ref="W50">SQRT(MMULT(MMULT(P50:S50,$K$3:$N$6),TRANSPOSE(P50:S50)))</f>
        <v>7.6687523000057004E-2</v>
      </c>
      <c r="Y50" s="31">
        <f>U50/W50</f>
        <v>1.2679029007130083</v>
      </c>
      <c r="AA50" s="9">
        <f t="shared" si="3"/>
        <v>0.31852400610905812</v>
      </c>
      <c r="AB50" s="9">
        <f t="shared" si="4"/>
        <v>0.43879602177521787</v>
      </c>
      <c r="AC50" s="9">
        <f t="shared" si="5"/>
        <v>0.1414777229832247</v>
      </c>
      <c r="AD50" s="9">
        <f t="shared" si="6"/>
        <v>0.10120224913249927</v>
      </c>
      <c r="AE50" s="9"/>
      <c r="AF50" s="9">
        <f t="shared" si="7"/>
        <v>0.44202031742518588</v>
      </c>
      <c r="AG50" s="9">
        <f t="shared" si="8"/>
        <v>0.1528327383251879</v>
      </c>
      <c r="AH50" s="9">
        <f t="shared" si="9"/>
        <v>0.67244349553668747</v>
      </c>
      <c r="AI50" s="9">
        <f t="shared" si="10"/>
        <v>0.55224905269328806</v>
      </c>
    </row>
    <row r="51" spans="1:35" x14ac:dyDescent="0.3">
      <c r="P51" s="9">
        <v>0.1006389877008879</v>
      </c>
      <c r="Q51" s="9">
        <v>0.51972102732724057</v>
      </c>
      <c r="R51" s="9">
        <v>0.24244438513808433</v>
      </c>
      <c r="S51" s="9">
        <v>0.13719559983378726</v>
      </c>
      <c r="U51" s="9">
        <f t="array" ref="U51">MMULT(TRANSPOSE($B$3:$B$6),TRANSPOSE(P51:S51))</f>
        <v>0.1049404539936685</v>
      </c>
      <c r="V51" s="9">
        <f>INT(200*U51)/200</f>
        <v>0.1</v>
      </c>
      <c r="W51" s="9">
        <f t="array" ref="W51">SQRT(MMULT(MMULT(P51:S51,$K$3:$N$6),TRANSPOSE(P51:S51)))</f>
        <v>8.2832129066497492E-2</v>
      </c>
      <c r="Y51" s="31">
        <f>U51/W51</f>
        <v>1.2669051873509429</v>
      </c>
      <c r="AA51" s="9">
        <f t="shared" si="3"/>
        <v>0.31089011530492949</v>
      </c>
      <c r="AB51" s="9">
        <f t="shared" si="4"/>
        <v>0.4368371871880824</v>
      </c>
      <c r="AC51" s="9">
        <f t="shared" si="5"/>
        <v>0.1505230273677225</v>
      </c>
      <c r="AD51" s="9">
        <f t="shared" si="6"/>
        <v>0.10174967013926561</v>
      </c>
      <c r="AE51" s="9"/>
      <c r="AF51" s="9">
        <f t="shared" si="7"/>
        <v>0.43486067526595173</v>
      </c>
      <c r="AG51" s="9">
        <f t="shared" si="8"/>
        <v>0.15566442059311542</v>
      </c>
      <c r="AH51" s="9">
        <f t="shared" si="9"/>
        <v>0.59863160943301252</v>
      </c>
      <c r="AI51" s="9">
        <f t="shared" si="10"/>
        <v>0.547598157863601</v>
      </c>
    </row>
    <row r="52" spans="1:35" x14ac:dyDescent="0.3">
      <c r="P52" s="9">
        <v>0.37943139220115396</v>
      </c>
      <c r="Q52" s="9">
        <v>0.38789753115082903</v>
      </c>
      <c r="R52" s="9">
        <v>0.11824232685141153</v>
      </c>
      <c r="S52" s="9">
        <v>0.11442874979660542</v>
      </c>
      <c r="U52" s="9">
        <f t="array" ref="U52">MMULT(TRANSPOSE($B$3:$B$6),TRANSPOSE(P52:S52))</f>
        <v>8.9032713491831825E-2</v>
      </c>
      <c r="V52" s="9">
        <f>INT(200*U52)/200</f>
        <v>8.5000000000000006E-2</v>
      </c>
      <c r="W52" s="9">
        <f t="array" ref="W52">SQRT(MMULT(MMULT(P52:S52,$K$3:$N$6),TRANSPOSE(P52:S52)))</f>
        <v>7.0282935931490056E-2</v>
      </c>
      <c r="Y52" s="31">
        <f>U52/W52</f>
        <v>1.2667756733813533</v>
      </c>
      <c r="AA52" s="9">
        <f t="shared" si="3"/>
        <v>0.30451297501344871</v>
      </c>
      <c r="AB52" s="9">
        <f t="shared" si="4"/>
        <v>0.43890322454464886</v>
      </c>
      <c r="AC52" s="9">
        <f t="shared" si="5"/>
        <v>0.1514542013613922</v>
      </c>
      <c r="AD52" s="9">
        <f t="shared" si="6"/>
        <v>0.1051295990805103</v>
      </c>
      <c r="AE52" s="9"/>
      <c r="AF52" s="9">
        <f t="shared" si="7"/>
        <v>0.43720114143850997</v>
      </c>
      <c r="AG52" s="9">
        <f t="shared" si="8"/>
        <v>0.15594237505833941</v>
      </c>
      <c r="AH52" s="9">
        <f t="shared" si="9"/>
        <v>0.58743245095325014</v>
      </c>
      <c r="AI52" s="9">
        <f t="shared" si="10"/>
        <v>0.55891955134051219</v>
      </c>
    </row>
    <row r="53" spans="1:35" x14ac:dyDescent="0.3">
      <c r="A53" s="6" t="s">
        <v>52</v>
      </c>
      <c r="P53" s="9">
        <v>0.39671442354914105</v>
      </c>
      <c r="Q53" s="9">
        <v>0.40831554295960099</v>
      </c>
      <c r="R53" s="9">
        <v>5.5114807713108338E-2</v>
      </c>
      <c r="S53" s="9">
        <v>0.13985522577814971</v>
      </c>
      <c r="U53" s="9">
        <f t="array" ref="U53">MMULT(TRANSPOSE($B$3:$B$6),TRANSPOSE(P53:S53))</f>
        <v>8.9028471240199622E-2</v>
      </c>
      <c r="V53" s="9">
        <f>INT(200*U53)/200</f>
        <v>8.5000000000000006E-2</v>
      </c>
      <c r="W53" s="9">
        <f t="array" ref="W53">SQRT(MMULT(MMULT(P53:S53,$K$3:$N$6),TRANSPOSE(P53:S53)))</f>
        <v>7.0354325168506066E-2</v>
      </c>
      <c r="Y53" s="31">
        <f>U53/W53</f>
        <v>1.2654299650656444</v>
      </c>
      <c r="AA53" s="9">
        <f t="shared" si="3"/>
        <v>0.32223769543223435</v>
      </c>
      <c r="AB53" s="9">
        <f t="shared" si="4"/>
        <v>0.43102639065868997</v>
      </c>
      <c r="AC53" s="9">
        <f t="shared" si="5"/>
        <v>0.13989251356516363</v>
      </c>
      <c r="AD53" s="9">
        <f t="shared" si="6"/>
        <v>0.1068434003439119</v>
      </c>
      <c r="AE53" s="9"/>
      <c r="AF53" s="9">
        <f t="shared" si="7"/>
        <v>0.39539458582184589</v>
      </c>
      <c r="AG53" s="9">
        <f t="shared" si="8"/>
        <v>0.15338214112790263</v>
      </c>
      <c r="AH53" s="9">
        <f t="shared" si="9"/>
        <v>0.60227022992372237</v>
      </c>
      <c r="AI53" s="9">
        <f t="shared" si="10"/>
        <v>0.54634244623229999</v>
      </c>
    </row>
    <row r="54" spans="1:35" x14ac:dyDescent="0.3">
      <c r="P54" s="9">
        <v>9.2910937459534756E-2</v>
      </c>
      <c r="Q54" s="9">
        <v>0.57109132446194255</v>
      </c>
      <c r="R54" s="9">
        <v>0.13550187074326442</v>
      </c>
      <c r="S54" s="9">
        <v>0.20049586733525845</v>
      </c>
      <c r="U54" s="9">
        <f t="array" ref="U54">MMULT(TRANSPOSE($B$3:$B$6),TRANSPOSE(P54:S54))</f>
        <v>0.10708536891428773</v>
      </c>
      <c r="V54" s="9">
        <f>INT(200*U54)/200</f>
        <v>0.105</v>
      </c>
      <c r="W54" s="9">
        <f t="array" ref="W54">SQRT(MMULT(MMULT(P54:S54,$K$3:$N$6),TRANSPOSE(P54:S54)))</f>
        <v>8.4682449359254328E-2</v>
      </c>
      <c r="Y54" s="31">
        <f>U54/W54</f>
        <v>1.2645520969757489</v>
      </c>
      <c r="AA54" s="9">
        <f t="shared" si="3"/>
        <v>0.32202826689185271</v>
      </c>
      <c r="AB54" s="9">
        <f t="shared" si="4"/>
        <v>0.42764479147999795</v>
      </c>
      <c r="AC54" s="9">
        <f t="shared" si="5"/>
        <v>0.15095943631071393</v>
      </c>
      <c r="AD54" s="9">
        <f t="shared" si="6"/>
        <v>9.9367505317435392E-2</v>
      </c>
      <c r="AE54" s="9"/>
      <c r="AF54" s="9">
        <f t="shared" si="7"/>
        <v>0.39605957639635081</v>
      </c>
      <c r="AG54" s="9">
        <f t="shared" si="8"/>
        <v>0.15107485355967179</v>
      </c>
      <c r="AH54" s="9">
        <f t="shared" si="9"/>
        <v>0.61383383733819386</v>
      </c>
      <c r="AI54" s="9">
        <f t="shared" si="10"/>
        <v>0.60819189933022388</v>
      </c>
    </row>
    <row r="55" spans="1:35" x14ac:dyDescent="0.3">
      <c r="P55" s="9">
        <v>0.51222509130521676</v>
      </c>
      <c r="Q55" s="9">
        <v>0.3887151256623439</v>
      </c>
      <c r="R55" s="9">
        <v>1.2767749956096849E-2</v>
      </c>
      <c r="S55" s="9">
        <v>8.629203307634252E-2</v>
      </c>
      <c r="U55" s="9">
        <f t="array" ref="U55">MMULT(TRANSPOSE($B$3:$B$6),TRANSPOSE(P55:S55))</f>
        <v>8.3359509254685271E-2</v>
      </c>
      <c r="V55" s="9">
        <f>INT(200*U55)/200</f>
        <v>0.08</v>
      </c>
      <c r="W55" s="9">
        <f t="array" ref="W55">SQRT(MMULT(MMULT(P55:S55,$K$3:$N$6),TRANSPOSE(P55:S55)))</f>
        <v>6.5922818470387765E-2</v>
      </c>
      <c r="Y55" s="31">
        <f>U55/W55</f>
        <v>1.2645015973054912</v>
      </c>
      <c r="AA55" s="9">
        <f t="shared" si="3"/>
        <v>0.30227198117883308</v>
      </c>
      <c r="AB55" s="9">
        <f t="shared" si="4"/>
        <v>0.43588791744185668</v>
      </c>
      <c r="AC55" s="9">
        <f t="shared" si="5"/>
        <v>0.16297196044223489</v>
      </c>
      <c r="AD55" s="9">
        <f t="shared" si="6"/>
        <v>9.8868140937075258E-2</v>
      </c>
      <c r="AE55" s="9"/>
      <c r="AF55" s="9">
        <f t="shared" si="7"/>
        <v>0.46265413623154955</v>
      </c>
      <c r="AG55" s="9">
        <f t="shared" si="8"/>
        <v>0.15635905655612847</v>
      </c>
      <c r="AH55" s="9">
        <f t="shared" si="9"/>
        <v>0.66674866819993839</v>
      </c>
      <c r="AI55" s="9">
        <f t="shared" si="10"/>
        <v>0.61786074104561117</v>
      </c>
    </row>
    <row r="56" spans="1:35" x14ac:dyDescent="0.3">
      <c r="P56" s="9">
        <v>0.4999641637830487</v>
      </c>
      <c r="Q56" s="9">
        <v>0.34896602888704376</v>
      </c>
      <c r="R56" s="9">
        <v>0.12600094938652598</v>
      </c>
      <c r="S56" s="9">
        <v>2.5068857943381505E-2</v>
      </c>
      <c r="U56" s="9">
        <f t="array" ref="U56">MMULT(TRANSPOSE($B$3:$B$6),TRANSPOSE(P56:S56))</f>
        <v>8.2423868625671415E-2</v>
      </c>
      <c r="V56" s="9">
        <f>INT(200*U56)/200</f>
        <v>0.08</v>
      </c>
      <c r="W56" s="9">
        <f t="array" ref="W56">SQRT(MMULT(MMULT(P56:S56,$K$3:$N$6),TRANSPOSE(P56:S56)))</f>
        <v>6.5193868160284899E-2</v>
      </c>
      <c r="Y56" s="31">
        <f>U56/W56</f>
        <v>1.2642886662749484</v>
      </c>
      <c r="AA56" s="9">
        <f t="shared" si="3"/>
        <v>0.30607236622490969</v>
      </c>
      <c r="AB56" s="9">
        <f t="shared" si="4"/>
        <v>0.4354046374190278</v>
      </c>
      <c r="AC56" s="9">
        <f t="shared" si="5"/>
        <v>0.15819716480622908</v>
      </c>
      <c r="AD56" s="9">
        <f t="shared" si="6"/>
        <v>0.10032583154983334</v>
      </c>
      <c r="AE56" s="9"/>
      <c r="AF56" s="9">
        <f t="shared" si="7"/>
        <v>0.47623553615779063</v>
      </c>
      <c r="AG56" s="9">
        <f t="shared" si="8"/>
        <v>0.15783099222787675</v>
      </c>
      <c r="AH56" s="9">
        <f t="shared" si="9"/>
        <v>0.7060965852635398</v>
      </c>
      <c r="AI56" s="9">
        <f t="shared" si="10"/>
        <v>0.59150099529644795</v>
      </c>
    </row>
    <row r="57" spans="1:35" x14ac:dyDescent="0.3">
      <c r="P57" s="9">
        <v>0.23917521803144706</v>
      </c>
      <c r="Q57" s="9">
        <v>0.42765276963550575</v>
      </c>
      <c r="R57" s="9">
        <v>0.28662565367683779</v>
      </c>
      <c r="S57" s="9">
        <v>4.6546358656209409E-2</v>
      </c>
      <c r="U57" s="9">
        <f t="array" ref="U57">MMULT(TRANSPOSE($B$3:$B$6),TRANSPOSE(P57:S57))</f>
        <v>9.5925074535688812E-2</v>
      </c>
      <c r="V57" s="9">
        <f>INT(200*U57)/200</f>
        <v>9.5000000000000001E-2</v>
      </c>
      <c r="W57" s="9">
        <f t="array" ref="W57">SQRT(MMULT(MMULT(P57:S57,$K$3:$N$6),TRANSPOSE(P57:S57)))</f>
        <v>7.5889857616274078E-2</v>
      </c>
      <c r="Y57" s="31">
        <f>U57/W57</f>
        <v>1.2640038807388447</v>
      </c>
      <c r="AA57" s="9">
        <f t="shared" si="3"/>
        <v>0.30253775967955587</v>
      </c>
      <c r="AB57" s="9">
        <f t="shared" si="4"/>
        <v>0.43350659395955704</v>
      </c>
      <c r="AC57" s="9">
        <f t="shared" si="5"/>
        <v>0.16273904564950908</v>
      </c>
      <c r="AD57" s="9">
        <f t="shared" si="6"/>
        <v>0.10121660071137795</v>
      </c>
      <c r="AE57" s="9"/>
      <c r="AF57" s="9">
        <f t="shared" si="7"/>
        <v>0.49124298845781661</v>
      </c>
      <c r="AG57" s="9">
        <f t="shared" si="8"/>
        <v>0.15032853456199335</v>
      </c>
      <c r="AH57" s="9">
        <f t="shared" si="9"/>
        <v>0.65658422387296334</v>
      </c>
      <c r="AI57" s="9">
        <f t="shared" si="10"/>
        <v>0.60244566072011541</v>
      </c>
    </row>
    <row r="58" spans="1:35" x14ac:dyDescent="0.3">
      <c r="P58" s="9">
        <v>0.3026057932482995</v>
      </c>
      <c r="Q58" s="9">
        <v>0.39804146134934615</v>
      </c>
      <c r="R58" s="9">
        <v>0.27143491570383932</v>
      </c>
      <c r="S58" s="9">
        <v>2.7917829698514994E-2</v>
      </c>
      <c r="U58" s="9">
        <f t="array" ref="U58">MMULT(TRANSPOSE($B$3:$B$6),TRANSPOSE(P58:S58))</f>
        <v>9.226852780131764E-2</v>
      </c>
      <c r="V58" s="9">
        <f>INT(200*U58)/200</f>
        <v>0.09</v>
      </c>
      <c r="W58" s="9">
        <f t="array" ref="W58">SQRT(MMULT(MMULT(P58:S58,$K$3:$N$6),TRANSPOSE(P58:S58)))</f>
        <v>7.3122728431280398E-2</v>
      </c>
      <c r="Y58" s="31">
        <f>U58/W58</f>
        <v>1.2618310309363001</v>
      </c>
      <c r="AA58" s="9">
        <f t="shared" si="3"/>
        <v>0.30009836428265546</v>
      </c>
      <c r="AB58" s="9">
        <f t="shared" si="4"/>
        <v>0.43158138235060794</v>
      </c>
      <c r="AC58" s="9">
        <f t="shared" si="5"/>
        <v>0.16862340034723736</v>
      </c>
      <c r="AD58" s="9">
        <f t="shared" si="6"/>
        <v>9.969685301949914E-2</v>
      </c>
      <c r="AE58" s="9"/>
      <c r="AF58" s="9">
        <f t="shared" si="7"/>
        <v>0.48912080997443713</v>
      </c>
      <c r="AG58" s="9">
        <f t="shared" si="8"/>
        <v>0.15492738187670455</v>
      </c>
      <c r="AH58" s="9">
        <f t="shared" si="9"/>
        <v>0.61860902395843775</v>
      </c>
      <c r="AI58" s="9">
        <f t="shared" si="10"/>
        <v>0.61347892381690194</v>
      </c>
    </row>
    <row r="59" spans="1:35" x14ac:dyDescent="0.3">
      <c r="P59" s="9">
        <v>0.13355615218007191</v>
      </c>
      <c r="Q59" s="9">
        <v>0.49267289276338067</v>
      </c>
      <c r="R59" s="9">
        <v>0.23898419358712</v>
      </c>
      <c r="S59" s="9">
        <v>0.13478676146942745</v>
      </c>
      <c r="U59" s="9">
        <f t="array" ref="U59">MMULT(TRANSPOSE($B$3:$B$6),TRANSPOSE(P59:S59))</f>
        <v>0.10270812282046439</v>
      </c>
      <c r="V59" s="9">
        <f>INT(200*U59)/200</f>
        <v>0.1</v>
      </c>
      <c r="W59" s="9">
        <f t="array" ref="W59">SQRT(MMULT(MMULT(P59:S59,$K$3:$N$6),TRANSPOSE(P59:S59)))</f>
        <v>8.1427272668542355E-2</v>
      </c>
      <c r="Y59" s="31">
        <f>U59/W59</f>
        <v>1.2613479422127745</v>
      </c>
      <c r="AA59" s="9">
        <f t="shared" si="3"/>
        <v>0.29981090208653305</v>
      </c>
      <c r="AB59" s="9">
        <f t="shared" si="4"/>
        <v>0.43102324019361371</v>
      </c>
      <c r="AC59" s="9">
        <f t="shared" si="5"/>
        <v>0.1656229578765703</v>
      </c>
      <c r="AD59" s="9">
        <f t="shared" si="6"/>
        <v>0.10354289984328287</v>
      </c>
      <c r="AE59" s="9"/>
      <c r="AF59" s="9">
        <f t="shared" si="7"/>
        <v>0.48931271731056586</v>
      </c>
      <c r="AG59" s="9">
        <f t="shared" si="8"/>
        <v>0.15605033804723786</v>
      </c>
      <c r="AH59" s="9">
        <f t="shared" si="9"/>
        <v>0.62551883429252797</v>
      </c>
      <c r="AI59" s="9">
        <f t="shared" si="10"/>
        <v>0.57885490499051395</v>
      </c>
    </row>
    <row r="60" spans="1:35" x14ac:dyDescent="0.3">
      <c r="P60" s="9">
        <v>0.23726880426158123</v>
      </c>
      <c r="Q60" s="9">
        <v>0.43079855856125832</v>
      </c>
      <c r="R60" s="9">
        <v>0.21919794830491285</v>
      </c>
      <c r="S60" s="9">
        <v>0.11273468887224763</v>
      </c>
      <c r="U60" s="9">
        <f t="array" ref="U60">MMULT(TRANSPOSE($B$3:$B$6),TRANSPOSE(P60:S60))</f>
        <v>9.634392655102833E-2</v>
      </c>
      <c r="V60" s="9">
        <f>INT(200*U60)/200</f>
        <v>9.5000000000000001E-2</v>
      </c>
      <c r="W60" s="9">
        <f t="array" ref="W60">SQRT(MMULT(MMULT(P60:S60,$K$3:$N$6),TRANSPOSE(P60:S60)))</f>
        <v>7.6403971353635095E-2</v>
      </c>
      <c r="Y60" s="31">
        <f>U60/W60</f>
        <v>1.2609806119252798</v>
      </c>
      <c r="AA60" s="9">
        <f t="shared" si="3"/>
        <v>0.29404110004338524</v>
      </c>
      <c r="AB60" s="9">
        <f t="shared" si="4"/>
        <v>0.43191334314737151</v>
      </c>
      <c r="AC60" s="9">
        <f t="shared" si="5"/>
        <v>0.16884122316573455</v>
      </c>
      <c r="AD60" s="9">
        <f t="shared" si="6"/>
        <v>0.10520433364350866</v>
      </c>
      <c r="AE60" s="9"/>
      <c r="AF60" s="9">
        <f t="shared" si="7"/>
        <v>0.49425187211918953</v>
      </c>
      <c r="AG60" s="9">
        <f t="shared" si="8"/>
        <v>0.1548573287822296</v>
      </c>
      <c r="AH60" s="9">
        <f t="shared" si="9"/>
        <v>0.60765431739118292</v>
      </c>
      <c r="AI60" s="9">
        <f t="shared" si="10"/>
        <v>0.57647259401578455</v>
      </c>
    </row>
    <row r="61" spans="1:35" x14ac:dyDescent="0.3">
      <c r="P61" s="9">
        <v>0.33096256532776319</v>
      </c>
      <c r="Q61" s="9">
        <v>0.38646380425386945</v>
      </c>
      <c r="R61" s="9">
        <v>0.19194287476636668</v>
      </c>
      <c r="S61" s="9">
        <v>9.0630755652000572E-2</v>
      </c>
      <c r="U61" s="9">
        <f t="array" ref="U61">MMULT(TRANSPOSE($B$3:$B$6),TRANSPOSE(P61:S61))</f>
        <v>9.0944121227212557E-2</v>
      </c>
      <c r="V61" s="9">
        <f>INT(200*U61)/200</f>
        <v>0.09</v>
      </c>
      <c r="W61" s="9">
        <f t="array" ref="W61">SQRT(MMULT(MMULT(P61:S61,$K$3:$N$6),TRANSPOSE(P61:S61)))</f>
        <v>7.2130500835235103E-2</v>
      </c>
      <c r="Y61" s="31">
        <f>U61/W61</f>
        <v>1.2608275302975183</v>
      </c>
      <c r="AA61" s="9">
        <f t="shared" si="3"/>
        <v>0.29989849734850088</v>
      </c>
      <c r="AB61" s="9">
        <f t="shared" si="4"/>
        <v>0.42751049953065184</v>
      </c>
      <c r="AC61" s="9">
        <f t="shared" si="5"/>
        <v>0.17488614497907187</v>
      </c>
      <c r="AD61" s="9">
        <f t="shared" si="6"/>
        <v>9.7704858141775403E-2</v>
      </c>
      <c r="AE61" s="9"/>
      <c r="AF61" s="9">
        <f t="shared" si="7"/>
        <v>0.48536041914941253</v>
      </c>
      <c r="AG61" s="9">
        <f t="shared" si="8"/>
        <v>0.15914434459983812</v>
      </c>
      <c r="AH61" s="9">
        <f t="shared" si="9"/>
        <v>0.59854987919447877</v>
      </c>
      <c r="AI61" s="9">
        <f t="shared" si="10"/>
        <v>0.65004424546792861</v>
      </c>
    </row>
    <row r="62" spans="1:35" x14ac:dyDescent="0.3">
      <c r="P62" s="9">
        <v>0.28202586887893999</v>
      </c>
      <c r="Q62" s="9">
        <v>0.47351413255490699</v>
      </c>
      <c r="R62" s="9">
        <v>5.6483759793458349E-2</v>
      </c>
      <c r="S62" s="9">
        <v>0.18797623877269468</v>
      </c>
      <c r="U62" s="9">
        <f t="array" ref="U62">MMULT(TRANSPOSE($B$3:$B$6),TRANSPOSE(P62:S62))</f>
        <v>9.6053003806302634E-2</v>
      </c>
      <c r="V62" s="9">
        <f>INT(200*U62)/200</f>
        <v>9.5000000000000001E-2</v>
      </c>
      <c r="W62" s="9">
        <f t="array" ref="W62">SQRT(MMULT(MMULT(P62:S62,$K$3:$N$6),TRANSPOSE(P62:S62)))</f>
        <v>7.6196368272227963E-2</v>
      </c>
      <c r="Y62" s="31">
        <f>U62/W62</f>
        <v>1.2605981883957063</v>
      </c>
      <c r="AA62" s="9">
        <f t="shared" si="3"/>
        <v>0.31344419542162966</v>
      </c>
      <c r="AB62" s="9">
        <f t="shared" si="4"/>
        <v>0.41964281836077688</v>
      </c>
      <c r="AC62" s="9">
        <f t="shared" si="5"/>
        <v>0.17502260466080577</v>
      </c>
      <c r="AD62" s="9">
        <f t="shared" si="6"/>
        <v>9.1890381556787706E-2</v>
      </c>
      <c r="AE62" s="9"/>
      <c r="AF62" s="9">
        <f t="shared" si="7"/>
        <v>0.4440502553334062</v>
      </c>
      <c r="AG62" s="9">
        <f t="shared" si="8"/>
        <v>0.15816366229409839</v>
      </c>
      <c r="AH62" s="9">
        <f t="shared" si="9"/>
        <v>0.59862198830196278</v>
      </c>
      <c r="AI62" s="9">
        <f t="shared" si="10"/>
        <v>0.71042250610020241</v>
      </c>
    </row>
    <row r="63" spans="1:35" x14ac:dyDescent="0.3">
      <c r="P63" s="9">
        <v>0.45942961149610373</v>
      </c>
      <c r="Q63" s="9">
        <v>0.37122653511901088</v>
      </c>
      <c r="R63" s="9">
        <v>5.7922015726907507E-2</v>
      </c>
      <c r="S63" s="9">
        <v>0.11142183765797785</v>
      </c>
      <c r="U63" s="9">
        <f t="array" ref="U63">MMULT(TRANSPOSE($B$3:$B$6),TRANSPOSE(P63:S63))</f>
        <v>8.5135099378076895E-2</v>
      </c>
      <c r="V63" s="9">
        <f>INT(200*U63)/200</f>
        <v>8.5000000000000006E-2</v>
      </c>
      <c r="W63" s="9">
        <f t="array" ref="W63">SQRT(MMULT(MMULT(P63:S63,$K$3:$N$6),TRANSPOSE(P63:S63)))</f>
        <v>6.7762139777467992E-2</v>
      </c>
      <c r="Y63" s="31">
        <f>U63/W63</f>
        <v>1.2563815082826781</v>
      </c>
      <c r="AA63" s="9">
        <f t="shared" si="3"/>
        <v>0.29894424125236302</v>
      </c>
      <c r="AB63" s="9">
        <f t="shared" si="4"/>
        <v>0.43040183090787854</v>
      </c>
      <c r="AC63" s="9">
        <f t="shared" si="5"/>
        <v>0.1725825307882683</v>
      </c>
      <c r="AD63" s="9">
        <f t="shared" si="6"/>
        <v>9.8071397051490206E-2</v>
      </c>
      <c r="AE63" s="9"/>
      <c r="AF63" s="9">
        <f t="shared" si="7"/>
        <v>0.49365387419150375</v>
      </c>
      <c r="AG63" s="9">
        <f t="shared" si="8"/>
        <v>0.1817451529615538</v>
      </c>
      <c r="AH63" s="9">
        <f t="shared" si="9"/>
        <v>0.6184814903284519</v>
      </c>
      <c r="AI63" s="9">
        <f t="shared" si="10"/>
        <v>0.74627124246267473</v>
      </c>
    </row>
    <row r="64" spans="1:35" x14ac:dyDescent="0.3">
      <c r="P64" s="9">
        <v>0.24379643227592485</v>
      </c>
      <c r="Q64" s="9">
        <v>0.42153898935952577</v>
      </c>
      <c r="R64" s="9">
        <v>0.32565620650549904</v>
      </c>
      <c r="S64" s="9">
        <v>9.008371859050299E-3</v>
      </c>
      <c r="U64" s="9">
        <f t="array" ref="U64">MMULT(TRANSPOSE($B$3:$B$6),TRANSPOSE(P64:S64))</f>
        <v>9.5404462434667117E-2</v>
      </c>
      <c r="V64" s="9">
        <f>INT(200*U64)/200</f>
        <v>9.5000000000000001E-2</v>
      </c>
      <c r="W64" s="9">
        <f t="array" ref="W64">SQRT(MMULT(MMULT(P64:S64,$K$3:$N$6),TRANSPOSE(P64:S64)))</f>
        <v>7.6173726581469439E-2</v>
      </c>
      <c r="Y64" s="31">
        <f>U64/W64</f>
        <v>1.2524589082907738</v>
      </c>
      <c r="AA64" s="9">
        <f t="shared" si="3"/>
        <v>0.29282638329472527</v>
      </c>
      <c r="AB64" s="9">
        <f t="shared" si="4"/>
        <v>0.42986225994341593</v>
      </c>
      <c r="AC64" s="9">
        <f t="shared" si="5"/>
        <v>0.18434422712013937</v>
      </c>
      <c r="AD64" s="9">
        <f t="shared" si="6"/>
        <v>9.2967129641719451E-2</v>
      </c>
      <c r="AE64" s="9"/>
      <c r="AF64" s="9">
        <f t="shared" si="7"/>
        <v>0.49849848174333794</v>
      </c>
      <c r="AG64" s="9">
        <f t="shared" si="8"/>
        <v>0.18243573666071325</v>
      </c>
      <c r="AH64" s="9">
        <f t="shared" si="9"/>
        <v>0.57911423811871021</v>
      </c>
      <c r="AI64" s="9">
        <f t="shared" si="10"/>
        <v>0.79450412871261522</v>
      </c>
    </row>
    <row r="65" spans="16:35" x14ac:dyDescent="0.3">
      <c r="P65" s="9">
        <v>2.5403877764010537E-2</v>
      </c>
      <c r="Q65" s="9">
        <v>0.54553513752484994</v>
      </c>
      <c r="R65" s="9">
        <v>0.41076822110114564</v>
      </c>
      <c r="S65" s="9">
        <v>1.8292763609993951E-2</v>
      </c>
      <c r="U65" s="9">
        <f t="array" ref="U65">MMULT(TRANSPOSE($B$3:$B$6),TRANSPOSE(P65:S65))</f>
        <v>0.10847576082797603</v>
      </c>
      <c r="V65" s="9">
        <f>INT(200*U65)/200</f>
        <v>0.105</v>
      </c>
      <c r="W65" s="9">
        <f t="array" ref="W65">SQRT(MMULT(MMULT(P65:S65,$K$3:$N$6),TRANSPOSE(P65:S65)))</f>
        <v>8.665894832905538E-2</v>
      </c>
      <c r="Y65" s="31">
        <f>U65/W65</f>
        <v>1.2517548726310335</v>
      </c>
      <c r="AA65" s="9">
        <f t="shared" si="3"/>
        <v>0.30528851401953139</v>
      </c>
      <c r="AB65" s="9">
        <f t="shared" si="4"/>
        <v>0.41968745430739757</v>
      </c>
      <c r="AC65" s="9">
        <f t="shared" si="5"/>
        <v>0.1881637965988768</v>
      </c>
      <c r="AD65" s="9">
        <f t="shared" si="6"/>
        <v>8.6860235074194242E-2</v>
      </c>
      <c r="AE65" s="9"/>
      <c r="AF65" s="9">
        <f t="shared" si="7"/>
        <v>0.45550469738785021</v>
      </c>
      <c r="AG65" s="9">
        <f t="shared" si="8"/>
        <v>0.17357060521582665</v>
      </c>
      <c r="AH65" s="9">
        <f t="shared" si="9"/>
        <v>0.5652290728547148</v>
      </c>
      <c r="AI65" s="9">
        <f t="shared" si="10"/>
        <v>0.80258684647508816</v>
      </c>
    </row>
    <row r="66" spans="16:35" x14ac:dyDescent="0.3">
      <c r="P66" s="9">
        <v>0.55576240680607769</v>
      </c>
      <c r="Q66" s="9">
        <v>0.35432824188027062</v>
      </c>
      <c r="R66" s="9">
        <v>4.3614408090515006E-2</v>
      </c>
      <c r="S66" s="9">
        <v>4.6294943223136584E-2</v>
      </c>
      <c r="U66" s="9">
        <f t="array" ref="U66">MMULT(TRANSPOSE($B$3:$B$6),TRANSPOSE(P66:S66))</f>
        <v>8.0315706932813175E-2</v>
      </c>
      <c r="V66" s="9">
        <f>INT(200*U66)/200</f>
        <v>0.08</v>
      </c>
      <c r="W66" s="9">
        <f t="array" ref="W66">SQRT(MMULT(MMULT(P66:S66,$K$3:$N$6),TRANSPOSE(P66:S66)))</f>
        <v>6.4184832393889862E-2</v>
      </c>
      <c r="Y66" s="31">
        <f>U66/W66</f>
        <v>1.2513191035528652</v>
      </c>
      <c r="AA66" s="9">
        <f t="shared" si="3"/>
        <v>0.28446179916541964</v>
      </c>
      <c r="AB66" s="9">
        <f t="shared" si="4"/>
        <v>0.42538402925450292</v>
      </c>
      <c r="AC66" s="9">
        <f t="shared" si="5"/>
        <v>0.20737095995249608</v>
      </c>
      <c r="AD66" s="9">
        <f t="shared" si="6"/>
        <v>8.2783211627581399E-2</v>
      </c>
      <c r="AE66" s="9"/>
      <c r="AF66" s="9">
        <f t="shared" si="7"/>
        <v>0.48958923659703851</v>
      </c>
      <c r="AG66" s="9">
        <f t="shared" si="8"/>
        <v>0.17619224111607137</v>
      </c>
      <c r="AH66" s="9">
        <f t="shared" si="9"/>
        <v>0.527904541360802</v>
      </c>
      <c r="AI66" s="9">
        <f t="shared" si="10"/>
        <v>0.872239095057181</v>
      </c>
    </row>
    <row r="67" spans="16:35" x14ac:dyDescent="0.3">
      <c r="P67" s="9">
        <v>0.15388289210262859</v>
      </c>
      <c r="Q67" s="9">
        <v>0.53383803311724565</v>
      </c>
      <c r="R67" s="9">
        <v>9.7010574563570068E-2</v>
      </c>
      <c r="S67" s="9">
        <v>0.21526850021655558</v>
      </c>
      <c r="U67" s="9">
        <f t="array" ref="U67">MMULT(TRANSPOSE($B$3:$B$6),TRANSPOSE(P67:S67))</f>
        <v>0.10341785018492139</v>
      </c>
      <c r="V67" s="9">
        <f>INT(200*U67)/200</f>
        <v>0.1</v>
      </c>
      <c r="W67" s="9">
        <f t="array" ref="W67">SQRT(MMULT(MMULT(P67:S67,$K$3:$N$6),TRANSPOSE(P67:S67)))</f>
        <v>8.2688061624602668E-2</v>
      </c>
      <c r="Y67" s="31">
        <f>U67/W67</f>
        <v>1.2506986879730031</v>
      </c>
      <c r="AA67" s="9">
        <f t="shared" si="3"/>
        <v>0.27372340106281329</v>
      </c>
      <c r="AB67" s="9">
        <f t="shared" si="4"/>
        <v>0.42801163491973071</v>
      </c>
      <c r="AC67" s="9">
        <f t="shared" si="5"/>
        <v>0.20952633681880103</v>
      </c>
      <c r="AD67" s="9">
        <f t="shared" si="6"/>
        <v>8.8738627198655065E-2</v>
      </c>
      <c r="AE67" s="9"/>
      <c r="AF67" s="9">
        <f t="shared" si="7"/>
        <v>0.47574398244567501</v>
      </c>
      <c r="AG67" s="9">
        <f t="shared" si="8"/>
        <v>0.1707436477421834</v>
      </c>
      <c r="AH67" s="9">
        <f t="shared" si="9"/>
        <v>0.51653845280962529</v>
      </c>
      <c r="AI67" s="9">
        <f t="shared" si="10"/>
        <v>0.81549500385786533</v>
      </c>
    </row>
    <row r="68" spans="16:35" x14ac:dyDescent="0.3">
      <c r="P68" s="9">
        <v>0.38153170910262968</v>
      </c>
      <c r="Q68" s="9">
        <v>0.35696307461759502</v>
      </c>
      <c r="R68" s="9">
        <v>0.18406355573677022</v>
      </c>
      <c r="S68" s="9">
        <v>7.7441660543005122E-2</v>
      </c>
      <c r="U68" s="9">
        <f t="array" ref="U68">MMULT(TRANSPOSE($B$3:$B$6),TRANSPOSE(P68:S68))</f>
        <v>8.7852800838421494E-2</v>
      </c>
      <c r="V68" s="9">
        <f>INT(200*U68)/200</f>
        <v>8.5000000000000006E-2</v>
      </c>
      <c r="W68" s="9">
        <f t="array" ref="W68">SQRT(MMULT(MMULT(P68:S68,$K$3:$N$6),TRANSPOSE(P68:S68)))</f>
        <v>7.0322881558535888E-2</v>
      </c>
      <c r="Y68" s="31">
        <f>U68/W68</f>
        <v>1.2492776019892462</v>
      </c>
      <c r="AA68" s="9">
        <f t="shared" si="3"/>
        <v>0.27881751981427616</v>
      </c>
      <c r="AB68" s="9">
        <f t="shared" si="4"/>
        <v>0.42486178661502361</v>
      </c>
      <c r="AC68" s="9">
        <f t="shared" si="5"/>
        <v>0.20824155909399117</v>
      </c>
      <c r="AD68" s="9">
        <f t="shared" si="6"/>
        <v>8.807913447670912E-2</v>
      </c>
      <c r="AE68" s="9"/>
      <c r="AF68" s="9">
        <f t="shared" si="7"/>
        <v>0.46946068855232448</v>
      </c>
      <c r="AG68" s="9">
        <f t="shared" si="8"/>
        <v>0.17537012596881435</v>
      </c>
      <c r="AH68" s="9">
        <f t="shared" si="9"/>
        <v>0.51586513094818842</v>
      </c>
      <c r="AI68" s="9">
        <f t="shared" si="10"/>
        <v>0.82688430902501875</v>
      </c>
    </row>
    <row r="69" spans="16:35" x14ac:dyDescent="0.3">
      <c r="P69" s="9">
        <v>0.33732124361798582</v>
      </c>
      <c r="Q69" s="9">
        <v>0.37994968912818533</v>
      </c>
      <c r="R69" s="9">
        <v>0.15910181148189284</v>
      </c>
      <c r="S69" s="9">
        <v>0.12362725577193605</v>
      </c>
      <c r="U69" s="9">
        <f t="array" ref="U69">MMULT(TRANSPOSE($B$3:$B$6),TRANSPOSE(P69:S69))</f>
        <v>9.0594990182130061E-2</v>
      </c>
      <c r="V69" s="9">
        <f>INT(200*U69)/200</f>
        <v>0.09</v>
      </c>
      <c r="W69" s="9">
        <f t="array" ref="W69">SQRT(MMULT(MMULT(P69:S69,$K$3:$N$6),TRANSPOSE(P69:S69)))</f>
        <v>7.2615778344876911E-2</v>
      </c>
      <c r="Y69" s="31">
        <f>U69/W69</f>
        <v>1.2475937357837548</v>
      </c>
      <c r="AA69" s="9">
        <f t="shared" si="3"/>
        <v>0.2721284579084054</v>
      </c>
      <c r="AB69" s="9">
        <f t="shared" si="4"/>
        <v>0.42702427195692721</v>
      </c>
      <c r="AC69" s="9">
        <f t="shared" si="5"/>
        <v>0.21011264166768467</v>
      </c>
      <c r="AD69" s="9">
        <f t="shared" si="6"/>
        <v>9.0734628466982631E-2</v>
      </c>
      <c r="AE69" s="9"/>
      <c r="AF69" s="9">
        <f t="shared" si="7"/>
        <v>0.48942538441761085</v>
      </c>
      <c r="AG69" s="9">
        <f t="shared" si="8"/>
        <v>0.17411086671559795</v>
      </c>
      <c r="AH69" s="9">
        <f t="shared" si="9"/>
        <v>0.51835132251224381</v>
      </c>
      <c r="AI69" s="9">
        <f t="shared" si="10"/>
        <v>0.78837706794078333</v>
      </c>
    </row>
    <row r="70" spans="16:35" x14ac:dyDescent="0.3">
      <c r="P70" s="9">
        <v>0.26938480975678625</v>
      </c>
      <c r="Q70" s="9">
        <v>0.4138033704636519</v>
      </c>
      <c r="R70" s="9">
        <v>0.17041682808033798</v>
      </c>
      <c r="S70" s="9">
        <v>0.14639499169922385</v>
      </c>
      <c r="U70" s="9">
        <f t="array" ref="U70">MMULT(TRANSPOSE($B$3:$B$6),TRANSPOSE(P70:S70))</f>
        <v>9.4587688873017398E-2</v>
      </c>
      <c r="V70" s="9">
        <f>INT(200*U70)/200</f>
        <v>0.09</v>
      </c>
      <c r="W70" s="9">
        <f t="array" ref="W70">SQRT(MMULT(MMULT(P70:S70,$K$3:$N$6),TRANSPOSE(P70:S70)))</f>
        <v>7.5834062008056008E-2</v>
      </c>
      <c r="Y70" s="31">
        <f>U70/W70</f>
        <v>1.2472981977804269</v>
      </c>
      <c r="AA70" s="9">
        <f t="shared" si="3"/>
        <v>0.28787274524645717</v>
      </c>
      <c r="AB70" s="9">
        <f t="shared" si="4"/>
        <v>0.42041976729349528</v>
      </c>
      <c r="AC70" s="9">
        <f t="shared" si="5"/>
        <v>0.20132648026413968</v>
      </c>
      <c r="AD70" s="9">
        <f t="shared" si="6"/>
        <v>9.0381007195907789E-2</v>
      </c>
      <c r="AE70" s="9"/>
      <c r="AF70" s="9">
        <f t="shared" si="7"/>
        <v>0.47072397456097842</v>
      </c>
      <c r="AG70" s="9">
        <f t="shared" si="8"/>
        <v>0.17693395532492454</v>
      </c>
      <c r="AH70" s="9">
        <f t="shared" si="9"/>
        <v>0.56524757732705311</v>
      </c>
      <c r="AI70" s="9">
        <f t="shared" si="10"/>
        <v>0.78913135723669781</v>
      </c>
    </row>
    <row r="71" spans="16:35" x14ac:dyDescent="0.3">
      <c r="P71" s="9">
        <v>0.36387606346928519</v>
      </c>
      <c r="Q71" s="9">
        <v>0.36668721936608545</v>
      </c>
      <c r="R71" s="9">
        <v>0.26931398765284459</v>
      </c>
      <c r="S71" s="9">
        <v>1.2272951178487904E-4</v>
      </c>
      <c r="U71" s="9">
        <f t="array" ref="U71">MMULT(TRANSPOSE($B$3:$B$6),TRANSPOSE(P71:S71))</f>
        <v>8.861570960761482E-2</v>
      </c>
      <c r="V71" s="9">
        <f>INT(200*U71)/200</f>
        <v>8.5000000000000006E-2</v>
      </c>
      <c r="W71" s="9">
        <f t="array" ref="W71">SQRT(MMULT(MMULT(P71:S71,$K$3:$N$6),TRANSPOSE(P71:S71)))</f>
        <v>7.1083623577797711E-2</v>
      </c>
      <c r="Y71" s="31">
        <f>U71/W71</f>
        <v>1.2466402969824555</v>
      </c>
      <c r="AA71" s="9">
        <f t="shared" si="3"/>
        <v>0.29455537284530409</v>
      </c>
      <c r="AB71" s="9">
        <f t="shared" si="4"/>
        <v>0.41726516517233297</v>
      </c>
      <c r="AC71" s="9">
        <f t="shared" si="5"/>
        <v>0.1964728707880988</v>
      </c>
      <c r="AD71" s="9">
        <f t="shared" si="6"/>
        <v>9.1706591194264053E-2</v>
      </c>
      <c r="AE71" s="9"/>
      <c r="AF71" s="9">
        <f t="shared" si="7"/>
        <v>0.46288757605325115</v>
      </c>
      <c r="AG71" s="9">
        <f t="shared" si="8"/>
        <v>0.18051634759554697</v>
      </c>
      <c r="AH71" s="9">
        <f t="shared" si="9"/>
        <v>0.58615917636074077</v>
      </c>
      <c r="AI71" s="9">
        <f t="shared" si="10"/>
        <v>0.78526587159192462</v>
      </c>
    </row>
    <row r="72" spans="16:35" x14ac:dyDescent="0.3">
      <c r="P72" s="9">
        <v>0.38509864723659221</v>
      </c>
      <c r="Q72" s="9">
        <v>0.35449972275986646</v>
      </c>
      <c r="R72" s="9">
        <v>0.24531003845449567</v>
      </c>
      <c r="S72" s="9">
        <v>1.5091591549045724E-2</v>
      </c>
      <c r="U72" s="9">
        <f t="array" ref="U72">MMULT(TRANSPOSE($B$3:$B$6),TRANSPOSE(P72:S72))</f>
        <v>8.7399066800253347E-2</v>
      </c>
      <c r="V72" s="9">
        <f>INT(200*U72)/200</f>
        <v>8.5000000000000006E-2</v>
      </c>
      <c r="W72" s="9">
        <f t="array" ref="W72">SQRT(MMULT(MMULT(P72:S72,$K$3:$N$6),TRANSPOSE(P72:S72)))</f>
        <v>7.0228978581035509E-2</v>
      </c>
      <c r="Y72" s="31">
        <f>U72/W72</f>
        <v>1.2444872268703964</v>
      </c>
      <c r="AA72" s="9">
        <f t="shared" si="3"/>
        <v>0.30033068920971456</v>
      </c>
      <c r="AB72" s="9">
        <f t="shared" si="4"/>
        <v>0.41440436185144497</v>
      </c>
      <c r="AC72" s="9">
        <f t="shared" si="5"/>
        <v>0.1960608053215592</v>
      </c>
      <c r="AD72" s="9">
        <f t="shared" si="6"/>
        <v>8.920414361728117E-2</v>
      </c>
      <c r="AE72" s="9"/>
      <c r="AF72" s="9">
        <f t="shared" si="7"/>
        <v>0.4677226195118831</v>
      </c>
      <c r="AG72" s="9">
        <f t="shared" si="8"/>
        <v>0.18739248223301766</v>
      </c>
      <c r="AH72" s="9">
        <f t="shared" si="9"/>
        <v>0.58755686304789656</v>
      </c>
      <c r="AI72" s="9">
        <f t="shared" si="10"/>
        <v>0.81790103017732785</v>
      </c>
    </row>
    <row r="73" spans="16:35" x14ac:dyDescent="0.3">
      <c r="P73" s="9">
        <v>7.4932354646553678E-2</v>
      </c>
      <c r="Q73" s="9">
        <v>0.61383679463996421</v>
      </c>
      <c r="R73" s="9">
        <v>6.7000775528124418E-2</v>
      </c>
      <c r="S73" s="9">
        <v>0.24423007518535769</v>
      </c>
      <c r="U73" s="9">
        <f t="array" ref="U73">MMULT(TRANSPOSE($B$3:$B$6),TRANSPOSE(P73:S73))</f>
        <v>0.1093242206915549</v>
      </c>
      <c r="V73" s="9">
        <f>INT(200*U73)/200</f>
        <v>0.105</v>
      </c>
      <c r="W73" s="9">
        <f t="array" ref="W73">SQRT(MMULT(MMULT(P73:S73,$K$3:$N$6),TRANSPOSE(P73:S73)))</f>
        <v>8.8000916349711827E-2</v>
      </c>
      <c r="Y73" s="31">
        <f>U73/W73</f>
        <v>1.2423077534454889</v>
      </c>
      <c r="AA73" s="9">
        <f t="shared" si="3"/>
        <v>0.2985808853724562</v>
      </c>
      <c r="AB73" s="9">
        <f t="shared" si="4"/>
        <v>0.4155314324002502</v>
      </c>
      <c r="AC73" s="9">
        <f t="shared" si="5"/>
        <v>0.19482063258384896</v>
      </c>
      <c r="AD73" s="9">
        <f t="shared" si="6"/>
        <v>9.1067049643444559E-2</v>
      </c>
      <c r="AE73" s="9"/>
      <c r="AF73" s="9">
        <f t="shared" si="7"/>
        <v>0.47202941818636518</v>
      </c>
      <c r="AG73" s="9">
        <f t="shared" si="8"/>
        <v>0.18944776784456549</v>
      </c>
      <c r="AH73" s="9">
        <f t="shared" si="9"/>
        <v>0.60005046799804607</v>
      </c>
      <c r="AI73" s="9">
        <f t="shared" si="10"/>
        <v>0.83501724491167439</v>
      </c>
    </row>
    <row r="74" spans="16:35" x14ac:dyDescent="0.3">
      <c r="P74" s="9">
        <v>0.26823940643874927</v>
      </c>
      <c r="Q74" s="9">
        <v>0.3969845527058859</v>
      </c>
      <c r="R74" s="9">
        <v>0.30211043068240107</v>
      </c>
      <c r="S74" s="9">
        <v>3.2665610172963926E-2</v>
      </c>
      <c r="U74" s="9">
        <f t="array" ref="U74">MMULT(TRANSPOSE($B$3:$B$6),TRANSPOSE(P74:S74))</f>
        <v>9.3701351123941706E-2</v>
      </c>
      <c r="V74" s="9">
        <f>INT(200*U74)/200</f>
        <v>0.09</v>
      </c>
      <c r="W74" s="9">
        <f t="array" ref="W74">SQRT(MMULT(MMULT(P74:S74,$K$3:$N$6),TRANSPOSE(P74:S74)))</f>
        <v>7.5476925776587933E-2</v>
      </c>
      <c r="Y74" s="31">
        <f>U74/W74</f>
        <v>1.2414569109677063</v>
      </c>
      <c r="AA74" s="9">
        <f t="shared" si="3"/>
        <v>0.28122431303237139</v>
      </c>
      <c r="AB74" s="9">
        <f t="shared" si="4"/>
        <v>0.4211932678761372</v>
      </c>
      <c r="AC74" s="9">
        <f t="shared" si="5"/>
        <v>0.20463045405849453</v>
      </c>
      <c r="AD74" s="9">
        <f t="shared" si="6"/>
        <v>9.2951965032996881E-2</v>
      </c>
      <c r="AE74" s="9"/>
      <c r="AF74" s="9">
        <f t="shared" si="7"/>
        <v>0.50697564088940017</v>
      </c>
      <c r="AG74" s="9">
        <f t="shared" si="8"/>
        <v>0.18909601276022722</v>
      </c>
      <c r="AH74" s="9">
        <f t="shared" si="9"/>
        <v>0.55432600528651188</v>
      </c>
      <c r="AI74" s="9">
        <f t="shared" si="10"/>
        <v>0.82898907236233377</v>
      </c>
    </row>
    <row r="75" spans="16:35" x14ac:dyDescent="0.3">
      <c r="P75" s="9">
        <v>0.35461568268046251</v>
      </c>
      <c r="Q75" s="9">
        <v>0.35742040610555781</v>
      </c>
      <c r="R75" s="9">
        <v>0.21571282979675047</v>
      </c>
      <c r="S75" s="9">
        <v>7.2251081417229274E-2</v>
      </c>
      <c r="U75" s="9">
        <f t="array" ref="U75">MMULT(TRANSPOSE($B$3:$B$6),TRANSPOSE(P75:S75))</f>
        <v>8.8982268391866987E-2</v>
      </c>
      <c r="V75" s="9">
        <f>INT(200*U75)/200</f>
        <v>8.5000000000000006E-2</v>
      </c>
      <c r="W75" s="9">
        <f t="array" ref="W75">SQRT(MMULT(MMULT(P75:S75,$K$3:$N$6),TRANSPOSE(P75:S75)))</f>
        <v>7.1729229892383853E-2</v>
      </c>
      <c r="Y75" s="31">
        <f>U75/W75</f>
        <v>1.2405300952675506</v>
      </c>
      <c r="AA75" s="9">
        <f t="shared" si="3"/>
        <v>0.27752117974330348</v>
      </c>
      <c r="AB75" s="9">
        <f t="shared" si="4"/>
        <v>0.42203942804147399</v>
      </c>
      <c r="AC75" s="9">
        <f t="shared" si="5"/>
        <v>0.20322856777704418</v>
      </c>
      <c r="AD75" s="9">
        <f t="shared" si="6"/>
        <v>9.7210824438178231E-2</v>
      </c>
      <c r="AE75" s="9"/>
      <c r="AF75" s="9">
        <f t="shared" si="7"/>
        <v>0.52100627870291483</v>
      </c>
      <c r="AG75" s="9">
        <f t="shared" si="8"/>
        <v>0.18894953729549932</v>
      </c>
      <c r="AH75" s="9">
        <f t="shared" si="9"/>
        <v>0.55127472778299558</v>
      </c>
      <c r="AI75" s="9">
        <f t="shared" si="10"/>
        <v>0.76758552919366474</v>
      </c>
    </row>
    <row r="76" spans="16:35" x14ac:dyDescent="0.3">
      <c r="P76" s="9">
        <v>7.486407936887024E-2</v>
      </c>
      <c r="Q76" s="9">
        <v>0.50834319955155505</v>
      </c>
      <c r="R76" s="9">
        <v>0.41611818038210224</v>
      </c>
      <c r="S76" s="9">
        <v>6.7454069747241734E-4</v>
      </c>
      <c r="U76" s="9">
        <f t="array" ref="U76">MMULT(TRANSPOSE($B$3:$B$6),TRANSPOSE(P76:S76))</f>
        <v>0.10517719030542134</v>
      </c>
      <c r="V76" s="9">
        <f>INT(200*U76)/200</f>
        <v>0.105</v>
      </c>
      <c r="W76" s="9">
        <f t="array" ref="W76">SQRT(MMULT(MMULT(P76:S76,$K$3:$N$6),TRANSPOSE(P76:S76)))</f>
        <v>8.4792602676612025E-2</v>
      </c>
      <c r="Y76" s="31">
        <f>U76/W76</f>
        <v>1.2404052592483037</v>
      </c>
      <c r="AA76" s="9">
        <f t="shared" si="3"/>
        <v>0.29684804824095634</v>
      </c>
      <c r="AB76" s="9">
        <f t="shared" si="4"/>
        <v>0.41174876582301567</v>
      </c>
      <c r="AC76" s="9">
        <f t="shared" si="5"/>
        <v>0.19147495753076407</v>
      </c>
      <c r="AD76" s="9">
        <f t="shared" si="6"/>
        <v>9.9928228405263872E-2</v>
      </c>
      <c r="AE76" s="9"/>
      <c r="AF76" s="9">
        <f t="shared" si="7"/>
        <v>0.45841792515571217</v>
      </c>
      <c r="AG76" s="9">
        <f t="shared" si="8"/>
        <v>0.18677356266946138</v>
      </c>
      <c r="AH76" s="9">
        <f t="shared" si="9"/>
        <v>0.53081582798025251</v>
      </c>
      <c r="AI76" s="9">
        <f t="shared" si="10"/>
        <v>0.72664202036476355</v>
      </c>
    </row>
    <row r="77" spans="16:35" x14ac:dyDescent="0.3">
      <c r="P77" s="9">
        <v>0.27445780362831523</v>
      </c>
      <c r="Q77" s="9">
        <v>0.40414574785682689</v>
      </c>
      <c r="R77" s="9">
        <v>0.17126386357892906</v>
      </c>
      <c r="S77" s="9">
        <v>0.15013258493592874</v>
      </c>
      <c r="U77" s="9">
        <f t="array" ref="U77">MMULT(TRANSPOSE($B$3:$B$6),TRANSPOSE(P77:S77))</f>
        <v>9.4088888608596086E-2</v>
      </c>
      <c r="V77" s="9">
        <f>INT(200*U77)/200</f>
        <v>0.09</v>
      </c>
      <c r="W77" s="9">
        <f t="array" ref="W77">SQRT(MMULT(MMULT(P77:S77,$K$3:$N$6),TRANSPOSE(P77:S77)))</f>
        <v>7.5925986594982078E-2</v>
      </c>
      <c r="Y77" s="31">
        <f>U77/W77</f>
        <v>1.2392185182986399</v>
      </c>
      <c r="AA77" s="9">
        <f t="shared" si="3"/>
        <v>0.28518029768175801</v>
      </c>
      <c r="AB77" s="9">
        <f t="shared" si="4"/>
        <v>0.41254504476694304</v>
      </c>
      <c r="AC77" s="9">
        <f t="shared" si="5"/>
        <v>0.19919628620851867</v>
      </c>
      <c r="AD77" s="9">
        <f t="shared" si="6"/>
        <v>0.10307837134278025</v>
      </c>
      <c r="AE77" s="9"/>
      <c r="AF77" s="9">
        <f t="shared" si="7"/>
        <v>0.42993216760839414</v>
      </c>
      <c r="AG77" s="9">
        <f t="shared" si="8"/>
        <v>0.18510509486227131</v>
      </c>
      <c r="AH77" s="9">
        <f t="shared" si="9"/>
        <v>0.48111865244237689</v>
      </c>
      <c r="AI77" s="9">
        <f t="shared" si="10"/>
        <v>0.6945860030222647</v>
      </c>
    </row>
    <row r="78" spans="16:35" x14ac:dyDescent="0.3">
      <c r="P78" s="9">
        <v>0.34615171181216819</v>
      </c>
      <c r="Q78" s="9">
        <v>0.36150595523665635</v>
      </c>
      <c r="R78" s="9">
        <v>0.25964532145583091</v>
      </c>
      <c r="S78" s="9">
        <v>3.2697011495344493E-2</v>
      </c>
      <c r="U78" s="9">
        <f t="array" ref="U78">MMULT(TRANSPOSE($B$3:$B$6),TRANSPOSE(P78:S78))</f>
        <v>8.9321116730666075E-2</v>
      </c>
      <c r="V78" s="9">
        <f>INT(200*U78)/200</f>
        <v>8.5000000000000006E-2</v>
      </c>
      <c r="W78" s="9">
        <f t="array" ref="W78">SQRT(MMULT(MMULT(P78:S78,$K$3:$N$6),TRANSPOSE(P78:S78)))</f>
        <v>7.2093583735378775E-2</v>
      </c>
      <c r="Y78" s="31">
        <f>U78/W78</f>
        <v>1.2389606966761615</v>
      </c>
      <c r="AA78" s="9">
        <f t="shared" ref="AA78:AA141" si="11">AVERAGE(P68:P88)</f>
        <v>0.28786219276308023</v>
      </c>
      <c r="AB78" s="9">
        <f t="shared" ref="AB78:AB141" si="12">AVERAGE(Q68:Q88)</f>
        <v>0.40770344176252127</v>
      </c>
      <c r="AC78" s="9">
        <f t="shared" ref="AC78:AC141" si="13">AVERAGE(R68:R88)</f>
        <v>0.20341182679530737</v>
      </c>
      <c r="AD78" s="9">
        <f t="shared" ref="AD78:AD141" si="14">AVERAGE(S68:S88)</f>
        <v>0.10102253867909121</v>
      </c>
      <c r="AE78" s="9"/>
      <c r="AF78" s="9">
        <f t="shared" ref="AF78:AF141" si="15">STDEV(P68:P88)/AA78</f>
        <v>0.41750753157944154</v>
      </c>
      <c r="AG78" s="9">
        <f t="shared" ref="AG78:AG141" si="16">STDEV(Q68:Q88)/AB78</f>
        <v>0.17499950198665021</v>
      </c>
      <c r="AH78" s="9">
        <f t="shared" ref="AH78:AH141" si="17">STDEV(R68:R88)/AC78</f>
        <v>0.45731455023690942</v>
      </c>
      <c r="AI78" s="9">
        <f t="shared" ref="AI78:AI141" si="18">STDEV(S68:S88)/AD78</f>
        <v>0.68082487059519203</v>
      </c>
    </row>
    <row r="79" spans="16:35" x14ac:dyDescent="0.3">
      <c r="P79" s="9">
        <v>0.16213549322501425</v>
      </c>
      <c r="Q79" s="9">
        <v>0.44345365352932353</v>
      </c>
      <c r="R79" s="9">
        <v>0.31072764975140332</v>
      </c>
      <c r="S79" s="9">
        <v>8.3683203494258812E-2</v>
      </c>
      <c r="U79" s="9">
        <f t="array" ref="U79">MMULT(TRANSPOSE($B$3:$B$6),TRANSPOSE(P79:S79))</f>
        <v>9.9795504301634003E-2</v>
      </c>
      <c r="V79" s="9">
        <f>INT(200*U79)/200</f>
        <v>9.5000000000000001E-2</v>
      </c>
      <c r="W79" s="9">
        <f t="array" ref="W79">SQRT(MMULT(MMULT(P79:S79,$K$3:$N$6),TRANSPOSE(P79:S79)))</f>
        <v>8.0725970056840707E-2</v>
      </c>
      <c r="Y79" s="31">
        <f>U79/W79</f>
        <v>1.2362255198837013</v>
      </c>
      <c r="AA79" s="9">
        <f t="shared" si="11"/>
        <v>0.2894117352686385</v>
      </c>
      <c r="AB79" s="9">
        <f t="shared" si="12"/>
        <v>0.40656121011341151</v>
      </c>
      <c r="AC79" s="9">
        <f t="shared" si="13"/>
        <v>0.20208027967751493</v>
      </c>
      <c r="AD79" s="9">
        <f t="shared" si="14"/>
        <v>0.10194677494043528</v>
      </c>
      <c r="AE79" s="9"/>
      <c r="AF79" s="9">
        <f t="shared" si="15"/>
        <v>0.42034748905558089</v>
      </c>
      <c r="AG79" s="9">
        <f t="shared" si="16"/>
        <v>0.17804280694321076</v>
      </c>
      <c r="AH79" s="9">
        <f t="shared" si="17"/>
        <v>0.46275089628715133</v>
      </c>
      <c r="AI79" s="9">
        <f t="shared" si="18"/>
        <v>0.67266518134931386</v>
      </c>
    </row>
    <row r="80" spans="16:35" x14ac:dyDescent="0.3">
      <c r="P80" s="9">
        <v>0.46418618627915931</v>
      </c>
      <c r="Q80" s="9">
        <v>0.35397829483130988</v>
      </c>
      <c r="R80" s="9">
        <v>5.4474804112675142E-2</v>
      </c>
      <c r="S80" s="9">
        <v>0.12736071477685565</v>
      </c>
      <c r="U80" s="9">
        <f t="array" ref="U80">MMULT(TRANSPOSE($B$3:$B$6),TRANSPOSE(P80:S80))</f>
        <v>8.4459375598742947E-2</v>
      </c>
      <c r="V80" s="9">
        <f>INT(200*U80)/200</f>
        <v>0.08</v>
      </c>
      <c r="W80" s="9">
        <f t="array" ref="W80">SQRT(MMULT(MMULT(P80:S80,$K$3:$N$6),TRANSPOSE(P80:S80)))</f>
        <v>6.8322221872098965E-2</v>
      </c>
      <c r="Y80" s="31">
        <f>U80/W80</f>
        <v>1.2361918755636074</v>
      </c>
      <c r="AA80" s="9">
        <f t="shared" si="11"/>
        <v>0.28513375564178894</v>
      </c>
      <c r="AB80" s="9">
        <f t="shared" si="12"/>
        <v>0.4077056485420128</v>
      </c>
      <c r="AC80" s="9">
        <f t="shared" si="13"/>
        <v>0.21108528195296117</v>
      </c>
      <c r="AD80" s="9">
        <f t="shared" si="14"/>
        <v>9.6075313863237241E-2</v>
      </c>
      <c r="AE80" s="9"/>
      <c r="AF80" s="9">
        <f t="shared" si="15"/>
        <v>0.42598934351401574</v>
      </c>
      <c r="AG80" s="9">
        <f t="shared" si="16"/>
        <v>0.17692438624758824</v>
      </c>
      <c r="AH80" s="9">
        <f t="shared" si="17"/>
        <v>0.46501109639131039</v>
      </c>
      <c r="AI80" s="9">
        <f t="shared" si="18"/>
        <v>0.74762513016576337</v>
      </c>
    </row>
    <row r="81" spans="16:35" x14ac:dyDescent="0.3">
      <c r="P81" s="9">
        <v>0.37760398383736615</v>
      </c>
      <c r="Q81" s="9">
        <v>0.36455191401685044</v>
      </c>
      <c r="R81" s="9">
        <v>0.1172721493080543</v>
      </c>
      <c r="S81" s="9">
        <v>0.14057195283772911</v>
      </c>
      <c r="U81" s="9">
        <f t="array" ref="U81">MMULT(TRANSPOSE($B$3:$B$6),TRANSPOSE(P81:S81))</f>
        <v>8.8483079564319528E-2</v>
      </c>
      <c r="V81" s="9">
        <f>INT(200*U81)/200</f>
        <v>8.5000000000000006E-2</v>
      </c>
      <c r="W81" s="9">
        <f t="array" ref="W81">SQRT(MMULT(MMULT(P81:S81,$K$3:$N$6),TRANSPOSE(P81:S81)))</f>
        <v>7.1583779468856884E-2</v>
      </c>
      <c r="Y81" s="31">
        <f>U81/W81</f>
        <v>1.2360772261656683</v>
      </c>
      <c r="AA81" s="9">
        <f t="shared" si="11"/>
        <v>0.27933192326480721</v>
      </c>
      <c r="AB81" s="9">
        <f t="shared" si="12"/>
        <v>0.4092160467129185</v>
      </c>
      <c r="AC81" s="9">
        <f t="shared" si="13"/>
        <v>0.21726228141364073</v>
      </c>
      <c r="AD81" s="9">
        <f t="shared" si="14"/>
        <v>9.4189748608633592E-2</v>
      </c>
      <c r="AE81" s="9"/>
      <c r="AF81" s="9">
        <f t="shared" si="15"/>
        <v>0.44788645726241466</v>
      </c>
      <c r="AG81" s="9">
        <f t="shared" si="16"/>
        <v>0.1774068159955795</v>
      </c>
      <c r="AH81" s="9">
        <f t="shared" si="17"/>
        <v>0.45816302892005101</v>
      </c>
      <c r="AI81" s="9">
        <f t="shared" si="18"/>
        <v>0.75332782978133017</v>
      </c>
    </row>
    <row r="82" spans="16:35" x14ac:dyDescent="0.3">
      <c r="P82" s="9">
        <v>0.45224420898038276</v>
      </c>
      <c r="Q82" s="9">
        <v>0.32638693451522088</v>
      </c>
      <c r="R82" s="9">
        <v>0.18328949996903615</v>
      </c>
      <c r="S82" s="9">
        <v>3.8079356535360091E-2</v>
      </c>
      <c r="U82" s="9">
        <f t="array" ref="U82">MMULT(TRANSPOSE($B$3:$B$6),TRANSPOSE(P82:S82))</f>
        <v>8.3783988802646508E-2</v>
      </c>
      <c r="V82" s="9">
        <f>INT(200*U82)/200</f>
        <v>0.08</v>
      </c>
      <c r="W82" s="9">
        <f t="array" ref="W82">SQRT(MMULT(MMULT(P82:S82,$K$3:$N$6),TRANSPOSE(P82:S82)))</f>
        <v>6.779660313254994E-2</v>
      </c>
      <c r="Y82" s="31">
        <f>U82/W82</f>
        <v>1.2358139631102083</v>
      </c>
      <c r="AA82" s="9">
        <f t="shared" si="11"/>
        <v>0.27105779808713842</v>
      </c>
      <c r="AB82" s="9">
        <f t="shared" si="12"/>
        <v>0.41181800466980706</v>
      </c>
      <c r="AC82" s="9">
        <f t="shared" si="13"/>
        <v>0.21876853943080121</v>
      </c>
      <c r="AD82" s="9">
        <f t="shared" si="14"/>
        <v>9.8355657812253333E-2</v>
      </c>
      <c r="AE82" s="9"/>
      <c r="AF82" s="9">
        <f t="shared" si="15"/>
        <v>0.46109622124638905</v>
      </c>
      <c r="AG82" s="9">
        <f t="shared" si="16"/>
        <v>0.17477075858332847</v>
      </c>
      <c r="AH82" s="9">
        <f t="shared" si="17"/>
        <v>0.45985699153021398</v>
      </c>
      <c r="AI82" s="9">
        <f t="shared" si="18"/>
        <v>0.6877882486222523</v>
      </c>
    </row>
    <row r="83" spans="16:35" x14ac:dyDescent="0.3">
      <c r="P83" s="9">
        <v>0.24527998829651523</v>
      </c>
      <c r="Q83" s="9">
        <v>0.49718261407981568</v>
      </c>
      <c r="R83" s="9">
        <v>3.0440132301543212E-2</v>
      </c>
      <c r="S83" s="9">
        <v>0.22709726532212596</v>
      </c>
      <c r="U83" s="9">
        <f t="array" ref="U83">MMULT(TRANSPOSE($B$3:$B$6),TRANSPOSE(P83:S83))</f>
        <v>9.8475972297539766E-2</v>
      </c>
      <c r="V83" s="9">
        <f>INT(200*U83)/200</f>
        <v>9.5000000000000001E-2</v>
      </c>
      <c r="W83" s="9">
        <f t="array" ref="W83">SQRT(MMULT(MMULT(P83:S83,$K$3:$N$6),TRANSPOSE(P83:S83)))</f>
        <v>7.975984709937646E-2</v>
      </c>
      <c r="Y83" s="31">
        <f>U83/W83</f>
        <v>1.2346559814093427</v>
      </c>
      <c r="AA83" s="9">
        <f t="shared" si="11"/>
        <v>0.25277886004587086</v>
      </c>
      <c r="AB83" s="9">
        <f t="shared" si="12"/>
        <v>0.42089854974590796</v>
      </c>
      <c r="AC83" s="9">
        <f t="shared" si="13"/>
        <v>0.22110848698767266</v>
      </c>
      <c r="AD83" s="9">
        <f t="shared" si="14"/>
        <v>0.10521410322054854</v>
      </c>
      <c r="AE83" s="9"/>
      <c r="AF83" s="9">
        <f t="shared" si="15"/>
        <v>0.53457471467621764</v>
      </c>
      <c r="AG83" s="9">
        <f t="shared" si="16"/>
        <v>0.18123370713268963</v>
      </c>
      <c r="AH83" s="9">
        <f t="shared" si="17"/>
        <v>0.46047356832200986</v>
      </c>
      <c r="AI83" s="9">
        <f t="shared" si="18"/>
        <v>0.62792615396869211</v>
      </c>
    </row>
    <row r="84" spans="16:35" x14ac:dyDescent="0.3">
      <c r="P84" s="9">
        <v>9.4941592354322007E-2</v>
      </c>
      <c r="Q84" s="9">
        <v>0.49012508011263645</v>
      </c>
      <c r="R84" s="9">
        <v>0.26392826669446506</v>
      </c>
      <c r="S84" s="9">
        <v>0.15100506083857645</v>
      </c>
      <c r="U84" s="9">
        <f t="array" ref="U84">MMULT(TRANSPOSE($B$3:$B$6),TRANSPOSE(P84:S84))</f>
        <v>0.10431566739090092</v>
      </c>
      <c r="V84" s="9">
        <f>INT(200*U84)/200</f>
        <v>0.1</v>
      </c>
      <c r="W84" s="9">
        <f t="array" ref="W84">SQRT(MMULT(MMULT(P84:S84,$K$3:$N$6),TRANSPOSE(P84:S84)))</f>
        <v>8.4521251520779619E-2</v>
      </c>
      <c r="Y84" s="31">
        <f>U84/W84</f>
        <v>1.2341945429576942</v>
      </c>
      <c r="AA84" s="9">
        <f t="shared" si="11"/>
        <v>0.27135661038067727</v>
      </c>
      <c r="AB84" s="9">
        <f t="shared" si="12"/>
        <v>0.40697209222137382</v>
      </c>
      <c r="AC84" s="9">
        <f t="shared" si="13"/>
        <v>0.22776389569423966</v>
      </c>
      <c r="AD84" s="9">
        <f t="shared" si="14"/>
        <v>9.390740170370919E-2</v>
      </c>
      <c r="AE84" s="9"/>
      <c r="AF84" s="9">
        <f t="shared" si="15"/>
        <v>0.50217778151874759</v>
      </c>
      <c r="AG84" s="9">
        <f t="shared" si="16"/>
        <v>0.1601705155799705</v>
      </c>
      <c r="AH84" s="9">
        <f t="shared" si="17"/>
        <v>0.41980579433006693</v>
      </c>
      <c r="AI84" s="9">
        <f t="shared" si="18"/>
        <v>0.6519870471538739</v>
      </c>
    </row>
    <row r="85" spans="16:35" x14ac:dyDescent="0.3">
      <c r="P85" s="9">
        <v>0.16603063320549855</v>
      </c>
      <c r="Q85" s="9">
        <v>0.43930835283160147</v>
      </c>
      <c r="R85" s="9">
        <v>0.29621659459504118</v>
      </c>
      <c r="S85" s="9">
        <v>9.8444419367858846E-2</v>
      </c>
      <c r="U85" s="9">
        <f t="array" ref="U85">MMULT(TRANSPOSE($B$3:$B$6),TRANSPOSE(P85:S85))</f>
        <v>9.9556976411965523E-2</v>
      </c>
      <c r="V85" s="9">
        <f>INT(200*U85)/200</f>
        <v>9.5000000000000001E-2</v>
      </c>
      <c r="W85" s="9">
        <f t="array" ref="W85">SQRT(MMULT(MMULT(P85:S85,$K$3:$N$6),TRANSPOSE(P85:S85)))</f>
        <v>8.0711022257303894E-2</v>
      </c>
      <c r="Y85" s="31">
        <f>U85/W85</f>
        <v>1.2334991383776728</v>
      </c>
      <c r="AA85" s="9">
        <f t="shared" si="11"/>
        <v>0.27352931290710958</v>
      </c>
      <c r="AB85" s="9">
        <f t="shared" si="12"/>
        <v>0.4054035398288493</v>
      </c>
      <c r="AC85" s="9">
        <f t="shared" si="13"/>
        <v>0.22637665362026654</v>
      </c>
      <c r="AD85" s="9">
        <f t="shared" si="14"/>
        <v>9.4690493643774576E-2</v>
      </c>
      <c r="AE85" s="9"/>
      <c r="AF85" s="9">
        <f t="shared" si="15"/>
        <v>0.49932659207216978</v>
      </c>
      <c r="AG85" s="9">
        <f t="shared" si="16"/>
        <v>0.16238239230529969</v>
      </c>
      <c r="AH85" s="9">
        <f t="shared" si="17"/>
        <v>0.41828903185671606</v>
      </c>
      <c r="AI85" s="9">
        <f t="shared" si="18"/>
        <v>0.63897513555792151</v>
      </c>
    </row>
    <row r="86" spans="16:35" x14ac:dyDescent="0.3">
      <c r="P86" s="9">
        <v>0.4312681162147205</v>
      </c>
      <c r="Q86" s="9">
        <v>0.32943123093722426</v>
      </c>
      <c r="R86" s="9">
        <v>0.16394240592926282</v>
      </c>
      <c r="S86" s="9">
        <v>7.5358246918792587E-2</v>
      </c>
      <c r="U86" s="9">
        <f t="array" ref="U86">MMULT(TRANSPOSE($B$3:$B$6),TRANSPOSE(P86:S86))</f>
        <v>8.4897933618354876E-2</v>
      </c>
      <c r="V86" s="9">
        <f>INT(200*U86)/200</f>
        <v>0.08</v>
      </c>
      <c r="W86" s="9">
        <f t="array" ref="W86">SQRT(MMULT(MMULT(P86:S86,$K$3:$N$6),TRANSPOSE(P86:S86)))</f>
        <v>6.8835177802817393E-2</v>
      </c>
      <c r="Y86" s="31">
        <f>U86/W86</f>
        <v>1.2333509744327273</v>
      </c>
      <c r="AA86" s="9">
        <f t="shared" si="11"/>
        <v>0.27101501121444432</v>
      </c>
      <c r="AB86" s="9">
        <f t="shared" si="12"/>
        <v>0.40967219475100025</v>
      </c>
      <c r="AC86" s="9">
        <f t="shared" si="13"/>
        <v>0.21777561618320909</v>
      </c>
      <c r="AD86" s="9">
        <f t="shared" si="14"/>
        <v>0.10153717785134636</v>
      </c>
      <c r="AE86" s="9"/>
      <c r="AF86" s="9">
        <f t="shared" si="15"/>
        <v>0.49995309596824333</v>
      </c>
      <c r="AG86" s="9">
        <f t="shared" si="16"/>
        <v>0.15980772998445156</v>
      </c>
      <c r="AH86" s="9">
        <f t="shared" si="17"/>
        <v>0.47526553671056537</v>
      </c>
      <c r="AI86" s="9">
        <f t="shared" si="18"/>
        <v>0.64751318569646776</v>
      </c>
    </row>
    <row r="87" spans="16:35" x14ac:dyDescent="0.3">
      <c r="P87" s="9">
        <v>0.31073964506291157</v>
      </c>
      <c r="Q87" s="9">
        <v>0.37105009970274577</v>
      </c>
      <c r="R87" s="9">
        <v>0.20576231032336251</v>
      </c>
      <c r="S87" s="9">
        <v>0.11244794491098006</v>
      </c>
      <c r="U87" s="9">
        <f t="array" ref="U87">MMULT(TRANSPOSE($B$3:$B$6),TRANSPOSE(P87:S87))</f>
        <v>9.1399190109339223E-2</v>
      </c>
      <c r="V87" s="9">
        <f>INT(200*U87)/200</f>
        <v>0.09</v>
      </c>
      <c r="W87" s="9">
        <f t="array" ref="W87">SQRT(MMULT(MMULT(P87:S87,$K$3:$N$6),TRANSPOSE(P87:S87)))</f>
        <v>7.4143843380815033E-2</v>
      </c>
      <c r="Y87" s="31">
        <f>U87/W87</f>
        <v>1.2327279776946263</v>
      </c>
      <c r="AA87" s="9">
        <f t="shared" si="11"/>
        <v>0.28817275561001338</v>
      </c>
      <c r="AB87" s="9">
        <f t="shared" si="12"/>
        <v>0.401003648985293</v>
      </c>
      <c r="AC87" s="9">
        <f t="shared" si="13"/>
        <v>0.20420680038164424</v>
      </c>
      <c r="AD87" s="9">
        <f t="shared" si="14"/>
        <v>0.1066167950230494</v>
      </c>
      <c r="AE87" s="9"/>
      <c r="AF87" s="9">
        <f t="shared" si="15"/>
        <v>0.4587077790820912</v>
      </c>
      <c r="AG87" s="9">
        <f t="shared" si="16"/>
        <v>0.15905266080508987</v>
      </c>
      <c r="AH87" s="9">
        <f t="shared" si="17"/>
        <v>0.46268716728219866</v>
      </c>
      <c r="AI87" s="9">
        <f t="shared" si="18"/>
        <v>0.57731276135270293</v>
      </c>
    </row>
    <row r="88" spans="16:35" x14ac:dyDescent="0.3">
      <c r="P88" s="9">
        <v>0.21020268881039406</v>
      </c>
      <c r="Q88" s="9">
        <v>0.43216437002438812</v>
      </c>
      <c r="R88" s="9">
        <v>0.18553692688613252</v>
      </c>
      <c r="S88" s="9">
        <v>0.17209601427908536</v>
      </c>
      <c r="U88" s="9">
        <f t="array" ref="U88">MMULT(TRANSPOSE($B$3:$B$6),TRANSPOSE(P88:S88))</f>
        <v>9.7743085006318356E-2</v>
      </c>
      <c r="V88" s="9">
        <f>INT(200*U88)/200</f>
        <v>9.5000000000000001E-2</v>
      </c>
      <c r="W88" s="9">
        <f t="array" ref="W88">SQRT(MMULT(MMULT(P88:S88,$K$3:$N$6),TRANSPOSE(P88:S88)))</f>
        <v>7.9451648788678317E-2</v>
      </c>
      <c r="Y88" s="31">
        <f>U88/W88</f>
        <v>1.2302209771164185</v>
      </c>
      <c r="AA88" s="9">
        <f t="shared" si="11"/>
        <v>0.29098101210693789</v>
      </c>
      <c r="AB88" s="9">
        <f t="shared" si="12"/>
        <v>0.39886214912187412</v>
      </c>
      <c r="AC88" s="9">
        <f t="shared" si="13"/>
        <v>0.21018215616542538</v>
      </c>
      <c r="AD88" s="9">
        <f t="shared" si="14"/>
        <v>9.9974682605762616E-2</v>
      </c>
      <c r="AE88" s="9"/>
      <c r="AF88" s="9">
        <f t="shared" si="15"/>
        <v>0.45538089055986553</v>
      </c>
      <c r="AG88" s="9">
        <f t="shared" si="16"/>
        <v>0.1615136552187682</v>
      </c>
      <c r="AH88" s="9">
        <f t="shared" si="17"/>
        <v>0.4579253568014382</v>
      </c>
      <c r="AI88" s="9">
        <f t="shared" si="18"/>
        <v>0.6411028917144479</v>
      </c>
    </row>
    <row r="89" spans="16:35" x14ac:dyDescent="0.3">
      <c r="P89" s="9">
        <v>0.41407210171935382</v>
      </c>
      <c r="Q89" s="9">
        <v>0.33297620998628741</v>
      </c>
      <c r="R89" s="9">
        <v>0.15610106626312847</v>
      </c>
      <c r="S89" s="9">
        <v>9.6850622031230391E-2</v>
      </c>
      <c r="U89" s="9">
        <f t="array" ref="U89">MMULT(TRANSPOSE($B$3:$B$6),TRANSPOSE(P89:S89))</f>
        <v>8.581053119461246E-2</v>
      </c>
      <c r="V89" s="9">
        <f>INT(200*U89)/200</f>
        <v>8.5000000000000006E-2</v>
      </c>
      <c r="W89" s="9">
        <f t="array" ref="W89">SQRT(MMULT(MMULT(P89:S89,$K$3:$N$6),TRANSPOSE(P89:S89)))</f>
        <v>6.9785930091073325E-2</v>
      </c>
      <c r="Y89" s="31">
        <f>U89/W89</f>
        <v>1.2296250989651698</v>
      </c>
      <c r="AA89" s="9">
        <f t="shared" si="11"/>
        <v>0.28946575218810022</v>
      </c>
      <c r="AB89" s="9">
        <f t="shared" si="12"/>
        <v>0.39908661608839119</v>
      </c>
      <c r="AC89" s="9">
        <f t="shared" si="13"/>
        <v>0.21249058932734013</v>
      </c>
      <c r="AD89" s="9">
        <f t="shared" si="14"/>
        <v>9.8957042396168357E-2</v>
      </c>
      <c r="AE89" s="9"/>
      <c r="AF89" s="9">
        <f t="shared" si="15"/>
        <v>0.45610168730108896</v>
      </c>
      <c r="AG89" s="9">
        <f t="shared" si="16"/>
        <v>0.16110061136373741</v>
      </c>
      <c r="AH89" s="9">
        <f t="shared" si="17"/>
        <v>0.46146853008992378</v>
      </c>
      <c r="AI89" s="9">
        <f t="shared" si="18"/>
        <v>0.66061549992645152</v>
      </c>
    </row>
    <row r="90" spans="16:35" x14ac:dyDescent="0.3">
      <c r="P90" s="9">
        <v>0.24748367145414554</v>
      </c>
      <c r="Q90" s="9">
        <v>0.403982896128813</v>
      </c>
      <c r="R90" s="9">
        <v>0.3482068592662636</v>
      </c>
      <c r="S90" s="9">
        <v>3.2657315077778488E-4</v>
      </c>
      <c r="U90" s="9">
        <f t="array" ref="U90">MMULT(TRANSPOSE($B$3:$B$6),TRANSPOSE(P90:S90))</f>
        <v>9.467454550477758E-2</v>
      </c>
      <c r="V90" s="9">
        <f>INT(200*U90)/200</f>
        <v>0.09</v>
      </c>
      <c r="W90" s="9">
        <f t="array" ref="W90">SQRT(MMULT(MMULT(P90:S90,$K$3:$N$6),TRANSPOSE(P90:S90)))</f>
        <v>7.7056024848197277E-2</v>
      </c>
      <c r="Y90" s="31">
        <f>U90/W90</f>
        <v>1.2286455950886297</v>
      </c>
      <c r="AA90" s="9">
        <f t="shared" si="11"/>
        <v>0.29610622826186905</v>
      </c>
      <c r="AB90" s="9">
        <f t="shared" si="12"/>
        <v>0.39545662742317572</v>
      </c>
      <c r="AC90" s="9">
        <f t="shared" si="13"/>
        <v>0.20753338168627261</v>
      </c>
      <c r="AD90" s="9">
        <f t="shared" si="14"/>
        <v>0.10090376262868266</v>
      </c>
      <c r="AE90" s="9"/>
      <c r="AF90" s="9">
        <f t="shared" si="15"/>
        <v>0.43487112784026077</v>
      </c>
      <c r="AG90" s="9">
        <f t="shared" si="16"/>
        <v>0.16136551114681447</v>
      </c>
      <c r="AH90" s="9">
        <f t="shared" si="17"/>
        <v>0.45987564635335154</v>
      </c>
      <c r="AI90" s="9">
        <f t="shared" si="18"/>
        <v>0.64916847859728732</v>
      </c>
    </row>
    <row r="91" spans="16:35" x14ac:dyDescent="0.3">
      <c r="P91" s="9">
        <v>0.14754632984017041</v>
      </c>
      <c r="Q91" s="9">
        <v>0.44552173205267342</v>
      </c>
      <c r="R91" s="9">
        <v>0.30013381675460893</v>
      </c>
      <c r="S91" s="9">
        <v>0.10679812135254718</v>
      </c>
      <c r="U91" s="9">
        <f t="array" ref="U91">MMULT(TRANSPOSE($B$3:$B$6),TRANSPOSE(P91:S91))</f>
        <v>0.10055849190527022</v>
      </c>
      <c r="V91" s="9">
        <f>INT(200*U91)/200</f>
        <v>0.1</v>
      </c>
      <c r="W91" s="9">
        <f t="array" ref="W91">SQRT(MMULT(MMULT(P91:S91,$K$3:$N$6),TRANSPOSE(P91:S91)))</f>
        <v>8.1856480369162474E-2</v>
      </c>
      <c r="Y91" s="31">
        <f>U91/W91</f>
        <v>1.2284731942023897</v>
      </c>
      <c r="AA91" s="9">
        <f t="shared" si="11"/>
        <v>0.28745646055095986</v>
      </c>
      <c r="AB91" s="9">
        <f t="shared" si="12"/>
        <v>0.39651245312172184</v>
      </c>
      <c r="AC91" s="9">
        <f t="shared" si="13"/>
        <v>0.2149402420715705</v>
      </c>
      <c r="AD91" s="9">
        <f t="shared" si="14"/>
        <v>0.10109084425574787</v>
      </c>
      <c r="AE91" s="9"/>
      <c r="AF91" s="9">
        <f t="shared" si="15"/>
        <v>0.42747079749051248</v>
      </c>
      <c r="AG91" s="9">
        <f t="shared" si="16"/>
        <v>0.15957534054920081</v>
      </c>
      <c r="AH91" s="9">
        <f t="shared" si="17"/>
        <v>0.41299725991473052</v>
      </c>
      <c r="AI91" s="9">
        <f t="shared" si="18"/>
        <v>0.64880690674599362</v>
      </c>
    </row>
    <row r="92" spans="16:35" x14ac:dyDescent="0.3">
      <c r="P92" s="9">
        <v>0.19011943473824169</v>
      </c>
      <c r="Q92" s="9">
        <v>0.42132833646074391</v>
      </c>
      <c r="R92" s="9">
        <v>0.30094540601321507</v>
      </c>
      <c r="S92" s="9">
        <v>8.7606822787799285E-2</v>
      </c>
      <c r="U92" s="9">
        <f t="array" ref="U92">MMULT(TRANSPOSE($B$3:$B$6),TRANSPOSE(P92:S92))</f>
        <v>9.7946369652857357E-2</v>
      </c>
      <c r="V92" s="9">
        <f>INT(200*U92)/200</f>
        <v>9.5000000000000001E-2</v>
      </c>
      <c r="W92" s="9">
        <f t="array" ref="W92">SQRT(MMULT(MMULT(P92:S92,$K$3:$N$6),TRANSPOSE(P92:S92)))</f>
        <v>7.9743450941704638E-2</v>
      </c>
      <c r="Y92" s="31">
        <f>U92/W92</f>
        <v>1.2282685097796897</v>
      </c>
      <c r="AA92" s="9">
        <f t="shared" si="11"/>
        <v>0.29578024940935732</v>
      </c>
      <c r="AB92" s="9">
        <f t="shared" si="12"/>
        <v>0.39372651953642901</v>
      </c>
      <c r="AC92" s="9">
        <f t="shared" si="13"/>
        <v>0.21479186675842771</v>
      </c>
      <c r="AD92" s="9">
        <f t="shared" si="14"/>
        <v>9.5701364295786018E-2</v>
      </c>
      <c r="AE92" s="9"/>
      <c r="AF92" s="9">
        <f t="shared" si="15"/>
        <v>0.45522977689762123</v>
      </c>
      <c r="AG92" s="9">
        <f t="shared" si="16"/>
        <v>0.1675813864338799</v>
      </c>
      <c r="AH92" s="9">
        <f t="shared" si="17"/>
        <v>0.41409191698428566</v>
      </c>
      <c r="AI92" s="9">
        <f t="shared" si="18"/>
        <v>0.69821863627193692</v>
      </c>
    </row>
    <row r="93" spans="16:35" x14ac:dyDescent="0.3">
      <c r="P93" s="9">
        <v>1.2409483699735802E-3</v>
      </c>
      <c r="Q93" s="9">
        <v>0.54519116935798628</v>
      </c>
      <c r="R93" s="9">
        <v>0.294448937148795</v>
      </c>
      <c r="S93" s="9">
        <v>0.1591189451232452</v>
      </c>
      <c r="U93" s="9">
        <f t="array" ref="U93">MMULT(TRANSPOSE($B$3:$B$6),TRANSPOSE(P93:S93))</f>
        <v>0.10999662227051291</v>
      </c>
      <c r="V93" s="9">
        <f>INT(200*U93)/200</f>
        <v>0.105</v>
      </c>
      <c r="W93" s="9">
        <f t="array" ref="W93">SQRT(MMULT(MMULT(P93:S93,$K$3:$N$6),TRANSPOSE(P93:S93)))</f>
        <v>8.9554727715329005E-2</v>
      </c>
      <c r="Y93" s="31">
        <f>U93/W93</f>
        <v>1.2282614785024339</v>
      </c>
      <c r="AA93" s="9">
        <f t="shared" si="11"/>
        <v>0.29410633903657402</v>
      </c>
      <c r="AB93" s="9">
        <f t="shared" si="12"/>
        <v>0.39516080857890767</v>
      </c>
      <c r="AC93" s="9">
        <f t="shared" si="13"/>
        <v>0.20905375396419928</v>
      </c>
      <c r="AD93" s="9">
        <f t="shared" si="14"/>
        <v>0.10167909842031915</v>
      </c>
      <c r="AE93" s="9"/>
      <c r="AF93" s="9">
        <f t="shared" si="15"/>
        <v>0.45157672691678119</v>
      </c>
      <c r="AG93" s="9">
        <f t="shared" si="16"/>
        <v>0.16388342038229078</v>
      </c>
      <c r="AH93" s="9">
        <f t="shared" si="17"/>
        <v>0.45334494154582489</v>
      </c>
      <c r="AI93" s="9">
        <f t="shared" si="18"/>
        <v>0.65915834621054747</v>
      </c>
    </row>
    <row r="94" spans="16:35" x14ac:dyDescent="0.3">
      <c r="P94" s="9">
        <v>0.4650651116774881</v>
      </c>
      <c r="Q94" s="9">
        <v>0.32138118662474902</v>
      </c>
      <c r="R94" s="9">
        <v>0.20676435836603135</v>
      </c>
      <c r="S94" s="9">
        <v>6.7893433317313288E-3</v>
      </c>
      <c r="U94" s="9">
        <f t="array" ref="U94">MMULT(TRANSPOSE($B$3:$B$6),TRANSPOSE(P94:S94))</f>
        <v>8.2974877336074795E-2</v>
      </c>
      <c r="V94" s="9">
        <f>INT(200*U94)/200</f>
        <v>0.08</v>
      </c>
      <c r="W94" s="9">
        <f t="array" ref="W94">SQRT(MMULT(MMULT(P94:S94,$K$3:$N$6),TRANSPOSE(P94:S94)))</f>
        <v>6.7562179830048502E-2</v>
      </c>
      <c r="Y94" s="31">
        <f>U94/W94</f>
        <v>1.2281261135267789</v>
      </c>
      <c r="AA94" s="9">
        <f t="shared" si="11"/>
        <v>0.29441107510449921</v>
      </c>
      <c r="AB94" s="9">
        <f t="shared" si="12"/>
        <v>0.39099126446696614</v>
      </c>
      <c r="AC94" s="9">
        <f t="shared" si="13"/>
        <v>0.21472644918800543</v>
      </c>
      <c r="AD94" s="9">
        <f t="shared" si="14"/>
        <v>9.9871211240529265E-2</v>
      </c>
      <c r="AE94" s="9"/>
      <c r="AF94" s="9">
        <f t="shared" si="15"/>
        <v>0.45073453916488121</v>
      </c>
      <c r="AG94" s="9">
        <f t="shared" si="16"/>
        <v>0.15484958127061788</v>
      </c>
      <c r="AH94" s="9">
        <f t="shared" si="17"/>
        <v>0.40412188256200499</v>
      </c>
      <c r="AI94" s="9">
        <f t="shared" si="18"/>
        <v>0.6399260256932634</v>
      </c>
    </row>
    <row r="95" spans="16:35" x14ac:dyDescent="0.3">
      <c r="P95" s="9">
        <v>0.31386615949382707</v>
      </c>
      <c r="Q95" s="9">
        <v>0.36404495246286983</v>
      </c>
      <c r="R95" s="9">
        <v>0.27297834712896607</v>
      </c>
      <c r="S95" s="9">
        <v>4.9110540914337066E-2</v>
      </c>
      <c r="U95" s="9">
        <f t="array" ref="U95">MMULT(TRANSPOSE($B$3:$B$6),TRANSPOSE(P95:S95))</f>
        <v>9.0819969344046597E-2</v>
      </c>
      <c r="V95" s="9">
        <f>INT(200*U95)/200</f>
        <v>0.09</v>
      </c>
      <c r="W95" s="9">
        <f t="array" ref="W95">SQRT(MMULT(MMULT(P95:S95,$K$3:$N$6),TRANSPOSE(P95:S95)))</f>
        <v>7.395268605396646E-2</v>
      </c>
      <c r="Y95" s="31">
        <f>U95/W95</f>
        <v>1.2280820912680759</v>
      </c>
      <c r="AA95" s="9">
        <f t="shared" si="11"/>
        <v>0.30681039913259578</v>
      </c>
      <c r="AB95" s="9">
        <f t="shared" si="12"/>
        <v>0.38377665859594617</v>
      </c>
      <c r="AC95" s="9">
        <f t="shared" si="13"/>
        <v>0.21161479254116783</v>
      </c>
      <c r="AD95" s="9">
        <f t="shared" si="14"/>
        <v>9.7798149730290232E-2</v>
      </c>
      <c r="AE95" s="9"/>
      <c r="AF95" s="9">
        <f t="shared" si="15"/>
        <v>0.40766961056990264</v>
      </c>
      <c r="AG95" s="9">
        <f t="shared" si="16"/>
        <v>0.14870192869175988</v>
      </c>
      <c r="AH95" s="9">
        <f t="shared" si="17"/>
        <v>0.40683368554682908</v>
      </c>
      <c r="AI95" s="9">
        <f t="shared" si="18"/>
        <v>0.64281540394416525</v>
      </c>
    </row>
    <row r="96" spans="16:35" x14ac:dyDescent="0.3">
      <c r="P96" s="9">
        <v>0.30181534713449254</v>
      </c>
      <c r="Q96" s="9">
        <v>0.44706215947072753</v>
      </c>
      <c r="R96" s="9">
        <v>3.5091043618543059E-2</v>
      </c>
      <c r="S96" s="9">
        <v>0.21603144977623689</v>
      </c>
      <c r="U96" s="9">
        <f t="array" ref="U96">MMULT(TRANSPOSE($B$3:$B$6),TRANSPOSE(P96:S96))</f>
        <v>9.4503342264239426E-2</v>
      </c>
      <c r="V96" s="9">
        <f>INT(200*U96)/200</f>
        <v>0.09</v>
      </c>
      <c r="W96" s="9">
        <f t="array" ref="W96">SQRT(MMULT(MMULT(P96:S96,$K$3:$N$6),TRANSPOSE(P96:S96)))</f>
        <v>7.7034730836891316E-2</v>
      </c>
      <c r="Y96" s="31">
        <f>U96/W96</f>
        <v>1.2267628021487489</v>
      </c>
      <c r="AA96" s="9">
        <f t="shared" si="11"/>
        <v>0.30857360047497634</v>
      </c>
      <c r="AB96" s="9">
        <f t="shared" si="12"/>
        <v>0.3830204300679701</v>
      </c>
      <c r="AC96" s="9">
        <f t="shared" si="13"/>
        <v>0.20662554319844623</v>
      </c>
      <c r="AD96" s="9">
        <f t="shared" si="14"/>
        <v>0.10178042625860724</v>
      </c>
      <c r="AE96" s="9"/>
      <c r="AF96" s="9">
        <f t="shared" si="15"/>
        <v>0.39938930377919796</v>
      </c>
      <c r="AG96" s="9">
        <f t="shared" si="16"/>
        <v>0.14724264450678837</v>
      </c>
      <c r="AH96" s="9">
        <f t="shared" si="17"/>
        <v>0.40630696149834156</v>
      </c>
      <c r="AI96" s="9">
        <f t="shared" si="18"/>
        <v>0.64356750848076194</v>
      </c>
    </row>
    <row r="97" spans="16:35" x14ac:dyDescent="0.3">
      <c r="P97" s="9">
        <v>0.43517671167582028</v>
      </c>
      <c r="Q97" s="9">
        <v>0.32630373847170213</v>
      </c>
      <c r="R97" s="9">
        <v>0.13117304854924164</v>
      </c>
      <c r="S97" s="9">
        <v>0.10734650130323596</v>
      </c>
      <c r="U97" s="9">
        <f t="array" ref="U97">MMULT(TRANSPOSE($B$3:$B$6),TRANSPOSE(P97:S97))</f>
        <v>8.475310031656362E-2</v>
      </c>
      <c r="V97" s="9">
        <f>INT(200*U97)/200</f>
        <v>0.08</v>
      </c>
      <c r="W97" s="9">
        <f t="array" ref="W97">SQRT(MMULT(MMULT(P97:S97,$K$3:$N$6),TRANSPOSE(P97:S97)))</f>
        <v>6.9236895837042664E-2</v>
      </c>
      <c r="Y97" s="31">
        <f>U97/W97</f>
        <v>1.2241031214923357</v>
      </c>
      <c r="AA97" s="9">
        <f t="shared" si="11"/>
        <v>0.30481129179645194</v>
      </c>
      <c r="AB97" s="9">
        <f t="shared" si="12"/>
        <v>0.3833988215651164</v>
      </c>
      <c r="AC97" s="9">
        <f t="shared" si="13"/>
        <v>0.20969477795215166</v>
      </c>
      <c r="AD97" s="9">
        <f t="shared" si="14"/>
        <v>0.10209510868627987</v>
      </c>
      <c r="AE97" s="9"/>
      <c r="AF97" s="9">
        <f t="shared" si="15"/>
        <v>0.39527151427965335</v>
      </c>
      <c r="AG97" s="9">
        <f t="shared" si="16"/>
        <v>0.14617929443113448</v>
      </c>
      <c r="AH97" s="9">
        <f t="shared" si="17"/>
        <v>0.39815889290049</v>
      </c>
      <c r="AI97" s="9">
        <f t="shared" si="18"/>
        <v>0.64043284949654411</v>
      </c>
    </row>
    <row r="98" spans="16:35" x14ac:dyDescent="0.3">
      <c r="P98" s="9">
        <v>0.33343119006373062</v>
      </c>
      <c r="Q98" s="9">
        <v>0.35917425072503173</v>
      </c>
      <c r="R98" s="9">
        <v>0.29674633503833153</v>
      </c>
      <c r="S98" s="9">
        <v>1.0648224172906284E-2</v>
      </c>
      <c r="U98" s="9">
        <f t="array" ref="U98">MMULT(TRANSPOSE($B$3:$B$6),TRANSPOSE(P98:S98))</f>
        <v>8.9704694928832276E-2</v>
      </c>
      <c r="V98" s="9">
        <f>INT(200*U98)/200</f>
        <v>8.5000000000000006E-2</v>
      </c>
      <c r="W98" s="9">
        <f t="array" ref="W98">SQRT(MMULT(MMULT(P98:S98,$K$3:$N$6),TRANSPOSE(P98:S98)))</f>
        <v>7.3304280472739569E-2</v>
      </c>
      <c r="Y98" s="31">
        <f>U98/W98</f>
        <v>1.2237306518845334</v>
      </c>
      <c r="AA98" s="9">
        <f t="shared" si="11"/>
        <v>0.30164644605425167</v>
      </c>
      <c r="AB98" s="9">
        <f t="shared" si="12"/>
        <v>0.38442822921850378</v>
      </c>
      <c r="AC98" s="9">
        <f t="shared" si="13"/>
        <v>0.21655689265431863</v>
      </c>
      <c r="AD98" s="9">
        <f t="shared" si="14"/>
        <v>9.7368432072925989E-2</v>
      </c>
      <c r="AE98" s="9"/>
      <c r="AF98" s="9">
        <f t="shared" si="15"/>
        <v>0.4017635249512545</v>
      </c>
      <c r="AG98" s="9">
        <f t="shared" si="16"/>
        <v>0.14568474750152341</v>
      </c>
      <c r="AH98" s="9">
        <f t="shared" si="17"/>
        <v>0.41051229939140543</v>
      </c>
      <c r="AI98" s="9">
        <f t="shared" si="18"/>
        <v>0.69970723794314238</v>
      </c>
    </row>
    <row r="99" spans="16:35" x14ac:dyDescent="0.3">
      <c r="P99" s="9">
        <v>0.31433125351657698</v>
      </c>
      <c r="Q99" s="9">
        <v>0.36621976153351693</v>
      </c>
      <c r="R99" s="9">
        <v>0.30812241785604105</v>
      </c>
      <c r="S99" s="9">
        <v>1.1326567093865057E-2</v>
      </c>
      <c r="U99" s="9">
        <f t="array" ref="U99">MMULT(TRANSPOSE($B$3:$B$6),TRANSPOSE(P99:S99))</f>
        <v>9.072991112936564E-2</v>
      </c>
      <c r="V99" s="9">
        <f>INT(200*U99)/200</f>
        <v>0.09</v>
      </c>
      <c r="W99" s="9">
        <f t="array" ref="W99">SQRT(MMULT(MMULT(P99:S99,$K$3:$N$6),TRANSPOSE(P99:S99)))</f>
        <v>7.4206782100611518E-2</v>
      </c>
      <c r="Y99" s="31">
        <f>U99/W99</f>
        <v>1.2226633275426446</v>
      </c>
      <c r="AA99" s="9">
        <f t="shared" si="11"/>
        <v>0.30349365645841009</v>
      </c>
      <c r="AB99" s="9">
        <f t="shared" si="12"/>
        <v>0.38197201925311802</v>
      </c>
      <c r="AC99" s="9">
        <f t="shared" si="13"/>
        <v>0.22175345942842245</v>
      </c>
      <c r="AD99" s="9">
        <f t="shared" si="14"/>
        <v>9.2780864860049467E-2</v>
      </c>
      <c r="AE99" s="9"/>
      <c r="AF99" s="9">
        <f t="shared" si="15"/>
        <v>0.39545141716081456</v>
      </c>
      <c r="AG99" s="9">
        <f t="shared" si="16"/>
        <v>0.14380061090617247</v>
      </c>
      <c r="AH99" s="9">
        <f t="shared" si="17"/>
        <v>0.40664842307089605</v>
      </c>
      <c r="AI99" s="9">
        <f t="shared" si="18"/>
        <v>0.71197863678191065</v>
      </c>
    </row>
    <row r="100" spans="16:35" x14ac:dyDescent="0.3">
      <c r="P100" s="9">
        <v>0.30158549077415814</v>
      </c>
      <c r="Q100" s="9">
        <v>0.36722389155979701</v>
      </c>
      <c r="R100" s="9">
        <v>0.20662628928898544</v>
      </c>
      <c r="S100" s="9">
        <v>0.12456432837705929</v>
      </c>
      <c r="U100" s="9">
        <f t="array" ref="U100">MMULT(TRANSPOSE($B$3:$B$6),TRANSPOSE(P100:S100))</f>
        <v>9.1710788281612901E-2</v>
      </c>
      <c r="V100" s="9">
        <f>INT(200*U100)/200</f>
        <v>0.09</v>
      </c>
      <c r="W100" s="9">
        <f t="array" ref="W100">SQRT(MMULT(MMULT(P100:S100,$K$3:$N$6),TRANSPOSE(P100:S100)))</f>
        <v>7.5023289852680489E-2</v>
      </c>
      <c r="Y100" s="31">
        <f>U100/W100</f>
        <v>1.2224309072782709</v>
      </c>
      <c r="AA100" s="9">
        <f t="shared" si="11"/>
        <v>0.29855101279198637</v>
      </c>
      <c r="AB100" s="9">
        <f t="shared" si="12"/>
        <v>0.3830761289767815</v>
      </c>
      <c r="AC100" s="9">
        <f t="shared" si="13"/>
        <v>0.22425991049119814</v>
      </c>
      <c r="AD100" s="9">
        <f t="shared" si="14"/>
        <v>9.4112947740033953E-2</v>
      </c>
      <c r="AE100" s="9"/>
      <c r="AF100" s="9">
        <f t="shared" si="15"/>
        <v>0.39304127095000718</v>
      </c>
      <c r="AG100" s="9">
        <f t="shared" si="16"/>
        <v>0.14127949780079441</v>
      </c>
      <c r="AH100" s="9">
        <f t="shared" si="17"/>
        <v>0.39678627683640566</v>
      </c>
      <c r="AI100" s="9">
        <f t="shared" si="18"/>
        <v>0.70580293559674956</v>
      </c>
    </row>
    <row r="101" spans="16:35" x14ac:dyDescent="0.3">
      <c r="P101" s="9">
        <v>0.28254106435006615</v>
      </c>
      <c r="Q101" s="9">
        <v>0.3761506345007779</v>
      </c>
      <c r="R101" s="9">
        <v>0.21001887220393087</v>
      </c>
      <c r="S101" s="9">
        <v>0.13128942894522488</v>
      </c>
      <c r="U101" s="9">
        <f t="array" ref="U101">MMULT(TRANSPOSE($B$3:$B$6),TRANSPOSE(P101:S101))</f>
        <v>9.2813878007069861E-2</v>
      </c>
      <c r="V101" s="9">
        <f>INT(200*U101)/200</f>
        <v>0.09</v>
      </c>
      <c r="W101" s="9">
        <f t="array" ref="W101">SQRT(MMULT(MMULT(P101:S101,$K$3:$N$6),TRANSPOSE(P101:S101)))</f>
        <v>7.5946995918981408E-2</v>
      </c>
      <c r="Y101" s="31">
        <f>U101/W101</f>
        <v>1.2220875478219266</v>
      </c>
      <c r="AA101" s="9">
        <f t="shared" si="11"/>
        <v>0.29953030865081098</v>
      </c>
      <c r="AB101" s="9">
        <f t="shared" si="12"/>
        <v>0.38205879478343635</v>
      </c>
      <c r="AC101" s="9">
        <f t="shared" si="13"/>
        <v>0.21667395336057607</v>
      </c>
      <c r="AD101" s="9">
        <f t="shared" si="14"/>
        <v>0.10173694320517661</v>
      </c>
      <c r="AE101" s="9"/>
      <c r="AF101" s="9">
        <f t="shared" si="15"/>
        <v>0.39054688235877966</v>
      </c>
      <c r="AG101" s="9">
        <f t="shared" si="16"/>
        <v>0.14110010891647207</v>
      </c>
      <c r="AH101" s="9">
        <f t="shared" si="17"/>
        <v>0.39030662997794507</v>
      </c>
      <c r="AI101" s="9">
        <f t="shared" si="18"/>
        <v>0.63178449572636008</v>
      </c>
    </row>
    <row r="102" spans="16:35" x14ac:dyDescent="0.3">
      <c r="P102" s="9">
        <v>0.55240354986371332</v>
      </c>
      <c r="Q102" s="9">
        <v>0.30604730872569963</v>
      </c>
      <c r="R102" s="9">
        <v>0.11415626773205689</v>
      </c>
      <c r="S102" s="9">
        <v>2.7392873678530175E-2</v>
      </c>
      <c r="U102" s="9">
        <f t="array" ref="U102">MMULT(TRANSPOSE($B$3:$B$6),TRANSPOSE(P102:S102))</f>
        <v>7.8895347212839445E-2</v>
      </c>
      <c r="V102" s="9">
        <f>INT(200*U102)/200</f>
        <v>7.4999999999999997E-2</v>
      </c>
      <c r="W102" s="9">
        <f t="array" ref="W102">SQRT(MMULT(MMULT(P102:S102,$K$3:$N$6),TRANSPOSE(P102:S102)))</f>
        <v>6.468600100184331E-2</v>
      </c>
      <c r="Y102" s="31">
        <f>U102/W102</f>
        <v>1.2196664810148214</v>
      </c>
      <c r="AA102" s="9">
        <f t="shared" si="11"/>
        <v>0.30781915069309801</v>
      </c>
      <c r="AB102" s="9">
        <f t="shared" si="12"/>
        <v>0.37908088203083856</v>
      </c>
      <c r="AC102" s="9">
        <f t="shared" si="13"/>
        <v>0.20724402734774069</v>
      </c>
      <c r="AD102" s="9">
        <f t="shared" si="14"/>
        <v>0.10585593992832276</v>
      </c>
      <c r="AE102" s="9"/>
      <c r="AF102" s="9">
        <f t="shared" si="15"/>
        <v>0.36294608704501807</v>
      </c>
      <c r="AG102" s="9">
        <f t="shared" si="16"/>
        <v>0.13695773334588768</v>
      </c>
      <c r="AH102" s="9">
        <f t="shared" si="17"/>
        <v>0.41414453677189123</v>
      </c>
      <c r="AI102" s="9">
        <f t="shared" si="18"/>
        <v>0.63592121286275671</v>
      </c>
    </row>
    <row r="103" spans="16:35" x14ac:dyDescent="0.3">
      <c r="P103" s="9">
        <v>0.41709209115193319</v>
      </c>
      <c r="Q103" s="9">
        <v>0.35650700440727251</v>
      </c>
      <c r="R103" s="9">
        <v>6.2789131290238318E-2</v>
      </c>
      <c r="S103" s="9">
        <v>0.16361177315055592</v>
      </c>
      <c r="U103" s="9">
        <f t="array" ref="U103">MMULT(TRANSPOSE($B$3:$B$6),TRANSPOSE(P103:S103))</f>
        <v>8.6654245246412853E-2</v>
      </c>
      <c r="V103" s="9">
        <f>INT(200*U103)/200</f>
        <v>8.5000000000000006E-2</v>
      </c>
      <c r="W103" s="9">
        <f t="array" ref="W103">SQRT(MMULT(MMULT(P103:S103,$K$3:$N$6),TRANSPOSE(P103:S103)))</f>
        <v>7.1066007562406122E-2</v>
      </c>
      <c r="Y103" s="31">
        <f>U103/W103</f>
        <v>1.2193487184476774</v>
      </c>
      <c r="AA103" s="9">
        <f t="shared" si="11"/>
        <v>0.31252704171240525</v>
      </c>
      <c r="AB103" s="9">
        <f t="shared" si="12"/>
        <v>0.37872456916681496</v>
      </c>
      <c r="AC103" s="9">
        <f t="shared" si="13"/>
        <v>0.1967833672474433</v>
      </c>
      <c r="AD103" s="9">
        <f t="shared" si="14"/>
        <v>0.11196502187333654</v>
      </c>
      <c r="AE103" s="9"/>
      <c r="AF103" s="9">
        <f t="shared" si="15"/>
        <v>0.34733658692843911</v>
      </c>
      <c r="AG103" s="9">
        <f t="shared" si="16"/>
        <v>0.13634853843024897</v>
      </c>
      <c r="AH103" s="9">
        <f t="shared" si="17"/>
        <v>0.4431948664498257</v>
      </c>
      <c r="AI103" s="9">
        <f t="shared" si="18"/>
        <v>0.63664179117048414</v>
      </c>
    </row>
    <row r="104" spans="16:35" x14ac:dyDescent="0.3">
      <c r="P104" s="9">
        <v>0.25167944572294443</v>
      </c>
      <c r="Q104" s="9">
        <v>0.4096221877290453</v>
      </c>
      <c r="R104" s="9">
        <v>0.14956673200147161</v>
      </c>
      <c r="S104" s="9">
        <v>0.18913163454653853</v>
      </c>
      <c r="U104" s="9">
        <f t="array" ref="U104">MMULT(TRANSPOSE($B$3:$B$6),TRANSPOSE(P104:S104))</f>
        <v>9.5360260595594423E-2</v>
      </c>
      <c r="V104" s="9">
        <f>INT(200*U104)/200</f>
        <v>9.5000000000000001E-2</v>
      </c>
      <c r="W104" s="9">
        <f t="array" ref="W104">SQRT(MMULT(MMULT(P104:S104,$K$3:$N$6),TRANSPOSE(P104:S104)))</f>
        <v>7.8282717219246511E-2</v>
      </c>
      <c r="Y104" s="31">
        <f>U104/W104</f>
        <v>1.2181521539233087</v>
      </c>
      <c r="AA104" s="9">
        <f t="shared" si="11"/>
        <v>0.3360182841353726</v>
      </c>
      <c r="AB104" s="9">
        <f t="shared" si="12"/>
        <v>0.36908785702748048</v>
      </c>
      <c r="AC104" s="9">
        <f t="shared" si="13"/>
        <v>0.1834515719244757</v>
      </c>
      <c r="AD104" s="9">
        <f t="shared" si="14"/>
        <v>0.11144228691267129</v>
      </c>
      <c r="AE104" s="9"/>
      <c r="AF104" s="9">
        <f t="shared" si="15"/>
        <v>0.26644875899719034</v>
      </c>
      <c r="AG104" s="9">
        <f t="shared" si="16"/>
        <v>9.5711737918908316E-2</v>
      </c>
      <c r="AH104" s="9">
        <f t="shared" si="17"/>
        <v>0.5056348082622194</v>
      </c>
      <c r="AI104" s="9">
        <f t="shared" si="18"/>
        <v>0.63672456018277401</v>
      </c>
    </row>
    <row r="105" spans="16:35" x14ac:dyDescent="0.3">
      <c r="P105" s="9">
        <v>0.35532739694435106</v>
      </c>
      <c r="Q105" s="9">
        <v>0.33861835682121666</v>
      </c>
      <c r="R105" s="9">
        <v>0.19858347711087554</v>
      </c>
      <c r="S105" s="9">
        <v>0.10747076912355674</v>
      </c>
      <c r="U105" s="9">
        <f t="array" ref="U105">MMULT(TRANSPOSE($B$3:$B$6),TRANSPOSE(P105:S105))</f>
        <v>8.8499219256256326E-2</v>
      </c>
      <c r="V105" s="9">
        <f>INT(200*U105)/200</f>
        <v>8.5000000000000006E-2</v>
      </c>
      <c r="W105" s="9">
        <f t="array" ref="W105">SQRT(MMULT(MMULT(P105:S105,$K$3:$N$6),TRANSPOSE(P105:S105)))</f>
        <v>7.2766093698932333E-2</v>
      </c>
      <c r="Y105" s="31">
        <f>U105/W105</f>
        <v>1.216215063329074</v>
      </c>
      <c r="AA105" s="9">
        <f t="shared" si="11"/>
        <v>0.32951695943883724</v>
      </c>
      <c r="AB105" s="9">
        <f t="shared" si="12"/>
        <v>0.37004196003141282</v>
      </c>
      <c r="AC105" s="9">
        <f t="shared" si="13"/>
        <v>0.18466391129924351</v>
      </c>
      <c r="AD105" s="9">
        <f t="shared" si="14"/>
        <v>0.11577716923050659</v>
      </c>
      <c r="AE105" s="9"/>
      <c r="AF105" s="9">
        <f t="shared" si="15"/>
        <v>0.25646165657486331</v>
      </c>
      <c r="AG105" s="9">
        <f t="shared" si="16"/>
        <v>9.2493822070458878E-2</v>
      </c>
      <c r="AH105" s="9">
        <f t="shared" si="17"/>
        <v>0.50494181091648782</v>
      </c>
      <c r="AI105" s="9">
        <f t="shared" si="18"/>
        <v>0.57792234935359577</v>
      </c>
    </row>
    <row r="106" spans="16:35" x14ac:dyDescent="0.3">
      <c r="P106" s="9">
        <v>0.2030578613954899</v>
      </c>
      <c r="Q106" s="9">
        <v>0.42342755374410546</v>
      </c>
      <c r="R106" s="9">
        <v>0.19144235839788845</v>
      </c>
      <c r="S106" s="9">
        <v>0.18207222646251606</v>
      </c>
      <c r="U106" s="9">
        <f t="array" ref="U106">MMULT(TRANSPOSE($B$3:$B$6),TRANSPOSE(P106:S106))</f>
        <v>9.7810357080670471E-2</v>
      </c>
      <c r="V106" s="9">
        <f>INT(200*U106)/200</f>
        <v>9.5000000000000001E-2</v>
      </c>
      <c r="W106" s="9">
        <f t="array" ref="W106">SQRT(MMULT(MMULT(P106:S106,$K$3:$N$6),TRANSPOSE(P106:S106)))</f>
        <v>8.0440623488479038E-2</v>
      </c>
      <c r="Y106" s="31">
        <f>U106/W106</f>
        <v>1.2159323590359687</v>
      </c>
      <c r="AA106" s="9">
        <f t="shared" si="11"/>
        <v>0.31929465985703315</v>
      </c>
      <c r="AB106" s="9">
        <f t="shared" si="12"/>
        <v>0.37445553175203261</v>
      </c>
      <c r="AC106" s="9">
        <f t="shared" si="13"/>
        <v>0.18967327420332641</v>
      </c>
      <c r="AD106" s="9">
        <f t="shared" si="14"/>
        <v>0.11657653418760784</v>
      </c>
      <c r="AE106" s="9"/>
      <c r="AF106" s="9">
        <f t="shared" si="15"/>
        <v>0.30801209883430114</v>
      </c>
      <c r="AG106" s="9">
        <f t="shared" si="16"/>
        <v>0.1042863179499635</v>
      </c>
      <c r="AH106" s="9">
        <f t="shared" si="17"/>
        <v>0.53117620545169075</v>
      </c>
      <c r="AI106" s="9">
        <f t="shared" si="18"/>
        <v>0.56761094386305988</v>
      </c>
    </row>
    <row r="107" spans="16:35" x14ac:dyDescent="0.3">
      <c r="P107" s="9">
        <v>0.3522596339657072</v>
      </c>
      <c r="Q107" s="9">
        <v>0.33737745237729722</v>
      </c>
      <c r="R107" s="9">
        <v>0.2283963357570778</v>
      </c>
      <c r="S107" s="9">
        <v>8.1966577899917709E-2</v>
      </c>
      <c r="U107" s="9">
        <f t="array" ref="U107">MMULT(TRANSPOSE($B$3:$B$6),TRANSPOSE(P107:S107))</f>
        <v>8.8497166729120849E-2</v>
      </c>
      <c r="V107" s="9">
        <f>INT(200*U107)/200</f>
        <v>8.5000000000000006E-2</v>
      </c>
      <c r="W107" s="9">
        <f t="array" ref="W107">SQRT(MMULT(MMULT(P107:S107,$K$3:$N$6),TRANSPOSE(P107:S107)))</f>
        <v>7.2789359720183744E-2</v>
      </c>
      <c r="Y107" s="31">
        <f>U107/W107</f>
        <v>1.2157981203478219</v>
      </c>
      <c r="AA107" s="9">
        <f t="shared" si="11"/>
        <v>0.31053753504358683</v>
      </c>
      <c r="AB107" s="9">
        <f t="shared" si="12"/>
        <v>0.3746512686016702</v>
      </c>
      <c r="AC107" s="9">
        <f t="shared" si="13"/>
        <v>0.20094771303352019</v>
      </c>
      <c r="AD107" s="9">
        <f t="shared" si="14"/>
        <v>0.11386348332122291</v>
      </c>
      <c r="AE107" s="9"/>
      <c r="AF107" s="9">
        <f t="shared" si="15"/>
        <v>0.34688738630320798</v>
      </c>
      <c r="AG107" s="9">
        <f t="shared" si="16"/>
        <v>0.10527407978647449</v>
      </c>
      <c r="AH107" s="9">
        <f t="shared" si="17"/>
        <v>0.47628208595121457</v>
      </c>
      <c r="AI107" s="9">
        <f t="shared" si="18"/>
        <v>0.55311448913514272</v>
      </c>
    </row>
    <row r="108" spans="16:35" x14ac:dyDescent="0.3">
      <c r="P108" s="9">
        <v>0.24427788447670595</v>
      </c>
      <c r="Q108" s="9">
        <v>0.39266766042387763</v>
      </c>
      <c r="R108" s="9">
        <v>0.34986671906886802</v>
      </c>
      <c r="S108" s="9">
        <v>1.3187736030548342E-2</v>
      </c>
      <c r="U108" s="9">
        <f t="array" ref="U108">MMULT(TRANSPOSE($B$3:$B$6),TRANSPOSE(P108:S108))</f>
        <v>9.4506607464147435E-2</v>
      </c>
      <c r="V108" s="9">
        <f>INT(200*U108)/200</f>
        <v>0.09</v>
      </c>
      <c r="W108" s="9">
        <f t="array" ref="W108">SQRT(MMULT(MMULT(P108:S108,$K$3:$N$6),TRANSPOSE(P108:S108)))</f>
        <v>7.7757736376631414E-2</v>
      </c>
      <c r="Y108" s="31">
        <f>U108/W108</f>
        <v>1.2153981310154185</v>
      </c>
      <c r="AA108" s="9">
        <f t="shared" si="11"/>
        <v>0.30738536620447732</v>
      </c>
      <c r="AB108" s="9">
        <f t="shared" si="12"/>
        <v>0.37534857013953676</v>
      </c>
      <c r="AC108" s="9">
        <f t="shared" si="13"/>
        <v>0.20108163668596346</v>
      </c>
      <c r="AD108" s="9">
        <f t="shared" si="14"/>
        <v>0.11618442697002249</v>
      </c>
      <c r="AE108" s="9"/>
      <c r="AF108" s="9">
        <f t="shared" si="15"/>
        <v>0.34100989796984665</v>
      </c>
      <c r="AG108" s="9">
        <f t="shared" si="16"/>
        <v>0.10301193250243842</v>
      </c>
      <c r="AH108" s="9">
        <f t="shared" si="17"/>
        <v>0.47546456779284157</v>
      </c>
      <c r="AI108" s="9">
        <f t="shared" si="18"/>
        <v>0.5475964312157221</v>
      </c>
    </row>
    <row r="109" spans="16:35" x14ac:dyDescent="0.3">
      <c r="P109" s="9">
        <v>0.24899410729772045</v>
      </c>
      <c r="Q109" s="9">
        <v>0.38058396075128853</v>
      </c>
      <c r="R109" s="9">
        <v>0.29466482914231268</v>
      </c>
      <c r="S109" s="9">
        <v>7.5757102808678242E-2</v>
      </c>
      <c r="U109" s="9">
        <f t="array" ref="U109">MMULT(TRANSPOSE($B$3:$B$6),TRANSPOSE(P109:S109))</f>
        <v>9.4162243711555516E-2</v>
      </c>
      <c r="V109" s="9">
        <f>INT(200*U109)/200</f>
        <v>0.09</v>
      </c>
      <c r="W109" s="9">
        <f t="array" ref="W109">SQRT(MMULT(MMULT(P109:S109,$K$3:$N$6),TRANSPOSE(P109:S109)))</f>
        <v>7.7513809402280184E-2</v>
      </c>
      <c r="Y109" s="31">
        <f>U109/W109</f>
        <v>1.2147802364205003</v>
      </c>
      <c r="AA109" s="9">
        <f t="shared" si="11"/>
        <v>0.30502650435755396</v>
      </c>
      <c r="AB109" s="9">
        <f t="shared" si="12"/>
        <v>0.37534437309254121</v>
      </c>
      <c r="AC109" s="9">
        <f t="shared" si="13"/>
        <v>0.19862746751999688</v>
      </c>
      <c r="AD109" s="9">
        <f t="shared" si="14"/>
        <v>0.12100165502990806</v>
      </c>
      <c r="AE109" s="9"/>
      <c r="AF109" s="9">
        <f t="shared" si="15"/>
        <v>0.3434566307226018</v>
      </c>
      <c r="AG109" s="9">
        <f t="shared" si="16"/>
        <v>0.10301800841242062</v>
      </c>
      <c r="AH109" s="9">
        <f t="shared" si="17"/>
        <v>0.47158945453432805</v>
      </c>
      <c r="AI109" s="9">
        <f t="shared" si="18"/>
        <v>0.48664866095916259</v>
      </c>
    </row>
    <row r="110" spans="16:35" x14ac:dyDescent="0.3">
      <c r="P110" s="9">
        <v>0.31027658472445718</v>
      </c>
      <c r="Q110" s="9">
        <v>0.35616251418322037</v>
      </c>
      <c r="R110" s="9">
        <v>0.20873653858141769</v>
      </c>
      <c r="S110" s="9">
        <v>0.12482436251090491</v>
      </c>
      <c r="U110" s="9">
        <f t="array" ref="U110">MMULT(TRANSPOSE($B$3:$B$6),TRANSPOSE(P110:S110))</f>
        <v>9.1003437463947193E-2</v>
      </c>
      <c r="V110" s="9">
        <f>INT(200*U110)/200</f>
        <v>0.09</v>
      </c>
      <c r="W110" s="9">
        <f t="array" ref="W110">SQRT(MMULT(MMULT(P110:S110,$K$3:$N$6),TRANSPOSE(P110:S110)))</f>
        <v>7.4939401063906119E-2</v>
      </c>
      <c r="Y110" s="31">
        <f>U110/W110</f>
        <v>1.2143603521242736</v>
      </c>
      <c r="AA110" s="9">
        <f t="shared" si="11"/>
        <v>0.31074919664135259</v>
      </c>
      <c r="AB110" s="9">
        <f t="shared" si="12"/>
        <v>0.37347793945711671</v>
      </c>
      <c r="AC110" s="9">
        <f t="shared" si="13"/>
        <v>0.1880549541491707</v>
      </c>
      <c r="AD110" s="9">
        <f t="shared" si="14"/>
        <v>0.12771790975236</v>
      </c>
      <c r="AE110" s="9"/>
      <c r="AF110" s="9">
        <f t="shared" si="15"/>
        <v>0.34919575671312636</v>
      </c>
      <c r="AG110" s="9">
        <f t="shared" si="16"/>
        <v>0.107237630655939</v>
      </c>
      <c r="AH110" s="9">
        <f t="shared" si="17"/>
        <v>0.49572093717068832</v>
      </c>
      <c r="AI110" s="9">
        <f t="shared" si="18"/>
        <v>0.41930333784308016</v>
      </c>
    </row>
    <row r="111" spans="16:35" x14ac:dyDescent="0.3">
      <c r="P111" s="9">
        <v>0.26804888448946262</v>
      </c>
      <c r="Q111" s="9">
        <v>0.38261887806856382</v>
      </c>
      <c r="R111" s="9">
        <v>0.18890175952320049</v>
      </c>
      <c r="S111" s="9">
        <v>0.1604304779187731</v>
      </c>
      <c r="U111" s="9">
        <f t="array" ref="U111">MMULT(TRANSPOSE($B$3:$B$6),TRANSPOSE(P111:S111))</f>
        <v>9.3730810187348523E-2</v>
      </c>
      <c r="V111" s="9">
        <f>INT(200*U111)/200</f>
        <v>0.09</v>
      </c>
      <c r="W111" s="9">
        <f t="array" ref="W111">SQRT(MMULT(MMULT(P111:S111,$K$3:$N$6),TRANSPOSE(P111:S111)))</f>
        <v>7.7224335540143504E-2</v>
      </c>
      <c r="Y111" s="31">
        <f>U111/W111</f>
        <v>1.2137470595473685</v>
      </c>
      <c r="AA111" s="9">
        <f t="shared" si="11"/>
        <v>0.31941919875097352</v>
      </c>
      <c r="AB111" s="9">
        <f t="shared" si="12"/>
        <v>0.37002616852113707</v>
      </c>
      <c r="AC111" s="9">
        <f t="shared" si="13"/>
        <v>0.18717283104988042</v>
      </c>
      <c r="AD111" s="9">
        <f t="shared" si="14"/>
        <v>0.12338180167800898</v>
      </c>
      <c r="AE111" s="9"/>
      <c r="AF111" s="9">
        <f t="shared" si="15"/>
        <v>0.35950570526263975</v>
      </c>
      <c r="AG111" s="9">
        <f t="shared" si="16"/>
        <v>0.11778786663957129</v>
      </c>
      <c r="AH111" s="9">
        <f t="shared" si="17"/>
        <v>0.49753937867008097</v>
      </c>
      <c r="AI111" s="9">
        <f t="shared" si="18"/>
        <v>0.46498739453151894</v>
      </c>
    </row>
    <row r="112" spans="16:35" x14ac:dyDescent="0.3">
      <c r="P112" s="9">
        <v>0.32161201272819601</v>
      </c>
      <c r="Q112" s="9">
        <v>0.38298556424812008</v>
      </c>
      <c r="R112" s="9">
        <v>0.10210537048506678</v>
      </c>
      <c r="S112" s="9">
        <v>0.19329705253861704</v>
      </c>
      <c r="U112" s="9">
        <f t="array" ref="U112">MMULT(TRANSPOSE($B$3:$B$6),TRANSPOSE(P112:S112))</f>
        <v>9.1604784017398785E-2</v>
      </c>
      <c r="V112" s="9">
        <f>INT(200*U112)/200</f>
        <v>0.09</v>
      </c>
      <c r="W112" s="9">
        <f t="array" ref="W112">SQRT(MMULT(MMULT(P112:S112,$K$3:$N$6),TRANSPOSE(P112:S112)))</f>
        <v>7.5581217652716512E-2</v>
      </c>
      <c r="Y112" s="31">
        <f>U112/W112</f>
        <v>1.2120046072598085</v>
      </c>
      <c r="AA112" s="9">
        <f t="shared" si="11"/>
        <v>0.30835053084590147</v>
      </c>
      <c r="AB112" s="9">
        <f t="shared" si="12"/>
        <v>0.37725051803671716</v>
      </c>
      <c r="AC112" s="9">
        <f t="shared" si="13"/>
        <v>0.18586945025937704</v>
      </c>
      <c r="AD112" s="9">
        <f t="shared" si="14"/>
        <v>0.12852950085800452</v>
      </c>
      <c r="AE112" s="9"/>
      <c r="AF112" s="9">
        <f t="shared" si="15"/>
        <v>0.41804885123751445</v>
      </c>
      <c r="AG112" s="9">
        <f t="shared" si="16"/>
        <v>0.14731511311944029</v>
      </c>
      <c r="AH112" s="9">
        <f t="shared" si="17"/>
        <v>0.50025189434575978</v>
      </c>
      <c r="AI112" s="9">
        <f t="shared" si="18"/>
        <v>0.48795585987193801</v>
      </c>
    </row>
    <row r="113" spans="16:35" x14ac:dyDescent="0.3">
      <c r="P113" s="9">
        <v>0.28898514614369369</v>
      </c>
      <c r="Q113" s="9">
        <v>0.41384576631624825</v>
      </c>
      <c r="R113" s="9">
        <v>8.1271543906969182E-2</v>
      </c>
      <c r="S113" s="9">
        <v>0.21589754363308888</v>
      </c>
      <c r="U113" s="9">
        <f t="array" ref="U113">MMULT(TRANSPOSE($B$3:$B$6),TRANSPOSE(P113:S113))</f>
        <v>9.401635671535033E-2</v>
      </c>
      <c r="V113" s="9">
        <f>INT(200*U113)/200</f>
        <v>0.09</v>
      </c>
      <c r="W113" s="9">
        <f t="array" ref="W113">SQRT(MMULT(MMULT(P113:S113,$K$3:$N$6),TRANSPOSE(P113:S113)))</f>
        <v>7.7609002650969552E-2</v>
      </c>
      <c r="Y113" s="31">
        <f>U113/W113</f>
        <v>1.211410448581197</v>
      </c>
      <c r="AA113" s="9">
        <f t="shared" si="11"/>
        <v>0.29756612081609418</v>
      </c>
      <c r="AB113" s="9">
        <f t="shared" si="12"/>
        <v>0.37985515979949835</v>
      </c>
      <c r="AC113" s="9">
        <f t="shared" si="13"/>
        <v>0.18670912466601239</v>
      </c>
      <c r="AD113" s="9">
        <f t="shared" si="14"/>
        <v>0.13586959471839519</v>
      </c>
      <c r="AE113" s="9"/>
      <c r="AF113" s="9">
        <f t="shared" si="15"/>
        <v>0.39092708514686958</v>
      </c>
      <c r="AG113" s="9">
        <f t="shared" si="16"/>
        <v>0.14033297187553659</v>
      </c>
      <c r="AH113" s="9">
        <f t="shared" si="17"/>
        <v>0.49477615278786208</v>
      </c>
      <c r="AI113" s="9">
        <f t="shared" si="18"/>
        <v>0.43578798441913935</v>
      </c>
    </row>
    <row r="114" spans="16:35" x14ac:dyDescent="0.3">
      <c r="P114" s="9">
        <v>0.49455703925228822</v>
      </c>
      <c r="Q114" s="9">
        <v>0.34282021443196209</v>
      </c>
      <c r="R114" s="9">
        <v>1.448123536647534E-2</v>
      </c>
      <c r="S114" s="9">
        <v>0.1481415109492743</v>
      </c>
      <c r="U114" s="9">
        <f t="array" ref="U114">MMULT(TRANSPOSE($B$3:$B$6),TRANSPOSE(P114:S114))</f>
        <v>8.2910239843789646E-2</v>
      </c>
      <c r="V114" s="9">
        <f>INT(200*U114)/200</f>
        <v>0.08</v>
      </c>
      <c r="W114" s="9">
        <f t="array" ref="W114">SQRT(MMULT(MMULT(P114:S114,$K$3:$N$6),TRANSPOSE(P114:S114)))</f>
        <v>6.8529643171270332E-2</v>
      </c>
      <c r="Y114" s="31">
        <f>U114/W114</f>
        <v>1.2098449080871341</v>
      </c>
      <c r="AA114" s="9">
        <f t="shared" si="11"/>
        <v>0.28675096808590644</v>
      </c>
      <c r="AB114" s="9">
        <f t="shared" si="12"/>
        <v>0.38526968675899331</v>
      </c>
      <c r="AC114" s="9">
        <f t="shared" si="13"/>
        <v>0.18805051484477642</v>
      </c>
      <c r="AD114" s="9">
        <f t="shared" si="14"/>
        <v>0.13992883031032383</v>
      </c>
      <c r="AE114" s="9"/>
      <c r="AF114" s="9">
        <f t="shared" si="15"/>
        <v>0.4017804130908233</v>
      </c>
      <c r="AG114" s="9">
        <f t="shared" si="16"/>
        <v>0.14663857818683321</v>
      </c>
      <c r="AH114" s="9">
        <f t="shared" si="17"/>
        <v>0.48220415976393577</v>
      </c>
      <c r="AI114" s="9">
        <f t="shared" si="18"/>
        <v>0.45694942307612751</v>
      </c>
    </row>
    <row r="115" spans="16:35" x14ac:dyDescent="0.3">
      <c r="P115" s="9">
        <v>0.32853729305024493</v>
      </c>
      <c r="Q115" s="9">
        <v>0.34141734970732662</v>
      </c>
      <c r="R115" s="9">
        <v>0.2322234852361556</v>
      </c>
      <c r="S115" s="9">
        <v>9.7821872006272848E-2</v>
      </c>
      <c r="U115" s="9">
        <f t="array" ref="U115">MMULT(TRANSPOSE($B$3:$B$6),TRANSPOSE(P115:S115))</f>
        <v>8.9679543242890652E-2</v>
      </c>
      <c r="V115" s="9">
        <f>INT(200*U115)/200</f>
        <v>8.5000000000000006E-2</v>
      </c>
      <c r="W115" s="9">
        <f t="array" ref="W115">SQRT(MMULT(MMULT(P115:S115,$K$3:$N$6),TRANSPOSE(P115:S115)))</f>
        <v>7.4148359610068021E-2</v>
      </c>
      <c r="Y115" s="31">
        <f>U115/W115</f>
        <v>1.2094609201673259</v>
      </c>
      <c r="AA115" s="9">
        <f t="shared" si="11"/>
        <v>0.28730123762359028</v>
      </c>
      <c r="AB115" s="9">
        <f t="shared" si="12"/>
        <v>0.38672996885349953</v>
      </c>
      <c r="AC115" s="9">
        <f t="shared" si="13"/>
        <v>0.18353210065451439</v>
      </c>
      <c r="AD115" s="9">
        <f t="shared" si="14"/>
        <v>0.14243669286839572</v>
      </c>
      <c r="AE115" s="9"/>
      <c r="AF115" s="9">
        <f t="shared" si="15"/>
        <v>0.40049440817402615</v>
      </c>
      <c r="AG115" s="9">
        <f t="shared" si="16"/>
        <v>0.14879359491861299</v>
      </c>
      <c r="AH115" s="9">
        <f t="shared" si="17"/>
        <v>0.51737770691287144</v>
      </c>
      <c r="AI115" s="9">
        <f t="shared" si="18"/>
        <v>0.46989053329271685</v>
      </c>
    </row>
    <row r="116" spans="16:35" x14ac:dyDescent="0.3">
      <c r="P116" s="9">
        <v>9.9197868275942513E-2</v>
      </c>
      <c r="Q116" s="9">
        <v>0.45672995859588705</v>
      </c>
      <c r="R116" s="9">
        <v>0.37817496811470702</v>
      </c>
      <c r="S116" s="9">
        <v>6.5897205013463467E-2</v>
      </c>
      <c r="U116" s="9">
        <f t="array" ref="U116">MMULT(TRANSPOSE($B$3:$B$6),TRANSPOSE(P116:S116))</f>
        <v>0.10279342421459287</v>
      </c>
      <c r="V116" s="9">
        <f>INT(200*U116)/200</f>
        <v>0.1</v>
      </c>
      <c r="W116" s="9">
        <f t="array" ref="W116">SQRT(MMULT(MMULT(P116:S116,$K$3:$N$6),TRANSPOSE(P116:S116)))</f>
        <v>8.5048406807237215E-2</v>
      </c>
      <c r="Y116" s="31">
        <f>U116/W116</f>
        <v>1.2086460884279098</v>
      </c>
      <c r="AA116" s="9">
        <f t="shared" si="11"/>
        <v>0.28634443585211877</v>
      </c>
      <c r="AB116" s="9">
        <f t="shared" si="12"/>
        <v>0.38654511059899593</v>
      </c>
      <c r="AC116" s="9">
        <f t="shared" si="13"/>
        <v>0.18348181816080331</v>
      </c>
      <c r="AD116" s="9">
        <f t="shared" si="14"/>
        <v>0.14362863538808202</v>
      </c>
      <c r="AE116" s="9"/>
      <c r="AF116" s="9">
        <f t="shared" si="15"/>
        <v>0.4000461470516018</v>
      </c>
      <c r="AG116" s="9">
        <f t="shared" si="16"/>
        <v>0.14930008966395955</v>
      </c>
      <c r="AH116" s="9">
        <f t="shared" si="17"/>
        <v>0.51747540316839657</v>
      </c>
      <c r="AI116" s="9">
        <f t="shared" si="18"/>
        <v>0.46298081771029098</v>
      </c>
    </row>
    <row r="117" spans="16:35" x14ac:dyDescent="0.3">
      <c r="P117" s="9">
        <v>0.11791572605211845</v>
      </c>
      <c r="Q117" s="9">
        <v>0.45117263331311608</v>
      </c>
      <c r="R117" s="9">
        <v>0.27185425905261212</v>
      </c>
      <c r="S117" s="9">
        <v>0.15905738158215332</v>
      </c>
      <c r="U117" s="9">
        <f t="array" ref="U117">MMULT(TRANSPOSE($B$3:$B$6),TRANSPOSE(P117:S117))</f>
        <v>0.10217234260772773</v>
      </c>
      <c r="V117" s="9">
        <f>INT(200*U117)/200</f>
        <v>0.1</v>
      </c>
      <c r="W117" s="9">
        <f t="array" ref="W117">SQRT(MMULT(MMULT(P117:S117,$K$3:$N$6),TRANSPOSE(P117:S117)))</f>
        <v>8.4540512611340338E-2</v>
      </c>
      <c r="Y117" s="31">
        <f>U117/W117</f>
        <v>1.2085607178353239</v>
      </c>
      <c r="AA117" s="9">
        <f t="shared" si="11"/>
        <v>0.29718500688688176</v>
      </c>
      <c r="AB117" s="9">
        <f t="shared" si="12"/>
        <v>0.38155356704978016</v>
      </c>
      <c r="AC117" s="9">
        <f t="shared" si="13"/>
        <v>0.17902981904192616</v>
      </c>
      <c r="AD117" s="9">
        <f t="shared" si="14"/>
        <v>0.14223160702141188</v>
      </c>
      <c r="AE117" s="9"/>
      <c r="AF117" s="9">
        <f t="shared" si="15"/>
        <v>0.3937627559131035</v>
      </c>
      <c r="AG117" s="9">
        <f t="shared" si="16"/>
        <v>0.1543241591983267</v>
      </c>
      <c r="AH117" s="9">
        <f t="shared" si="17"/>
        <v>0.54030404884308858</v>
      </c>
      <c r="AI117" s="9">
        <f t="shared" si="18"/>
        <v>0.46371711968644297</v>
      </c>
    </row>
    <row r="118" spans="16:35" x14ac:dyDescent="0.3">
      <c r="P118" s="9">
        <v>0.36898116605452191</v>
      </c>
      <c r="Q118" s="9">
        <v>0.34094707076690084</v>
      </c>
      <c r="R118" s="9">
        <v>0.1339854452505502</v>
      </c>
      <c r="S118" s="9">
        <v>0.15608631792802702</v>
      </c>
      <c r="U118" s="9">
        <f t="array" ref="U118">MMULT(TRANSPOSE($B$3:$B$6),TRANSPOSE(P118:S118))</f>
        <v>8.817304956032658E-2</v>
      </c>
      <c r="V118" s="9">
        <f>INT(200*U118)/200</f>
        <v>8.5000000000000006E-2</v>
      </c>
      <c r="W118" s="9">
        <f t="array" ref="W118">SQRT(MMULT(MMULT(P118:S118,$K$3:$N$6),TRANSPOSE(P118:S118)))</f>
        <v>7.2996879056970054E-2</v>
      </c>
      <c r="Y118" s="31">
        <f>U118/W118</f>
        <v>1.2079016349659601</v>
      </c>
      <c r="AA118" s="9">
        <f t="shared" si="11"/>
        <v>0.29856496878056998</v>
      </c>
      <c r="AB118" s="9">
        <f t="shared" si="12"/>
        <v>0.38425035402815683</v>
      </c>
      <c r="AC118" s="9">
        <f t="shared" si="13"/>
        <v>0.16844617052884808</v>
      </c>
      <c r="AD118" s="9">
        <f t="shared" si="14"/>
        <v>0.14873850666242511</v>
      </c>
      <c r="AE118" s="9"/>
      <c r="AF118" s="9">
        <f t="shared" si="15"/>
        <v>0.39478881811466576</v>
      </c>
      <c r="AG118" s="9">
        <f t="shared" si="16"/>
        <v>0.15107209644990802</v>
      </c>
      <c r="AH118" s="9">
        <f t="shared" si="17"/>
        <v>0.61155427063565837</v>
      </c>
      <c r="AI118" s="9">
        <f t="shared" si="18"/>
        <v>0.44676397562990994</v>
      </c>
    </row>
    <row r="119" spans="16:35" x14ac:dyDescent="0.3">
      <c r="P119" s="9">
        <v>0.28389509127833862</v>
      </c>
      <c r="Q119" s="9">
        <v>0.35908611273812402</v>
      </c>
      <c r="R119" s="9">
        <v>0.24520878255303405</v>
      </c>
      <c r="S119" s="9">
        <v>0.11181001343050329</v>
      </c>
      <c r="U119" s="9">
        <f t="array" ref="U119">MMULT(TRANSPOSE($B$3:$B$6),TRANSPOSE(P119:S119))</f>
        <v>9.2158129711898198E-2</v>
      </c>
      <c r="V119" s="9">
        <f>INT(200*U119)/200</f>
        <v>0.09</v>
      </c>
      <c r="W119" s="9">
        <f t="array" ref="W119">SQRT(MMULT(MMULT(P119:S119,$K$3:$N$6),TRANSPOSE(P119:S119)))</f>
        <v>7.6313313014404666E-2</v>
      </c>
      <c r="Y119" s="31">
        <f>U119/W119</f>
        <v>1.2076284736124969</v>
      </c>
      <c r="AA119" s="9">
        <f t="shared" si="11"/>
        <v>0.29410897459910401</v>
      </c>
      <c r="AB119" s="9">
        <f t="shared" si="12"/>
        <v>0.38881723388310307</v>
      </c>
      <c r="AC119" s="9">
        <f t="shared" si="13"/>
        <v>0.15650149844064143</v>
      </c>
      <c r="AD119" s="9">
        <f t="shared" si="14"/>
        <v>0.16057229307715148</v>
      </c>
      <c r="AE119" s="9"/>
      <c r="AF119" s="9">
        <f t="shared" si="15"/>
        <v>0.41389615842291738</v>
      </c>
      <c r="AG119" s="9">
        <f t="shared" si="16"/>
        <v>0.16037735324605987</v>
      </c>
      <c r="AH119" s="9">
        <f t="shared" si="17"/>
        <v>0.60810954039276788</v>
      </c>
      <c r="AI119" s="9">
        <f t="shared" si="18"/>
        <v>0.39328359507640015</v>
      </c>
    </row>
    <row r="120" spans="16:35" x14ac:dyDescent="0.3">
      <c r="P120" s="9">
        <v>0.43450779147634966</v>
      </c>
      <c r="Q120" s="9">
        <v>0.32702465518960455</v>
      </c>
      <c r="R120" s="9">
        <v>8.6099637068690102E-2</v>
      </c>
      <c r="S120" s="9">
        <v>0.15236791626535576</v>
      </c>
      <c r="U120" s="9">
        <f t="array" ref="U120">MMULT(TRANSPOSE($B$3:$B$6),TRANSPOSE(P120:S120))</f>
        <v>8.4967671775974557E-2</v>
      </c>
      <c r="V120" s="9">
        <f>INT(200*U120)/200</f>
        <v>0.08</v>
      </c>
      <c r="W120" s="9">
        <f t="array" ref="W120">SQRT(MMULT(MMULT(P120:S120,$K$3:$N$6),TRANSPOSE(P120:S120)))</f>
        <v>7.046541429051055E-2</v>
      </c>
      <c r="Y120" s="31">
        <f>U120/W120</f>
        <v>1.2058067440812166</v>
      </c>
      <c r="AA120" s="9">
        <f t="shared" si="11"/>
        <v>0.29649174801728195</v>
      </c>
      <c r="AB120" s="9">
        <f t="shared" si="12"/>
        <v>0.38708918175245915</v>
      </c>
      <c r="AC120" s="9">
        <f t="shared" si="13"/>
        <v>0.15299421049752471</v>
      </c>
      <c r="AD120" s="9">
        <f t="shared" si="14"/>
        <v>0.16342485973273418</v>
      </c>
      <c r="AE120" s="9"/>
      <c r="AF120" s="9">
        <f t="shared" si="15"/>
        <v>0.40909156801302926</v>
      </c>
      <c r="AG120" s="9">
        <f t="shared" si="16"/>
        <v>0.16299991153812896</v>
      </c>
      <c r="AH120" s="9">
        <f t="shared" si="17"/>
        <v>0.59540563307973293</v>
      </c>
      <c r="AI120" s="9">
        <f t="shared" si="18"/>
        <v>0.36972165394777962</v>
      </c>
    </row>
    <row r="121" spans="16:35" x14ac:dyDescent="0.3">
      <c r="P121" s="9">
        <v>0.48365553507619691</v>
      </c>
      <c r="Q121" s="9">
        <v>0.29473670190422491</v>
      </c>
      <c r="R121" s="9">
        <v>0.18810170420389014</v>
      </c>
      <c r="S121" s="9">
        <v>3.3506058815687925E-2</v>
      </c>
      <c r="U121" s="9">
        <f t="array" ref="U121">MMULT(TRANSPOSE($B$3:$B$6),TRANSPOSE(P121:S121))</f>
        <v>8.1464912523275673E-2</v>
      </c>
      <c r="V121" s="9">
        <f>INT(200*U121)/200</f>
        <v>0.08</v>
      </c>
      <c r="W121" s="9">
        <f t="array" ref="W121">SQRT(MMULT(MMULT(P121:S121,$K$3:$N$6),TRANSPOSE(P121:S121)))</f>
        <v>6.7627985341487659E-2</v>
      </c>
      <c r="Y121" s="31">
        <f>U121/W121</f>
        <v>1.2046035692460513</v>
      </c>
      <c r="AA121" s="9">
        <f t="shared" si="11"/>
        <v>0.3022474842468571</v>
      </c>
      <c r="AB121" s="9">
        <f t="shared" si="12"/>
        <v>0.3859475811719224</v>
      </c>
      <c r="AC121" s="9">
        <f t="shared" si="13"/>
        <v>0.1458697501427561</v>
      </c>
      <c r="AD121" s="9">
        <f t="shared" si="14"/>
        <v>0.16593518443846436</v>
      </c>
      <c r="AE121" s="9"/>
      <c r="AF121" s="9">
        <f t="shared" si="15"/>
        <v>0.4128946292184425</v>
      </c>
      <c r="AG121" s="9">
        <f t="shared" si="16"/>
        <v>0.1655532069100098</v>
      </c>
      <c r="AH121" s="9">
        <f t="shared" si="17"/>
        <v>0.63315321316884565</v>
      </c>
      <c r="AI121" s="9">
        <f t="shared" si="18"/>
        <v>0.36056251365221487</v>
      </c>
    </row>
    <row r="122" spans="16:35" x14ac:dyDescent="0.3">
      <c r="P122" s="9">
        <v>5.0099038343551422E-2</v>
      </c>
      <c r="Q122" s="9">
        <v>0.52786197432795734</v>
      </c>
      <c r="R122" s="9">
        <v>0.18264787560335952</v>
      </c>
      <c r="S122" s="9">
        <v>0.23939111172513175</v>
      </c>
      <c r="U122" s="9">
        <f t="array" ref="U122">MMULT(TRANSPOSE($B$3:$B$6),TRANSPOSE(P122:S122))</f>
        <v>0.10769442986528996</v>
      </c>
      <c r="V122" s="9">
        <f>INT(200*U122)/200</f>
        <v>0.105</v>
      </c>
      <c r="W122" s="9">
        <f t="array" ref="W122">SQRT(MMULT(MMULT(P122:S122,$K$3:$N$6),TRANSPOSE(P122:S122)))</f>
        <v>8.9447683731838895E-2</v>
      </c>
      <c r="Y122" s="31">
        <f>U122/W122</f>
        <v>1.2039935006942626</v>
      </c>
      <c r="AA122" s="9">
        <f t="shared" si="11"/>
        <v>0.29967441676585055</v>
      </c>
      <c r="AB122" s="9">
        <f t="shared" si="12"/>
        <v>0.39083926627711396</v>
      </c>
      <c r="AC122" s="9">
        <f t="shared" si="13"/>
        <v>0.13837806547539577</v>
      </c>
      <c r="AD122" s="9">
        <f t="shared" si="14"/>
        <v>0.17110825148163966</v>
      </c>
      <c r="AE122" s="9"/>
      <c r="AF122" s="9">
        <f t="shared" si="15"/>
        <v>0.42074695732583672</v>
      </c>
      <c r="AG122" s="9">
        <f t="shared" si="16"/>
        <v>0.17260306614584289</v>
      </c>
      <c r="AH122" s="9">
        <f t="shared" si="17"/>
        <v>0.68677640164788201</v>
      </c>
      <c r="AI122" s="9">
        <f t="shared" si="18"/>
        <v>0.37338344246055627</v>
      </c>
    </row>
    <row r="123" spans="16:35" x14ac:dyDescent="0.3">
      <c r="P123" s="9">
        <v>0.32593093923776117</v>
      </c>
      <c r="Q123" s="9">
        <v>0.36074478574410568</v>
      </c>
      <c r="R123" s="9">
        <v>0.13178943027139958</v>
      </c>
      <c r="S123" s="9">
        <v>0.18153484474673351</v>
      </c>
      <c r="U123" s="9">
        <f t="array" ref="U123">MMULT(TRANSPOSE($B$3:$B$6),TRANSPOSE(P123:S123))</f>
        <v>9.069215423417E-2</v>
      </c>
      <c r="V123" s="9">
        <f>INT(200*U123)/200</f>
        <v>0.09</v>
      </c>
      <c r="W123" s="9">
        <f t="array" ref="W123">SQRT(MMULT(MMULT(P123:S123,$K$3:$N$6),TRANSPOSE(P123:S123)))</f>
        <v>7.5379020581261794E-2</v>
      </c>
      <c r="Y123" s="31">
        <f>U123/W123</f>
        <v>1.2031484826258787</v>
      </c>
      <c r="AA123" s="9">
        <f t="shared" si="11"/>
        <v>0.30370940164103472</v>
      </c>
      <c r="AB123" s="9">
        <f t="shared" si="12"/>
        <v>0.38728370594288758</v>
      </c>
      <c r="AC123" s="9">
        <f t="shared" si="13"/>
        <v>0.14073569121959972</v>
      </c>
      <c r="AD123" s="9">
        <f t="shared" si="14"/>
        <v>0.1682712011964779</v>
      </c>
      <c r="AE123" s="9"/>
      <c r="AF123" s="9">
        <f t="shared" si="15"/>
        <v>0.42199211046350316</v>
      </c>
      <c r="AG123" s="9">
        <f t="shared" si="16"/>
        <v>0.18028404728288702</v>
      </c>
      <c r="AH123" s="9">
        <f t="shared" si="17"/>
        <v>0.6729173624968886</v>
      </c>
      <c r="AI123" s="9">
        <f t="shared" si="18"/>
        <v>0.38138772253132791</v>
      </c>
    </row>
    <row r="124" spans="16:35" x14ac:dyDescent="0.3">
      <c r="P124" s="9">
        <v>0.18997388381799263</v>
      </c>
      <c r="Q124" s="9">
        <v>0.47021207055666697</v>
      </c>
      <c r="R124" s="9">
        <v>9.0958325044282876E-2</v>
      </c>
      <c r="S124" s="9">
        <v>0.24885572058105754</v>
      </c>
      <c r="U124" s="9">
        <f t="array" ref="U124">MMULT(TRANSPOSE($B$3:$B$6),TRANSPOSE(P124:S124))</f>
        <v>0.10005185871310852</v>
      </c>
      <c r="V124" s="9">
        <f>INT(200*U124)/200</f>
        <v>0.1</v>
      </c>
      <c r="W124" s="9">
        <f t="array" ref="W124">SQRT(MMULT(MMULT(P124:S124,$K$3:$N$6),TRANSPOSE(P124:S124)))</f>
        <v>8.3184528860718088E-2</v>
      </c>
      <c r="Y124" s="31">
        <f>U124/W124</f>
        <v>1.2027700352866413</v>
      </c>
      <c r="AA124" s="9">
        <f t="shared" si="11"/>
        <v>0.30445301452579138</v>
      </c>
      <c r="AB124" s="9">
        <f t="shared" si="12"/>
        <v>0.38389698333943639</v>
      </c>
      <c r="AC124" s="9">
        <f t="shared" si="13"/>
        <v>0.15171223498607353</v>
      </c>
      <c r="AD124" s="9">
        <f t="shared" si="14"/>
        <v>0.15993776714869862</v>
      </c>
      <c r="AE124" s="9"/>
      <c r="AF124" s="9">
        <f t="shared" si="15"/>
        <v>0.42081555079809396</v>
      </c>
      <c r="AG124" s="9">
        <f t="shared" si="16"/>
        <v>0.18284110191446437</v>
      </c>
      <c r="AH124" s="9">
        <f t="shared" si="17"/>
        <v>0.66335535267349766</v>
      </c>
      <c r="AI124" s="9">
        <f t="shared" si="18"/>
        <v>0.43062553863350728</v>
      </c>
    </row>
    <row r="125" spans="16:35" x14ac:dyDescent="0.3">
      <c r="P125" s="9">
        <v>0.2632351060143065</v>
      </c>
      <c r="Q125" s="9">
        <v>0.44028811171367577</v>
      </c>
      <c r="R125" s="9">
        <v>5.4680034005969595E-2</v>
      </c>
      <c r="S125" s="9">
        <v>0.24179674826604811</v>
      </c>
      <c r="U125" s="9">
        <f t="array" ref="U125">MMULT(TRANSPOSE($B$3:$B$6),TRANSPOSE(P125:S125))</f>
        <v>9.6013547191453955E-2</v>
      </c>
      <c r="V125" s="9">
        <f>INT(200*U125)/200</f>
        <v>9.5000000000000001E-2</v>
      </c>
      <c r="W125" s="9">
        <f t="array" ref="W125">SQRT(MMULT(MMULT(P125:S125,$K$3:$N$6),TRANSPOSE(P125:S125)))</f>
        <v>7.9862753533416653E-2</v>
      </c>
      <c r="Y125" s="31">
        <f>U125/W125</f>
        <v>1.2022318658381768</v>
      </c>
      <c r="AA125" s="9">
        <f t="shared" si="11"/>
        <v>0.29217382592026125</v>
      </c>
      <c r="AB125" s="9">
        <f t="shared" si="12"/>
        <v>0.38565536170340936</v>
      </c>
      <c r="AC125" s="9">
        <f t="shared" si="13"/>
        <v>0.16870168732375046</v>
      </c>
      <c r="AD125" s="9">
        <f t="shared" si="14"/>
        <v>0.15346912505257895</v>
      </c>
      <c r="AE125" s="9"/>
      <c r="AF125" s="9">
        <f t="shared" si="15"/>
        <v>0.41466896695967559</v>
      </c>
      <c r="AG125" s="9">
        <f t="shared" si="16"/>
        <v>0.18039800024249827</v>
      </c>
      <c r="AH125" s="9">
        <f t="shared" si="17"/>
        <v>0.62993642964705954</v>
      </c>
      <c r="AI125" s="9">
        <f t="shared" si="18"/>
        <v>0.49549139533940562</v>
      </c>
    </row>
    <row r="126" spans="16:35" x14ac:dyDescent="0.3">
      <c r="P126" s="9">
        <v>0.33523455974344796</v>
      </c>
      <c r="Q126" s="9">
        <v>0.3347363334766405</v>
      </c>
      <c r="R126" s="9">
        <v>0.19752754474294221</v>
      </c>
      <c r="S126" s="9">
        <v>0.13250156203696933</v>
      </c>
      <c r="U126" s="9">
        <f t="array" ref="U126">MMULT(TRANSPOSE($B$3:$B$6),TRANSPOSE(P126:S126))</f>
        <v>8.9317117645850652E-2</v>
      </c>
      <c r="V126" s="9">
        <f>INT(200*U126)/200</f>
        <v>8.5000000000000006E-2</v>
      </c>
      <c r="W126" s="9">
        <f t="array" ref="W126">SQRT(MMULT(MMULT(P126:S126,$K$3:$N$6),TRANSPOSE(P126:S126)))</f>
        <v>7.4440376796344479E-2</v>
      </c>
      <c r="Y126" s="31">
        <f>U126/W126</f>
        <v>1.1998477370715932</v>
      </c>
      <c r="AA126" s="9">
        <f t="shared" si="11"/>
        <v>0.29402847934212989</v>
      </c>
      <c r="AB126" s="9">
        <f t="shared" si="12"/>
        <v>0.38428704775832384</v>
      </c>
      <c r="AC126" s="9">
        <f t="shared" si="13"/>
        <v>0.16789504297337821</v>
      </c>
      <c r="AD126" s="9">
        <f t="shared" si="14"/>
        <v>0.15378942992616795</v>
      </c>
      <c r="AE126" s="9"/>
      <c r="AF126" s="9">
        <f t="shared" si="15"/>
        <v>0.41504421847066442</v>
      </c>
      <c r="AG126" s="9">
        <f t="shared" si="16"/>
        <v>0.18412664328910397</v>
      </c>
      <c r="AH126" s="9">
        <f t="shared" si="17"/>
        <v>0.6303249801334635</v>
      </c>
      <c r="AI126" s="9">
        <f t="shared" si="18"/>
        <v>0.49294887650410807</v>
      </c>
    </row>
    <row r="127" spans="16:35" x14ac:dyDescent="0.3">
      <c r="P127" s="9">
        <v>0.43070985312551402</v>
      </c>
      <c r="Q127" s="9">
        <v>0.31860513921057476</v>
      </c>
      <c r="R127" s="9">
        <v>9.795037690146853E-2</v>
      </c>
      <c r="S127" s="9">
        <v>0.15273463076244267</v>
      </c>
      <c r="U127" s="9">
        <f t="array" ref="U127">MMULT(TRANSPOSE($B$3:$B$6),TRANSPOSE(P127:S127))</f>
        <v>8.4868693864135009E-2</v>
      </c>
      <c r="V127" s="9">
        <f>INT(200*U127)/200</f>
        <v>0.08</v>
      </c>
      <c r="W127" s="9">
        <f t="array" ref="W127">SQRT(MMULT(MMULT(P127:S127,$K$3:$N$6),TRANSPOSE(P127:S127)))</f>
        <v>7.0783943572241825E-2</v>
      </c>
      <c r="Y127" s="31">
        <f>U127/W127</f>
        <v>1.1989822773510541</v>
      </c>
      <c r="AA127" s="9">
        <f t="shared" si="11"/>
        <v>0.29272976897996433</v>
      </c>
      <c r="AB127" s="9">
        <f t="shared" si="12"/>
        <v>0.38494753807773374</v>
      </c>
      <c r="AC127" s="9">
        <f t="shared" si="13"/>
        <v>0.16238913276507</v>
      </c>
      <c r="AD127" s="9">
        <f t="shared" si="14"/>
        <v>0.15993356017723181</v>
      </c>
      <c r="AE127" s="9"/>
      <c r="AF127" s="9">
        <f t="shared" si="15"/>
        <v>0.42474443609009632</v>
      </c>
      <c r="AG127" s="9">
        <f t="shared" si="16"/>
        <v>0.18581248600014322</v>
      </c>
      <c r="AH127" s="9">
        <f t="shared" si="17"/>
        <v>0.59720145689079329</v>
      </c>
      <c r="AI127" s="9">
        <f t="shared" si="18"/>
        <v>0.45972182566866082</v>
      </c>
    </row>
    <row r="128" spans="16:35" x14ac:dyDescent="0.3">
      <c r="P128" s="9">
        <v>0.38123883373315964</v>
      </c>
      <c r="Q128" s="9">
        <v>0.39400997892320677</v>
      </c>
      <c r="R128" s="9">
        <v>6.1397169824379859E-3</v>
      </c>
      <c r="S128" s="9">
        <v>0.21861147036119558</v>
      </c>
      <c r="U128" s="9">
        <f t="array" ref="U128">MMULT(TRANSPOSE($B$3:$B$6),TRANSPOSE(P128:S128))</f>
        <v>8.9525280946957275E-2</v>
      </c>
      <c r="V128" s="9">
        <f>INT(200*U128)/200</f>
        <v>8.5000000000000006E-2</v>
      </c>
      <c r="W128" s="9">
        <f t="array" ref="W128">SQRT(MMULT(MMULT(P128:S128,$K$3:$N$6),TRANSPOSE(P128:S128)))</f>
        <v>7.4741269897644097E-2</v>
      </c>
      <c r="Y128" s="31">
        <f>U128/W128</f>
        <v>1.1978025135184274</v>
      </c>
      <c r="AA128" s="9">
        <f t="shared" si="11"/>
        <v>0.30454566114448883</v>
      </c>
      <c r="AB128" s="9">
        <f t="shared" si="12"/>
        <v>0.37847968110414981</v>
      </c>
      <c r="AC128" s="9">
        <f t="shared" si="13"/>
        <v>0.16220731248717929</v>
      </c>
      <c r="AD128" s="9">
        <f t="shared" si="14"/>
        <v>0.15476734526418198</v>
      </c>
      <c r="AE128" s="9"/>
      <c r="AF128" s="9">
        <f t="shared" si="15"/>
        <v>0.38925966422504615</v>
      </c>
      <c r="AG128" s="9">
        <f t="shared" si="16"/>
        <v>0.18859948449250569</v>
      </c>
      <c r="AH128" s="9">
        <f t="shared" si="17"/>
        <v>0.59656301073269435</v>
      </c>
      <c r="AI128" s="9">
        <f t="shared" si="18"/>
        <v>0.49948523605497297</v>
      </c>
    </row>
    <row r="129" spans="16:35" x14ac:dyDescent="0.3">
      <c r="P129" s="9">
        <v>0.15070200666591985</v>
      </c>
      <c r="Q129" s="9">
        <v>0.48857213737774929</v>
      </c>
      <c r="R129" s="9">
        <v>9.9028605216528023E-2</v>
      </c>
      <c r="S129" s="9">
        <v>0.26169725073980288</v>
      </c>
      <c r="U129" s="9">
        <f t="array" ref="U129">MMULT(TRANSPOSE($B$3:$B$6),TRANSPOSE(P129:S129))</f>
        <v>0.10232133766810322</v>
      </c>
      <c r="V129" s="9">
        <f>INT(200*U129)/200</f>
        <v>0.1</v>
      </c>
      <c r="W129" s="9">
        <f t="array" ref="W129">SQRT(MMULT(MMULT(P129:S129,$K$3:$N$6),TRANSPOSE(P129:S129)))</f>
        <v>8.5603153449478817E-2</v>
      </c>
      <c r="Y129" s="31">
        <f>U129/W129</f>
        <v>1.1952986957249319</v>
      </c>
      <c r="AA129" s="9">
        <f t="shared" si="11"/>
        <v>0.30227155324923782</v>
      </c>
      <c r="AB129" s="9">
        <f t="shared" si="12"/>
        <v>0.37795238226938455</v>
      </c>
      <c r="AC129" s="9">
        <f t="shared" si="13"/>
        <v>0.1667483633506722</v>
      </c>
      <c r="AD129" s="9">
        <f t="shared" si="14"/>
        <v>0.15302770113070532</v>
      </c>
      <c r="AE129" s="9"/>
      <c r="AF129" s="9">
        <f t="shared" si="15"/>
        <v>0.3893999414614458</v>
      </c>
      <c r="AG129" s="9">
        <f t="shared" si="16"/>
        <v>0.1897390439346355</v>
      </c>
      <c r="AH129" s="9">
        <f t="shared" si="17"/>
        <v>0.58537404254399605</v>
      </c>
      <c r="AI129" s="9">
        <f t="shared" si="18"/>
        <v>0.5076399311682549</v>
      </c>
    </row>
    <row r="130" spans="16:35" x14ac:dyDescent="0.3">
      <c r="P130" s="9">
        <v>0.2990323490794573</v>
      </c>
      <c r="Q130" s="9">
        <v>0.34429486600776582</v>
      </c>
      <c r="R130" s="9">
        <v>0.22101178233686189</v>
      </c>
      <c r="S130" s="9">
        <v>0.13566100257591496</v>
      </c>
      <c r="U130" s="9">
        <f t="array" ref="U130">MMULT(TRANSPOSE($B$3:$B$6),TRANSPOSE(P130:S130))</f>
        <v>9.1149779024281716E-2</v>
      </c>
      <c r="V130" s="9">
        <f>INT(200*U130)/200</f>
        <v>0.09</v>
      </c>
      <c r="W130" s="9">
        <f t="array" ref="W130">SQRT(MMULT(MMULT(P130:S130,$K$3:$N$6),TRANSPOSE(P130:S130)))</f>
        <v>7.6288754452388086E-2</v>
      </c>
      <c r="Y130" s="31">
        <f>U130/W130</f>
        <v>1.1947996749792056</v>
      </c>
      <c r="AA130" s="9">
        <f t="shared" si="11"/>
        <v>0.31064534669287153</v>
      </c>
      <c r="AB130" s="9">
        <f t="shared" si="12"/>
        <v>0.37450300095912586</v>
      </c>
      <c r="AC130" s="9">
        <f t="shared" si="13"/>
        <v>0.16259846552439086</v>
      </c>
      <c r="AD130" s="9">
        <f t="shared" si="14"/>
        <v>0.15225318682361164</v>
      </c>
      <c r="AE130" s="9"/>
      <c r="AF130" s="9">
        <f t="shared" si="15"/>
        <v>0.39430731420193799</v>
      </c>
      <c r="AG130" s="9">
        <f t="shared" si="16"/>
        <v>0.1985523969066596</v>
      </c>
      <c r="AH130" s="9">
        <f t="shared" si="17"/>
        <v>0.59007930796596586</v>
      </c>
      <c r="AI130" s="9">
        <f t="shared" si="18"/>
        <v>0.51357788079989142</v>
      </c>
    </row>
    <row r="131" spans="16:35" x14ac:dyDescent="0.3">
      <c r="P131" s="9">
        <v>0.4311470455455354</v>
      </c>
      <c r="Q131" s="9">
        <v>0.33218890199194856</v>
      </c>
      <c r="R131" s="9">
        <v>5.9122871131277288E-2</v>
      </c>
      <c r="S131" s="9">
        <v>0.1775411813312387</v>
      </c>
      <c r="U131" s="9">
        <f t="array" ref="U131">MMULT(TRANSPOSE($B$3:$B$6),TRANSPOSE(P131:S131))</f>
        <v>8.5360739053476228E-2</v>
      </c>
      <c r="V131" s="9">
        <f>INT(200*U131)/200</f>
        <v>8.5000000000000006E-2</v>
      </c>
      <c r="W131" s="9">
        <f t="array" ref="W131">SQRT(MMULT(MMULT(P131:S131,$K$3:$N$6),TRANSPOSE(P131:S131)))</f>
        <v>7.1462104740834892E-2</v>
      </c>
      <c r="Y131" s="31">
        <f>U131/W131</f>
        <v>1.1944895740623125</v>
      </c>
      <c r="AA131" s="9">
        <f t="shared" si="11"/>
        <v>0.29625308724351035</v>
      </c>
      <c r="AB131" s="9">
        <f t="shared" si="12"/>
        <v>0.38441425223789982</v>
      </c>
      <c r="AC131" s="9">
        <f t="shared" si="13"/>
        <v>0.16064334618696025</v>
      </c>
      <c r="AD131" s="9">
        <f t="shared" si="14"/>
        <v>0.15868931433162953</v>
      </c>
      <c r="AE131" s="9"/>
      <c r="AF131" s="9">
        <f t="shared" si="15"/>
        <v>0.4217343228136865</v>
      </c>
      <c r="AG131" s="9">
        <f t="shared" si="16"/>
        <v>0.21139756451091346</v>
      </c>
      <c r="AH131" s="9">
        <f t="shared" si="17"/>
        <v>0.60991969618756792</v>
      </c>
      <c r="AI131" s="9">
        <f t="shared" si="18"/>
        <v>0.52669382161433975</v>
      </c>
    </row>
    <row r="132" spans="16:35" x14ac:dyDescent="0.3">
      <c r="P132" s="9">
        <v>0.21401446738832547</v>
      </c>
      <c r="Q132" s="9">
        <v>0.48534426527758712</v>
      </c>
      <c r="R132" s="9">
        <v>3.1576381508633171E-2</v>
      </c>
      <c r="S132" s="9">
        <v>0.26906488582545429</v>
      </c>
      <c r="U132" s="9">
        <f t="array" ref="U132">MMULT(TRANSPOSE($B$3:$B$6),TRANSPOSE(P132:S132))</f>
        <v>9.9580381769731677E-2</v>
      </c>
      <c r="V132" s="9">
        <f>INT(200*U132)/200</f>
        <v>9.5000000000000001E-2</v>
      </c>
      <c r="W132" s="9">
        <f t="array" ref="W132">SQRT(MMULT(MMULT(P132:S132,$K$3:$N$6),TRANSPOSE(P132:S132)))</f>
        <v>8.3409028005097544E-2</v>
      </c>
      <c r="Y132" s="31">
        <f>U132/W132</f>
        <v>1.1938801368557588</v>
      </c>
      <c r="AA132" s="9">
        <f t="shared" si="11"/>
        <v>0.29042678007821976</v>
      </c>
      <c r="AB132" s="9">
        <f t="shared" si="12"/>
        <v>0.38626811855337373</v>
      </c>
      <c r="AC132" s="9">
        <f t="shared" si="13"/>
        <v>0.15748447197242255</v>
      </c>
      <c r="AD132" s="9">
        <f t="shared" si="14"/>
        <v>0.16582062939598388</v>
      </c>
      <c r="AE132" s="9"/>
      <c r="AF132" s="9">
        <f t="shared" si="15"/>
        <v>0.40784185718063487</v>
      </c>
      <c r="AG132" s="9">
        <f t="shared" si="16"/>
        <v>0.20592422697637625</v>
      </c>
      <c r="AH132" s="9">
        <f t="shared" si="17"/>
        <v>0.62304087775728079</v>
      </c>
      <c r="AI132" s="9">
        <f t="shared" si="18"/>
        <v>0.47404546051546709</v>
      </c>
    </row>
    <row r="133" spans="16:35" x14ac:dyDescent="0.3">
      <c r="P133" s="9">
        <v>0.40634669510706278</v>
      </c>
      <c r="Q133" s="9">
        <v>0.30831879722936723</v>
      </c>
      <c r="R133" s="9">
        <v>0.15161551111334984</v>
      </c>
      <c r="S133" s="9">
        <v>0.13371899655022004</v>
      </c>
      <c r="U133" s="9">
        <f t="array" ref="U133">MMULT(TRANSPOSE($B$3:$B$6),TRANSPOSE(P133:S133))</f>
        <v>8.5507964342441303E-2</v>
      </c>
      <c r="V133" s="9">
        <f>INT(200*U133)/200</f>
        <v>8.5000000000000006E-2</v>
      </c>
      <c r="W133" s="9">
        <f t="array" ref="W133">SQRT(MMULT(MMULT(P133:S133,$K$3:$N$6),TRANSPOSE(P133:S133)))</f>
        <v>7.1627961474225552E-2</v>
      </c>
      <c r="Y133" s="31">
        <f>U133/W133</f>
        <v>1.193779113387309</v>
      </c>
      <c r="AA133" s="9">
        <f t="shared" si="11"/>
        <v>0.29002585335297465</v>
      </c>
      <c r="AB133" s="9">
        <f t="shared" si="12"/>
        <v>0.38422622366883441</v>
      </c>
      <c r="AC133" s="9">
        <f t="shared" si="13"/>
        <v>0.16182325595595598</v>
      </c>
      <c r="AD133" s="9">
        <f t="shared" si="14"/>
        <v>0.1639246670222349</v>
      </c>
      <c r="AE133" s="9"/>
      <c r="AF133" s="9">
        <f t="shared" si="15"/>
        <v>0.41138893802242771</v>
      </c>
      <c r="AG133" s="9">
        <f t="shared" si="16"/>
        <v>0.19833583750014383</v>
      </c>
      <c r="AH133" s="9">
        <f t="shared" si="17"/>
        <v>0.62569570006641984</v>
      </c>
      <c r="AI133" s="9">
        <f t="shared" si="18"/>
        <v>0.471015600521347</v>
      </c>
    </row>
    <row r="134" spans="16:35" x14ac:dyDescent="0.3">
      <c r="P134" s="9">
        <v>0.30460101672358403</v>
      </c>
      <c r="Q134" s="9">
        <v>0.34272459164377328</v>
      </c>
      <c r="R134" s="9">
        <v>0.3117789630029193</v>
      </c>
      <c r="S134" s="9">
        <v>4.0895428629723521E-2</v>
      </c>
      <c r="U134" s="9">
        <f t="array" ref="U134">MMULT(TRANSPOSE($B$3:$B$6),TRANSPOSE(P134:S134))</f>
        <v>9.052116386111006E-2</v>
      </c>
      <c r="V134" s="9">
        <f>INT(200*U134)/200</f>
        <v>0.09</v>
      </c>
      <c r="W134" s="9">
        <f t="array" ref="W134">SQRT(MMULT(MMULT(P134:S134,$K$3:$N$6),TRANSPOSE(P134:S134)))</f>
        <v>7.5861868604904514E-2</v>
      </c>
      <c r="Y134" s="31">
        <f>U134/W134</f>
        <v>1.1932366751015913</v>
      </c>
      <c r="AA134" s="9">
        <f t="shared" si="11"/>
        <v>0.30189776217841657</v>
      </c>
      <c r="AB134" s="9">
        <f t="shared" si="12"/>
        <v>0.38091769695104905</v>
      </c>
      <c r="AC134" s="9">
        <f t="shared" si="13"/>
        <v>0.15730668858676231</v>
      </c>
      <c r="AD134" s="9">
        <f t="shared" si="14"/>
        <v>0.15987785228377213</v>
      </c>
      <c r="AE134" s="9"/>
      <c r="AF134" s="9">
        <f t="shared" si="15"/>
        <v>0.44551974853190096</v>
      </c>
      <c r="AG134" s="9">
        <f t="shared" si="16"/>
        <v>0.20671733903816802</v>
      </c>
      <c r="AH134" s="9">
        <f t="shared" si="17"/>
        <v>0.6656745147312767</v>
      </c>
      <c r="AI134" s="9">
        <f t="shared" si="18"/>
        <v>0.4907429815282246</v>
      </c>
    </row>
    <row r="135" spans="16:35" x14ac:dyDescent="0.3">
      <c r="P135" s="9">
        <v>0.23669407853615573</v>
      </c>
      <c r="Q135" s="9">
        <v>0.37974616007539325</v>
      </c>
      <c r="R135" s="9">
        <v>0.37125973445769</v>
      </c>
      <c r="S135" s="9">
        <v>1.2300026930761078E-2</v>
      </c>
      <c r="U135" s="9">
        <f t="array" ref="U135">MMULT(TRANSPOSE($B$3:$B$6),TRANSPOSE(P135:S135))</f>
        <v>9.4423377724069293E-2</v>
      </c>
      <c r="V135" s="9">
        <f>INT(200*U135)/200</f>
        <v>0.09</v>
      </c>
      <c r="W135" s="9">
        <f t="array" ref="W135">SQRT(MMULT(MMULT(P135:S135,$K$3:$N$6),TRANSPOSE(P135:S135)))</f>
        <v>7.919466722361819E-2</v>
      </c>
      <c r="Y135" s="31">
        <f>U135/W135</f>
        <v>1.1922946460201735</v>
      </c>
      <c r="AA135" s="9">
        <f t="shared" si="11"/>
        <v>0.30052188824264225</v>
      </c>
      <c r="AB135" s="9">
        <f t="shared" si="12"/>
        <v>0.37756919531599986</v>
      </c>
      <c r="AC135" s="9">
        <f t="shared" si="13"/>
        <v>0.16823076335120193</v>
      </c>
      <c r="AD135" s="9">
        <f t="shared" si="14"/>
        <v>0.15367815309015603</v>
      </c>
      <c r="AE135" s="9"/>
      <c r="AF135" s="9">
        <f t="shared" si="15"/>
        <v>0.45202914928665072</v>
      </c>
      <c r="AG135" s="9">
        <f t="shared" si="16"/>
        <v>0.20184277766334777</v>
      </c>
      <c r="AH135" s="9">
        <f t="shared" si="17"/>
        <v>0.64977697797660183</v>
      </c>
      <c r="AI135" s="9">
        <f t="shared" si="18"/>
        <v>0.49575991697312516</v>
      </c>
    </row>
    <row r="136" spans="16:35" x14ac:dyDescent="0.3">
      <c r="P136" s="9">
        <v>0.36748501490948615</v>
      </c>
      <c r="Q136" s="9">
        <v>0.31268275686053276</v>
      </c>
      <c r="R136" s="9">
        <v>0.21528395387833849</v>
      </c>
      <c r="S136" s="9">
        <v>0.10454827435164249</v>
      </c>
      <c r="U136" s="9">
        <f t="array" ref="U136">MMULT(TRANSPOSE($B$3:$B$6),TRANSPOSE(P136:S136))</f>
        <v>8.7174228205039936E-2</v>
      </c>
      <c r="V136" s="9">
        <f>INT(200*U136)/200</f>
        <v>8.5000000000000006E-2</v>
      </c>
      <c r="W136" s="9">
        <f t="array" ref="W136">SQRT(MMULT(MMULT(P136:S136,$K$3:$N$6),TRANSPOSE(P136:S136)))</f>
        <v>7.3139557489355508E-2</v>
      </c>
      <c r="Y136" s="31">
        <f>U136/W136</f>
        <v>1.1918889202703611</v>
      </c>
      <c r="AA136" s="9">
        <f t="shared" si="11"/>
        <v>0.30413950571111414</v>
      </c>
      <c r="AB136" s="9">
        <f t="shared" si="12"/>
        <v>0.37508690455878319</v>
      </c>
      <c r="AC136" s="9">
        <f t="shared" si="13"/>
        <v>0.16739173596163615</v>
      </c>
      <c r="AD136" s="9">
        <f t="shared" si="14"/>
        <v>0.15338185376846655</v>
      </c>
      <c r="AE136" s="9"/>
      <c r="AF136" s="9">
        <f t="shared" si="15"/>
        <v>0.44655032474413081</v>
      </c>
      <c r="AG136" s="9">
        <f t="shared" si="16"/>
        <v>0.199693298633493</v>
      </c>
      <c r="AH136" s="9">
        <f t="shared" si="17"/>
        <v>0.65887872819163662</v>
      </c>
      <c r="AI136" s="9">
        <f t="shared" si="18"/>
        <v>0.49444529032277856</v>
      </c>
    </row>
    <row r="137" spans="16:35" x14ac:dyDescent="0.3">
      <c r="P137" s="9">
        <v>7.1924950670465643E-2</v>
      </c>
      <c r="Q137" s="9">
        <v>0.47060025530349436</v>
      </c>
      <c r="R137" s="9">
        <v>0.26255085374023546</v>
      </c>
      <c r="S137" s="9">
        <v>0.19492394028580456</v>
      </c>
      <c r="U137" s="9">
        <f t="array" ref="U137">MMULT(TRANSPOSE($B$3:$B$6),TRANSPOSE(P137:S137))</f>
        <v>0.10484188839028363</v>
      </c>
      <c r="V137" s="9">
        <f>INT(200*U137)/200</f>
        <v>0.1</v>
      </c>
      <c r="W137" s="9">
        <f t="array" ref="W137">SQRT(MMULT(MMULT(P137:S137,$K$3:$N$6),TRANSPOSE(P137:S137)))</f>
        <v>8.7964549953065338E-2</v>
      </c>
      <c r="Y137" s="31">
        <f>U137/W137</f>
        <v>1.1918652280517938</v>
      </c>
      <c r="AA137" s="9">
        <f t="shared" si="11"/>
        <v>0.29848654284509241</v>
      </c>
      <c r="AB137" s="9">
        <f t="shared" si="12"/>
        <v>0.37678094694724507</v>
      </c>
      <c r="AC137" s="9">
        <f t="shared" si="13"/>
        <v>0.17252851626974236</v>
      </c>
      <c r="AD137" s="9">
        <f t="shared" si="14"/>
        <v>0.15220399393792033</v>
      </c>
      <c r="AE137" s="9"/>
      <c r="AF137" s="9">
        <f t="shared" si="15"/>
        <v>0.45871641902638605</v>
      </c>
      <c r="AG137" s="9">
        <f t="shared" si="16"/>
        <v>0.19731446206038011</v>
      </c>
      <c r="AH137" s="9">
        <f t="shared" si="17"/>
        <v>0.66196096170843377</v>
      </c>
      <c r="AI137" s="9">
        <f t="shared" si="18"/>
        <v>0.50175862711065633</v>
      </c>
    </row>
    <row r="138" spans="16:35" x14ac:dyDescent="0.3">
      <c r="P138" s="9">
        <v>0.36604946150713397</v>
      </c>
      <c r="Q138" s="9">
        <v>0.31534763686785228</v>
      </c>
      <c r="R138" s="9">
        <v>0.26803603321690711</v>
      </c>
      <c r="S138" s="9">
        <v>5.0566868408106633E-2</v>
      </c>
      <c r="U138" s="9">
        <f t="array" ref="U138">MMULT(TRANSPOSE($B$3:$B$6),TRANSPOSE(P138:S138))</f>
        <v>8.7120383155894918E-2</v>
      </c>
      <c r="V138" s="9">
        <f>INT(200*U138)/200</f>
        <v>8.5000000000000006E-2</v>
      </c>
      <c r="W138" s="9">
        <f t="array" ref="W138">SQRT(MMULT(MMULT(P138:S138,$K$3:$N$6),TRANSPOSE(P138:S138)))</f>
        <v>7.3108183566409482E-2</v>
      </c>
      <c r="Y138" s="31">
        <f>U138/W138</f>
        <v>1.1916639000715581</v>
      </c>
      <c r="AA138" s="9">
        <f t="shared" si="11"/>
        <v>0.2902976891648904</v>
      </c>
      <c r="AB138" s="9">
        <f t="shared" si="12"/>
        <v>0.38341224935318957</v>
      </c>
      <c r="AC138" s="9">
        <f t="shared" si="13"/>
        <v>0.16845136713548806</v>
      </c>
      <c r="AD138" s="9">
        <f t="shared" si="14"/>
        <v>0.15783869434643205</v>
      </c>
      <c r="AE138" s="9"/>
      <c r="AF138" s="9">
        <f t="shared" si="15"/>
        <v>0.46063893894826813</v>
      </c>
      <c r="AG138" s="9">
        <f t="shared" si="16"/>
        <v>0.19587942394329463</v>
      </c>
      <c r="AH138" s="9">
        <f t="shared" si="17"/>
        <v>0.70318268786619376</v>
      </c>
      <c r="AI138" s="9">
        <f t="shared" si="18"/>
        <v>0.5110011938871768</v>
      </c>
    </row>
    <row r="139" spans="16:35" x14ac:dyDescent="0.3">
      <c r="P139" s="9">
        <v>0.32122490025425049</v>
      </c>
      <c r="Q139" s="9">
        <v>0.3298737952368313</v>
      </c>
      <c r="R139" s="9">
        <v>0.22934751338390091</v>
      </c>
      <c r="S139" s="9">
        <v>0.11955379112501723</v>
      </c>
      <c r="U139" s="9">
        <f t="array" ref="U139">MMULT(TRANSPOSE($B$3:$B$6),TRANSPOSE(P139:S139))</f>
        <v>8.9709928824868848E-2</v>
      </c>
      <c r="V139" s="9">
        <f>INT(200*U139)/200</f>
        <v>8.5000000000000006E-2</v>
      </c>
      <c r="W139" s="9">
        <f t="array" ref="W139">SQRT(MMULT(MMULT(P139:S139,$K$3:$N$6),TRANSPOSE(P139:S139)))</f>
        <v>7.5325589163905249E-2</v>
      </c>
      <c r="Y139" s="31">
        <f>U139/W139</f>
        <v>1.1909621925381013</v>
      </c>
      <c r="AA139" s="9">
        <f t="shared" si="11"/>
        <v>0.28555674884262111</v>
      </c>
      <c r="AB139" s="9">
        <f t="shared" si="12"/>
        <v>0.38096416511854825</v>
      </c>
      <c r="AC139" s="9">
        <f t="shared" si="13"/>
        <v>0.17895245855407371</v>
      </c>
      <c r="AD139" s="9">
        <f t="shared" si="14"/>
        <v>0.15452662748475704</v>
      </c>
      <c r="AE139" s="9"/>
      <c r="AF139" s="9">
        <f t="shared" si="15"/>
        <v>0.46257689759191983</v>
      </c>
      <c r="AG139" s="9">
        <f t="shared" si="16"/>
        <v>0.1983815074552209</v>
      </c>
      <c r="AH139" s="9">
        <f t="shared" si="17"/>
        <v>0.63141019314431313</v>
      </c>
      <c r="AI139" s="9">
        <f t="shared" si="18"/>
        <v>0.51418017198541432</v>
      </c>
    </row>
    <row r="140" spans="16:35" x14ac:dyDescent="0.3">
      <c r="P140" s="9">
        <v>0.45974475359464545</v>
      </c>
      <c r="Q140" s="9">
        <v>0.28664910522269238</v>
      </c>
      <c r="R140" s="9">
        <v>0.15806092820112635</v>
      </c>
      <c r="S140" s="9">
        <v>9.5545212981535871E-2</v>
      </c>
      <c r="U140" s="9">
        <f t="array" ref="U140">MMULT(TRANSPOSE($B$3:$B$6),TRANSPOSE(P140:S140))</f>
        <v>8.2448533521975301E-2</v>
      </c>
      <c r="V140" s="9">
        <f>INT(200*U140)/200</f>
        <v>0.08</v>
      </c>
      <c r="W140" s="9">
        <f t="array" ref="W140">SQRT(MMULT(MMULT(P140:S140,$K$3:$N$6),TRANSPOSE(P140:S140)))</f>
        <v>6.92552124873244E-2</v>
      </c>
      <c r="Y140" s="31">
        <f>U140/W140</f>
        <v>1.190502931993251</v>
      </c>
      <c r="AA140" s="9">
        <f t="shared" si="11"/>
        <v>0.28242367480900393</v>
      </c>
      <c r="AB140" s="9">
        <f t="shared" si="12"/>
        <v>0.37869531625301384</v>
      </c>
      <c r="AC140" s="9">
        <f t="shared" si="13"/>
        <v>0.1899982035758295</v>
      </c>
      <c r="AD140" s="9">
        <f t="shared" si="14"/>
        <v>0.14888280536215279</v>
      </c>
      <c r="AE140" s="9"/>
      <c r="AF140" s="9">
        <f t="shared" si="15"/>
        <v>0.48214049734560716</v>
      </c>
      <c r="AG140" s="9">
        <f t="shared" si="16"/>
        <v>0.19237174218734299</v>
      </c>
      <c r="AH140" s="9">
        <f t="shared" si="17"/>
        <v>0.61097528897470343</v>
      </c>
      <c r="AI140" s="9">
        <f t="shared" si="18"/>
        <v>0.5076211168966267</v>
      </c>
    </row>
    <row r="141" spans="16:35" x14ac:dyDescent="0.3">
      <c r="P141" s="9">
        <v>0.13227034303976484</v>
      </c>
      <c r="Q141" s="9">
        <v>0.53516093204385673</v>
      </c>
      <c r="R141" s="9">
        <v>4.5042130982647345E-2</v>
      </c>
      <c r="S141" s="9">
        <v>0.28752659393373114</v>
      </c>
      <c r="U141" s="9">
        <f t="array" ref="U141">MMULT(TRANSPOSE($B$3:$B$6),TRANSPOSE(P141:S141))</f>
        <v>0.10463287288338383</v>
      </c>
      <c r="V141" s="9">
        <f>INT(200*U141)/200</f>
        <v>0.1</v>
      </c>
      <c r="W141" s="9">
        <f t="array" ref="W141">SQRT(MMULT(MMULT(P141:S141,$K$3:$N$6),TRANSPOSE(P141:S141)))</f>
        <v>8.7963092463931233E-2</v>
      </c>
      <c r="Y141" s="31">
        <f>U141/W141</f>
        <v>1.1895088036643089</v>
      </c>
      <c r="AA141" s="9">
        <f t="shared" si="11"/>
        <v>0.28145710811610164</v>
      </c>
      <c r="AB141" s="9">
        <f t="shared" si="12"/>
        <v>0.38053458226781978</v>
      </c>
      <c r="AC141" s="9">
        <f t="shared" si="13"/>
        <v>0.18463930271407136</v>
      </c>
      <c r="AD141" s="9">
        <f t="shared" si="14"/>
        <v>0.15336900690200733</v>
      </c>
      <c r="AE141" s="9"/>
      <c r="AF141" s="9">
        <f t="shared" si="15"/>
        <v>0.4836123487985749</v>
      </c>
      <c r="AG141" s="9">
        <f t="shared" si="16"/>
        <v>0.19032350361290612</v>
      </c>
      <c r="AH141" s="9">
        <f t="shared" si="17"/>
        <v>0.63460690446734125</v>
      </c>
      <c r="AI141" s="9">
        <f t="shared" si="18"/>
        <v>0.50546751522908051</v>
      </c>
    </row>
    <row r="142" spans="16:35" x14ac:dyDescent="0.3">
      <c r="P142" s="9">
        <v>0.36130308460509469</v>
      </c>
      <c r="Q142" s="9">
        <v>0.33366789452917783</v>
      </c>
      <c r="R142" s="9">
        <v>0.1217653456985982</v>
      </c>
      <c r="S142" s="9">
        <v>0.18326367516712927</v>
      </c>
      <c r="U142" s="9">
        <f t="array" ref="U142">MMULT(TRANSPOSE($B$3:$B$6),TRANSPOSE(P142:S142))</f>
        <v>8.8370561316901908E-2</v>
      </c>
      <c r="V142" s="9">
        <f>INT(200*U142)/200</f>
        <v>8.5000000000000006E-2</v>
      </c>
      <c r="W142" s="9">
        <f t="array" ref="W142">SQRT(MMULT(MMULT(P142:S142,$K$3:$N$6),TRANSPOSE(P142:S142)))</f>
        <v>7.4415855424259561E-2</v>
      </c>
      <c r="Y142" s="31">
        <f>U142/W142</f>
        <v>1.187523288055802</v>
      </c>
      <c r="AA142" s="9">
        <f t="shared" ref="AA142:AA205" si="19">AVERAGE(P132:P152)</f>
        <v>0.27152372228193944</v>
      </c>
      <c r="AB142" s="9">
        <f t="shared" ref="AB142:AB205" si="20">AVERAGE(Q132:Q152)</f>
        <v>0.38211432768364528</v>
      </c>
      <c r="AC142" s="9">
        <f t="shared" ref="AC142:AC205" si="21">AVERAGE(R132:R152)</f>
        <v>0.1956636504858425</v>
      </c>
      <c r="AD142" s="9">
        <f t="shared" ref="AD142:AD205" si="22">AVERAGE(S132:S152)</f>
        <v>0.15069829954857275</v>
      </c>
      <c r="AE142" s="9"/>
      <c r="AF142" s="9">
        <f t="shared" ref="AF142:AF205" si="23">STDEV(P132:P152)/AA142</f>
        <v>0.48688652583810937</v>
      </c>
      <c r="AG142" s="9">
        <f t="shared" ref="AG142:AG205" si="24">STDEV(Q132:Q152)/AB142</f>
        <v>0.18757566967076963</v>
      </c>
      <c r="AH142" s="9">
        <f t="shared" ref="AH142:AH205" si="25">STDEV(R132:R152)/AC142</f>
        <v>0.59108944608651348</v>
      </c>
      <c r="AI142" s="9">
        <f t="shared" ref="AI142:AI205" si="26">STDEV(S132:S152)/AD142</f>
        <v>0.51503362579985557</v>
      </c>
    </row>
    <row r="143" spans="16:35" x14ac:dyDescent="0.3">
      <c r="P143" s="9">
        <v>4.1679577113404219E-2</v>
      </c>
      <c r="Q143" s="9">
        <v>0.48498218175263103</v>
      </c>
      <c r="R143" s="9">
        <v>0.27376233925756166</v>
      </c>
      <c r="S143" s="9">
        <v>0.19957590187640309</v>
      </c>
      <c r="U143" s="9">
        <f t="array" ref="U143">MMULT(TRANSPOSE($B$3:$B$6),TRANSPOSE(P143:S143))</f>
        <v>0.10657812363686631</v>
      </c>
      <c r="V143" s="9">
        <f>INT(200*U143)/200</f>
        <v>0.105</v>
      </c>
      <c r="W143" s="9">
        <f t="array" ref="W143">SQRT(MMULT(MMULT(P143:S143,$K$3:$N$6),TRANSPOSE(P143:S143)))</f>
        <v>8.9763741700616434E-2</v>
      </c>
      <c r="Y143" s="31">
        <f>U143/W143</f>
        <v>1.1873181934898598</v>
      </c>
      <c r="AA143" s="9">
        <f t="shared" si="19"/>
        <v>0.27634482081115269</v>
      </c>
      <c r="AB143" s="9">
        <f t="shared" si="20"/>
        <v>0.37442318552840836</v>
      </c>
      <c r="AC143" s="9">
        <f t="shared" si="21"/>
        <v>0.20585364356963567</v>
      </c>
      <c r="AD143" s="9">
        <f t="shared" si="22"/>
        <v>0.14337835009080324</v>
      </c>
      <c r="AE143" s="9"/>
      <c r="AF143" s="9">
        <f t="shared" si="23"/>
        <v>0.47710218756718575</v>
      </c>
      <c r="AG143" s="9">
        <f t="shared" si="24"/>
        <v>0.18333803981070071</v>
      </c>
      <c r="AH143" s="9">
        <f t="shared" si="25"/>
        <v>0.53315032202229651</v>
      </c>
      <c r="AI143" s="9">
        <f t="shared" si="26"/>
        <v>0.50917760659349587</v>
      </c>
    </row>
    <row r="144" spans="16:35" x14ac:dyDescent="0.3">
      <c r="P144" s="9">
        <v>0.57524102457204074</v>
      </c>
      <c r="Q144" s="9">
        <v>0.2912657246706114</v>
      </c>
      <c r="R144" s="9">
        <v>3.6941515518332441E-2</v>
      </c>
      <c r="S144" s="9">
        <v>9.6551735239015529E-2</v>
      </c>
      <c r="U144" s="9">
        <f t="array" ref="U144">MMULT(TRANSPOSE($B$3:$B$6),TRANSPOSE(P144:S144))</f>
        <v>7.7727941564686445E-2</v>
      </c>
      <c r="V144" s="9">
        <f>INT(200*U144)/200</f>
        <v>7.4999999999999997E-2</v>
      </c>
      <c r="W144" s="9">
        <f t="array" ref="W144">SQRT(MMULT(MMULT(P144:S144,$K$3:$N$6),TRANSPOSE(P144:S144)))</f>
        <v>6.5532681905882031E-2</v>
      </c>
      <c r="Y144" s="31">
        <f>U144/W144</f>
        <v>1.1860943166696463</v>
      </c>
      <c r="AA144" s="9">
        <f t="shared" si="19"/>
        <v>0.27909523559914062</v>
      </c>
      <c r="AB144" s="9">
        <f t="shared" si="20"/>
        <v>0.37291292245854146</v>
      </c>
      <c r="AC144" s="9">
        <f t="shared" si="21"/>
        <v>0.20710775600462292</v>
      </c>
      <c r="AD144" s="9">
        <f t="shared" si="22"/>
        <v>0.14088408593769494</v>
      </c>
      <c r="AE144" s="9"/>
      <c r="AF144" s="9">
        <f t="shared" si="23"/>
        <v>0.48460428088828195</v>
      </c>
      <c r="AG144" s="9">
        <f t="shared" si="24"/>
        <v>0.18904414025572513</v>
      </c>
      <c r="AH144" s="9">
        <f t="shared" si="25"/>
        <v>0.52750076707705162</v>
      </c>
      <c r="AI144" s="9">
        <f t="shared" si="26"/>
        <v>0.526929472730429</v>
      </c>
    </row>
    <row r="145" spans="16:35" x14ac:dyDescent="0.3">
      <c r="P145" s="9">
        <v>0.16108053116673282</v>
      </c>
      <c r="Q145" s="9">
        <v>0.39989353622063334</v>
      </c>
      <c r="R145" s="9">
        <v>0.32036389509751484</v>
      </c>
      <c r="S145" s="9">
        <v>0.11866203751511899</v>
      </c>
      <c r="U145" s="9">
        <f t="array" ref="U145">MMULT(TRANSPOSE($B$3:$B$6),TRANSPOSE(P145:S145))</f>
        <v>9.8620422036560976E-2</v>
      </c>
      <c r="V145" s="9">
        <f>INT(200*U145)/200</f>
        <v>9.5000000000000001E-2</v>
      </c>
      <c r="W145" s="9">
        <f t="array" ref="W145">SQRT(MMULT(MMULT(P145:S145,$K$3:$N$6),TRANSPOSE(P145:S145)))</f>
        <v>8.3195778772173865E-2</v>
      </c>
      <c r="Y145" s="31">
        <f>U145/W145</f>
        <v>1.1854017534546613</v>
      </c>
      <c r="AA145" s="9">
        <f t="shared" si="19"/>
        <v>0.2649044697507773</v>
      </c>
      <c r="AB145" s="9">
        <f t="shared" si="20"/>
        <v>0.37982969185326404</v>
      </c>
      <c r="AC145" s="9">
        <f t="shared" si="21"/>
        <v>0.20918593828311896</v>
      </c>
      <c r="AD145" s="9">
        <f t="shared" si="22"/>
        <v>0.14607990011283972</v>
      </c>
      <c r="AE145" s="9"/>
      <c r="AF145" s="9">
        <f t="shared" si="23"/>
        <v>0.55687309467112722</v>
      </c>
      <c r="AG145" s="9">
        <f t="shared" si="24"/>
        <v>0.19588878094884615</v>
      </c>
      <c r="AH145" s="9">
        <f t="shared" si="25"/>
        <v>0.53410443525084239</v>
      </c>
      <c r="AI145" s="9">
        <f t="shared" si="26"/>
        <v>0.48342073034031818</v>
      </c>
    </row>
    <row r="146" spans="16:35" x14ac:dyDescent="0.3">
      <c r="P146" s="9">
        <v>0.33920507285221585</v>
      </c>
      <c r="Q146" s="9">
        <v>0.38816000581212678</v>
      </c>
      <c r="R146" s="9">
        <v>3.706045882508844E-2</v>
      </c>
      <c r="S146" s="9">
        <v>0.23557446251056902</v>
      </c>
      <c r="U146" s="9">
        <f t="array" ref="U146">MMULT(TRANSPOSE($B$3:$B$6),TRANSPOSE(P146:S146))</f>
        <v>9.117751114050468E-2</v>
      </c>
      <c r="V146" s="9">
        <f>INT(200*U146)/200</f>
        <v>0.09</v>
      </c>
      <c r="W146" s="9">
        <f t="array" ref="W146">SQRT(MMULT(MMULT(P146:S146,$K$3:$N$6),TRANSPOSE(P146:S146)))</f>
        <v>7.6940854117069316E-2</v>
      </c>
      <c r="Y146" s="31">
        <f>U146/W146</f>
        <v>1.1850337793465822</v>
      </c>
      <c r="AA146" s="9">
        <f t="shared" si="19"/>
        <v>0.26132286074170891</v>
      </c>
      <c r="AB146" s="9">
        <f t="shared" si="20"/>
        <v>0.38208645775018563</v>
      </c>
      <c r="AC146" s="9">
        <f t="shared" si="21"/>
        <v>0.20014925432937278</v>
      </c>
      <c r="AD146" s="9">
        <f t="shared" si="22"/>
        <v>0.15644142717873258</v>
      </c>
      <c r="AE146" s="9"/>
      <c r="AF146" s="9">
        <f t="shared" si="23"/>
        <v>0.57071727616690526</v>
      </c>
      <c r="AG146" s="9">
        <f t="shared" si="24"/>
        <v>0.19659694124799829</v>
      </c>
      <c r="AH146" s="9">
        <f t="shared" si="25"/>
        <v>0.52691522007911507</v>
      </c>
      <c r="AI146" s="9">
        <f t="shared" si="26"/>
        <v>0.42064897182224165</v>
      </c>
    </row>
    <row r="147" spans="16:35" x14ac:dyDescent="0.3">
      <c r="P147" s="9">
        <v>0.21652233955699079</v>
      </c>
      <c r="Q147" s="9">
        <v>0.3703112236343386</v>
      </c>
      <c r="R147" s="9">
        <v>0.30539993121317222</v>
      </c>
      <c r="S147" s="9">
        <v>0.1077665055954984</v>
      </c>
      <c r="U147" s="9">
        <f t="array" ref="U147">MMULT(TRANSPOSE($B$3:$B$6),TRANSPOSE(P147:S147))</f>
        <v>9.5329603726947695E-2</v>
      </c>
      <c r="V147" s="9">
        <f>INT(200*U147)/200</f>
        <v>9.5000000000000001E-2</v>
      </c>
      <c r="W147" s="9">
        <f t="array" ref="W147">SQRT(MMULT(MMULT(P147:S147,$K$3:$N$6),TRANSPOSE(P147:S147)))</f>
        <v>8.0494169749686748E-2</v>
      </c>
      <c r="Y147" s="31">
        <f>U147/W147</f>
        <v>1.184304453644218</v>
      </c>
      <c r="AA147" s="9">
        <f t="shared" si="19"/>
        <v>0.25032516284709533</v>
      </c>
      <c r="AB147" s="9">
        <f t="shared" si="20"/>
        <v>0.38737681980719652</v>
      </c>
      <c r="AC147" s="9">
        <f t="shared" si="21"/>
        <v>0.20123532607148359</v>
      </c>
      <c r="AD147" s="9">
        <f t="shared" si="22"/>
        <v>0.1610626912742246</v>
      </c>
      <c r="AE147" s="9"/>
      <c r="AF147" s="9">
        <f t="shared" si="23"/>
        <v>0.59696975033640354</v>
      </c>
      <c r="AG147" s="9">
        <f t="shared" si="24"/>
        <v>0.19073619041480067</v>
      </c>
      <c r="AH147" s="9">
        <f t="shared" si="25"/>
        <v>0.52546642654737019</v>
      </c>
      <c r="AI147" s="9">
        <f t="shared" si="26"/>
        <v>0.40597065806370786</v>
      </c>
    </row>
    <row r="148" spans="16:35" x14ac:dyDescent="0.3">
      <c r="P148" s="9">
        <v>0.2587439258412727</v>
      </c>
      <c r="Q148" s="9">
        <v>0.45786248973541038</v>
      </c>
      <c r="R148" s="9">
        <v>1.2330245082127836E-2</v>
      </c>
      <c r="S148" s="9">
        <v>0.27106333934118892</v>
      </c>
      <c r="U148" s="9">
        <f t="array" ref="U148">MMULT(TRANSPOSE($B$3:$B$6),TRANSPOSE(P148:S148))</f>
        <v>9.68529332503167E-2</v>
      </c>
      <c r="V148" s="9">
        <f>INT(200*U148)/200</f>
        <v>9.5000000000000001E-2</v>
      </c>
      <c r="W148" s="9">
        <f t="array" ref="W148">SQRT(MMULT(MMULT(P148:S148,$K$3:$N$6),TRANSPOSE(P148:S148)))</f>
        <v>8.1878095461079201E-2</v>
      </c>
      <c r="Y148" s="31">
        <f>U148/W148</f>
        <v>1.1828918675368529</v>
      </c>
      <c r="AA148" s="9">
        <f t="shared" si="19"/>
        <v>0.2637751071714427</v>
      </c>
      <c r="AB148" s="9">
        <f t="shared" si="20"/>
        <v>0.37968525300702677</v>
      </c>
      <c r="AC148" s="9">
        <f t="shared" si="21"/>
        <v>0.1984977807657409</v>
      </c>
      <c r="AD148" s="9">
        <f t="shared" si="22"/>
        <v>0.15804185905578969</v>
      </c>
      <c r="AE148" s="9"/>
      <c r="AF148" s="9">
        <f t="shared" si="23"/>
        <v>0.55057688360703205</v>
      </c>
      <c r="AG148" s="9">
        <f t="shared" si="24"/>
        <v>0.19277563389621424</v>
      </c>
      <c r="AH148" s="9">
        <f t="shared" si="25"/>
        <v>0.52804492479660015</v>
      </c>
      <c r="AI148" s="9">
        <f t="shared" si="26"/>
        <v>0.41260767835144813</v>
      </c>
    </row>
    <row r="149" spans="16:35" x14ac:dyDescent="0.3">
      <c r="P149" s="9">
        <v>0.28167908696550453</v>
      </c>
      <c r="Q149" s="9">
        <v>0.34260020999573854</v>
      </c>
      <c r="R149" s="9">
        <v>0.2266626367727364</v>
      </c>
      <c r="S149" s="9">
        <v>0.14905806626602053</v>
      </c>
      <c r="U149" s="9">
        <f t="array" ref="U149">MMULT(TRANSPOSE($B$3:$B$6),TRANSPOSE(P149:S149))</f>
        <v>9.1877470747752307E-2</v>
      </c>
      <c r="V149" s="9">
        <f>INT(200*U149)/200</f>
        <v>0.09</v>
      </c>
      <c r="W149" s="9">
        <f t="array" ref="W149">SQRT(MMULT(MMULT(P149:S149,$K$3:$N$6),TRANSPOSE(P149:S149)))</f>
        <v>7.7682579123568893E-2</v>
      </c>
      <c r="Y149" s="31">
        <f>U149/W149</f>
        <v>1.1827294070862882</v>
      </c>
      <c r="AA149" s="9">
        <f t="shared" si="19"/>
        <v>0.26563075895272437</v>
      </c>
      <c r="AB149" s="9">
        <f t="shared" si="20"/>
        <v>0.37852995934385669</v>
      </c>
      <c r="AC149" s="9">
        <f t="shared" si="21"/>
        <v>0.19468447810665696</v>
      </c>
      <c r="AD149" s="9">
        <f t="shared" si="22"/>
        <v>0.16115480359676196</v>
      </c>
      <c r="AE149" s="9"/>
      <c r="AF149" s="9">
        <f t="shared" si="23"/>
        <v>0.5527998216144796</v>
      </c>
      <c r="AG149" s="9">
        <f t="shared" si="24"/>
        <v>0.19665864379389322</v>
      </c>
      <c r="AH149" s="9">
        <f t="shared" si="25"/>
        <v>0.53218993076823873</v>
      </c>
      <c r="AI149" s="9">
        <f t="shared" si="26"/>
        <v>0.38015055474902282</v>
      </c>
    </row>
    <row r="150" spans="16:35" x14ac:dyDescent="0.3">
      <c r="P150" s="9">
        <v>8.4907451959958732E-2</v>
      </c>
      <c r="Q150" s="9">
        <v>0.44092631120152742</v>
      </c>
      <c r="R150" s="9">
        <v>0.33098925067339963</v>
      </c>
      <c r="S150" s="9">
        <v>0.14317698616511418</v>
      </c>
      <c r="U150" s="9">
        <f t="array" ref="U150">MMULT(TRANSPOSE($B$3:$B$6),TRANSPOSE(P150:S150))</f>
        <v>0.1031885835362453</v>
      </c>
      <c r="V150" s="9">
        <f>INT(200*U150)/200</f>
        <v>0.1</v>
      </c>
      <c r="W150" s="9">
        <f t="array" ref="W150">SQRT(MMULT(MMULT(P150:S150,$K$3:$N$6),TRANSPOSE(P150:S150)))</f>
        <v>8.7286510442776841E-2</v>
      </c>
      <c r="Y150" s="31">
        <f>U150/W150</f>
        <v>1.1821824817237196</v>
      </c>
      <c r="AA150" s="9">
        <f t="shared" si="19"/>
        <v>0.25103544874510259</v>
      </c>
      <c r="AB150" s="9">
        <f t="shared" si="20"/>
        <v>0.38567871160243755</v>
      </c>
      <c r="AC150" s="9">
        <f t="shared" si="21"/>
        <v>0.20383413178710197</v>
      </c>
      <c r="AD150" s="9">
        <f t="shared" si="22"/>
        <v>0.15945170786535795</v>
      </c>
      <c r="AE150" s="9"/>
      <c r="AF150" s="9">
        <f t="shared" si="23"/>
        <v>0.62137112702492681</v>
      </c>
      <c r="AG150" s="9">
        <f t="shared" si="24"/>
        <v>0.1988930706126541</v>
      </c>
      <c r="AH150" s="9">
        <f t="shared" si="25"/>
        <v>0.56277282165568931</v>
      </c>
      <c r="AI150" s="9">
        <f t="shared" si="26"/>
        <v>0.3947983852953495</v>
      </c>
    </row>
    <row r="151" spans="16:35" x14ac:dyDescent="0.3">
      <c r="P151" s="9">
        <v>0.2787344485285087</v>
      </c>
      <c r="Q151" s="9">
        <v>0.38291945231868935</v>
      </c>
      <c r="R151" s="9">
        <v>0.10847486423994164</v>
      </c>
      <c r="S151" s="9">
        <v>0.22987123491286035</v>
      </c>
      <c r="U151" s="9">
        <f t="array" ref="U151">MMULT(TRANSPOSE($B$3:$B$6),TRANSPOSE(P151:S151))</f>
        <v>9.3542905760102518E-2</v>
      </c>
      <c r="V151" s="9">
        <f>INT(200*U151)/200</f>
        <v>0.09</v>
      </c>
      <c r="W151" s="9">
        <f t="array" ref="W151">SQRT(MMULT(MMULT(P151:S151,$K$3:$N$6),TRANSPOSE(P151:S151)))</f>
        <v>7.9157301915009179E-2</v>
      </c>
      <c r="Y151" s="31">
        <f>U151/W151</f>
        <v>1.1817343883264124</v>
      </c>
      <c r="AA151" s="9">
        <f t="shared" si="19"/>
        <v>0.24408301168734031</v>
      </c>
      <c r="AB151" s="9">
        <f t="shared" si="20"/>
        <v>0.38738174298465755</v>
      </c>
      <c r="AC151" s="9">
        <f t="shared" si="21"/>
        <v>0.20977798148292973</v>
      </c>
      <c r="AD151" s="9">
        <f t="shared" si="22"/>
        <v>0.15875726384507244</v>
      </c>
      <c r="AE151" s="9"/>
      <c r="AF151" s="9">
        <f t="shared" si="23"/>
        <v>0.61180174131239951</v>
      </c>
      <c r="AG151" s="9">
        <f t="shared" si="24"/>
        <v>0.19302118572670948</v>
      </c>
      <c r="AH151" s="9">
        <f t="shared" si="25"/>
        <v>0.55035990585129613</v>
      </c>
      <c r="AI151" s="9">
        <f t="shared" si="26"/>
        <v>0.40166139608935453</v>
      </c>
    </row>
    <row r="152" spans="16:35" x14ac:dyDescent="0.3">
      <c r="P152" s="9">
        <v>0.22254594302813063</v>
      </c>
      <c r="Q152" s="9">
        <v>0.36536355572428536</v>
      </c>
      <c r="R152" s="9">
        <v>0.290634174338471</v>
      </c>
      <c r="S152" s="9">
        <v>0.12145632690911293</v>
      </c>
      <c r="U152" s="9">
        <f t="array" ref="U152">MMULT(TRANSPOSE($B$3:$B$6),TRANSPOSE(P152:S152))</f>
        <v>9.4972665391215794E-2</v>
      </c>
      <c r="V152" s="9">
        <f>INT(200*U152)/200</f>
        <v>0.09</v>
      </c>
      <c r="W152" s="9">
        <f t="array" ref="W152">SQRT(MMULT(MMULT(P152:S152,$K$3:$N$6),TRANSPOSE(P152:S152)))</f>
        <v>8.0371564202511639E-2</v>
      </c>
      <c r="Y152" s="31">
        <f>U152/W152</f>
        <v>1.1816699890512752</v>
      </c>
      <c r="AA152" s="9">
        <f t="shared" si="19"/>
        <v>0.2501852005530717</v>
      </c>
      <c r="AB152" s="9">
        <f t="shared" si="20"/>
        <v>0.37872367985168387</v>
      </c>
      <c r="AC152" s="9">
        <f t="shared" si="21"/>
        <v>0.21773923917717194</v>
      </c>
      <c r="AD152" s="9">
        <f t="shared" si="22"/>
        <v>0.15335188041807246</v>
      </c>
      <c r="AE152" s="9"/>
      <c r="AF152" s="9">
        <f t="shared" si="23"/>
        <v>0.58810433425270203</v>
      </c>
      <c r="AG152" s="9">
        <f t="shared" si="24"/>
        <v>0.17669854334317936</v>
      </c>
      <c r="AH152" s="9">
        <f t="shared" si="25"/>
        <v>0.50113234643061932</v>
      </c>
      <c r="AI152" s="9">
        <f t="shared" si="26"/>
        <v>0.36992064955881293</v>
      </c>
    </row>
    <row r="153" spans="16:35" x14ac:dyDescent="0.3">
      <c r="P153" s="9">
        <v>0.31525753650180327</v>
      </c>
      <c r="Q153" s="9">
        <v>0.32383028001761222</v>
      </c>
      <c r="R153" s="9">
        <v>0.24556623626829008</v>
      </c>
      <c r="S153" s="9">
        <v>0.11534594721229451</v>
      </c>
      <c r="U153" s="9">
        <f t="array" ref="U153">MMULT(TRANSPOSE($B$3:$B$6),TRANSPOSE(P153:S153))</f>
        <v>8.9759171714762859E-2</v>
      </c>
      <c r="V153" s="9">
        <f>INT(200*U153)/200</f>
        <v>8.5000000000000006E-2</v>
      </c>
      <c r="W153" s="9">
        <f t="array" ref="W153">SQRT(MMULT(MMULT(P153:S153,$K$3:$N$6),TRANSPOSE(P153:S153)))</f>
        <v>7.5963430670470289E-2</v>
      </c>
      <c r="Y153" s="31">
        <f>U153/W153</f>
        <v>1.181610294881738</v>
      </c>
      <c r="AA153" s="9">
        <f t="shared" si="19"/>
        <v>0.25127456685265043</v>
      </c>
      <c r="AB153" s="9">
        <f t="shared" si="20"/>
        <v>0.38060091359218012</v>
      </c>
      <c r="AC153" s="9">
        <f t="shared" si="21"/>
        <v>0.21247247986077059</v>
      </c>
      <c r="AD153" s="9">
        <f t="shared" si="22"/>
        <v>0.15565203969439881</v>
      </c>
      <c r="AE153" s="9"/>
      <c r="AF153" s="9">
        <f t="shared" si="23"/>
        <v>0.58931744864320212</v>
      </c>
      <c r="AG153" s="9">
        <f t="shared" si="24"/>
        <v>0.17378104678819162</v>
      </c>
      <c r="AH153" s="9">
        <f t="shared" si="25"/>
        <v>0.54786362539994038</v>
      </c>
      <c r="AI153" s="9">
        <f t="shared" si="26"/>
        <v>0.37865067877038622</v>
      </c>
    </row>
    <row r="154" spans="16:35" x14ac:dyDescent="0.3">
      <c r="P154" s="9">
        <v>0.46410540565480951</v>
      </c>
      <c r="Q154" s="9">
        <v>0.27660327276216312</v>
      </c>
      <c r="R154" s="9">
        <v>0.17795187224808154</v>
      </c>
      <c r="S154" s="9">
        <v>8.1339449334945912E-2</v>
      </c>
      <c r="U154" s="9">
        <f t="array" ref="U154">MMULT(TRANSPOSE($B$3:$B$6),TRANSPOSE(P154:S154))</f>
        <v>8.1902348333362227E-2</v>
      </c>
      <c r="V154" s="9">
        <f>INT(200*U154)/200</f>
        <v>0.08</v>
      </c>
      <c r="W154" s="9">
        <f t="array" ref="W154">SQRT(MMULT(MMULT(P154:S154,$K$3:$N$6),TRANSPOSE(P154:S154)))</f>
        <v>6.9334001970373843E-2</v>
      </c>
      <c r="Y154" s="31">
        <f>U154/W154</f>
        <v>1.1812724782331012</v>
      </c>
      <c r="AA154" s="9">
        <f t="shared" si="19"/>
        <v>0.26436113303050707</v>
      </c>
      <c r="AB154" s="9">
        <f t="shared" si="20"/>
        <v>0.37487379769300477</v>
      </c>
      <c r="AC154" s="9">
        <f t="shared" si="21"/>
        <v>0.20383354162661585</v>
      </c>
      <c r="AD154" s="9">
        <f t="shared" si="22"/>
        <v>0.15693152764987228</v>
      </c>
      <c r="AE154" s="9"/>
      <c r="AF154" s="9">
        <f t="shared" si="23"/>
        <v>0.53179236836631927</v>
      </c>
      <c r="AG154" s="9">
        <f t="shared" si="24"/>
        <v>0.16461425299946128</v>
      </c>
      <c r="AH154" s="9">
        <f t="shared" si="25"/>
        <v>0.58059949878693617</v>
      </c>
      <c r="AI154" s="9">
        <f t="shared" si="26"/>
        <v>0.38371355045055305</v>
      </c>
    </row>
    <row r="155" spans="16:35" x14ac:dyDescent="0.3">
      <c r="P155" s="9">
        <v>6.5949339079540391E-3</v>
      </c>
      <c r="Q155" s="9">
        <v>0.48797674893294612</v>
      </c>
      <c r="R155" s="9">
        <v>0.35542079085133638</v>
      </c>
      <c r="S155" s="9">
        <v>0.15000752630776337</v>
      </c>
      <c r="U155" s="9">
        <f t="array" ref="U155">MMULT(TRANSPOSE($B$3:$B$6),TRANSPOSE(P155:S155))</f>
        <v>0.10796853312226834</v>
      </c>
      <c r="V155" s="9">
        <f>INT(200*U155)/200</f>
        <v>0.105</v>
      </c>
      <c r="W155" s="9">
        <f t="array" ref="W155">SQRT(MMULT(MMULT(P155:S155,$K$3:$N$6),TRANSPOSE(P155:S155)))</f>
        <v>9.1406066544241701E-2</v>
      </c>
      <c r="Y155" s="31">
        <f>U155/W155</f>
        <v>1.1811965792227828</v>
      </c>
      <c r="AA155" s="9">
        <f t="shared" si="19"/>
        <v>0.2527096796816376</v>
      </c>
      <c r="AB155" s="9">
        <f t="shared" si="20"/>
        <v>0.37596189289465909</v>
      </c>
      <c r="AC155" s="9">
        <f t="shared" si="21"/>
        <v>0.21448121727601843</v>
      </c>
      <c r="AD155" s="9">
        <f t="shared" si="22"/>
        <v>0.15684721014768488</v>
      </c>
      <c r="AE155" s="9"/>
      <c r="AF155" s="9">
        <f t="shared" si="23"/>
        <v>0.4847817659372427</v>
      </c>
      <c r="AG155" s="9">
        <f t="shared" si="24"/>
        <v>0.16051645502201323</v>
      </c>
      <c r="AH155" s="9">
        <f t="shared" si="25"/>
        <v>0.52449142254806047</v>
      </c>
      <c r="AI155" s="9">
        <f t="shared" si="26"/>
        <v>0.38449328603085281</v>
      </c>
    </row>
    <row r="156" spans="16:35" x14ac:dyDescent="0.3">
      <c r="P156" s="9">
        <v>0.16148028934571915</v>
      </c>
      <c r="Q156" s="9">
        <v>0.42713824391074862</v>
      </c>
      <c r="R156" s="9">
        <v>0.18148937142902102</v>
      </c>
      <c r="S156" s="9">
        <v>0.22989209531451121</v>
      </c>
      <c r="U156" s="9">
        <f t="array" ref="U156">MMULT(TRANSPOSE($B$3:$B$6),TRANSPOSE(P156:S156))</f>
        <v>9.9851475789364402E-2</v>
      </c>
      <c r="V156" s="9">
        <f>INT(200*U156)/200</f>
        <v>9.5000000000000001E-2</v>
      </c>
      <c r="W156" s="9">
        <f t="array" ref="W156">SQRT(MMULT(MMULT(P156:S156,$K$3:$N$6),TRANSPOSE(P156:S156)))</f>
        <v>8.4550510773753598E-2</v>
      </c>
      <c r="Y156" s="31">
        <f>U156/W156</f>
        <v>1.1809683333144401</v>
      </c>
      <c r="AA156" s="9">
        <f t="shared" si="19"/>
        <v>0.26714906909111708</v>
      </c>
      <c r="AB156" s="9">
        <f t="shared" si="20"/>
        <v>0.37018073375364163</v>
      </c>
      <c r="AC156" s="9">
        <f t="shared" si="21"/>
        <v>0.20556902374363023</v>
      </c>
      <c r="AD156" s="9">
        <f t="shared" si="22"/>
        <v>0.15710117341161106</v>
      </c>
      <c r="AE156" s="9"/>
      <c r="AF156" s="9">
        <f t="shared" si="23"/>
        <v>0.48240378931519368</v>
      </c>
      <c r="AG156" s="9">
        <f t="shared" si="24"/>
        <v>0.17198302081276987</v>
      </c>
      <c r="AH156" s="9">
        <f t="shared" si="25"/>
        <v>0.54040517142770161</v>
      </c>
      <c r="AI156" s="9">
        <f t="shared" si="26"/>
        <v>0.3828671396035393</v>
      </c>
    </row>
    <row r="157" spans="16:35" x14ac:dyDescent="0.3">
      <c r="P157" s="9">
        <v>0.13653335912260062</v>
      </c>
      <c r="Q157" s="9">
        <v>0.42378036005776015</v>
      </c>
      <c r="R157" s="9">
        <v>0.23809146046266455</v>
      </c>
      <c r="S157" s="9">
        <v>0.20159482035697471</v>
      </c>
      <c r="U157" s="9">
        <f t="array" ref="U157">MMULT(TRANSPOSE($B$3:$B$6),TRANSPOSE(P157:S157))</f>
        <v>0.10069576895000401</v>
      </c>
      <c r="V157" s="9">
        <f>INT(200*U157)/200</f>
        <v>0.1</v>
      </c>
      <c r="W157" s="9">
        <f t="array" ref="W157">SQRT(MMULT(MMULT(P157:S157,$K$3:$N$6),TRANSPOSE(P157:S157)))</f>
        <v>8.5322190440050821E-2</v>
      </c>
      <c r="Y157" s="31">
        <f>U157/W157</f>
        <v>1.1801826515548144</v>
      </c>
      <c r="AA157" s="9">
        <f t="shared" si="19"/>
        <v>0.25971763986349478</v>
      </c>
      <c r="AB157" s="9">
        <f t="shared" si="20"/>
        <v>0.36983557696505309</v>
      </c>
      <c r="AC157" s="9">
        <f t="shared" si="21"/>
        <v>0.21902410016101642</v>
      </c>
      <c r="AD157" s="9">
        <f t="shared" si="22"/>
        <v>0.15142268301043565</v>
      </c>
      <c r="AE157" s="9"/>
      <c r="AF157" s="9">
        <f t="shared" si="23"/>
        <v>0.49673324039501326</v>
      </c>
      <c r="AG157" s="9">
        <f t="shared" si="24"/>
        <v>0.17191977038399414</v>
      </c>
      <c r="AH157" s="9">
        <f t="shared" si="25"/>
        <v>0.48709088945344547</v>
      </c>
      <c r="AI157" s="9">
        <f t="shared" si="26"/>
        <v>0.38276364721640299</v>
      </c>
    </row>
    <row r="158" spans="16:35" x14ac:dyDescent="0.3">
      <c r="P158" s="9">
        <v>0.35437378148176113</v>
      </c>
      <c r="Q158" s="9">
        <v>0.30907735249992913</v>
      </c>
      <c r="R158" s="9">
        <v>0.20506240231963893</v>
      </c>
      <c r="S158" s="9">
        <v>0.13148646369867073</v>
      </c>
      <c r="U158" s="9">
        <f t="array" ref="U158">MMULT(TRANSPOSE($B$3:$B$6),TRANSPOSE(P158:S158))</f>
        <v>8.7713427161897589E-2</v>
      </c>
      <c r="V158" s="9">
        <f>INT(200*U158)/200</f>
        <v>8.5000000000000006E-2</v>
      </c>
      <c r="W158" s="9">
        <f t="array" ref="W158">SQRT(MMULT(MMULT(P158:S158,$K$3:$N$6),TRANSPOSE(P158:S158)))</f>
        <v>7.4369619562694819E-2</v>
      </c>
      <c r="Y158" s="31">
        <f>U158/W158</f>
        <v>1.1794255191523968</v>
      </c>
      <c r="AA158" s="9">
        <f t="shared" si="19"/>
        <v>0.26759709441143031</v>
      </c>
      <c r="AB158" s="9">
        <f t="shared" si="20"/>
        <v>0.36630634017657332</v>
      </c>
      <c r="AC158" s="9">
        <f t="shared" si="21"/>
        <v>0.21411033903863561</v>
      </c>
      <c r="AD158" s="9">
        <f t="shared" si="22"/>
        <v>0.15198622637336079</v>
      </c>
      <c r="AE158" s="9"/>
      <c r="AF158" s="9">
        <f t="shared" si="23"/>
        <v>0.49056404066536785</v>
      </c>
      <c r="AG158" s="9">
        <f t="shared" si="24"/>
        <v>0.17903008296787928</v>
      </c>
      <c r="AH158" s="9">
        <f t="shared" si="25"/>
        <v>0.48978614877932103</v>
      </c>
      <c r="AI158" s="9">
        <f t="shared" si="26"/>
        <v>0.37878185987257507</v>
      </c>
    </row>
    <row r="159" spans="16:35" x14ac:dyDescent="0.3">
      <c r="P159" s="9">
        <v>0.40501814891404936</v>
      </c>
      <c r="Q159" s="9">
        <v>0.2910864699412809</v>
      </c>
      <c r="R159" s="9">
        <v>0.18795667737614474</v>
      </c>
      <c r="S159" s="9">
        <v>0.11593870376852496</v>
      </c>
      <c r="U159" s="9">
        <f t="array" ref="U159">MMULT(TRANSPOSE($B$3:$B$6),TRANSPOSE(P159:S159))</f>
        <v>8.4966263581686199E-2</v>
      </c>
      <c r="V159" s="9">
        <f>INT(200*U159)/200</f>
        <v>0.08</v>
      </c>
      <c r="W159" s="9">
        <f t="array" ref="W159">SQRT(MMULT(MMULT(P159:S159,$K$3:$N$6),TRANSPOSE(P159:S159)))</f>
        <v>7.206376905893308E-2</v>
      </c>
      <c r="Y159" s="31">
        <f>U159/W159</f>
        <v>1.1790427379978083</v>
      </c>
      <c r="AA159" s="9">
        <f t="shared" si="19"/>
        <v>0.25950022850771493</v>
      </c>
      <c r="AB159" s="9">
        <f t="shared" si="20"/>
        <v>0.36765438079970147</v>
      </c>
      <c r="AC159" s="9">
        <f t="shared" si="21"/>
        <v>0.22106317974654188</v>
      </c>
      <c r="AD159" s="9">
        <f t="shared" si="22"/>
        <v>0.15178221094604169</v>
      </c>
      <c r="AE159" s="9"/>
      <c r="AF159" s="9">
        <f t="shared" si="23"/>
        <v>0.5278114695719498</v>
      </c>
      <c r="AG159" s="9">
        <f t="shared" si="24"/>
        <v>0.18443687246937765</v>
      </c>
      <c r="AH159" s="9">
        <f t="shared" si="25"/>
        <v>0.43072483313619719</v>
      </c>
      <c r="AI159" s="9">
        <f t="shared" si="26"/>
        <v>0.37641085626726356</v>
      </c>
    </row>
    <row r="160" spans="16:35" x14ac:dyDescent="0.3">
      <c r="P160" s="9">
        <v>1.4723385894192085E-2</v>
      </c>
      <c r="Q160" s="9">
        <v>0.47999759266702974</v>
      </c>
      <c r="R160" s="9">
        <v>0.42149024067324581</v>
      </c>
      <c r="S160" s="9">
        <v>8.3788780765532325E-2</v>
      </c>
      <c r="U160" s="9">
        <f t="array" ref="U160">MMULT(TRANSPOSE($B$3:$B$6),TRANSPOSE(P160:S160))</f>
        <v>0.10713790901433749</v>
      </c>
      <c r="V160" s="9">
        <f>INT(200*U160)/200</f>
        <v>0.105</v>
      </c>
      <c r="W160" s="9">
        <f t="array" ref="W160">SQRT(MMULT(MMULT(P160:S160,$K$3:$N$6),TRANSPOSE(P160:S160)))</f>
        <v>9.0897657559545736E-2</v>
      </c>
      <c r="Y160" s="31">
        <f>U160/W160</f>
        <v>1.1786652361657726</v>
      </c>
      <c r="AA160" s="9">
        <f t="shared" si="19"/>
        <v>0.26435662271387833</v>
      </c>
      <c r="AB160" s="9">
        <f t="shared" si="20"/>
        <v>0.36570407747751998</v>
      </c>
      <c r="AC160" s="9">
        <f t="shared" si="21"/>
        <v>0.22411412158145655</v>
      </c>
      <c r="AD160" s="9">
        <f t="shared" si="22"/>
        <v>0.14582517822714514</v>
      </c>
      <c r="AE160" s="9"/>
      <c r="AF160" s="9">
        <f t="shared" si="23"/>
        <v>0.52798399845804744</v>
      </c>
      <c r="AG160" s="9">
        <f t="shared" si="24"/>
        <v>0.1890642021969785</v>
      </c>
      <c r="AH160" s="9">
        <f t="shared" si="25"/>
        <v>0.43024773698013319</v>
      </c>
      <c r="AI160" s="9">
        <f t="shared" si="26"/>
        <v>0.43605503905564552</v>
      </c>
    </row>
    <row r="161" spans="16:35" x14ac:dyDescent="0.3">
      <c r="P161" s="9">
        <v>0.31374357538163916</v>
      </c>
      <c r="Q161" s="9">
        <v>0.32241276424931109</v>
      </c>
      <c r="R161" s="9">
        <v>0.28288177181350932</v>
      </c>
      <c r="S161" s="9">
        <v>8.0961888555540429E-2</v>
      </c>
      <c r="U161" s="9">
        <f t="array" ref="U161">MMULT(TRANSPOSE($B$3:$B$6),TRANSPOSE(P161:S161))</f>
        <v>8.9653815909108217E-2</v>
      </c>
      <c r="V161" s="9">
        <f>INT(200*U161)/200</f>
        <v>8.5000000000000006E-2</v>
      </c>
      <c r="W161" s="9">
        <f t="array" ref="W161">SQRT(MMULT(MMULT(P161:S161,$K$3:$N$6),TRANSPOSE(P161:S161)))</f>
        <v>7.6076650578625407E-2</v>
      </c>
      <c r="Y161" s="31">
        <f>U161/W161</f>
        <v>1.178466917605038</v>
      </c>
      <c r="AA161" s="9">
        <f t="shared" si="19"/>
        <v>0.27198106509064457</v>
      </c>
      <c r="AB161" s="9">
        <f t="shared" si="20"/>
        <v>0.3613912613141872</v>
      </c>
      <c r="AC161" s="9">
        <f t="shared" si="21"/>
        <v>0.220814976668368</v>
      </c>
      <c r="AD161" s="9">
        <f t="shared" si="22"/>
        <v>0.14581269692680024</v>
      </c>
      <c r="AE161" s="9"/>
      <c r="AF161" s="9">
        <f t="shared" si="23"/>
        <v>0.49093639258579669</v>
      </c>
      <c r="AG161" s="9">
        <f t="shared" si="24"/>
        <v>0.18541281647289473</v>
      </c>
      <c r="AH161" s="9">
        <f t="shared" si="25"/>
        <v>0.42448529518077949</v>
      </c>
      <c r="AI161" s="9">
        <f t="shared" si="26"/>
        <v>0.43609628405199774</v>
      </c>
    </row>
    <row r="162" spans="16:35" x14ac:dyDescent="0.3">
      <c r="P162" s="9">
        <v>0.2604163092201246</v>
      </c>
      <c r="Q162" s="9">
        <v>0.35334160625141026</v>
      </c>
      <c r="R162" s="9">
        <v>0.21222854256173368</v>
      </c>
      <c r="S162" s="9">
        <v>0.17401354196673141</v>
      </c>
      <c r="U162" s="9">
        <f t="array" ref="U162">MMULT(TRANSPOSE($B$3:$B$6),TRANSPOSE(P162:S162))</f>
        <v>9.3196601588131617E-2</v>
      </c>
      <c r="V162" s="9">
        <f>INT(200*U162)/200</f>
        <v>0.09</v>
      </c>
      <c r="W162" s="9">
        <f t="array" ref="W162">SQRT(MMULT(MMULT(P162:S162,$K$3:$N$6),TRANSPOSE(P162:S162)))</f>
        <v>7.9093536168833481E-2</v>
      </c>
      <c r="Y162" s="31">
        <f>U162/W162</f>
        <v>1.1783086975551789</v>
      </c>
      <c r="AA162" s="9">
        <f t="shared" si="19"/>
        <v>0.27196679493471582</v>
      </c>
      <c r="AB162" s="9">
        <f t="shared" si="20"/>
        <v>0.35918073127544287</v>
      </c>
      <c r="AC162" s="9">
        <f t="shared" si="21"/>
        <v>0.22682806236373421</v>
      </c>
      <c r="AD162" s="9">
        <f t="shared" si="22"/>
        <v>0.14202441142610708</v>
      </c>
      <c r="AE162" s="9"/>
      <c r="AF162" s="9">
        <f t="shared" si="23"/>
        <v>0.49095942449184132</v>
      </c>
      <c r="AG162" s="9">
        <f t="shared" si="24"/>
        <v>0.18660956287595298</v>
      </c>
      <c r="AH162" s="9">
        <f t="shared" si="25"/>
        <v>0.39742603594389553</v>
      </c>
      <c r="AI162" s="9">
        <f t="shared" si="26"/>
        <v>0.42690648806616843</v>
      </c>
    </row>
    <row r="163" spans="16:35" x14ac:dyDescent="0.3">
      <c r="P163" s="9">
        <v>0.3841797768962476</v>
      </c>
      <c r="Q163" s="9">
        <v>0.37308980307959982</v>
      </c>
      <c r="R163" s="9">
        <v>1.1163400054170105E-2</v>
      </c>
      <c r="S163" s="9">
        <v>0.23156701996998247</v>
      </c>
      <c r="U163" s="9">
        <f t="array" ref="U163">MMULT(TRANSPOSE($B$3:$B$6),TRANSPOSE(P163:S163))</f>
        <v>8.8801646006114232E-2</v>
      </c>
      <c r="V163" s="9">
        <f>INT(200*U163)/200</f>
        <v>8.5000000000000006E-2</v>
      </c>
      <c r="W163" s="9">
        <f t="array" ref="W163">SQRT(MMULT(MMULT(P163:S163,$K$3:$N$6),TRANSPOSE(P163:S163)))</f>
        <v>7.5367409324761048E-2</v>
      </c>
      <c r="Y163" s="31">
        <f>U163/W163</f>
        <v>1.1782499465181899</v>
      </c>
      <c r="AA163" s="9">
        <f t="shared" si="19"/>
        <v>0.27999941130821243</v>
      </c>
      <c r="AB163" s="9">
        <f t="shared" si="20"/>
        <v>0.35585050025154585</v>
      </c>
      <c r="AC163" s="9">
        <f t="shared" si="21"/>
        <v>0.22091343791265688</v>
      </c>
      <c r="AD163" s="9">
        <f t="shared" si="22"/>
        <v>0.14323665052758475</v>
      </c>
      <c r="AE163" s="9"/>
      <c r="AF163" s="9">
        <f t="shared" si="23"/>
        <v>0.48379661311537459</v>
      </c>
      <c r="AG163" s="9">
        <f t="shared" si="24"/>
        <v>0.19229070770309012</v>
      </c>
      <c r="AH163" s="9">
        <f t="shared" si="25"/>
        <v>0.40661075798377527</v>
      </c>
      <c r="AI163" s="9">
        <f t="shared" si="26"/>
        <v>0.4220538461256268</v>
      </c>
    </row>
    <row r="164" spans="16:35" x14ac:dyDescent="0.3">
      <c r="P164" s="9">
        <v>0.31649746684839342</v>
      </c>
      <c r="Q164" s="9">
        <v>0.36471274786994806</v>
      </c>
      <c r="R164" s="9">
        <v>9.2344636340312217E-2</v>
      </c>
      <c r="S164" s="9">
        <v>0.22644514894134629</v>
      </c>
      <c r="U164" s="9">
        <f t="array" ref="U164">MMULT(TRANSPOSE($B$3:$B$6),TRANSPOSE(P164:S164))</f>
        <v>9.1376069265848348E-2</v>
      </c>
      <c r="V164" s="9">
        <f>INT(200*U164)/200</f>
        <v>0.09</v>
      </c>
      <c r="W164" s="9">
        <f t="array" ref="W164">SQRT(MMULT(MMULT(P164:S164,$K$3:$N$6),TRANSPOSE(P164:S164)))</f>
        <v>7.7576007391791102E-2</v>
      </c>
      <c r="Y164" s="31">
        <f>U164/W164</f>
        <v>1.1778908497360685</v>
      </c>
      <c r="AA164" s="9">
        <f t="shared" si="19"/>
        <v>0.27940255075978754</v>
      </c>
      <c r="AB164" s="9">
        <f t="shared" si="20"/>
        <v>0.35740307510928282</v>
      </c>
      <c r="AC164" s="9">
        <f t="shared" si="21"/>
        <v>0.21480271025851541</v>
      </c>
      <c r="AD164" s="9">
        <f t="shared" si="22"/>
        <v>0.14839166387241418</v>
      </c>
      <c r="AE164" s="9"/>
      <c r="AF164" s="9">
        <f t="shared" si="23"/>
        <v>0.48434487773266155</v>
      </c>
      <c r="AG164" s="9">
        <f t="shared" si="24"/>
        <v>0.19035271072968671</v>
      </c>
      <c r="AH164" s="9">
        <f t="shared" si="25"/>
        <v>0.43012977099148553</v>
      </c>
      <c r="AI164" s="9">
        <f t="shared" si="26"/>
        <v>0.42142581672422375</v>
      </c>
    </row>
    <row r="165" spans="16:35" x14ac:dyDescent="0.3">
      <c r="P165" s="9">
        <v>0.33056050424578159</v>
      </c>
      <c r="Q165" s="9">
        <v>0.31411572390535059</v>
      </c>
      <c r="R165" s="9">
        <v>0.2605427041557874</v>
      </c>
      <c r="S165" s="9">
        <v>9.4781067693080326E-2</v>
      </c>
      <c r="U165" s="9">
        <f t="array" ref="U165">MMULT(TRANSPOSE($B$3:$B$6),TRANSPOSE(P165:S165))</f>
        <v>8.8738943546790378E-2</v>
      </c>
      <c r="V165" s="9">
        <f>INT(200*U165)/200</f>
        <v>8.5000000000000006E-2</v>
      </c>
      <c r="W165" s="9">
        <f t="array" ref="W165">SQRT(MMULT(MMULT(P165:S165,$K$3:$N$6),TRANSPOSE(P165:S165)))</f>
        <v>7.5362407021138139E-2</v>
      </c>
      <c r="Y165" s="31">
        <f>U165/W165</f>
        <v>1.1774961423657859</v>
      </c>
      <c r="AA165" s="9">
        <f t="shared" si="19"/>
        <v>0.2727511511214783</v>
      </c>
      <c r="AB165" s="9">
        <f t="shared" si="20"/>
        <v>0.35928572786984808</v>
      </c>
      <c r="AC165" s="9">
        <f t="shared" si="21"/>
        <v>0.22091774915528983</v>
      </c>
      <c r="AD165" s="9">
        <f t="shared" si="22"/>
        <v>0.14704537185338376</v>
      </c>
      <c r="AE165" s="9"/>
      <c r="AF165" s="9">
        <f t="shared" si="23"/>
        <v>0.47326536585762674</v>
      </c>
      <c r="AG165" s="9">
        <f t="shared" si="24"/>
        <v>0.18427517042040353</v>
      </c>
      <c r="AH165" s="9">
        <f t="shared" si="25"/>
        <v>0.42579903682119002</v>
      </c>
      <c r="AI165" s="9">
        <f t="shared" si="26"/>
        <v>0.43748642884895167</v>
      </c>
    </row>
    <row r="166" spans="16:35" x14ac:dyDescent="0.3">
      <c r="P166" s="9">
        <v>0.46430770876580113</v>
      </c>
      <c r="Q166" s="9">
        <v>0.27848919425926866</v>
      </c>
      <c r="R166" s="9">
        <v>0.1332078309173618</v>
      </c>
      <c r="S166" s="9">
        <v>0.12399526605756851</v>
      </c>
      <c r="U166" s="9">
        <f t="array" ref="U166">MMULT(TRANSPOSE($B$3:$B$6),TRANSPOSE(P166:S166))</f>
        <v>8.2107610344937257E-2</v>
      </c>
      <c r="V166" s="9">
        <f>INT(200*U166)/200</f>
        <v>0.08</v>
      </c>
      <c r="W166" s="9">
        <f t="array" ref="W166">SQRT(MMULT(MMULT(P166:S166,$K$3:$N$6),TRANSPOSE(P166:S166)))</f>
        <v>6.9763142079095161E-2</v>
      </c>
      <c r="Y166" s="31">
        <f>U166/W166</f>
        <v>1.176948283835128</v>
      </c>
      <c r="AA166" s="9">
        <f t="shared" si="19"/>
        <v>0.28170845904540309</v>
      </c>
      <c r="AB166" s="9">
        <f t="shared" si="20"/>
        <v>0.35678829072980428</v>
      </c>
      <c r="AC166" s="9">
        <f t="shared" si="21"/>
        <v>0.20878462761557307</v>
      </c>
      <c r="AD166" s="9">
        <f t="shared" si="22"/>
        <v>0.15271862260921953</v>
      </c>
      <c r="AE166" s="9"/>
      <c r="AF166" s="9">
        <f t="shared" si="23"/>
        <v>0.41000993498530397</v>
      </c>
      <c r="AG166" s="9">
        <f t="shared" si="24"/>
        <v>0.17367011341247804</v>
      </c>
      <c r="AH166" s="9">
        <f t="shared" si="25"/>
        <v>0.44191669438082382</v>
      </c>
      <c r="AI166" s="9">
        <f t="shared" si="26"/>
        <v>0.45599528390119515</v>
      </c>
    </row>
    <row r="167" spans="16:35" x14ac:dyDescent="0.3">
      <c r="P167" s="9">
        <v>0.1831450590721477</v>
      </c>
      <c r="Q167" s="9">
        <v>0.38091171325176748</v>
      </c>
      <c r="R167" s="9">
        <v>0.31961706359019887</v>
      </c>
      <c r="S167" s="9">
        <v>0.11632616408588588</v>
      </c>
      <c r="U167" s="9">
        <f t="array" ref="U167">MMULT(TRANSPOSE($B$3:$B$6),TRANSPOSE(P167:S167))</f>
        <v>9.7095125381365638E-2</v>
      </c>
      <c r="V167" s="9">
        <f>INT(200*U167)/200</f>
        <v>9.5000000000000001E-2</v>
      </c>
      <c r="W167" s="9">
        <f t="array" ref="W167">SQRT(MMULT(MMULT(P167:S167,$K$3:$N$6),TRANSPOSE(P167:S167)))</f>
        <v>8.2499389186268562E-2</v>
      </c>
      <c r="Y167" s="31">
        <f>U167/W167</f>
        <v>1.1769193243618152</v>
      </c>
      <c r="AA167" s="9">
        <f t="shared" si="19"/>
        <v>0.28364784547386918</v>
      </c>
      <c r="AB167" s="9">
        <f t="shared" si="20"/>
        <v>0.35403278015615641</v>
      </c>
      <c r="AC167" s="9">
        <f t="shared" si="21"/>
        <v>0.21705257853855239</v>
      </c>
      <c r="AD167" s="9">
        <f t="shared" si="22"/>
        <v>0.14526679583142199</v>
      </c>
      <c r="AE167" s="9"/>
      <c r="AF167" s="9">
        <f t="shared" si="23"/>
        <v>0.40089017262938553</v>
      </c>
      <c r="AG167" s="9">
        <f t="shared" si="24"/>
        <v>0.16928353884652414</v>
      </c>
      <c r="AH167" s="9">
        <f t="shared" si="25"/>
        <v>0.44844976855257473</v>
      </c>
      <c r="AI167" s="9">
        <f t="shared" si="26"/>
        <v>0.47732862107101309</v>
      </c>
    </row>
    <row r="168" spans="16:35" x14ac:dyDescent="0.3">
      <c r="P168" s="9">
        <v>0.38199088506363599</v>
      </c>
      <c r="Q168" s="9">
        <v>0.2961972510762621</v>
      </c>
      <c r="R168" s="9">
        <v>0.20221094764317576</v>
      </c>
      <c r="S168" s="9">
        <v>0.11960091621692627</v>
      </c>
      <c r="U168" s="9">
        <f t="array" ref="U168">MMULT(TRANSPOSE($B$3:$B$6),TRANSPOSE(P168:S168))</f>
        <v>8.6108024614511142E-2</v>
      </c>
      <c r="V168" s="9">
        <f>INT(200*U168)/200</f>
        <v>8.5000000000000006E-2</v>
      </c>
      <c r="W168" s="9">
        <f t="array" ref="W168">SQRT(MMULT(MMULT(P168:S168,$K$3:$N$6),TRANSPOSE(P168:S168)))</f>
        <v>7.3174552779932095E-2</v>
      </c>
      <c r="Y168" s="31">
        <f>U168/W168</f>
        <v>1.1767482183796278</v>
      </c>
      <c r="AA168" s="9">
        <f t="shared" si="19"/>
        <v>0.29284287401721731</v>
      </c>
      <c r="AB168" s="9">
        <f t="shared" si="20"/>
        <v>0.3492563552637456</v>
      </c>
      <c r="AC168" s="9">
        <f t="shared" si="21"/>
        <v>0.21314435583386265</v>
      </c>
      <c r="AD168" s="9">
        <f t="shared" si="22"/>
        <v>0.14475641488517438</v>
      </c>
      <c r="AE168" s="9"/>
      <c r="AF168" s="9">
        <f t="shared" si="23"/>
        <v>0.37196472722325802</v>
      </c>
      <c r="AG168" s="9">
        <f t="shared" si="24"/>
        <v>0.16624799644696275</v>
      </c>
      <c r="AH168" s="9">
        <f t="shared" si="25"/>
        <v>0.46022761165879789</v>
      </c>
      <c r="AI168" s="9">
        <f t="shared" si="26"/>
        <v>0.4762688555721335</v>
      </c>
    </row>
    <row r="169" spans="16:35" x14ac:dyDescent="0.3">
      <c r="P169" s="9">
        <v>8.8709741863250785E-2</v>
      </c>
      <c r="Q169" s="9">
        <v>0.4861713428211023</v>
      </c>
      <c r="R169" s="9">
        <v>0.15833989994815892</v>
      </c>
      <c r="S169" s="9">
        <v>0.26677901536748799</v>
      </c>
      <c r="U169" s="9">
        <f t="array" ref="U169">MMULT(TRANSPOSE($B$3:$B$6),TRANSPOSE(P169:S169))</f>
        <v>0.10487797743532122</v>
      </c>
      <c r="V169" s="9">
        <f>INT(200*U169)/200</f>
        <v>0.1</v>
      </c>
      <c r="W169" s="9">
        <f t="array" ref="W169">SQRT(MMULT(MMULT(P169:S169,$K$3:$N$6),TRANSPOSE(P169:S169)))</f>
        <v>8.9197152465913074E-2</v>
      </c>
      <c r="Y169" s="31">
        <f>U169/W169</f>
        <v>1.1757996139551721</v>
      </c>
      <c r="AA169" s="9">
        <f t="shared" si="19"/>
        <v>0.28594457908918852</v>
      </c>
      <c r="AB169" s="9">
        <f t="shared" si="20"/>
        <v>0.35177670272132522</v>
      </c>
      <c r="AC169" s="9">
        <f t="shared" si="21"/>
        <v>0.2165473828635702</v>
      </c>
      <c r="AD169" s="9">
        <f t="shared" si="22"/>
        <v>0.14573133532591603</v>
      </c>
      <c r="AE169" s="9"/>
      <c r="AF169" s="9">
        <f t="shared" si="23"/>
        <v>0.38266725683876601</v>
      </c>
      <c r="AG169" s="9">
        <f t="shared" si="24"/>
        <v>0.16310507355383094</v>
      </c>
      <c r="AH169" s="9">
        <f t="shared" si="25"/>
        <v>0.45733913960748523</v>
      </c>
      <c r="AI169" s="9">
        <f t="shared" si="26"/>
        <v>0.47272383770861659</v>
      </c>
    </row>
    <row r="170" spans="16:35" x14ac:dyDescent="0.3">
      <c r="P170" s="9">
        <v>0.38366336529493628</v>
      </c>
      <c r="Q170" s="9">
        <v>0.30164384022992613</v>
      </c>
      <c r="R170" s="9">
        <v>0.29073241530594457</v>
      </c>
      <c r="S170" s="9">
        <v>2.3960379169193094E-2</v>
      </c>
      <c r="U170" s="9">
        <f t="array" ref="U170">MMULT(TRANSPOSE($B$3:$B$6),TRANSPOSE(P170:S170))</f>
        <v>8.585739125219663E-2</v>
      </c>
      <c r="V170" s="9">
        <f>INT(200*U170)/200</f>
        <v>8.5000000000000006E-2</v>
      </c>
      <c r="W170" s="9">
        <f t="array" ref="W170">SQRT(MMULT(MMULT(P170:S170,$K$3:$N$6),TRANSPOSE(P170:S170)))</f>
        <v>7.3082888852551778E-2</v>
      </c>
      <c r="Y170" s="31">
        <f>U170/W170</f>
        <v>1.174794710502181</v>
      </c>
      <c r="AA170" s="9">
        <f t="shared" si="19"/>
        <v>0.28976915510556528</v>
      </c>
      <c r="AB170" s="9">
        <f t="shared" si="20"/>
        <v>0.35086689509412095</v>
      </c>
      <c r="AC170" s="9">
        <f t="shared" si="21"/>
        <v>0.21895614171769598</v>
      </c>
      <c r="AD170" s="9">
        <f t="shared" si="22"/>
        <v>0.14040780808261782</v>
      </c>
      <c r="AE170" s="9"/>
      <c r="AF170" s="9">
        <f t="shared" si="23"/>
        <v>0.39704195165901091</v>
      </c>
      <c r="AG170" s="9">
        <f t="shared" si="24"/>
        <v>0.16680679068801785</v>
      </c>
      <c r="AH170" s="9">
        <f t="shared" si="25"/>
        <v>0.45178237232617335</v>
      </c>
      <c r="AI170" s="9">
        <f t="shared" si="26"/>
        <v>0.53648589083726439</v>
      </c>
    </row>
    <row r="171" spans="16:35" x14ac:dyDescent="0.3">
      <c r="P171" s="9">
        <v>0.24502074187204959</v>
      </c>
      <c r="Q171" s="9">
        <v>0.35035717177153974</v>
      </c>
      <c r="R171" s="9">
        <v>0.26170720749853893</v>
      </c>
      <c r="S171" s="9">
        <v>0.14291487885787166</v>
      </c>
      <c r="U171" s="9">
        <f t="array" ref="U171">MMULT(TRANSPOSE($B$3:$B$6),TRANSPOSE(P171:S171))</f>
        <v>9.3639737642362025E-2</v>
      </c>
      <c r="V171" s="9">
        <f>INT(200*U171)/200</f>
        <v>0.09</v>
      </c>
      <c r="W171" s="9">
        <f t="array" ref="W171">SQRT(MMULT(MMULT(P171:S171,$K$3:$N$6),TRANSPOSE(P171:S171)))</f>
        <v>7.9710075424586593E-2</v>
      </c>
      <c r="Y171" s="31">
        <f>U171/W171</f>
        <v>1.1747540965627894</v>
      </c>
      <c r="AA171" s="9">
        <f t="shared" si="19"/>
        <v>0.29741224882162104</v>
      </c>
      <c r="AB171" s="9">
        <f t="shared" si="20"/>
        <v>0.34607137948335992</v>
      </c>
      <c r="AC171" s="9">
        <f t="shared" si="21"/>
        <v>0.21270291929069182</v>
      </c>
      <c r="AD171" s="9">
        <f t="shared" si="22"/>
        <v>0.14381345240432722</v>
      </c>
      <c r="AE171" s="9"/>
      <c r="AF171" s="9">
        <f t="shared" si="23"/>
        <v>0.33705225872462385</v>
      </c>
      <c r="AG171" s="9">
        <f t="shared" si="24"/>
        <v>0.14756441941081178</v>
      </c>
      <c r="AH171" s="9">
        <f t="shared" si="25"/>
        <v>0.41910480895294666</v>
      </c>
      <c r="AI171" s="9">
        <f t="shared" si="26"/>
        <v>0.51627985229665074</v>
      </c>
    </row>
    <row r="172" spans="16:35" x14ac:dyDescent="0.3">
      <c r="P172" s="9">
        <v>0.27843477525400456</v>
      </c>
      <c r="Q172" s="9">
        <v>0.33649832150505909</v>
      </c>
      <c r="R172" s="9">
        <v>0.23474966384263249</v>
      </c>
      <c r="S172" s="9">
        <v>0.15031723939830385</v>
      </c>
      <c r="U172" s="9">
        <f t="array" ref="U172">MMULT(TRANSPOSE($B$3:$B$6),TRANSPOSE(P172:S172))</f>
        <v>9.1830084594860764E-2</v>
      </c>
      <c r="V172" s="9">
        <f>INT(200*U172)/200</f>
        <v>0.09</v>
      </c>
      <c r="W172" s="9">
        <f t="array" ref="W172">SQRT(MMULT(MMULT(P172:S172,$K$3:$N$6),TRANSPOSE(P172:S172)))</f>
        <v>7.8188269286526044E-2</v>
      </c>
      <c r="Y172" s="31">
        <f>U172/W172</f>
        <v>1.1744739387739023</v>
      </c>
      <c r="AA172" s="9">
        <f t="shared" si="19"/>
        <v>0.30776834954774612</v>
      </c>
      <c r="AB172" s="9">
        <f t="shared" si="20"/>
        <v>0.343631937874671</v>
      </c>
      <c r="AC172" s="9">
        <f t="shared" si="21"/>
        <v>0.20242439418256636</v>
      </c>
      <c r="AD172" s="9">
        <f t="shared" si="22"/>
        <v>0.14617531839501666</v>
      </c>
      <c r="AE172" s="9"/>
      <c r="AF172" s="9">
        <f t="shared" si="23"/>
        <v>0.3655332076365132</v>
      </c>
      <c r="AG172" s="9">
        <f t="shared" si="24"/>
        <v>0.15546774490639359</v>
      </c>
      <c r="AH172" s="9">
        <f t="shared" si="25"/>
        <v>0.459473399116473</v>
      </c>
      <c r="AI172" s="9">
        <f t="shared" si="26"/>
        <v>0.49889267696583695</v>
      </c>
    </row>
    <row r="173" spans="16:35" x14ac:dyDescent="0.3">
      <c r="P173" s="9">
        <v>0.39123088687156149</v>
      </c>
      <c r="Q173" s="9">
        <v>0.29542870422244755</v>
      </c>
      <c r="R173" s="9">
        <v>0.16642706086584688</v>
      </c>
      <c r="S173" s="9">
        <v>0.14691334804014403</v>
      </c>
      <c r="U173" s="9">
        <f t="array" ref="U173">MMULT(TRANSPOSE($B$3:$B$6),TRANSPOSE(P173:S173))</f>
        <v>8.5794429995048355E-2</v>
      </c>
      <c r="V173" s="9">
        <f>INT(200*U173)/200</f>
        <v>8.5000000000000006E-2</v>
      </c>
      <c r="W173" s="9">
        <f t="array" ref="W173">SQRT(MMULT(MMULT(P173:S173,$K$3:$N$6),TRANSPOSE(P173:S173)))</f>
        <v>7.3121313745111424E-2</v>
      </c>
      <c r="Y173" s="31">
        <f>U173/W173</f>
        <v>1.1733163095799028</v>
      </c>
      <c r="AA173" s="9">
        <f t="shared" si="19"/>
        <v>0.31573557941041674</v>
      </c>
      <c r="AB173" s="9">
        <f t="shared" si="20"/>
        <v>0.33988121086160972</v>
      </c>
      <c r="AC173" s="9">
        <f t="shared" si="21"/>
        <v>0.20321655787569839</v>
      </c>
      <c r="AD173" s="9">
        <f t="shared" si="22"/>
        <v>0.14116665185227512</v>
      </c>
      <c r="AE173" s="9"/>
      <c r="AF173" s="9">
        <f t="shared" si="23"/>
        <v>0.36384174576237222</v>
      </c>
      <c r="AG173" s="9">
        <f t="shared" si="24"/>
        <v>0.16310108000496176</v>
      </c>
      <c r="AH173" s="9">
        <f t="shared" si="25"/>
        <v>0.45846170933018371</v>
      </c>
      <c r="AI173" s="9">
        <f t="shared" si="26"/>
        <v>0.52783703681357697</v>
      </c>
    </row>
    <row r="174" spans="16:35" x14ac:dyDescent="0.3">
      <c r="P174" s="9">
        <v>0.30272346498487895</v>
      </c>
      <c r="Q174" s="9">
        <v>0.35643435203008861</v>
      </c>
      <c r="R174" s="9">
        <v>0.11724095553131943</v>
      </c>
      <c r="S174" s="9">
        <v>0.22360122745371291</v>
      </c>
      <c r="U174" s="9">
        <f t="array" ref="U174">MMULT(TRANSPOSE($B$3:$B$6),TRANSPOSE(P174:S174))</f>
        <v>9.1690145532978842E-2</v>
      </c>
      <c r="V174" s="9">
        <f>INT(200*U174)/200</f>
        <v>0.09</v>
      </c>
      <c r="W174" s="9">
        <f t="array" ref="W174">SQRT(MMULT(MMULT(P174:S174,$K$3:$N$6),TRANSPOSE(P174:S174)))</f>
        <v>7.824620507194853E-2</v>
      </c>
      <c r="Y174" s="31">
        <f>U174/W174</f>
        <v>1.1718158784655233</v>
      </c>
      <c r="AA174" s="9">
        <f t="shared" si="19"/>
        <v>0.30354987923854188</v>
      </c>
      <c r="AB174" s="9">
        <f t="shared" si="20"/>
        <v>0.34135542375691041</v>
      </c>
      <c r="AC174" s="9">
        <f t="shared" si="21"/>
        <v>0.22109258680458571</v>
      </c>
      <c r="AD174" s="9">
        <f t="shared" si="22"/>
        <v>0.134002110199962</v>
      </c>
      <c r="AE174" s="9"/>
      <c r="AF174" s="9">
        <f t="shared" si="23"/>
        <v>0.39756336309555351</v>
      </c>
      <c r="AG174" s="9">
        <f t="shared" si="24"/>
        <v>0.16627285357795615</v>
      </c>
      <c r="AH174" s="9">
        <f t="shared" si="25"/>
        <v>0.40910161470155254</v>
      </c>
      <c r="AI174" s="9">
        <f t="shared" si="26"/>
        <v>0.54174380773413933</v>
      </c>
    </row>
    <row r="175" spans="16:35" x14ac:dyDescent="0.3">
      <c r="P175" s="9">
        <v>0.324426013250315</v>
      </c>
      <c r="Q175" s="9">
        <v>0.31613898073403351</v>
      </c>
      <c r="R175" s="9">
        <v>0.30636768908034429</v>
      </c>
      <c r="S175" s="9">
        <v>5.3067316935307092E-2</v>
      </c>
      <c r="U175" s="9">
        <f t="array" ref="U175">MMULT(TRANSPOSE($B$3:$B$6),TRANSPOSE(P175:S175))</f>
        <v>8.8907982963911988E-2</v>
      </c>
      <c r="V175" s="9">
        <f>INT(200*U175)/200</f>
        <v>8.5000000000000006E-2</v>
      </c>
      <c r="W175" s="9">
        <f t="array" ref="W175">SQRT(MMULT(MMULT(P175:S175,$K$3:$N$6),TRANSPOSE(P175:S175)))</f>
        <v>7.589726862738562E-2</v>
      </c>
      <c r="Y175" s="31">
        <f>U175/W175</f>
        <v>1.1714253302105233</v>
      </c>
      <c r="AA175" s="9">
        <f t="shared" si="19"/>
        <v>0.30303764350458923</v>
      </c>
      <c r="AB175" s="9">
        <f t="shared" si="20"/>
        <v>0.33925833561891261</v>
      </c>
      <c r="AC175" s="9">
        <f t="shared" si="21"/>
        <v>0.22653900093768151</v>
      </c>
      <c r="AD175" s="9">
        <f t="shared" si="22"/>
        <v>0.1311650199388168</v>
      </c>
      <c r="AE175" s="9"/>
      <c r="AF175" s="9">
        <f t="shared" si="23"/>
        <v>0.39812027630200492</v>
      </c>
      <c r="AG175" s="9">
        <f t="shared" si="24"/>
        <v>0.16702753130476639</v>
      </c>
      <c r="AH175" s="9">
        <f t="shared" si="25"/>
        <v>0.37796566548491534</v>
      </c>
      <c r="AI175" s="9">
        <f t="shared" si="26"/>
        <v>0.53303983053813431</v>
      </c>
    </row>
    <row r="176" spans="16:35" x14ac:dyDescent="0.3">
      <c r="P176" s="9">
        <v>0.19469840031037436</v>
      </c>
      <c r="Q176" s="9">
        <v>0.43553056899202652</v>
      </c>
      <c r="R176" s="9">
        <v>0.10062523851728505</v>
      </c>
      <c r="S176" s="9">
        <v>0.26914579218031404</v>
      </c>
      <c r="U176" s="9">
        <f t="array" ref="U176">MMULT(TRANSPOSE($B$3:$B$6),TRANSPOSE(P176:S176))</f>
        <v>9.8854249329497018E-2</v>
      </c>
      <c r="V176" s="9">
        <f>INT(200*U176)/200</f>
        <v>9.5000000000000001E-2</v>
      </c>
      <c r="W176" s="9">
        <f t="array" ref="W176">SQRT(MMULT(MMULT(P176:S176,$K$3:$N$6),TRANSPOSE(P176:S176)))</f>
        <v>8.4402044941164295E-2</v>
      </c>
      <c r="Y176" s="31">
        <f>U176/W176</f>
        <v>1.1712305003795487</v>
      </c>
      <c r="AA176" s="9">
        <f t="shared" si="19"/>
        <v>0.30563594743894129</v>
      </c>
      <c r="AB176" s="9">
        <f t="shared" si="20"/>
        <v>0.34143472718373974</v>
      </c>
      <c r="AC176" s="9">
        <f t="shared" si="21"/>
        <v>0.2148061401674293</v>
      </c>
      <c r="AD176" s="9">
        <f t="shared" si="22"/>
        <v>0.13812318520988967</v>
      </c>
      <c r="AE176" s="9"/>
      <c r="AF176" s="9">
        <f t="shared" si="23"/>
        <v>0.39867489880279477</v>
      </c>
      <c r="AG176" s="9">
        <f t="shared" si="24"/>
        <v>0.16556330440536224</v>
      </c>
      <c r="AH176" s="9">
        <f t="shared" si="25"/>
        <v>0.45098180619112471</v>
      </c>
      <c r="AI176" s="9">
        <f t="shared" si="26"/>
        <v>0.5307090104525326</v>
      </c>
    </row>
    <row r="177" spans="16:35" x14ac:dyDescent="0.3">
      <c r="P177" s="9">
        <v>0.20220740434350573</v>
      </c>
      <c r="Q177" s="9">
        <v>0.36927252186414378</v>
      </c>
      <c r="R177" s="9">
        <v>0.35511634081158733</v>
      </c>
      <c r="S177" s="9">
        <v>7.340373298076322E-2</v>
      </c>
      <c r="U177" s="9">
        <f t="array" ref="U177">MMULT(TRANSPOSE($B$3:$B$6),TRANSPOSE(P177:S177))</f>
        <v>9.5775473764682942E-2</v>
      </c>
      <c r="V177" s="9">
        <f>INT(200*U177)/200</f>
        <v>9.5000000000000001E-2</v>
      </c>
      <c r="W177" s="9">
        <f t="array" ref="W177">SQRT(MMULT(MMULT(P177:S177,$K$3:$N$6),TRANSPOSE(P177:S177)))</f>
        <v>8.1774451900214082E-2</v>
      </c>
      <c r="Y177" s="31">
        <f>U177/W177</f>
        <v>1.1712151110661519</v>
      </c>
      <c r="AA177" s="9">
        <f t="shared" si="19"/>
        <v>0.30254979601081894</v>
      </c>
      <c r="AB177" s="9">
        <f t="shared" si="20"/>
        <v>0.34297662141456947</v>
      </c>
      <c r="AC177" s="9">
        <f t="shared" si="21"/>
        <v>0.21258204808273218</v>
      </c>
      <c r="AD177" s="9">
        <f t="shared" si="22"/>
        <v>0.14189153449187947</v>
      </c>
      <c r="AE177" s="9"/>
      <c r="AF177" s="9">
        <f t="shared" si="23"/>
        <v>0.39134589489266902</v>
      </c>
      <c r="AG177" s="9">
        <f t="shared" si="24"/>
        <v>0.1608013637488363</v>
      </c>
      <c r="AH177" s="9">
        <f t="shared" si="25"/>
        <v>0.46732705401791902</v>
      </c>
      <c r="AI177" s="9">
        <f t="shared" si="26"/>
        <v>0.52549902776243929</v>
      </c>
    </row>
    <row r="178" spans="16:35" x14ac:dyDescent="0.3">
      <c r="P178" s="9">
        <v>0.32962895853291241</v>
      </c>
      <c r="Q178" s="9">
        <v>0.32347543731713313</v>
      </c>
      <c r="R178" s="9">
        <v>0.15601878366417962</v>
      </c>
      <c r="S178" s="9">
        <v>0.19087682048577476</v>
      </c>
      <c r="U178" s="9">
        <f t="array" ref="U178">MMULT(TRANSPOSE($B$3:$B$6),TRANSPOSE(P178:S178))</f>
        <v>8.9417873932335926E-2</v>
      </c>
      <c r="V178" s="9">
        <f>INT(200*U178)/200</f>
        <v>8.5000000000000006E-2</v>
      </c>
      <c r="W178" s="9">
        <f t="array" ref="W178">SQRT(MMULT(MMULT(P178:S178,$K$3:$N$6),TRANSPOSE(P178:S178)))</f>
        <v>7.655301456359806E-2</v>
      </c>
      <c r="Y178" s="31">
        <f>U178/W178</f>
        <v>1.1680516363996365</v>
      </c>
      <c r="AA178" s="9">
        <f t="shared" si="19"/>
        <v>0.31126637485704967</v>
      </c>
      <c r="AB178" s="9">
        <f t="shared" si="20"/>
        <v>0.34114012066344795</v>
      </c>
      <c r="AC178" s="9">
        <f t="shared" si="21"/>
        <v>0.20010015905781889</v>
      </c>
      <c r="AD178" s="9">
        <f t="shared" si="22"/>
        <v>0.14749334542168355</v>
      </c>
      <c r="AE178" s="9"/>
      <c r="AF178" s="9">
        <f t="shared" si="23"/>
        <v>0.37229452558987952</v>
      </c>
      <c r="AG178" s="9">
        <f t="shared" si="24"/>
        <v>0.15964863266156834</v>
      </c>
      <c r="AH178" s="9">
        <f t="shared" si="25"/>
        <v>0.50806749186210176</v>
      </c>
      <c r="AI178" s="9">
        <f t="shared" si="26"/>
        <v>0.52157337273128113</v>
      </c>
    </row>
    <row r="179" spans="16:35" x14ac:dyDescent="0.3">
      <c r="P179" s="9">
        <v>0.20950958799315661</v>
      </c>
      <c r="Q179" s="9">
        <v>0.36200464910910113</v>
      </c>
      <c r="R179" s="9">
        <v>0.27652596994349704</v>
      </c>
      <c r="S179" s="9">
        <v>0.15195979295424525</v>
      </c>
      <c r="U179" s="9">
        <f t="array" ref="U179">MMULT(TRANSPOSE($B$3:$B$6),TRANSPOSE(P179:S179))</f>
        <v>9.5529325904179327E-2</v>
      </c>
      <c r="V179" s="9">
        <f>INT(200*U179)/200</f>
        <v>9.5000000000000001E-2</v>
      </c>
      <c r="W179" s="9">
        <f t="array" ref="W179">SQRT(MMULT(MMULT(P179:S179,$K$3:$N$6),TRANSPOSE(P179:S179)))</f>
        <v>8.1792473872215984E-2</v>
      </c>
      <c r="Y179" s="31">
        <f>U179/W179</f>
        <v>1.1679476286953292</v>
      </c>
      <c r="AA179" s="9">
        <f t="shared" si="19"/>
        <v>0.32047595853100586</v>
      </c>
      <c r="AB179" s="9">
        <f t="shared" si="20"/>
        <v>0.33910149072272455</v>
      </c>
      <c r="AC179" s="9">
        <f t="shared" si="21"/>
        <v>0.19759891200589633</v>
      </c>
      <c r="AD179" s="9">
        <f t="shared" si="22"/>
        <v>0.14282363874037335</v>
      </c>
      <c r="AE179" s="9"/>
      <c r="AF179" s="9">
        <f t="shared" si="23"/>
        <v>0.40176097905740443</v>
      </c>
      <c r="AG179" s="9">
        <f t="shared" si="24"/>
        <v>0.16800981577677621</v>
      </c>
      <c r="AH179" s="9">
        <f t="shared" si="25"/>
        <v>0.51748410737215189</v>
      </c>
      <c r="AI179" s="9">
        <f t="shared" si="26"/>
        <v>0.57094357901913872</v>
      </c>
    </row>
    <row r="180" spans="16:35" x14ac:dyDescent="0.3">
      <c r="P180" s="9">
        <v>0.48533424525796037</v>
      </c>
      <c r="Q180" s="9">
        <v>0.27198050976999105</v>
      </c>
      <c r="R180" s="9">
        <v>0.23854061331278625</v>
      </c>
      <c r="S180" s="9">
        <v>4.1446316592624183E-3</v>
      </c>
      <c r="U180" s="9">
        <f t="array" ref="U180">MMULT(TRANSPOSE($B$3:$B$6),TRANSPOSE(P180:S180))</f>
        <v>8.0583459309269592E-2</v>
      </c>
      <c r="V180" s="9">
        <f>INT(200*U180)/200</f>
        <v>0.08</v>
      </c>
      <c r="W180" s="9">
        <f t="array" ref="W180">SQRT(MMULT(MMULT(P180:S180,$K$3:$N$6),TRANSPOSE(P180:S180)))</f>
        <v>6.8997818510045161E-2</v>
      </c>
      <c r="Y180" s="31">
        <f>U180/W180</f>
        <v>1.1679131463777759</v>
      </c>
      <c r="AA180" s="9">
        <f t="shared" si="19"/>
        <v>0.33008939553039129</v>
      </c>
      <c r="AB180" s="9">
        <f t="shared" si="20"/>
        <v>0.33277026594475667</v>
      </c>
      <c r="AC180" s="9">
        <f t="shared" si="21"/>
        <v>0.19590080958385334</v>
      </c>
      <c r="AD180" s="9">
        <f t="shared" si="22"/>
        <v>0.14123952894099873</v>
      </c>
      <c r="AE180" s="9"/>
      <c r="AF180" s="9">
        <f t="shared" si="23"/>
        <v>0.35639405878042685</v>
      </c>
      <c r="AG180" s="9">
        <f t="shared" si="24"/>
        <v>0.13876316989108611</v>
      </c>
      <c r="AH180" s="9">
        <f t="shared" si="25"/>
        <v>0.52695185953236612</v>
      </c>
      <c r="AI180" s="9">
        <f t="shared" si="26"/>
        <v>0.56151632860284184</v>
      </c>
    </row>
    <row r="181" spans="16:35" x14ac:dyDescent="0.3">
      <c r="P181" s="9">
        <v>0.17522835393136305</v>
      </c>
      <c r="Q181" s="9">
        <v>0.37929176484104821</v>
      </c>
      <c r="R181" s="9">
        <v>0.29017256970615907</v>
      </c>
      <c r="S181" s="9">
        <v>0.15530731152142971</v>
      </c>
      <c r="U181" s="9">
        <f t="array" ref="U181">MMULT(TRANSPOSE($B$3:$B$6),TRANSPOSE(P181:S181))</f>
        <v>9.752071658927923E-2</v>
      </c>
      <c r="V181" s="9">
        <f>INT(200*U181)/200</f>
        <v>9.5000000000000001E-2</v>
      </c>
      <c r="W181" s="9">
        <f t="array" ref="W181">SQRT(MMULT(MMULT(P181:S181,$K$3:$N$6),TRANSPOSE(P181:S181)))</f>
        <v>8.3511978032720632E-2</v>
      </c>
      <c r="Y181" s="31">
        <f>U181/W181</f>
        <v>1.1677452610578791</v>
      </c>
      <c r="AA181" s="9">
        <f t="shared" si="19"/>
        <v>0.32901729123947709</v>
      </c>
      <c r="AB181" s="9">
        <f t="shared" si="20"/>
        <v>0.33653922002639225</v>
      </c>
      <c r="AC181" s="9">
        <f t="shared" si="21"/>
        <v>0.18207759725443012</v>
      </c>
      <c r="AD181" s="9">
        <f t="shared" si="22"/>
        <v>0.15236589147970053</v>
      </c>
      <c r="AE181" s="9"/>
      <c r="AF181" s="9">
        <f t="shared" si="23"/>
        <v>0.3563068807103919</v>
      </c>
      <c r="AG181" s="9">
        <f t="shared" si="24"/>
        <v>0.13887042645306255</v>
      </c>
      <c r="AH181" s="9">
        <f t="shared" si="25"/>
        <v>0.59953595247282043</v>
      </c>
      <c r="AI181" s="9">
        <f t="shared" si="26"/>
        <v>0.51466351562693524</v>
      </c>
    </row>
    <row r="182" spans="16:35" x14ac:dyDescent="0.3">
      <c r="P182" s="9">
        <v>0.53122169063026514</v>
      </c>
      <c r="Q182" s="9">
        <v>0.27118449046684262</v>
      </c>
      <c r="R182" s="9">
        <v>6.7032744542873501E-2</v>
      </c>
      <c r="S182" s="9">
        <v>0.13056107436001874</v>
      </c>
      <c r="U182" s="9">
        <f t="array" ref="U182">MMULT(TRANSPOSE($B$3:$B$6),TRANSPOSE(P182:S182))</f>
        <v>7.9085894219232691E-2</v>
      </c>
      <c r="V182" s="9">
        <f>INT(200*U182)/200</f>
        <v>7.4999999999999997E-2</v>
      </c>
      <c r="W182" s="9">
        <f t="array" ref="W182">SQRT(MMULT(MMULT(P182:S182,$K$3:$N$6),TRANSPOSE(P182:S182)))</f>
        <v>6.7730779387681975E-2</v>
      </c>
      <c r="Y182" s="31">
        <f>U182/W182</f>
        <v>1.1676507333033266</v>
      </c>
      <c r="AA182" s="9">
        <f t="shared" si="19"/>
        <v>0.32174640117110154</v>
      </c>
      <c r="AB182" s="9">
        <f t="shared" si="20"/>
        <v>0.34587797056222847</v>
      </c>
      <c r="AC182" s="9">
        <f t="shared" si="21"/>
        <v>0.17141378436129276</v>
      </c>
      <c r="AD182" s="9">
        <f t="shared" si="22"/>
        <v>0.16096184390537729</v>
      </c>
      <c r="AE182" s="9"/>
      <c r="AF182" s="9">
        <f t="shared" si="23"/>
        <v>0.39480463977715735</v>
      </c>
      <c r="AG182" s="9">
        <f t="shared" si="24"/>
        <v>0.1892934358215009</v>
      </c>
      <c r="AH182" s="9">
        <f t="shared" si="25"/>
        <v>0.65279524525836585</v>
      </c>
      <c r="AI182" s="9">
        <f t="shared" si="26"/>
        <v>0.53911883513304704</v>
      </c>
    </row>
    <row r="183" spans="16:35" x14ac:dyDescent="0.3">
      <c r="P183" s="9">
        <v>0.42772813633621032</v>
      </c>
      <c r="Q183" s="9">
        <v>0.27457633897712314</v>
      </c>
      <c r="R183" s="9">
        <v>0.2288639801175068</v>
      </c>
      <c r="S183" s="9">
        <v>6.8831544569159506E-2</v>
      </c>
      <c r="U183" s="9">
        <f t="array" ref="U183">MMULT(TRANSPOSE($B$3:$B$6),TRANSPOSE(P183:S183))</f>
        <v>8.3327022005506693E-2</v>
      </c>
      <c r="V183" s="9">
        <f>INT(200*U183)/200</f>
        <v>0.08</v>
      </c>
      <c r="W183" s="9">
        <f t="array" ref="W183">SQRT(MMULT(MMULT(P183:S183,$K$3:$N$6),TRANSPOSE(P183:S183)))</f>
        <v>7.1378324370521509E-2</v>
      </c>
      <c r="Y183" s="31">
        <f>U183/W183</f>
        <v>1.1673995255612903</v>
      </c>
      <c r="AA183" s="9">
        <f t="shared" si="19"/>
        <v>0.31848349981251201</v>
      </c>
      <c r="AB183" s="9">
        <f t="shared" si="20"/>
        <v>0.34999277443826488</v>
      </c>
      <c r="AC183" s="9">
        <f t="shared" si="21"/>
        <v>0.16435436719299609</v>
      </c>
      <c r="AD183" s="9">
        <f t="shared" si="22"/>
        <v>0.16716935855622697</v>
      </c>
      <c r="AE183" s="9"/>
      <c r="AF183" s="9">
        <f t="shared" si="23"/>
        <v>0.40522952238265614</v>
      </c>
      <c r="AG183" s="9">
        <f t="shared" si="24"/>
        <v>0.19296485459636203</v>
      </c>
      <c r="AH183" s="9">
        <f t="shared" si="25"/>
        <v>0.68375354276830536</v>
      </c>
      <c r="AI183" s="9">
        <f t="shared" si="26"/>
        <v>0.54171513663565041</v>
      </c>
    </row>
    <row r="184" spans="16:35" x14ac:dyDescent="0.3">
      <c r="P184" s="9">
        <v>0.12828007328687455</v>
      </c>
      <c r="Q184" s="9">
        <v>0.40404827388091508</v>
      </c>
      <c r="R184" s="9">
        <v>0.38656000756080339</v>
      </c>
      <c r="S184" s="9">
        <v>8.1111645271406851E-2</v>
      </c>
      <c r="U184" s="9">
        <f t="array" ref="U184">MMULT(TRANSPOSE($B$3:$B$6),TRANSPOSE(P184:S184))</f>
        <v>9.9994254211073302E-2</v>
      </c>
      <c r="V184" s="9">
        <f>INT(200*U184)/200</f>
        <v>9.5000000000000001E-2</v>
      </c>
      <c r="W184" s="9">
        <f t="array" ref="W184">SQRT(MMULT(MMULT(P184:S184,$K$3:$N$6),TRANSPOSE(P184:S184)))</f>
        <v>8.5682937044533766E-2</v>
      </c>
      <c r="Y184" s="31">
        <f>U184/W184</f>
        <v>1.1670264542764357</v>
      </c>
      <c r="AA184" s="9">
        <f t="shared" si="19"/>
        <v>0.3190950678641894</v>
      </c>
      <c r="AB184" s="9">
        <f t="shared" si="20"/>
        <v>0.34955632609368831</v>
      </c>
      <c r="AC184" s="9">
        <f t="shared" si="21"/>
        <v>0.16293731387137581</v>
      </c>
      <c r="AD184" s="9">
        <f t="shared" si="22"/>
        <v>0.16841129217074652</v>
      </c>
      <c r="AE184" s="9"/>
      <c r="AF184" s="9">
        <f t="shared" si="23"/>
        <v>0.40568070922725497</v>
      </c>
      <c r="AG184" s="9">
        <f t="shared" si="24"/>
        <v>0.19434633403641868</v>
      </c>
      <c r="AH184" s="9">
        <f t="shared" si="25"/>
        <v>0.69068245956887708</v>
      </c>
      <c r="AI184" s="9">
        <f t="shared" si="26"/>
        <v>0.53704981936966112</v>
      </c>
    </row>
    <row r="185" spans="16:35" x14ac:dyDescent="0.3">
      <c r="P185" s="9">
        <v>0.30574051643538697</v>
      </c>
      <c r="Q185" s="9">
        <v>0.3206738969719935</v>
      </c>
      <c r="R185" s="9">
        <v>0.20671933313532301</v>
      </c>
      <c r="S185" s="9">
        <v>0.16686625345729658</v>
      </c>
      <c r="U185" s="9">
        <f t="array" ref="U185">MMULT(TRANSPOSE($B$3:$B$6),TRANSPOSE(P185:S185))</f>
        <v>9.0250390142739861E-2</v>
      </c>
      <c r="V185" s="9">
        <f>INT(200*U185)/200</f>
        <v>0.09</v>
      </c>
      <c r="W185" s="9">
        <f t="array" ref="W185">SQRT(MMULT(MMULT(P185:S185,$K$3:$N$6),TRANSPOSE(P185:S185)))</f>
        <v>7.7430471330031503E-2</v>
      </c>
      <c r="Y185" s="31">
        <f>U185/W185</f>
        <v>1.1655668445832661</v>
      </c>
      <c r="AA185" s="9">
        <f t="shared" si="19"/>
        <v>0.31721546717366927</v>
      </c>
      <c r="AB185" s="9">
        <f t="shared" si="20"/>
        <v>0.34876406231286133</v>
      </c>
      <c r="AC185" s="9">
        <f t="shared" si="21"/>
        <v>0.16681059254245276</v>
      </c>
      <c r="AD185" s="9">
        <f t="shared" si="22"/>
        <v>0.16720987797101663</v>
      </c>
      <c r="AE185" s="9"/>
      <c r="AF185" s="9">
        <f t="shared" si="23"/>
        <v>0.40977121157539897</v>
      </c>
      <c r="AG185" s="9">
        <f t="shared" si="24"/>
        <v>0.19482449061223819</v>
      </c>
      <c r="AH185" s="9">
        <f t="shared" si="25"/>
        <v>0.67313477262258559</v>
      </c>
      <c r="AI185" s="9">
        <f t="shared" si="26"/>
        <v>0.53729506106820579</v>
      </c>
    </row>
    <row r="186" spans="16:35" x14ac:dyDescent="0.3">
      <c r="P186" s="9">
        <v>0.3851248868671765</v>
      </c>
      <c r="Q186" s="9">
        <v>0.35981994676672058</v>
      </c>
      <c r="R186" s="9">
        <v>1.4152627980491796E-2</v>
      </c>
      <c r="S186" s="9">
        <v>0.24090253838561107</v>
      </c>
      <c r="U186" s="9">
        <f t="array" ref="U186">MMULT(TRANSPOSE($B$3:$B$6),TRANSPOSE(P186:S186))</f>
        <v>8.838549541912645E-2</v>
      </c>
      <c r="V186" s="9">
        <f>INT(200*U186)/200</f>
        <v>8.5000000000000006E-2</v>
      </c>
      <c r="W186" s="9">
        <f t="array" ref="W186">SQRT(MMULT(MMULT(P186:S186,$K$3:$N$6),TRANSPOSE(P186:S186)))</f>
        <v>7.5886330674538996E-2</v>
      </c>
      <c r="Y186" s="31">
        <f>U186/W186</f>
        <v>1.1647090409232439</v>
      </c>
      <c r="AA186" s="9">
        <f t="shared" si="19"/>
        <v>0.31184797000960957</v>
      </c>
      <c r="AB186" s="9">
        <f t="shared" si="20"/>
        <v>0.35093205036486957</v>
      </c>
      <c r="AC186" s="9">
        <f t="shared" si="21"/>
        <v>0.16312262084679391</v>
      </c>
      <c r="AD186" s="9">
        <f t="shared" si="22"/>
        <v>0.17409735877872701</v>
      </c>
      <c r="AE186" s="9"/>
      <c r="AF186" s="9">
        <f t="shared" si="23"/>
        <v>0.42323500942339676</v>
      </c>
      <c r="AG186" s="9">
        <f t="shared" si="24"/>
        <v>0.19257317659916379</v>
      </c>
      <c r="AH186" s="9">
        <f t="shared" si="25"/>
        <v>0.66629227769477861</v>
      </c>
      <c r="AI186" s="9">
        <f t="shared" si="26"/>
        <v>0.49466637102173344</v>
      </c>
    </row>
    <row r="187" spans="16:35" x14ac:dyDescent="0.3">
      <c r="P187" s="9">
        <v>0.39949852877523179</v>
      </c>
      <c r="Q187" s="9">
        <v>0.31086897310669226</v>
      </c>
      <c r="R187" s="9">
        <v>8.6501897138722209E-2</v>
      </c>
      <c r="S187" s="9">
        <v>0.20313060097935365</v>
      </c>
      <c r="U187" s="9">
        <f t="array" ref="U187">MMULT(TRANSPOSE($B$3:$B$6),TRANSPOSE(P187:S187))</f>
        <v>8.612839172371814E-2</v>
      </c>
      <c r="V187" s="9">
        <f>INT(200*U187)/200</f>
        <v>8.5000000000000006E-2</v>
      </c>
      <c r="W187" s="9">
        <f t="array" ref="W187">SQRT(MMULT(MMULT(P187:S187,$K$3:$N$6),TRANSPOSE(P187:S187)))</f>
        <v>7.4014200717521558E-2</v>
      </c>
      <c r="Y187" s="31">
        <f>U187/W187</f>
        <v>1.163673874591052</v>
      </c>
      <c r="AA187" s="9">
        <f t="shared" si="19"/>
        <v>0.31636162324221334</v>
      </c>
      <c r="AB187" s="9">
        <f t="shared" si="20"/>
        <v>0.34545691961756486</v>
      </c>
      <c r="AC187" s="9">
        <f t="shared" si="21"/>
        <v>0.1742996602394499</v>
      </c>
      <c r="AD187" s="9">
        <f t="shared" si="22"/>
        <v>0.1638817969007719</v>
      </c>
      <c r="AE187" s="9"/>
      <c r="AF187" s="9">
        <f t="shared" si="23"/>
        <v>0.40894114357282174</v>
      </c>
      <c r="AG187" s="9">
        <f t="shared" si="24"/>
        <v>0.18813195864269458</v>
      </c>
      <c r="AH187" s="9">
        <f t="shared" si="25"/>
        <v>0.65337794575900798</v>
      </c>
      <c r="AI187" s="9">
        <f t="shared" si="26"/>
        <v>0.53087538492789599</v>
      </c>
    </row>
    <row r="188" spans="16:35" x14ac:dyDescent="0.3">
      <c r="P188" s="9">
        <v>0.36619321484299233</v>
      </c>
      <c r="Q188" s="9">
        <v>0.34234519747821579</v>
      </c>
      <c r="R188" s="9">
        <v>5.7497394067019522E-2</v>
      </c>
      <c r="S188" s="9">
        <v>0.23396419361177245</v>
      </c>
      <c r="U188" s="9">
        <f t="array" ref="U188">MMULT(TRANSPOSE($B$3:$B$6),TRANSPOSE(P188:S188))</f>
        <v>8.8617610992432871E-2</v>
      </c>
      <c r="V188" s="9">
        <f>INT(200*U188)/200</f>
        <v>8.5000000000000006E-2</v>
      </c>
      <c r="W188" s="9">
        <f t="array" ref="W188">SQRT(MMULT(MMULT(P188:S188,$K$3:$N$6),TRANSPOSE(P188:S188)))</f>
        <v>7.6233596775429985E-2</v>
      </c>
      <c r="Y188" s="31">
        <f>U188/W188</f>
        <v>1.1624482477651408</v>
      </c>
      <c r="AA188" s="9">
        <f t="shared" si="19"/>
        <v>0.32519203552472731</v>
      </c>
      <c r="AB188" s="9">
        <f t="shared" si="20"/>
        <v>0.34388837213507129</v>
      </c>
      <c r="AC188" s="9">
        <f t="shared" si="21"/>
        <v>0.15924579427984595</v>
      </c>
      <c r="AD188" s="9">
        <f t="shared" si="22"/>
        <v>0.1716737980603554</v>
      </c>
      <c r="AE188" s="9"/>
      <c r="AF188" s="9">
        <f t="shared" si="23"/>
        <v>0.39209816191327779</v>
      </c>
      <c r="AG188" s="9">
        <f t="shared" si="24"/>
        <v>0.18839000036051529</v>
      </c>
      <c r="AH188" s="9">
        <f t="shared" si="25"/>
        <v>0.68824770785279343</v>
      </c>
      <c r="AI188" s="9">
        <f t="shared" si="26"/>
        <v>0.49985333379657793</v>
      </c>
    </row>
    <row r="189" spans="16:35" x14ac:dyDescent="0.3">
      <c r="P189" s="9">
        <v>0.57539214221671542</v>
      </c>
      <c r="Q189" s="9">
        <v>0.25338602232107027</v>
      </c>
      <c r="R189" s="9">
        <v>0.14968475955280339</v>
      </c>
      <c r="S189" s="9">
        <v>2.1537075909411028E-2</v>
      </c>
      <c r="U189" s="9">
        <f t="array" ref="U189">MMULT(TRANSPOSE($B$3:$B$6),TRANSPOSE(P189:S189))</f>
        <v>7.6276798436756874E-2</v>
      </c>
      <c r="V189" s="9">
        <f>INT(200*U189)/200</f>
        <v>7.4999999999999997E-2</v>
      </c>
      <c r="W189" s="9">
        <f t="array" ref="W189">SQRT(MMULT(MMULT(P189:S189,$K$3:$N$6),TRANSPOSE(P189:S189)))</f>
        <v>6.5641606244903061E-2</v>
      </c>
      <c r="Y189" s="31">
        <f>U189/W189</f>
        <v>1.1620190729668443</v>
      </c>
      <c r="AA189" s="9">
        <f t="shared" si="19"/>
        <v>0.31576637030503296</v>
      </c>
      <c r="AB189" s="9">
        <f t="shared" si="20"/>
        <v>0.34788033858788425</v>
      </c>
      <c r="AC189" s="9">
        <f t="shared" si="21"/>
        <v>0.17322840462304323</v>
      </c>
      <c r="AD189" s="9">
        <f t="shared" si="22"/>
        <v>0.16312488648403958</v>
      </c>
      <c r="AE189" s="9"/>
      <c r="AF189" s="9">
        <f t="shared" si="23"/>
        <v>0.4253082992891502</v>
      </c>
      <c r="AG189" s="9">
        <f t="shared" si="24"/>
        <v>0.18982143929018669</v>
      </c>
      <c r="AH189" s="9">
        <f t="shared" si="25"/>
        <v>0.73073003729931618</v>
      </c>
      <c r="AI189" s="9">
        <f t="shared" si="26"/>
        <v>0.56696459261015286</v>
      </c>
    </row>
    <row r="190" spans="16:35" x14ac:dyDescent="0.3">
      <c r="P190" s="9">
        <v>0.29059191885034624</v>
      </c>
      <c r="Q190" s="9">
        <v>0.3532156224837768</v>
      </c>
      <c r="R190" s="9">
        <v>0.12267974908525574</v>
      </c>
      <c r="S190" s="9">
        <v>0.23351270958062131</v>
      </c>
      <c r="U190" s="9">
        <f t="array" ref="U190">MMULT(TRANSPOSE($B$3:$B$6),TRANSPOSE(P190:S190))</f>
        <v>9.2137960300851224E-2</v>
      </c>
      <c r="V190" s="9">
        <f>INT(200*U190)/200</f>
        <v>0.09</v>
      </c>
      <c r="W190" s="9">
        <f t="array" ref="W190">SQRT(MMULT(MMULT(P190:S190,$K$3:$N$6),TRANSPOSE(P190:S190)))</f>
        <v>7.9344829357767155E-2</v>
      </c>
      <c r="Y190" s="31">
        <f>U190/W190</f>
        <v>1.1612345889030731</v>
      </c>
      <c r="AA190" s="9">
        <f t="shared" si="19"/>
        <v>0.3214208890631674</v>
      </c>
      <c r="AB190" s="9">
        <f t="shared" si="20"/>
        <v>0.34683986930315192</v>
      </c>
      <c r="AC190" s="9">
        <f t="shared" si="21"/>
        <v>0.16448148991818382</v>
      </c>
      <c r="AD190" s="9">
        <f t="shared" si="22"/>
        <v>0.16725775171549689</v>
      </c>
      <c r="AE190" s="9"/>
      <c r="AF190" s="9">
        <f t="shared" si="23"/>
        <v>0.41093176226547379</v>
      </c>
      <c r="AG190" s="9">
        <f t="shared" si="24"/>
        <v>0.19021336918063378</v>
      </c>
      <c r="AH190" s="9">
        <f t="shared" si="25"/>
        <v>0.76257521906839942</v>
      </c>
      <c r="AI190" s="9">
        <f t="shared" si="26"/>
        <v>0.56135313573371859</v>
      </c>
    </row>
    <row r="191" spans="16:35" x14ac:dyDescent="0.3">
      <c r="P191" s="9">
        <v>0.36114917518573841</v>
      </c>
      <c r="Q191" s="9">
        <v>0.38079187594427305</v>
      </c>
      <c r="R191" s="9">
        <v>4.449563880572467E-4</v>
      </c>
      <c r="S191" s="9">
        <v>0.25761399248193129</v>
      </c>
      <c r="U191" s="9">
        <f t="array" ref="U191">MMULT(TRANSPOSE($B$3:$B$6),TRANSPOSE(P191:S191))</f>
        <v>9.0105265119840253E-2</v>
      </c>
      <c r="V191" s="9">
        <f>INT(200*U191)/200</f>
        <v>0.09</v>
      </c>
      <c r="W191" s="9">
        <f t="array" ref="W191">SQRT(MMULT(MMULT(P191:S191,$K$3:$N$6),TRANSPOSE(P191:S191)))</f>
        <v>7.7597664856518006E-2</v>
      </c>
      <c r="Y191" s="31">
        <f>U191/W191</f>
        <v>1.1611852661603854</v>
      </c>
      <c r="AA191" s="9">
        <f t="shared" si="19"/>
        <v>0.31386558679829502</v>
      </c>
      <c r="AB191" s="9">
        <f t="shared" si="20"/>
        <v>0.35172055730886348</v>
      </c>
      <c r="AC191" s="9">
        <f t="shared" si="21"/>
        <v>0.15473130090924272</v>
      </c>
      <c r="AD191" s="9">
        <f t="shared" si="22"/>
        <v>0.17968255498359886</v>
      </c>
      <c r="AE191" s="9"/>
      <c r="AF191" s="9">
        <f t="shared" si="23"/>
        <v>0.40356081743819211</v>
      </c>
      <c r="AG191" s="9">
        <f t="shared" si="24"/>
        <v>0.181729032212677</v>
      </c>
      <c r="AH191" s="9">
        <f t="shared" si="25"/>
        <v>0.82290109670802569</v>
      </c>
      <c r="AI191" s="9">
        <f t="shared" si="26"/>
        <v>0.49156386841418337</v>
      </c>
    </row>
    <row r="192" spans="16:35" x14ac:dyDescent="0.3">
      <c r="P192" s="9">
        <v>9.2332050436162341E-2</v>
      </c>
      <c r="Q192" s="9">
        <v>0.54647093302410099</v>
      </c>
      <c r="R192" s="9">
        <v>3.7767136742653661E-2</v>
      </c>
      <c r="S192" s="9">
        <v>0.32342987979708293</v>
      </c>
      <c r="U192" s="9">
        <f t="array" ref="U192">MMULT(TRANSPOSE($B$3:$B$6),TRANSPOSE(P192:S192))</f>
        <v>0.10679647614052917</v>
      </c>
      <c r="V192" s="9">
        <f>INT(200*U192)/200</f>
        <v>0.105</v>
      </c>
      <c r="W192" s="9">
        <f t="array" ref="W192">SQRT(MMULT(MMULT(P192:S192,$K$3:$N$6),TRANSPOSE(P192:S192)))</f>
        <v>9.2098715461231884E-2</v>
      </c>
      <c r="Y192" s="31">
        <f>U192/W192</f>
        <v>1.1595870323021409</v>
      </c>
      <c r="AA192" s="9">
        <f t="shared" si="19"/>
        <v>0.32009358425760037</v>
      </c>
      <c r="AB192" s="9">
        <f t="shared" si="20"/>
        <v>0.34819922690381816</v>
      </c>
      <c r="AC192" s="9">
        <f t="shared" si="21"/>
        <v>0.15424610159584839</v>
      </c>
      <c r="AD192" s="9">
        <f t="shared" si="22"/>
        <v>0.17746108724273316</v>
      </c>
      <c r="AE192" s="9"/>
      <c r="AF192" s="9">
        <f t="shared" si="23"/>
        <v>0.3831952763616992</v>
      </c>
      <c r="AG192" s="9">
        <f t="shared" si="24"/>
        <v>0.18483206941990471</v>
      </c>
      <c r="AH192" s="9">
        <f t="shared" si="25"/>
        <v>0.82209516826348006</v>
      </c>
      <c r="AI192" s="9">
        <f t="shared" si="26"/>
        <v>0.50460284081767093</v>
      </c>
    </row>
    <row r="193" spans="16:35" x14ac:dyDescent="0.3">
      <c r="P193" s="9">
        <v>0.20991384672362487</v>
      </c>
      <c r="Q193" s="9">
        <v>0.42290920290182493</v>
      </c>
      <c r="R193" s="9">
        <v>8.650190330840303E-2</v>
      </c>
      <c r="S193" s="9">
        <v>0.2806750470661471</v>
      </c>
      <c r="U193" s="9">
        <f t="array" ref="U193">MMULT(TRANSPOSE($B$3:$B$6),TRANSPOSE(P193:S193))</f>
        <v>9.7864794685215944E-2</v>
      </c>
      <c r="V193" s="9">
        <f>INT(200*U193)/200</f>
        <v>9.5000000000000001E-2</v>
      </c>
      <c r="W193" s="9">
        <f t="array" ref="W193">SQRT(MMULT(MMULT(P193:S193,$K$3:$N$6),TRANSPOSE(P193:S193)))</f>
        <v>8.4459392692899121E-2</v>
      </c>
      <c r="Y193" s="31">
        <f>U193/W193</f>
        <v>1.1587200850598098</v>
      </c>
      <c r="AA193" s="9">
        <f t="shared" si="19"/>
        <v>0.30378446858675812</v>
      </c>
      <c r="AB193" s="9">
        <f t="shared" si="20"/>
        <v>0.3524482991377812</v>
      </c>
      <c r="AC193" s="9">
        <f t="shared" si="21"/>
        <v>0.16809672245735557</v>
      </c>
      <c r="AD193" s="9">
        <f t="shared" si="22"/>
        <v>0.17567050981810522</v>
      </c>
      <c r="AE193" s="9"/>
      <c r="AF193" s="9">
        <f t="shared" si="23"/>
        <v>0.38105208561031406</v>
      </c>
      <c r="AG193" s="9">
        <f t="shared" si="24"/>
        <v>0.17568203341611033</v>
      </c>
      <c r="AH193" s="9">
        <f t="shared" si="25"/>
        <v>0.78857716657848209</v>
      </c>
      <c r="AI193" s="9">
        <f t="shared" si="26"/>
        <v>0.51743361014578571</v>
      </c>
    </row>
    <row r="194" spans="16:35" x14ac:dyDescent="0.3">
      <c r="P194" s="9">
        <v>0.40407381595678488</v>
      </c>
      <c r="Q194" s="9">
        <v>0.2862632889863394</v>
      </c>
      <c r="R194" s="9">
        <v>0.1366689411118209</v>
      </c>
      <c r="S194" s="9">
        <v>0.17299395394505482</v>
      </c>
      <c r="U194" s="9">
        <f t="array" ref="U194">MMULT(TRANSPOSE($B$3:$B$6),TRANSPOSE(P194:S194))</f>
        <v>8.5064858532275189E-2</v>
      </c>
      <c r="V194" s="9">
        <f>INT(200*U194)/200</f>
        <v>8.5000000000000006E-2</v>
      </c>
      <c r="W194" s="9">
        <f t="array" ref="W194">SQRT(MMULT(MMULT(P194:S194,$K$3:$N$6),TRANSPOSE(P194:S194)))</f>
        <v>7.3419123770508798E-2</v>
      </c>
      <c r="Y194" s="31">
        <f>U194/W194</f>
        <v>1.1586199094144498</v>
      </c>
      <c r="AA194" s="9">
        <f t="shared" si="19"/>
        <v>0.29670177828360278</v>
      </c>
      <c r="AB194" s="9">
        <f t="shared" si="20"/>
        <v>0.35477505612050692</v>
      </c>
      <c r="AC194" s="9">
        <f t="shared" si="21"/>
        <v>0.17377605122381409</v>
      </c>
      <c r="AD194" s="9">
        <f t="shared" si="22"/>
        <v>0.17474711437207627</v>
      </c>
      <c r="AE194" s="9"/>
      <c r="AF194" s="9">
        <f t="shared" si="23"/>
        <v>0.37847226269673312</v>
      </c>
      <c r="AG194" s="9">
        <f t="shared" si="24"/>
        <v>0.16834749940653956</v>
      </c>
      <c r="AH194" s="9">
        <f t="shared" si="25"/>
        <v>0.79265463351819954</v>
      </c>
      <c r="AI194" s="9">
        <f t="shared" si="26"/>
        <v>0.52720529201767885</v>
      </c>
    </row>
    <row r="195" spans="16:35" x14ac:dyDescent="0.3">
      <c r="P195" s="9">
        <v>0.26325185048395749</v>
      </c>
      <c r="Q195" s="9">
        <v>0.33979681263272188</v>
      </c>
      <c r="R195" s="9">
        <v>0.19857980762393521</v>
      </c>
      <c r="S195" s="9">
        <v>0.1983715292593855</v>
      </c>
      <c r="U195" s="9">
        <f t="array" ref="U195">MMULT(TRANSPOSE($B$3:$B$6),TRANSPOSE(P195:S195))</f>
        <v>9.2747038605056953E-2</v>
      </c>
      <c r="V195" s="9">
        <f>INT(200*U195)/200</f>
        <v>0.09</v>
      </c>
      <c r="W195" s="9">
        <f t="array" ref="W195">SQRT(MMULT(MMULT(P195:S195,$K$3:$N$6),TRANSPOSE(P195:S195)))</f>
        <v>8.0062285795730381E-2</v>
      </c>
      <c r="Y195" s="31">
        <f>U195/W195</f>
        <v>1.1584360561686966</v>
      </c>
      <c r="AA195" s="9">
        <f t="shared" si="19"/>
        <v>0.30476534465435406</v>
      </c>
      <c r="AB195" s="9">
        <f t="shared" si="20"/>
        <v>0.35027799070834864</v>
      </c>
      <c r="AC195" s="9">
        <f t="shared" si="21"/>
        <v>0.16690082254936817</v>
      </c>
      <c r="AD195" s="9">
        <f t="shared" si="22"/>
        <v>0.17805584208792921</v>
      </c>
      <c r="AE195" s="9"/>
      <c r="AF195" s="9">
        <f t="shared" si="23"/>
        <v>0.34605959607728831</v>
      </c>
      <c r="AG195" s="9">
        <f t="shared" si="24"/>
        <v>0.16953493704404399</v>
      </c>
      <c r="AH195" s="9">
        <f t="shared" si="25"/>
        <v>0.77876720519114306</v>
      </c>
      <c r="AI195" s="9">
        <f t="shared" si="26"/>
        <v>0.50442204295516557</v>
      </c>
    </row>
    <row r="196" spans="16:35" x14ac:dyDescent="0.3">
      <c r="P196" s="9">
        <v>0.21170857280506092</v>
      </c>
      <c r="Q196" s="9">
        <v>0.36166672982620657</v>
      </c>
      <c r="R196" s="9">
        <v>0.2289202834715082</v>
      </c>
      <c r="S196" s="9">
        <v>0.19770441389722435</v>
      </c>
      <c r="U196" s="9">
        <f t="array" ref="U196">MMULT(TRANSPOSE($B$3:$B$6),TRANSPOSE(P196:S196))</f>
        <v>9.5592936707410314E-2</v>
      </c>
      <c r="V196" s="9">
        <f>INT(200*U196)/200</f>
        <v>9.5000000000000001E-2</v>
      </c>
      <c r="W196" s="9">
        <f t="array" ref="W196">SQRT(MMULT(MMULT(P196:S196,$K$3:$N$6),TRANSPOSE(P196:S196)))</f>
        <v>8.2521415917969534E-2</v>
      </c>
      <c r="Y196" s="31">
        <f>U196/W196</f>
        <v>1.1584015572688977</v>
      </c>
      <c r="AA196" s="9">
        <f t="shared" si="19"/>
        <v>0.30748935109516456</v>
      </c>
      <c r="AB196" s="9">
        <f t="shared" si="20"/>
        <v>0.34856102603433131</v>
      </c>
      <c r="AC196" s="9">
        <f t="shared" si="21"/>
        <v>0.1669609942341054</v>
      </c>
      <c r="AD196" s="9">
        <f t="shared" si="22"/>
        <v>0.17698862863639878</v>
      </c>
      <c r="AE196" s="9"/>
      <c r="AF196" s="9">
        <f t="shared" si="23"/>
        <v>0.34547342111404922</v>
      </c>
      <c r="AG196" s="9">
        <f t="shared" si="24"/>
        <v>0.17439628885432451</v>
      </c>
      <c r="AH196" s="9">
        <f t="shared" si="25"/>
        <v>0.77860421255744483</v>
      </c>
      <c r="AI196" s="9">
        <f t="shared" si="26"/>
        <v>0.50900238988546687</v>
      </c>
    </row>
    <row r="197" spans="16:35" x14ac:dyDescent="0.3">
      <c r="P197" s="9">
        <v>0.28948511819505424</v>
      </c>
      <c r="Q197" s="9">
        <v>0.32055282329862739</v>
      </c>
      <c r="R197" s="9">
        <v>0.33534306576306161</v>
      </c>
      <c r="S197" s="9">
        <v>5.4618992743256843E-2</v>
      </c>
      <c r="U197" s="9">
        <f t="array" ref="U197">MMULT(TRANSPOSE($B$3:$B$6),TRANSPOSE(P197:S197))</f>
        <v>9.0522541362863404E-2</v>
      </c>
      <c r="V197" s="9">
        <f>INT(200*U197)/200</f>
        <v>0.09</v>
      </c>
      <c r="W197" s="9">
        <f t="array" ref="W197">SQRT(MMULT(MMULT(P197:S197,$K$3:$N$6),TRANSPOSE(P197:S197)))</f>
        <v>7.820212232066337E-2</v>
      </c>
      <c r="Y197" s="31">
        <f>U197/W197</f>
        <v>1.1575458398901357</v>
      </c>
      <c r="AA197" s="9">
        <f t="shared" si="19"/>
        <v>0.29923579553541813</v>
      </c>
      <c r="AB197" s="9">
        <f t="shared" si="20"/>
        <v>0.35019759398926853</v>
      </c>
      <c r="AC197" s="9">
        <f t="shared" si="21"/>
        <v>0.17240682907160568</v>
      </c>
      <c r="AD197" s="9">
        <f t="shared" si="22"/>
        <v>0.17815978140370767</v>
      </c>
      <c r="AE197" s="9"/>
      <c r="AF197" s="9">
        <f t="shared" si="23"/>
        <v>0.35633569170631074</v>
      </c>
      <c r="AG197" s="9">
        <f t="shared" si="24"/>
        <v>0.17579706986405561</v>
      </c>
      <c r="AH197" s="9">
        <f t="shared" si="25"/>
        <v>0.72848594259781907</v>
      </c>
      <c r="AI197" s="9">
        <f t="shared" si="26"/>
        <v>0.5114178167382557</v>
      </c>
    </row>
    <row r="198" spans="16:35" x14ac:dyDescent="0.3">
      <c r="P198" s="9">
        <v>0.38764606227629855</v>
      </c>
      <c r="Q198" s="9">
        <v>0.33633302473178039</v>
      </c>
      <c r="R198" s="9">
        <v>3.8985155659904167E-2</v>
      </c>
      <c r="S198" s="9">
        <v>0.23703575733201676</v>
      </c>
      <c r="U198" s="9">
        <f t="array" ref="U198">MMULT(TRANSPOSE($B$3:$B$6),TRANSPOSE(P198:S198))</f>
        <v>8.7538864565120736E-2</v>
      </c>
      <c r="V198" s="9">
        <f>INT(200*U198)/200</f>
        <v>8.5000000000000006E-2</v>
      </c>
      <c r="W198" s="9">
        <f t="array" ref="W198">SQRT(MMULT(MMULT(P198:S198,$K$3:$N$6),TRANSPOSE(P198:S198)))</f>
        <v>7.5697269317568552E-2</v>
      </c>
      <c r="Y198" s="31">
        <f>U198/W198</f>
        <v>1.1564335854424788</v>
      </c>
      <c r="AA198" s="9">
        <f t="shared" si="19"/>
        <v>0.28189878451591083</v>
      </c>
      <c r="AB198" s="9">
        <f t="shared" si="20"/>
        <v>0.35651777240558596</v>
      </c>
      <c r="AC198" s="9">
        <f t="shared" si="21"/>
        <v>0.18511104727030395</v>
      </c>
      <c r="AD198" s="9">
        <f t="shared" si="22"/>
        <v>0.17647239580819937</v>
      </c>
      <c r="AE198" s="9"/>
      <c r="AF198" s="9">
        <f t="shared" si="23"/>
        <v>0.420199527508759</v>
      </c>
      <c r="AG198" s="9">
        <f t="shared" si="24"/>
        <v>0.17975385366048682</v>
      </c>
      <c r="AH198" s="9">
        <f t="shared" si="25"/>
        <v>0.70169577048308995</v>
      </c>
      <c r="AI198" s="9">
        <f t="shared" si="26"/>
        <v>0.51541489308843891</v>
      </c>
    </row>
    <row r="199" spans="16:35" x14ac:dyDescent="0.3">
      <c r="P199" s="9">
        <v>0.13168998891933048</v>
      </c>
      <c r="Q199" s="9">
        <v>0.40730673282620405</v>
      </c>
      <c r="R199" s="9">
        <v>0.44965360087132217</v>
      </c>
      <c r="S199" s="9">
        <v>1.1349677383143353E-2</v>
      </c>
      <c r="U199" s="9">
        <f t="array" ref="U199">MMULT(TRANSPOSE($B$3:$B$6),TRANSPOSE(P199:S199))</f>
        <v>9.9697060638229279E-2</v>
      </c>
      <c r="V199" s="9">
        <f>INT(200*U199)/200</f>
        <v>9.5000000000000001E-2</v>
      </c>
      <c r="W199" s="9">
        <f t="array" ref="W199">SQRT(MMULT(MMULT(P199:S199,$K$3:$N$6),TRANSPOSE(P199:S199)))</f>
        <v>8.6274195089177552E-2</v>
      </c>
      <c r="Y199" s="31">
        <f>U199/W199</f>
        <v>1.1555837818617392</v>
      </c>
      <c r="AA199" s="9">
        <f t="shared" si="19"/>
        <v>0.28034787316278259</v>
      </c>
      <c r="AB199" s="9">
        <f t="shared" si="20"/>
        <v>0.35418681235284855</v>
      </c>
      <c r="AC199" s="9">
        <f t="shared" si="21"/>
        <v>0.19585055789608818</v>
      </c>
      <c r="AD199" s="9">
        <f t="shared" si="22"/>
        <v>0.16961475658828071</v>
      </c>
      <c r="AE199" s="9"/>
      <c r="AF199" s="9">
        <f t="shared" si="23"/>
        <v>0.41913746426705911</v>
      </c>
      <c r="AG199" s="9">
        <f t="shared" si="24"/>
        <v>0.18493431940581867</v>
      </c>
      <c r="AH199" s="9">
        <f t="shared" si="25"/>
        <v>0.65419446962927397</v>
      </c>
      <c r="AI199" s="9">
        <f t="shared" si="26"/>
        <v>0.54140227023109544</v>
      </c>
    </row>
    <row r="200" spans="16:35" x14ac:dyDescent="0.3">
      <c r="P200" s="9">
        <v>0.32825448191398038</v>
      </c>
      <c r="Q200" s="9">
        <v>0.34015479412972205</v>
      </c>
      <c r="R200" s="9">
        <v>9.2840761141449221E-2</v>
      </c>
      <c r="S200" s="9">
        <v>0.23874996281484845</v>
      </c>
      <c r="U200" s="9">
        <f t="array" ref="U200">MMULT(TRANSPOSE($B$3:$B$6),TRANSPOSE(P200:S200))</f>
        <v>9.0166060230128645E-2</v>
      </c>
      <c r="V200" s="9">
        <f>INT(200*U200)/200</f>
        <v>0.09</v>
      </c>
      <c r="W200" s="9">
        <f t="array" ref="W200">SQRT(MMULT(MMULT(P200:S200,$K$3:$N$6),TRANSPOSE(P200:S200)))</f>
        <v>7.8056681673540657E-2</v>
      </c>
      <c r="Y200" s="31">
        <f>U200/W200</f>
        <v>1.1551357077570052</v>
      </c>
      <c r="AA200" s="9">
        <f t="shared" si="19"/>
        <v>0.26286018128669619</v>
      </c>
      <c r="AB200" s="9">
        <f t="shared" si="20"/>
        <v>0.35889126473580174</v>
      </c>
      <c r="AC200" s="9">
        <f t="shared" si="21"/>
        <v>0.20115973556934921</v>
      </c>
      <c r="AD200" s="9">
        <f t="shared" si="22"/>
        <v>0.17708881840815291</v>
      </c>
      <c r="AE200" s="9"/>
      <c r="AF200" s="9">
        <f t="shared" si="23"/>
        <v>0.36872743997485502</v>
      </c>
      <c r="AG200" s="9">
        <f t="shared" si="24"/>
        <v>0.17084138571866511</v>
      </c>
      <c r="AH200" s="9">
        <f t="shared" si="25"/>
        <v>0.63842470431350606</v>
      </c>
      <c r="AI200" s="9">
        <f t="shared" si="26"/>
        <v>0.48186322396842662</v>
      </c>
    </row>
    <row r="201" spans="16:35" x14ac:dyDescent="0.3">
      <c r="P201" s="9">
        <v>0.32667289769564006</v>
      </c>
      <c r="Q201" s="9">
        <v>0.37447495788993374</v>
      </c>
      <c r="R201" s="9">
        <v>3.3786644125023309E-2</v>
      </c>
      <c r="S201" s="9">
        <v>0.26506550028940301</v>
      </c>
      <c r="U201" s="9">
        <f t="array" ref="U201">MMULT(TRANSPOSE($B$3:$B$6),TRANSPOSE(P201:S201))</f>
        <v>9.1389916267648696E-2</v>
      </c>
      <c r="V201" s="9">
        <f>INT(200*U201)/200</f>
        <v>0.09</v>
      </c>
      <c r="W201" s="9">
        <f t="array" ref="W201">SQRT(MMULT(MMULT(P201:S201,$K$3:$N$6),TRANSPOSE(P201:S201)))</f>
        <v>7.9130639992064586E-2</v>
      </c>
      <c r="Y201" s="31">
        <f>U201/W201</f>
        <v>1.1549245181994421</v>
      </c>
      <c r="AA201" s="9">
        <f t="shared" si="19"/>
        <v>0.25096277545631468</v>
      </c>
      <c r="AB201" s="9">
        <f t="shared" si="20"/>
        <v>0.36545265086225703</v>
      </c>
      <c r="AC201" s="9">
        <f t="shared" si="21"/>
        <v>0.20393070819046932</v>
      </c>
      <c r="AD201" s="9">
        <f t="shared" si="22"/>
        <v>0.17965386549095894</v>
      </c>
      <c r="AE201" s="9"/>
      <c r="AF201" s="9">
        <f t="shared" si="23"/>
        <v>0.43052463597696672</v>
      </c>
      <c r="AG201" s="9">
        <f t="shared" si="24"/>
        <v>0.18528884420447583</v>
      </c>
      <c r="AH201" s="9">
        <f t="shared" si="25"/>
        <v>0.624084181594729</v>
      </c>
      <c r="AI201" s="9">
        <f t="shared" si="26"/>
        <v>0.48919003948852663</v>
      </c>
    </row>
    <row r="202" spans="16:35" x14ac:dyDescent="0.3">
      <c r="P202" s="9">
        <v>0.30601630057677642</v>
      </c>
      <c r="Q202" s="9">
        <v>0.30534382633509632</v>
      </c>
      <c r="R202" s="9">
        <v>0.27998338412487783</v>
      </c>
      <c r="S202" s="9">
        <v>0.10865648896324956</v>
      </c>
      <c r="U202" s="9">
        <f t="array" ref="U202">MMULT(TRANSPOSE($B$3:$B$6),TRANSPOSE(P202:S202))</f>
        <v>8.9552553349211916E-2</v>
      </c>
      <c r="V202" s="9">
        <f>INT(200*U202)/200</f>
        <v>8.5000000000000006E-2</v>
      </c>
      <c r="W202" s="9">
        <f t="array" ref="W202">SQRT(MMULT(MMULT(P202:S202,$K$3:$N$6),TRANSPOSE(P202:S202)))</f>
        <v>7.7556595450830101E-2</v>
      </c>
      <c r="Y202" s="31">
        <f>U202/W202</f>
        <v>1.1546736009832601</v>
      </c>
      <c r="AA202" s="9">
        <f t="shared" si="19"/>
        <v>0.24489127485356091</v>
      </c>
      <c r="AB202" s="9">
        <f t="shared" si="20"/>
        <v>0.36637646373843274</v>
      </c>
      <c r="AC202" s="9">
        <f t="shared" si="21"/>
        <v>0.20809455037749897</v>
      </c>
      <c r="AD202" s="9">
        <f t="shared" si="22"/>
        <v>0.18063771103050735</v>
      </c>
      <c r="AE202" s="9"/>
      <c r="AF202" s="9">
        <f t="shared" si="23"/>
        <v>0.42911344180001304</v>
      </c>
      <c r="AG202" s="9">
        <f t="shared" si="24"/>
        <v>0.18578010516550197</v>
      </c>
      <c r="AH202" s="9">
        <f t="shared" si="25"/>
        <v>0.58426815879048188</v>
      </c>
      <c r="AI202" s="9">
        <f t="shared" si="26"/>
        <v>0.49220572558478976</v>
      </c>
    </row>
    <row r="203" spans="16:35" x14ac:dyDescent="0.3">
      <c r="P203" s="9">
        <v>0.18873026154257738</v>
      </c>
      <c r="Q203" s="9">
        <v>0.36041500738006688</v>
      </c>
      <c r="R203" s="9">
        <v>0.35789578263452376</v>
      </c>
      <c r="S203" s="9">
        <v>9.2958948442832062E-2</v>
      </c>
      <c r="U203" s="9">
        <f t="array" ref="U203">MMULT(TRANSPOSE($B$3:$B$6),TRANSPOSE(P203:S203))</f>
        <v>9.6140770382933602E-2</v>
      </c>
      <c r="V203" s="9">
        <f>INT(200*U203)/200</f>
        <v>9.5000000000000001E-2</v>
      </c>
      <c r="W203" s="9">
        <f t="array" ref="W203">SQRT(MMULT(MMULT(P203:S203,$K$3:$N$6),TRANSPOSE(P203:S203)))</f>
        <v>8.3297211957199913E-2</v>
      </c>
      <c r="Y203" s="31">
        <f>U203/W203</f>
        <v>1.1541895355673251</v>
      </c>
      <c r="AA203" s="9">
        <f t="shared" si="19"/>
        <v>0.24808143033687077</v>
      </c>
      <c r="AB203" s="9">
        <f t="shared" si="20"/>
        <v>0.35811523970290249</v>
      </c>
      <c r="AC203" s="9">
        <f t="shared" si="21"/>
        <v>0.22086229377157984</v>
      </c>
      <c r="AD203" s="9">
        <f t="shared" si="22"/>
        <v>0.17294103618864692</v>
      </c>
      <c r="AE203" s="9"/>
      <c r="AF203" s="9">
        <f t="shared" si="23"/>
        <v>0.40779773827433202</v>
      </c>
      <c r="AG203" s="9">
        <f t="shared" si="24"/>
        <v>0.1514532322802877</v>
      </c>
      <c r="AH203" s="9">
        <f t="shared" si="25"/>
        <v>0.528771340477873</v>
      </c>
      <c r="AI203" s="9">
        <f t="shared" si="26"/>
        <v>0.47826490750174361</v>
      </c>
    </row>
    <row r="204" spans="16:35" x14ac:dyDescent="0.3">
      <c r="P204" s="9">
        <v>0.27899163996994902</v>
      </c>
      <c r="Q204" s="9">
        <v>0.3234382356143638</v>
      </c>
      <c r="R204" s="9">
        <v>0.34812988421313584</v>
      </c>
      <c r="S204" s="9">
        <v>4.9440240202551416E-2</v>
      </c>
      <c r="U204" s="9">
        <f t="array" ref="U204">MMULT(TRANSPOSE($B$3:$B$6),TRANSPOSE(P204:S204))</f>
        <v>9.1035089019698229E-2</v>
      </c>
      <c r="V204" s="9">
        <f>INT(200*U204)/200</f>
        <v>0.09</v>
      </c>
      <c r="W204" s="9">
        <f t="array" ref="W204">SQRT(MMULT(MMULT(P204:S204,$K$3:$N$6),TRANSPOSE(P204:S204)))</f>
        <v>7.8902968029253076E-2</v>
      </c>
      <c r="Y204" s="31">
        <f>U204/W204</f>
        <v>1.1537600079371817</v>
      </c>
      <c r="AA204" s="9">
        <f t="shared" si="19"/>
        <v>0.26195959380424705</v>
      </c>
      <c r="AB204" s="9">
        <f t="shared" si="20"/>
        <v>0.34984523342773094</v>
      </c>
      <c r="AC204" s="9">
        <f t="shared" si="21"/>
        <v>0.22253275439272213</v>
      </c>
      <c r="AD204" s="9">
        <f t="shared" si="22"/>
        <v>0.16566241837529994</v>
      </c>
      <c r="AE204" s="9"/>
      <c r="AF204" s="9">
        <f t="shared" si="23"/>
        <v>0.43803665558456678</v>
      </c>
      <c r="AG204" s="9">
        <f t="shared" si="24"/>
        <v>0.16302205318568203</v>
      </c>
      <c r="AH204" s="9">
        <f t="shared" si="25"/>
        <v>0.51680043616753624</v>
      </c>
      <c r="AI204" s="9">
        <f t="shared" si="26"/>
        <v>0.47938952166263638</v>
      </c>
    </row>
    <row r="205" spans="16:35" x14ac:dyDescent="0.3">
      <c r="P205" s="9">
        <v>0.2976149670726505</v>
      </c>
      <c r="Q205" s="9">
        <v>0.30960990022559032</v>
      </c>
      <c r="R205" s="9">
        <v>0.24218020539744023</v>
      </c>
      <c r="S205" s="9">
        <v>0.15059492730431906</v>
      </c>
      <c r="U205" s="9">
        <f t="array" ref="U205">MMULT(TRANSPOSE($B$3:$B$6),TRANSPOSE(P205:S205))</f>
        <v>9.0191361006617135E-2</v>
      </c>
      <c r="V205" s="9">
        <f>INT(200*U205)/200</f>
        <v>0.09</v>
      </c>
      <c r="W205" s="9">
        <f t="array" ref="W205">SQRT(MMULT(MMULT(P205:S205,$K$3:$N$6),TRANSPOSE(P205:S205)))</f>
        <v>7.8193979412480616E-2</v>
      </c>
      <c r="Y205" s="31">
        <f>U205/W205</f>
        <v>1.1534310145650626</v>
      </c>
      <c r="AA205" s="9">
        <f t="shared" si="19"/>
        <v>0.25341550532691703</v>
      </c>
      <c r="AB205" s="9">
        <f t="shared" si="20"/>
        <v>0.35236766551639914</v>
      </c>
      <c r="AC205" s="9">
        <f t="shared" si="21"/>
        <v>0.22917746013382734</v>
      </c>
      <c r="AD205" s="9">
        <f t="shared" si="22"/>
        <v>0.16503936902285651</v>
      </c>
      <c r="AE205" s="9"/>
      <c r="AF205" s="9">
        <f t="shared" si="23"/>
        <v>0.43496949830675014</v>
      </c>
      <c r="AG205" s="9">
        <f t="shared" si="24"/>
        <v>0.1567183002380711</v>
      </c>
      <c r="AH205" s="9">
        <f t="shared" si="25"/>
        <v>0.49664999595263742</v>
      </c>
      <c r="AI205" s="9">
        <f t="shared" si="26"/>
        <v>0.48114433266229056</v>
      </c>
    </row>
    <row r="206" spans="16:35" x14ac:dyDescent="0.3">
      <c r="P206" s="9">
        <v>0.36294465169240731</v>
      </c>
      <c r="Q206" s="9">
        <v>0.28461763881763052</v>
      </c>
      <c r="R206" s="9">
        <v>0.20798293851480462</v>
      </c>
      <c r="S206" s="9">
        <v>0.14445477097515746</v>
      </c>
      <c r="U206" s="9">
        <f t="array" ref="U206">MMULT(TRANSPOSE($B$3:$B$6),TRANSPOSE(P206:S206))</f>
        <v>8.6643138674974779E-2</v>
      </c>
      <c r="V206" s="9">
        <f>INT(200*U206)/200</f>
        <v>8.5000000000000006E-2</v>
      </c>
      <c r="W206" s="9">
        <f t="array" ref="W206">SQRT(MMULT(MMULT(P206:S206,$K$3:$N$6),TRANSPOSE(P206:S206)))</f>
        <v>7.5134384070201204E-2</v>
      </c>
      <c r="Y206" s="31">
        <f>U206/W206</f>
        <v>1.1531756032500442</v>
      </c>
      <c r="AA206" s="9">
        <f t="shared" ref="AA206:AA269" si="27">AVERAGE(P196:P216)</f>
        <v>0.25425232489363847</v>
      </c>
      <c r="AB206" s="9">
        <f t="shared" ref="AB206:AB269" si="28">AVERAGE(Q196:Q216)</f>
        <v>0.3561130751435837</v>
      </c>
      <c r="AC206" s="9">
        <f t="shared" ref="AC206:AC269" si="29">AVERAGE(R196:R216)</f>
        <v>0.22007655116111777</v>
      </c>
      <c r="AD206" s="9">
        <f t="shared" ref="AD206:AD269" si="30">AVERAGE(S196:S216)</f>
        <v>0.16955804880166006</v>
      </c>
      <c r="AE206" s="9"/>
      <c r="AF206" s="9">
        <f t="shared" ref="AF206:AF269" si="31">STDEV(P196:P216)/AA206</f>
        <v>0.43410825728923236</v>
      </c>
      <c r="AG206" s="9">
        <f t="shared" ref="AG206:AG269" si="32">STDEV(Q196:Q216)/AB206</f>
        <v>0.15996877485436106</v>
      </c>
      <c r="AH206" s="9">
        <f t="shared" ref="AH206:AH269" si="33">STDEV(R196:R216)/AC206</f>
        <v>0.56166675407648226</v>
      </c>
      <c r="AI206" s="9">
        <f t="shared" ref="AI206:AI269" si="34">STDEV(S196:S216)/AD206</f>
        <v>0.49521862855053772</v>
      </c>
    </row>
    <row r="207" spans="16:35" x14ac:dyDescent="0.3">
      <c r="P207" s="9">
        <v>0.21180022011250202</v>
      </c>
      <c r="Q207" s="9">
        <v>0.39418787382040227</v>
      </c>
      <c r="R207" s="9">
        <v>0.12851515956799767</v>
      </c>
      <c r="S207" s="9">
        <v>0.26549674649909805</v>
      </c>
      <c r="U207" s="9">
        <f t="array" ref="U207">MMULT(TRANSPOSE($B$3:$B$6),TRANSPOSE(P207:S207))</f>
        <v>9.6841821685739002E-2</v>
      </c>
      <c r="V207" s="9">
        <f>INT(200*U207)/200</f>
        <v>9.5000000000000001E-2</v>
      </c>
      <c r="W207" s="9">
        <f t="array" ref="W207">SQRT(MMULT(MMULT(P207:S207,$K$3:$N$6),TRANSPOSE(P207:S207)))</f>
        <v>8.4012829162391403E-2</v>
      </c>
      <c r="Y207" s="31">
        <f>U207/W207</f>
        <v>1.152702779459432</v>
      </c>
      <c r="AA207" s="9">
        <f t="shared" si="27"/>
        <v>0.26831837802110786</v>
      </c>
      <c r="AB207" s="9">
        <f t="shared" si="28"/>
        <v>0.351110335108618</v>
      </c>
      <c r="AC207" s="9">
        <f t="shared" si="29"/>
        <v>0.21315999970112984</v>
      </c>
      <c r="AD207" s="9">
        <f t="shared" si="30"/>
        <v>0.16741128716914427</v>
      </c>
      <c r="AE207" s="9"/>
      <c r="AF207" s="9">
        <f t="shared" si="31"/>
        <v>0.45767451260072234</v>
      </c>
      <c r="AG207" s="9">
        <f t="shared" si="32"/>
        <v>0.17353522339933469</v>
      </c>
      <c r="AH207" s="9">
        <f t="shared" si="33"/>
        <v>0.59628606900508918</v>
      </c>
      <c r="AI207" s="9">
        <f t="shared" si="34"/>
        <v>0.50049686204122723</v>
      </c>
    </row>
    <row r="208" spans="16:35" x14ac:dyDescent="0.3">
      <c r="P208" s="9">
        <v>3.5421297365578024E-2</v>
      </c>
      <c r="Q208" s="9">
        <v>0.44359271984935783</v>
      </c>
      <c r="R208" s="9">
        <v>0.35329047931138541</v>
      </c>
      <c r="S208" s="9">
        <v>0.1676955034736787</v>
      </c>
      <c r="U208" s="9">
        <f t="array" ref="U208">MMULT(TRANSPOSE($B$3:$B$6),TRANSPOSE(P208:S208))</f>
        <v>0.10544575118783804</v>
      </c>
      <c r="V208" s="9">
        <f>INT(200*U208)/200</f>
        <v>0.105</v>
      </c>
      <c r="W208" s="9">
        <f t="array" ref="W208">SQRT(MMULT(MMULT(P208:S208,$K$3:$N$6),TRANSPOSE(P208:S208)))</f>
        <v>9.1482809554329941E-2</v>
      </c>
      <c r="Y208" s="31">
        <f>U208/W208</f>
        <v>1.1526291300139373</v>
      </c>
      <c r="AA208" s="9">
        <f t="shared" si="27"/>
        <v>0.26416930354846863</v>
      </c>
      <c r="AB208" s="9">
        <f t="shared" si="28"/>
        <v>0.35504517860313894</v>
      </c>
      <c r="AC208" s="9">
        <f t="shared" si="29"/>
        <v>0.20271935199497806</v>
      </c>
      <c r="AD208" s="9">
        <f t="shared" si="30"/>
        <v>0.17806616585341442</v>
      </c>
      <c r="AE208" s="9"/>
      <c r="AF208" s="9">
        <f t="shared" si="31"/>
        <v>0.46758419392615286</v>
      </c>
      <c r="AG208" s="9">
        <f t="shared" si="32"/>
        <v>0.17328280339041688</v>
      </c>
      <c r="AH208" s="9">
        <f t="shared" si="33"/>
        <v>0.61938712444431632</v>
      </c>
      <c r="AI208" s="9">
        <f t="shared" si="34"/>
        <v>0.46584364379072235</v>
      </c>
    </row>
    <row r="209" spans="16:35" x14ac:dyDescent="0.3">
      <c r="P209" s="9">
        <v>0.33362407642729958</v>
      </c>
      <c r="Q209" s="9">
        <v>0.29339503637073056</v>
      </c>
      <c r="R209" s="9">
        <v>0.28302711720848861</v>
      </c>
      <c r="S209" s="9">
        <v>8.9953769993481217E-2</v>
      </c>
      <c r="U209" s="9">
        <f t="array" ref="U209">MMULT(TRANSPOSE($B$3:$B$6),TRANSPOSE(P209:S209))</f>
        <v>8.7951496570194451E-2</v>
      </c>
      <c r="V209" s="9">
        <f>INT(200*U209)/200</f>
        <v>8.5000000000000006E-2</v>
      </c>
      <c r="W209" s="9">
        <f t="array" ref="W209">SQRT(MMULT(MMULT(P209:S209,$K$3:$N$6),TRANSPOSE(P209:S209)))</f>
        <v>7.6326137989992077E-2</v>
      </c>
      <c r="Y209" s="31">
        <f>U209/W209</f>
        <v>1.1523116311967296</v>
      </c>
      <c r="AA209" s="9">
        <f t="shared" si="27"/>
        <v>0.26661782534246486</v>
      </c>
      <c r="AB209" s="9">
        <f t="shared" si="28"/>
        <v>0.35115187577630086</v>
      </c>
      <c r="AC209" s="9">
        <f t="shared" si="29"/>
        <v>0.21066993927176808</v>
      </c>
      <c r="AD209" s="9">
        <f t="shared" si="30"/>
        <v>0.17156035960946628</v>
      </c>
      <c r="AE209" s="9"/>
      <c r="AF209" s="9">
        <f t="shared" si="31"/>
        <v>0.4747003580475036</v>
      </c>
      <c r="AG209" s="9">
        <f t="shared" si="32"/>
        <v>0.1857918909004366</v>
      </c>
      <c r="AH209" s="9">
        <f t="shared" si="33"/>
        <v>0.56880901157147179</v>
      </c>
      <c r="AI209" s="9">
        <f t="shared" si="34"/>
        <v>0.48642283762758148</v>
      </c>
    </row>
    <row r="210" spans="16:35" x14ac:dyDescent="0.3">
      <c r="P210" s="9">
        <v>0.20815061281890027</v>
      </c>
      <c r="Q210" s="9">
        <v>0.3521795223630878</v>
      </c>
      <c r="R210" s="9">
        <v>0.26117749069128504</v>
      </c>
      <c r="S210" s="9">
        <v>0.17849237412672692</v>
      </c>
      <c r="U210" s="9">
        <f t="array" ref="U210">MMULT(TRANSPOSE($B$3:$B$6),TRANSPOSE(P210:S210))</f>
        <v>9.5379470608697059E-2</v>
      </c>
      <c r="V210" s="9">
        <f>INT(200*U210)/200</f>
        <v>9.5000000000000001E-2</v>
      </c>
      <c r="W210" s="9">
        <f t="array" ref="W210">SQRT(MMULT(MMULT(P210:S210,$K$3:$N$6),TRANSPOSE(P210:S210)))</f>
        <v>8.2777338840096762E-2</v>
      </c>
      <c r="Y210" s="31">
        <f>U210/W210</f>
        <v>1.1522413252852231</v>
      </c>
      <c r="AA210" s="9">
        <f t="shared" si="27"/>
        <v>0.26280907037411783</v>
      </c>
      <c r="AB210" s="9">
        <f t="shared" si="28"/>
        <v>0.35279687015622113</v>
      </c>
      <c r="AC210" s="9">
        <f t="shared" si="29"/>
        <v>0.21229069826530131</v>
      </c>
      <c r="AD210" s="9">
        <f t="shared" si="30"/>
        <v>0.17210336120435979</v>
      </c>
      <c r="AE210" s="9"/>
      <c r="AF210" s="9">
        <f t="shared" si="31"/>
        <v>0.50195121895285033</v>
      </c>
      <c r="AG210" s="9">
        <f t="shared" si="32"/>
        <v>0.19029605742747893</v>
      </c>
      <c r="AH210" s="9">
        <f t="shared" si="33"/>
        <v>0.58128731282454893</v>
      </c>
      <c r="AI210" s="9">
        <f t="shared" si="34"/>
        <v>0.47870419251215268</v>
      </c>
    </row>
    <row r="211" spans="16:35" x14ac:dyDescent="0.3">
      <c r="P211" s="9">
        <v>4.0746396412335115E-2</v>
      </c>
      <c r="Q211" s="9">
        <v>0.49100473113933774</v>
      </c>
      <c r="R211" s="9">
        <v>0.18087017412877832</v>
      </c>
      <c r="S211" s="9">
        <v>0.28737869831954888</v>
      </c>
      <c r="U211" s="9">
        <f t="array" ref="U211">MMULT(TRANSPOSE($B$3:$B$6),TRANSPOSE(P211:S211))</f>
        <v>0.10712370111947277</v>
      </c>
      <c r="V211" s="9">
        <f>INT(200*U211)/200</f>
        <v>0.105</v>
      </c>
      <c r="W211" s="9">
        <f t="array" ref="W211">SQRT(MMULT(MMULT(P211:S211,$K$3:$N$6),TRANSPOSE(P211:S211)))</f>
        <v>9.300402794849004E-2</v>
      </c>
      <c r="Y211" s="31">
        <f>U211/W211</f>
        <v>1.1518178672734782</v>
      </c>
      <c r="AA211" s="9">
        <f t="shared" si="27"/>
        <v>0.26459158153958501</v>
      </c>
      <c r="AB211" s="9">
        <f t="shared" si="28"/>
        <v>0.34968782752112737</v>
      </c>
      <c r="AC211" s="9">
        <f t="shared" si="29"/>
        <v>0.21970183478511882</v>
      </c>
      <c r="AD211" s="9">
        <f t="shared" si="30"/>
        <v>0.16601875615416875</v>
      </c>
      <c r="AE211" s="9"/>
      <c r="AF211" s="9">
        <f t="shared" si="31"/>
        <v>0.50301497512463278</v>
      </c>
      <c r="AG211" s="9">
        <f t="shared" si="32"/>
        <v>0.19797573213572872</v>
      </c>
      <c r="AH211" s="9">
        <f t="shared" si="33"/>
        <v>0.54851130437769102</v>
      </c>
      <c r="AI211" s="9">
        <f t="shared" si="34"/>
        <v>0.49353188939972725</v>
      </c>
    </row>
    <row r="212" spans="16:35" x14ac:dyDescent="0.3">
      <c r="P212" s="9">
        <v>0.23364766252790942</v>
      </c>
      <c r="Q212" s="9">
        <v>0.40019194634396305</v>
      </c>
      <c r="R212" s="9">
        <v>8.7885642315679344E-2</v>
      </c>
      <c r="S212" s="9">
        <v>0.27827474881244812</v>
      </c>
      <c r="U212" s="9">
        <f t="array" ref="U212">MMULT(TRANSPOSE($B$3:$B$6),TRANSPOSE(P212:S212))</f>
        <v>9.6153407061780702E-2</v>
      </c>
      <c r="V212" s="9">
        <f>INT(200*U212)/200</f>
        <v>9.5000000000000001E-2</v>
      </c>
      <c r="W212" s="9">
        <f t="array" ref="W212">SQRT(MMULT(MMULT(P212:S212,$K$3:$N$6),TRANSPOSE(P212:S212)))</f>
        <v>8.3480378467402999E-2</v>
      </c>
      <c r="Y212" s="31">
        <f>U212/W212</f>
        <v>1.1518084707692862</v>
      </c>
      <c r="AA212" s="9">
        <f t="shared" si="27"/>
        <v>0.26359001698331841</v>
      </c>
      <c r="AB212" s="9">
        <f t="shared" si="28"/>
        <v>0.34900820045106479</v>
      </c>
      <c r="AC212" s="9">
        <f t="shared" si="29"/>
        <v>0.22121595043063319</v>
      </c>
      <c r="AD212" s="9">
        <f t="shared" si="30"/>
        <v>0.16618583213498367</v>
      </c>
      <c r="AE212" s="9"/>
      <c r="AF212" s="9">
        <f t="shared" si="31"/>
        <v>0.50336311275026935</v>
      </c>
      <c r="AG212" s="9">
        <f t="shared" si="32"/>
        <v>0.19782918483568146</v>
      </c>
      <c r="AH212" s="9">
        <f t="shared" si="33"/>
        <v>0.53447561152415346</v>
      </c>
      <c r="AI212" s="9">
        <f t="shared" si="34"/>
        <v>0.49433161408449988</v>
      </c>
    </row>
    <row r="213" spans="16:35" x14ac:dyDescent="0.3">
      <c r="P213" s="9">
        <v>0.15932531558566951</v>
      </c>
      <c r="Q213" s="9">
        <v>0.3729852282779656</v>
      </c>
      <c r="R213" s="9">
        <v>0.30588974801835173</v>
      </c>
      <c r="S213" s="9">
        <v>0.16179970811801317</v>
      </c>
      <c r="U213" s="9">
        <f t="array" ref="U213">MMULT(TRANSPOSE($B$3:$B$6),TRANSPOSE(P213:S213))</f>
        <v>9.8019515332764817E-2</v>
      </c>
      <c r="V213" s="9">
        <f>INT(200*U213)/200</f>
        <v>9.5000000000000001E-2</v>
      </c>
      <c r="W213" s="9">
        <f t="array" ref="W213">SQRT(MMULT(MMULT(P213:S213,$K$3:$N$6),TRANSPOSE(P213:S213)))</f>
        <v>8.5132994814909338E-2</v>
      </c>
      <c r="Y213" s="31">
        <f>U213/W213</f>
        <v>1.1513692845632004</v>
      </c>
      <c r="AA213" s="9">
        <f t="shared" si="27"/>
        <v>0.25604675315466502</v>
      </c>
      <c r="AB213" s="9">
        <f t="shared" si="28"/>
        <v>0.35215270809273941</v>
      </c>
      <c r="AC213" s="9">
        <f t="shared" si="29"/>
        <v>0.22494995451898128</v>
      </c>
      <c r="AD213" s="9">
        <f t="shared" si="30"/>
        <v>0.16685058423361432</v>
      </c>
      <c r="AE213" s="9"/>
      <c r="AF213" s="9">
        <f t="shared" si="31"/>
        <v>0.52583127573667698</v>
      </c>
      <c r="AG213" s="9">
        <f t="shared" si="32"/>
        <v>0.19439628597820519</v>
      </c>
      <c r="AH213" s="9">
        <f t="shared" si="33"/>
        <v>0.53958517775287573</v>
      </c>
      <c r="AI213" s="9">
        <f t="shared" si="34"/>
        <v>0.4897642611441454</v>
      </c>
    </row>
    <row r="214" spans="16:35" x14ac:dyDescent="0.3">
      <c r="P214" s="9">
        <v>0.50135527953852621</v>
      </c>
      <c r="Q214" s="9">
        <v>0.24923907112322191</v>
      </c>
      <c r="R214" s="9">
        <v>0.12158157635239118</v>
      </c>
      <c r="S214" s="9">
        <v>0.12782407298586071</v>
      </c>
      <c r="U214" s="9">
        <f t="array" ref="U214">MMULT(TRANSPOSE($B$3:$B$6),TRANSPOSE(P214:S214))</f>
        <v>7.9655864993206246E-2</v>
      </c>
      <c r="V214" s="9">
        <f>INT(200*U214)/200</f>
        <v>7.4999999999999997E-2</v>
      </c>
      <c r="W214" s="9">
        <f t="array" ref="W214">SQRT(MMULT(MMULT(P214:S214,$K$3:$N$6),TRANSPOSE(P214:S214)))</f>
        <v>6.9255117002372316E-2</v>
      </c>
      <c r="Y214" s="31">
        <f>U214/W214</f>
        <v>1.1501802096511895</v>
      </c>
      <c r="AA214" s="9">
        <f t="shared" si="27"/>
        <v>0.24707082479959763</v>
      </c>
      <c r="AB214" s="9">
        <f t="shared" si="28"/>
        <v>0.35667226170238137</v>
      </c>
      <c r="AC214" s="9">
        <f t="shared" si="29"/>
        <v>0.22843234575920654</v>
      </c>
      <c r="AD214" s="9">
        <f t="shared" si="30"/>
        <v>0.16782456773881435</v>
      </c>
      <c r="AE214" s="9"/>
      <c r="AF214" s="9">
        <f t="shared" si="31"/>
        <v>0.58775512703311916</v>
      </c>
      <c r="AG214" s="9">
        <f t="shared" si="32"/>
        <v>0.20205587180785917</v>
      </c>
      <c r="AH214" s="9">
        <f t="shared" si="33"/>
        <v>0.55304164496112618</v>
      </c>
      <c r="AI214" s="9">
        <f t="shared" si="34"/>
        <v>0.48211427038445986</v>
      </c>
    </row>
    <row r="215" spans="16:35" x14ac:dyDescent="0.3">
      <c r="P215" s="9">
        <v>0.22464795793285514</v>
      </c>
      <c r="Q215" s="9">
        <v>0.33923436284837188</v>
      </c>
      <c r="R215" s="9">
        <v>0.27620776167503025</v>
      </c>
      <c r="S215" s="9">
        <v>0.15990991754374267</v>
      </c>
      <c r="U215" s="9">
        <f t="array" ref="U215">MMULT(TRANSPOSE($B$3:$B$6),TRANSPOSE(P215:S215))</f>
        <v>9.4216235458697867E-2</v>
      </c>
      <c r="V215" s="9">
        <f>INT(200*U215)/200</f>
        <v>0.09</v>
      </c>
      <c r="W215" s="9">
        <f t="array" ref="W215">SQRT(MMULT(MMULT(P215:S215,$K$3:$N$6),TRANSPOSE(P215:S215)))</f>
        <v>8.1942075421195387E-2</v>
      </c>
      <c r="Y215" s="31">
        <f>U215/W215</f>
        <v>1.1497906902456563</v>
      </c>
      <c r="AA215" s="9">
        <f t="shared" si="27"/>
        <v>0.25458439353853196</v>
      </c>
      <c r="AB215" s="9">
        <f t="shared" si="28"/>
        <v>0.353227990802991</v>
      </c>
      <c r="AC215" s="9">
        <f t="shared" si="29"/>
        <v>0.22243943558483309</v>
      </c>
      <c r="AD215" s="9">
        <f t="shared" si="30"/>
        <v>0.16974818007364398</v>
      </c>
      <c r="AE215" s="9"/>
      <c r="AF215" s="9">
        <f t="shared" si="31"/>
        <v>0.59281403825804901</v>
      </c>
      <c r="AG215" s="9">
        <f t="shared" si="32"/>
        <v>0.21342420736849002</v>
      </c>
      <c r="AH215" s="9">
        <f t="shared" si="33"/>
        <v>0.55439647675153692</v>
      </c>
      <c r="AI215" s="9">
        <f t="shared" si="34"/>
        <v>0.46183997941026456</v>
      </c>
    </row>
    <row r="216" spans="16:35" x14ac:dyDescent="0.3">
      <c r="P216" s="9">
        <v>0.28082506138510754</v>
      </c>
      <c r="Q216" s="9">
        <v>0.41845041480359679</v>
      </c>
      <c r="R216" s="9">
        <v>7.4607191970349164E-3</v>
      </c>
      <c r="S216" s="9">
        <v>0.29326380461426071</v>
      </c>
      <c r="U216" s="9">
        <f t="array" ref="U216">MMULT(TRANSPOSE($B$3:$B$6),TRANSPOSE(P216:S216))</f>
        <v>9.4784592084260308E-2</v>
      </c>
      <c r="V216" s="9">
        <f>INT(200*U216)/200</f>
        <v>0.09</v>
      </c>
      <c r="W216" s="9">
        <f t="array" ref="W216">SQRT(MMULT(MMULT(P216:S216,$K$3:$N$6),TRANSPOSE(P216:S216)))</f>
        <v>8.246026711368902E-2</v>
      </c>
      <c r="Y216" s="31">
        <f>U216/W216</f>
        <v>1.1494577376711572</v>
      </c>
      <c r="AA216" s="9">
        <f t="shared" si="27"/>
        <v>0.2590939215112969</v>
      </c>
      <c r="AB216" s="9">
        <f t="shared" si="28"/>
        <v>0.35374096626703122</v>
      </c>
      <c r="AC216" s="9">
        <f t="shared" si="29"/>
        <v>0.21281790256045069</v>
      </c>
      <c r="AD216" s="9">
        <f t="shared" si="30"/>
        <v>0.17434720966122133</v>
      </c>
      <c r="AE216" s="9"/>
      <c r="AF216" s="9">
        <f t="shared" si="31"/>
        <v>0.59307138947959726</v>
      </c>
      <c r="AG216" s="9">
        <f t="shared" si="32"/>
        <v>0.21233591289695924</v>
      </c>
      <c r="AH216" s="9">
        <f t="shared" si="33"/>
        <v>0.60818692894152182</v>
      </c>
      <c r="AI216" s="9">
        <f t="shared" si="34"/>
        <v>0.45904092392700152</v>
      </c>
    </row>
    <row r="217" spans="16:35" x14ac:dyDescent="0.3">
      <c r="P217" s="9">
        <v>0.50709568848191922</v>
      </c>
      <c r="Q217" s="9">
        <v>0.25660918909192698</v>
      </c>
      <c r="R217" s="9">
        <v>8.3672702811761215E-2</v>
      </c>
      <c r="S217" s="9">
        <v>0.15262241961439255</v>
      </c>
      <c r="U217" s="9">
        <f t="array" ref="U217">MMULT(TRANSPOSE($B$3:$B$6),TRANSPOSE(P217:S217))</f>
        <v>7.9732255416226375E-2</v>
      </c>
      <c r="V217" s="9">
        <f>INT(200*U217)/200</f>
        <v>7.4999999999999997E-2</v>
      </c>
      <c r="W217" s="9">
        <f t="array" ref="W217">SQRT(MMULT(MMULT(P217:S217,$K$3:$N$6),TRANSPOSE(P217:S217)))</f>
        <v>6.9422499971437179E-2</v>
      </c>
      <c r="Y217" s="31">
        <f>U217/W217</f>
        <v>1.148507406806597</v>
      </c>
      <c r="AA217" s="9">
        <f t="shared" si="27"/>
        <v>0.24998322035138132</v>
      </c>
      <c r="AB217" s="9">
        <f t="shared" si="28"/>
        <v>0.35714689771497554</v>
      </c>
      <c r="AC217" s="9">
        <f t="shared" si="29"/>
        <v>0.217568007875307</v>
      </c>
      <c r="AD217" s="9">
        <f t="shared" si="30"/>
        <v>0.17530187405833622</v>
      </c>
      <c r="AE217" s="9"/>
      <c r="AF217" s="9">
        <f t="shared" si="31"/>
        <v>0.61150411617763656</v>
      </c>
      <c r="AG217" s="9">
        <f t="shared" si="32"/>
        <v>0.20558337897719053</v>
      </c>
      <c r="AH217" s="9">
        <f t="shared" si="33"/>
        <v>0.60241789960257486</v>
      </c>
      <c r="AI217" s="9">
        <f t="shared" si="34"/>
        <v>0.45508508667664871</v>
      </c>
    </row>
    <row r="218" spans="16:35" x14ac:dyDescent="0.3">
      <c r="P218" s="9">
        <v>0.20235455426962867</v>
      </c>
      <c r="Q218" s="9">
        <v>0.40318453668356707</v>
      </c>
      <c r="R218" s="9">
        <v>0.11608946393387412</v>
      </c>
      <c r="S218" s="9">
        <v>0.27837144511293016</v>
      </c>
      <c r="U218" s="9">
        <f t="array" ref="U218">MMULT(TRANSPOSE($B$3:$B$6),TRANSPOSE(P218:S218))</f>
        <v>9.7564994539141622E-2</v>
      </c>
      <c r="V218" s="9">
        <f>INT(200*U218)/200</f>
        <v>9.5000000000000001E-2</v>
      </c>
      <c r="W218" s="9">
        <f t="array" ref="W218">SQRT(MMULT(MMULT(P218:S218,$K$3:$N$6),TRANSPOSE(P218:S218)))</f>
        <v>8.4983648097221379E-2</v>
      </c>
      <c r="Y218" s="31">
        <f>U218/W218</f>
        <v>1.1480443205677304</v>
      </c>
      <c r="AA218" s="9">
        <f t="shared" si="27"/>
        <v>0.24821411284168513</v>
      </c>
      <c r="AB218" s="9">
        <f t="shared" si="28"/>
        <v>0.35714290739017746</v>
      </c>
      <c r="AC218" s="9">
        <f t="shared" si="29"/>
        <v>0.21901766906237335</v>
      </c>
      <c r="AD218" s="9">
        <f t="shared" si="30"/>
        <v>0.17562531070576407</v>
      </c>
      <c r="AE218" s="9"/>
      <c r="AF218" s="9">
        <f t="shared" si="31"/>
        <v>0.61859184571873971</v>
      </c>
      <c r="AG218" s="9">
        <f t="shared" si="32"/>
        <v>0.20557976384917637</v>
      </c>
      <c r="AH218" s="9">
        <f t="shared" si="33"/>
        <v>0.59446402374277507</v>
      </c>
      <c r="AI218" s="9">
        <f t="shared" si="34"/>
        <v>0.45650599033763362</v>
      </c>
    </row>
    <row r="219" spans="16:35" x14ac:dyDescent="0.3">
      <c r="P219" s="9">
        <v>0.4390650199502199</v>
      </c>
      <c r="Q219" s="9">
        <v>0.25457366536818049</v>
      </c>
      <c r="R219" s="9">
        <v>0.20594748847249442</v>
      </c>
      <c r="S219" s="9">
        <v>0.10041382620910519</v>
      </c>
      <c r="U219" s="9">
        <f t="array" ref="U219">MMULT(TRANSPOSE($B$3:$B$6),TRANSPOSE(P219:S219))</f>
        <v>8.2345842752457599E-2</v>
      </c>
      <c r="V219" s="9">
        <f>INT(200*U219)/200</f>
        <v>0.08</v>
      </c>
      <c r="W219" s="9">
        <f t="array" ref="W219">SQRT(MMULT(MMULT(P219:S219,$K$3:$N$6),TRANSPOSE(P219:S219)))</f>
        <v>7.1742432136565587E-2</v>
      </c>
      <c r="Y219" s="31">
        <f>U219/W219</f>
        <v>1.1477983154475144</v>
      </c>
      <c r="AA219" s="9">
        <f t="shared" si="27"/>
        <v>0.26444426203476162</v>
      </c>
      <c r="AB219" s="9">
        <f t="shared" si="28"/>
        <v>0.34896472819134072</v>
      </c>
      <c r="AC219" s="9">
        <f t="shared" si="29"/>
        <v>0.21090940498205654</v>
      </c>
      <c r="AD219" s="9">
        <f t="shared" si="30"/>
        <v>0.17568160479184111</v>
      </c>
      <c r="AE219" s="9"/>
      <c r="AF219" s="9">
        <f t="shared" si="31"/>
        <v>0.55903292812562499</v>
      </c>
      <c r="AG219" s="9">
        <f t="shared" si="32"/>
        <v>0.20882728057988831</v>
      </c>
      <c r="AH219" s="9">
        <f t="shared" si="33"/>
        <v>0.60060038290121731</v>
      </c>
      <c r="AI219" s="9">
        <f t="shared" si="34"/>
        <v>0.45632879455160424</v>
      </c>
    </row>
    <row r="220" spans="16:35" x14ac:dyDescent="0.3">
      <c r="P220" s="9">
        <v>5.1706134584043065E-2</v>
      </c>
      <c r="Q220" s="9">
        <v>0.44185161480452928</v>
      </c>
      <c r="R220" s="9">
        <v>0.48368953973552042</v>
      </c>
      <c r="S220" s="9">
        <v>2.27527108759072E-2</v>
      </c>
      <c r="U220" s="9">
        <f t="array" ref="U220">MMULT(TRANSPOSE($B$3:$B$6),TRANSPOSE(P220:S220))</f>
        <v>0.10417739180768255</v>
      </c>
      <c r="V220" s="9">
        <f>INT(200*U220)/200</f>
        <v>0.1</v>
      </c>
      <c r="W220" s="9">
        <f t="array" ref="W220">SQRT(MMULT(MMULT(P220:S220,$K$3:$N$6),TRANSPOSE(P220:S220)))</f>
        <v>9.0873436631393481E-2</v>
      </c>
      <c r="Y220" s="31">
        <f>U220/W220</f>
        <v>1.1464009249507467</v>
      </c>
      <c r="AA220" s="9">
        <f t="shared" si="27"/>
        <v>0.25543254835396062</v>
      </c>
      <c r="AB220" s="9">
        <f t="shared" si="28"/>
        <v>0.35312518345821214</v>
      </c>
      <c r="AC220" s="9">
        <f t="shared" si="29"/>
        <v>0.2094551208991827</v>
      </c>
      <c r="AD220" s="9">
        <f t="shared" si="30"/>
        <v>0.18198714728864454</v>
      </c>
      <c r="AE220" s="9"/>
      <c r="AF220" s="9">
        <f t="shared" si="31"/>
        <v>0.58397866415889021</v>
      </c>
      <c r="AG220" s="9">
        <f t="shared" si="32"/>
        <v>0.20398243306340971</v>
      </c>
      <c r="AH220" s="9">
        <f t="shared" si="33"/>
        <v>0.60144773846178134</v>
      </c>
      <c r="AI220" s="9">
        <f t="shared" si="34"/>
        <v>0.43010594418276882</v>
      </c>
    </row>
    <row r="221" spans="16:35" x14ac:dyDescent="0.3">
      <c r="P221" s="9">
        <v>0.36568721638879198</v>
      </c>
      <c r="Q221" s="9">
        <v>0.27486489879275405</v>
      </c>
      <c r="R221" s="9">
        <v>0.248474628057617</v>
      </c>
      <c r="S221" s="9">
        <v>0.11097325676083704</v>
      </c>
      <c r="U221" s="9">
        <f t="array" ref="U221">MMULT(TRANSPOSE($B$3:$B$6),TRANSPOSE(P221:S221))</f>
        <v>8.6103948734570335E-2</v>
      </c>
      <c r="V221" s="9">
        <f>INT(200*U221)/200</f>
        <v>8.5000000000000006E-2</v>
      </c>
      <c r="W221" s="9">
        <f t="array" ref="W221">SQRT(MMULT(MMULT(P221:S221,$K$3:$N$6),TRANSPOSE(P221:S221)))</f>
        <v>7.5185256929437089E-2</v>
      </c>
      <c r="Y221" s="31">
        <f>U221/W221</f>
        <v>1.1452238410966749</v>
      </c>
      <c r="AA221" s="9">
        <f t="shared" si="27"/>
        <v>0.2514364634896446</v>
      </c>
      <c r="AB221" s="9">
        <f t="shared" si="28"/>
        <v>0.35622400181243347</v>
      </c>
      <c r="AC221" s="9">
        <f t="shared" si="29"/>
        <v>0.20574069533875305</v>
      </c>
      <c r="AD221" s="9">
        <f t="shared" si="30"/>
        <v>0.18659883935916888</v>
      </c>
      <c r="AE221" s="9"/>
      <c r="AF221" s="9">
        <f t="shared" si="31"/>
        <v>0.60294090924987209</v>
      </c>
      <c r="AG221" s="9">
        <f t="shared" si="32"/>
        <v>0.20598233030574314</v>
      </c>
      <c r="AH221" s="9">
        <f t="shared" si="33"/>
        <v>0.61010860289846003</v>
      </c>
      <c r="AI221" s="9">
        <f t="shared" si="34"/>
        <v>0.43337636900374887</v>
      </c>
    </row>
    <row r="222" spans="16:35" x14ac:dyDescent="0.3">
      <c r="P222" s="9">
        <v>0.30564004201404105</v>
      </c>
      <c r="Q222" s="9">
        <v>0.36020278941861722</v>
      </c>
      <c r="R222" s="9">
        <v>6.5583072680824889E-2</v>
      </c>
      <c r="S222" s="9">
        <v>0.26857409588651698</v>
      </c>
      <c r="U222" s="9">
        <f t="array" ref="U222">MMULT(TRANSPOSE($B$3:$B$6),TRANSPOSE(P222:S222))</f>
        <v>9.1847686562347305E-2</v>
      </c>
      <c r="V222" s="9">
        <f>INT(200*U222)/200</f>
        <v>0.09</v>
      </c>
      <c r="W222" s="9">
        <f t="array" ref="W222">SQRT(MMULT(MMULT(P222:S222,$K$3:$N$6),TRANSPOSE(P222:S222)))</f>
        <v>8.0250999267612713E-2</v>
      </c>
      <c r="Y222" s="31">
        <f>U222/W222</f>
        <v>1.144505207418828</v>
      </c>
      <c r="AA222" s="9">
        <f t="shared" si="27"/>
        <v>0.26645126747270786</v>
      </c>
      <c r="AB222" s="9">
        <f t="shared" si="28"/>
        <v>0.34585448627706539</v>
      </c>
      <c r="AC222" s="9">
        <f t="shared" si="29"/>
        <v>0.21039379059657287</v>
      </c>
      <c r="AD222" s="9">
        <f t="shared" si="30"/>
        <v>0.17730045565365402</v>
      </c>
      <c r="AE222" s="9"/>
      <c r="AF222" s="9">
        <f t="shared" si="31"/>
        <v>0.54482342468911504</v>
      </c>
      <c r="AG222" s="9">
        <f t="shared" si="32"/>
        <v>0.19837326202202438</v>
      </c>
      <c r="AH222" s="9">
        <f t="shared" si="33"/>
        <v>0.600609170455638</v>
      </c>
      <c r="AI222" s="9">
        <f t="shared" si="34"/>
        <v>0.45076452371954351</v>
      </c>
    </row>
    <row r="223" spans="16:35" x14ac:dyDescent="0.3">
      <c r="P223" s="9">
        <v>0.14760776017505522</v>
      </c>
      <c r="Q223" s="9">
        <v>0.37137848681026453</v>
      </c>
      <c r="R223" s="9">
        <v>0.3583974699801874</v>
      </c>
      <c r="S223" s="9">
        <v>0.12261628303449298</v>
      </c>
      <c r="U223" s="9">
        <f t="array" ref="U223">MMULT(TRANSPOSE($B$3:$B$6),TRANSPOSE(P223:S223))</f>
        <v>9.8320796001598584E-2</v>
      </c>
      <c r="V223" s="9">
        <f>INT(200*U223)/200</f>
        <v>9.5000000000000001E-2</v>
      </c>
      <c r="W223" s="9">
        <f t="array" ref="W223">SQRT(MMULT(MMULT(P223:S223,$K$3:$N$6),TRANSPOSE(P223:S223)))</f>
        <v>8.5937812911684563E-2</v>
      </c>
      <c r="Y223" s="31">
        <f>U223/W223</f>
        <v>1.1440923694746525</v>
      </c>
      <c r="AA223" s="9">
        <f t="shared" si="27"/>
        <v>0.27066247129977378</v>
      </c>
      <c r="AB223" s="9">
        <f t="shared" si="28"/>
        <v>0.3404789106690605</v>
      </c>
      <c r="AC223" s="9">
        <f t="shared" si="29"/>
        <v>0.21680269944879896</v>
      </c>
      <c r="AD223" s="9">
        <f t="shared" si="30"/>
        <v>0.17205591858236688</v>
      </c>
      <c r="AE223" s="9"/>
      <c r="AF223" s="9">
        <f t="shared" si="31"/>
        <v>0.537393103441697</v>
      </c>
      <c r="AG223" s="9">
        <f t="shared" si="32"/>
        <v>0.20136462907311417</v>
      </c>
      <c r="AH223" s="9">
        <f t="shared" si="33"/>
        <v>0.56832387089083825</v>
      </c>
      <c r="AI223" s="9">
        <f t="shared" si="34"/>
        <v>0.44464577864682292</v>
      </c>
    </row>
    <row r="224" spans="16:35" x14ac:dyDescent="0.3">
      <c r="P224" s="9">
        <v>2.3576608616293352E-4</v>
      </c>
      <c r="Q224" s="9">
        <v>0.45532563318254898</v>
      </c>
      <c r="R224" s="9">
        <v>0.43102599867925578</v>
      </c>
      <c r="S224" s="9">
        <v>0.11341260205203235</v>
      </c>
      <c r="U224" s="9">
        <f t="array" ref="U224">MMULT(TRANSPOSE($B$3:$B$6),TRANSPOSE(P224:S224))</f>
        <v>0.10709344823895307</v>
      </c>
      <c r="V224" s="9">
        <f>INT(200*U224)/200</f>
        <v>0.105</v>
      </c>
      <c r="W224" s="9">
        <f t="array" ref="W224">SQRT(MMULT(MMULT(P224:S224,$K$3:$N$6),TRANSPOSE(P224:S224)))</f>
        <v>9.3618610129870466E-2</v>
      </c>
      <c r="Y224" s="31">
        <f>U224/W224</f>
        <v>1.1439333278969845</v>
      </c>
      <c r="AA224" s="9">
        <f t="shared" si="27"/>
        <v>0.2853864745249422</v>
      </c>
      <c r="AB224" s="9">
        <f t="shared" si="28"/>
        <v>0.33412773537324331</v>
      </c>
      <c r="AC224" s="9">
        <f t="shared" si="29"/>
        <v>0.21009171336553306</v>
      </c>
      <c r="AD224" s="9">
        <f t="shared" si="30"/>
        <v>0.17039407673628151</v>
      </c>
      <c r="AE224" s="9"/>
      <c r="AF224" s="9">
        <f t="shared" si="31"/>
        <v>0.52286814512385649</v>
      </c>
      <c r="AG224" s="9">
        <f t="shared" si="32"/>
        <v>0.21402797483457089</v>
      </c>
      <c r="AH224" s="9">
        <f t="shared" si="33"/>
        <v>0.58046464578495272</v>
      </c>
      <c r="AI224" s="9">
        <f t="shared" si="34"/>
        <v>0.45256543563377155</v>
      </c>
    </row>
    <row r="225" spans="16:35" x14ac:dyDescent="0.3">
      <c r="P225" s="9">
        <v>0.43677658348756909</v>
      </c>
      <c r="Q225" s="9">
        <v>0.25110854672716515</v>
      </c>
      <c r="R225" s="9">
        <v>0.22227877055129214</v>
      </c>
      <c r="S225" s="9">
        <v>8.9836099233973676E-2</v>
      </c>
      <c r="U225" s="9">
        <f t="array" ref="U225">MMULT(TRANSPOSE($B$3:$B$6),TRANSPOSE(P225:S225))</f>
        <v>8.2296571731113682E-2</v>
      </c>
      <c r="V225" s="9">
        <f>INT(200*U225)/200</f>
        <v>0.08</v>
      </c>
      <c r="W225" s="9">
        <f t="array" ref="W225">SQRT(MMULT(MMULT(P225:S225,$K$3:$N$6),TRANSPOSE(P225:S225)))</f>
        <v>7.2037025328960266E-2</v>
      </c>
      <c r="Y225" s="31">
        <f>U225/W225</f>
        <v>1.142420461634871</v>
      </c>
      <c r="AA225" s="9">
        <f t="shared" si="27"/>
        <v>0.27831120626797584</v>
      </c>
      <c r="AB225" s="9">
        <f t="shared" si="28"/>
        <v>0.33832691529015324</v>
      </c>
      <c r="AC225" s="9">
        <f t="shared" si="29"/>
        <v>0.20636668658519802</v>
      </c>
      <c r="AD225" s="9">
        <f t="shared" si="30"/>
        <v>0.17699519185667303</v>
      </c>
      <c r="AE225" s="9"/>
      <c r="AF225" s="9">
        <f t="shared" si="31"/>
        <v>0.50952169900214395</v>
      </c>
      <c r="AG225" s="9">
        <f t="shared" si="32"/>
        <v>0.20340402600765004</v>
      </c>
      <c r="AH225" s="9">
        <f t="shared" si="33"/>
        <v>0.61017450195960699</v>
      </c>
      <c r="AI225" s="9">
        <f t="shared" si="34"/>
        <v>0.44743235100947798</v>
      </c>
    </row>
    <row r="226" spans="16:35" x14ac:dyDescent="0.3">
      <c r="P226" s="9">
        <v>0.39231505450071275</v>
      </c>
      <c r="Q226" s="9">
        <v>0.32038238497043453</v>
      </c>
      <c r="R226" s="9">
        <v>4.012801188540948E-2</v>
      </c>
      <c r="S226" s="9">
        <v>0.24717454864344326</v>
      </c>
      <c r="U226" s="9">
        <f t="array" ref="U226">MMULT(TRANSPOSE($B$3:$B$6),TRANSPOSE(P226:S226))</f>
        <v>8.6885818095723863E-2</v>
      </c>
      <c r="V226" s="9">
        <f>INT(200*U226)/200</f>
        <v>8.5000000000000006E-2</v>
      </c>
      <c r="W226" s="9">
        <f t="array" ref="W226">SQRT(MMULT(MMULT(P226:S226,$K$3:$N$6),TRANSPOSE(P226:S226)))</f>
        <v>7.6226015353559023E-2</v>
      </c>
      <c r="Y226" s="31">
        <f>U226/W226</f>
        <v>1.1398446802278919</v>
      </c>
      <c r="AA226" s="9">
        <f t="shared" si="27"/>
        <v>0.28519407397942947</v>
      </c>
      <c r="AB226" s="9">
        <f t="shared" si="28"/>
        <v>0.33482101304430945</v>
      </c>
      <c r="AC226" s="9">
        <f t="shared" si="29"/>
        <v>0.20438214020850196</v>
      </c>
      <c r="AD226" s="9">
        <f t="shared" si="30"/>
        <v>0.17560277276775921</v>
      </c>
      <c r="AE226" s="9"/>
      <c r="AF226" s="9">
        <f t="shared" si="31"/>
        <v>0.49992763166616977</v>
      </c>
      <c r="AG226" s="9">
        <f t="shared" si="32"/>
        <v>0.21091951318750007</v>
      </c>
      <c r="AH226" s="9">
        <f t="shared" si="33"/>
        <v>0.61203784717421139</v>
      </c>
      <c r="AI226" s="9">
        <f t="shared" si="34"/>
        <v>0.45422862580638179</v>
      </c>
    </row>
    <row r="227" spans="16:35" x14ac:dyDescent="0.3">
      <c r="P227" s="9">
        <v>0.17161992733418141</v>
      </c>
      <c r="Q227" s="9">
        <v>0.35614219922446072</v>
      </c>
      <c r="R227" s="9">
        <v>0.30773515012678759</v>
      </c>
      <c r="S227" s="9">
        <v>0.16450272331457028</v>
      </c>
      <c r="U227" s="9">
        <f t="array" ref="U227">MMULT(TRANSPOSE($B$3:$B$6),TRANSPOSE(P227:S227))</f>
        <v>9.6990427729122433E-2</v>
      </c>
      <c r="V227" s="9">
        <f>INT(200*U227)/200</f>
        <v>9.5000000000000001E-2</v>
      </c>
      <c r="W227" s="9">
        <f t="array" ref="W227">SQRT(MMULT(MMULT(P227:S227,$K$3:$N$6),TRANSPOSE(P227:S227)))</f>
        <v>8.5110937278373419E-2</v>
      </c>
      <c r="Y227" s="31">
        <f>U227/W227</f>
        <v>1.1395765436338061</v>
      </c>
      <c r="AA227" s="9">
        <f t="shared" si="27"/>
        <v>0.28382695081681292</v>
      </c>
      <c r="AB227" s="9">
        <f t="shared" si="28"/>
        <v>0.32976450360047604</v>
      </c>
      <c r="AC227" s="9">
        <f t="shared" si="29"/>
        <v>0.21882998323909261</v>
      </c>
      <c r="AD227" s="9">
        <f t="shared" si="30"/>
        <v>0.16757856234361856</v>
      </c>
      <c r="AE227" s="9"/>
      <c r="AF227" s="9">
        <f t="shared" si="31"/>
        <v>0.50297518872436064</v>
      </c>
      <c r="AG227" s="9">
        <f t="shared" si="32"/>
        <v>0.20647795760879448</v>
      </c>
      <c r="AH227" s="9">
        <f t="shared" si="33"/>
        <v>0.54178643874523658</v>
      </c>
      <c r="AI227" s="9">
        <f t="shared" si="34"/>
        <v>0.45177707307434584</v>
      </c>
    </row>
    <row r="228" spans="16:35" x14ac:dyDescent="0.3">
      <c r="P228" s="9">
        <v>0.17464896240888175</v>
      </c>
      <c r="Q228" s="9">
        <v>0.39410407699964456</v>
      </c>
      <c r="R228" s="9">
        <v>0.15895804449639139</v>
      </c>
      <c r="S228" s="9">
        <v>0.27228891609508238</v>
      </c>
      <c r="U228" s="9">
        <f t="array" ref="U228">MMULT(TRANSPOSE($B$3:$B$6),TRANSPOSE(P228:S228))</f>
        <v>9.8429542795925612E-2</v>
      </c>
      <c r="V228" s="9">
        <f>INT(200*U228)/200</f>
        <v>9.5000000000000001E-2</v>
      </c>
      <c r="W228" s="9">
        <f t="array" ref="W228">SQRT(MMULT(MMULT(P228:S228,$K$3:$N$6),TRANSPOSE(P228:S228)))</f>
        <v>8.6421850330388905E-2</v>
      </c>
      <c r="Y228" s="31">
        <f>U228/W228</f>
        <v>1.1389427837940469</v>
      </c>
      <c r="AA228" s="9">
        <f t="shared" si="27"/>
        <v>0.26957249708042186</v>
      </c>
      <c r="AB228" s="9">
        <f t="shared" si="28"/>
        <v>0.33405537932887169</v>
      </c>
      <c r="AC228" s="9">
        <f t="shared" si="29"/>
        <v>0.22543028249540797</v>
      </c>
      <c r="AD228" s="9">
        <f t="shared" si="30"/>
        <v>0.17094184109529853</v>
      </c>
      <c r="AE228" s="9"/>
      <c r="AF228" s="9">
        <f t="shared" si="31"/>
        <v>0.49718570414385516</v>
      </c>
      <c r="AG228" s="9">
        <f t="shared" si="32"/>
        <v>0.19774383115663274</v>
      </c>
      <c r="AH228" s="9">
        <f t="shared" si="33"/>
        <v>0.50767522178283586</v>
      </c>
      <c r="AI228" s="9">
        <f t="shared" si="34"/>
        <v>0.44795573367218539</v>
      </c>
    </row>
    <row r="229" spans="16:35" x14ac:dyDescent="0.3">
      <c r="P229" s="9">
        <v>0.37625443042018436</v>
      </c>
      <c r="Q229" s="9">
        <v>0.27185095667378595</v>
      </c>
      <c r="R229" s="9">
        <v>0.18301693362473268</v>
      </c>
      <c r="S229" s="9">
        <v>0.16887767928129704</v>
      </c>
      <c r="U229" s="9">
        <f t="array" ref="U229">MMULT(TRANSPOSE($B$3:$B$6),TRANSPOSE(P229:S229))</f>
        <v>8.5776488959187977E-2</v>
      </c>
      <c r="V229" s="9">
        <f>INT(200*U229)/200</f>
        <v>8.5000000000000006E-2</v>
      </c>
      <c r="W229" s="9">
        <f t="array" ref="W229">SQRT(MMULT(MMULT(P229:S229,$K$3:$N$6),TRANSPOSE(P229:S229)))</f>
        <v>7.5332685943237179E-2</v>
      </c>
      <c r="Y229" s="31">
        <f>U229/W229</f>
        <v>1.1386357446994544</v>
      </c>
      <c r="AA229" s="9">
        <f t="shared" si="27"/>
        <v>0.27274641631472768</v>
      </c>
      <c r="AB229" s="9">
        <f t="shared" si="28"/>
        <v>0.32930242827157102</v>
      </c>
      <c r="AC229" s="9">
        <f t="shared" si="29"/>
        <v>0.23447448741394877</v>
      </c>
      <c r="AD229" s="9">
        <f t="shared" si="30"/>
        <v>0.16347666799975255</v>
      </c>
      <c r="AE229" s="9"/>
      <c r="AF229" s="9">
        <f t="shared" si="31"/>
        <v>0.48815484654035668</v>
      </c>
      <c r="AG229" s="9">
        <f t="shared" si="32"/>
        <v>0.19557972857963599</v>
      </c>
      <c r="AH229" s="9">
        <f t="shared" si="33"/>
        <v>0.4813585457750606</v>
      </c>
      <c r="AI229" s="9">
        <f t="shared" si="34"/>
        <v>0.44741673966817497</v>
      </c>
    </row>
    <row r="230" spans="16:35" x14ac:dyDescent="0.3">
      <c r="P230" s="9">
        <v>0.14437808913047853</v>
      </c>
      <c r="Q230" s="9">
        <v>0.38076459697503001</v>
      </c>
      <c r="R230" s="9">
        <v>0.25248715146813833</v>
      </c>
      <c r="S230" s="9">
        <v>0.22237016242635302</v>
      </c>
      <c r="U230" s="9">
        <f t="array" ref="U230">MMULT(TRANSPOSE($B$3:$B$6),TRANSPOSE(P230:S230))</f>
        <v>9.9110718650338062E-2</v>
      </c>
      <c r="V230" s="9">
        <f>INT(200*U230)/200</f>
        <v>9.5000000000000001E-2</v>
      </c>
      <c r="W230" s="9">
        <f t="array" ref="W230">SQRT(MMULT(MMULT(P230:S230,$K$3:$N$6),TRANSPOSE(P230:S230)))</f>
        <v>8.7058944724693804E-2</v>
      </c>
      <c r="Y230" s="31">
        <f>U230/W230</f>
        <v>1.1384323456223313</v>
      </c>
      <c r="AA230" s="9">
        <f t="shared" si="27"/>
        <v>0.25402081239412022</v>
      </c>
      <c r="AB230" s="9">
        <f t="shared" si="28"/>
        <v>0.33816350244785953</v>
      </c>
      <c r="AC230" s="9">
        <f t="shared" si="29"/>
        <v>0.23678823039073196</v>
      </c>
      <c r="AD230" s="9">
        <f t="shared" si="30"/>
        <v>0.17102745476728826</v>
      </c>
      <c r="AE230" s="9"/>
      <c r="AF230" s="9">
        <f t="shared" si="31"/>
        <v>0.53617394010954311</v>
      </c>
      <c r="AG230" s="9">
        <f t="shared" si="32"/>
        <v>0.19629565594391088</v>
      </c>
      <c r="AH230" s="9">
        <f t="shared" si="33"/>
        <v>0.4761648361825957</v>
      </c>
      <c r="AI230" s="9">
        <f t="shared" si="34"/>
        <v>0.43547963666256856</v>
      </c>
    </row>
    <row r="231" spans="16:35" x14ac:dyDescent="0.3">
      <c r="P231" s="9">
        <v>0.12423283066826377</v>
      </c>
      <c r="Q231" s="9">
        <v>0.41725470780173513</v>
      </c>
      <c r="R231" s="9">
        <v>0.18317455392226314</v>
      </c>
      <c r="S231" s="9">
        <v>0.27533790760773802</v>
      </c>
      <c r="U231" s="9">
        <f t="array" ref="U231">MMULT(TRANSPOSE($B$3:$B$6),TRANSPOSE(P231:S231))</f>
        <v>0.10128109100050603</v>
      </c>
      <c r="V231" s="9">
        <f>INT(200*U231)/200</f>
        <v>0.1</v>
      </c>
      <c r="W231" s="9">
        <f t="array" ref="W231">SQRT(MMULT(MMULT(P231:S231,$K$3:$N$6),TRANSPOSE(P231:S231)))</f>
        <v>8.9012644918989622E-2</v>
      </c>
      <c r="Y231" s="31">
        <f>U231/W231</f>
        <v>1.1378281264721648</v>
      </c>
      <c r="AA231" s="9">
        <f t="shared" si="27"/>
        <v>0.26110439410518727</v>
      </c>
      <c r="AB231" s="9">
        <f t="shared" si="28"/>
        <v>0.33887799990215489</v>
      </c>
      <c r="AC231" s="9">
        <f t="shared" si="29"/>
        <v>0.21436748329066321</v>
      </c>
      <c r="AD231" s="9">
        <f t="shared" si="30"/>
        <v>0.18565012270199471</v>
      </c>
      <c r="AE231" s="9"/>
      <c r="AF231" s="9">
        <f t="shared" si="31"/>
        <v>0.49336367039980833</v>
      </c>
      <c r="AG231" s="9">
        <f t="shared" si="32"/>
        <v>0.1995439456419098</v>
      </c>
      <c r="AH231" s="9">
        <f t="shared" si="33"/>
        <v>0.50337795104815375</v>
      </c>
      <c r="AI231" s="9">
        <f t="shared" si="34"/>
        <v>0.39889853997274316</v>
      </c>
    </row>
    <row r="232" spans="16:35" x14ac:dyDescent="0.3">
      <c r="P232" s="9">
        <v>0.35605728005666337</v>
      </c>
      <c r="Q232" s="9">
        <v>0.2732449048966078</v>
      </c>
      <c r="R232" s="9">
        <v>0.27858517454299297</v>
      </c>
      <c r="S232" s="9">
        <v>9.2112640503736035E-2</v>
      </c>
      <c r="U232" s="9">
        <f t="array" ref="U232">MMULT(TRANSPOSE($B$3:$B$6),TRANSPOSE(P232:S232))</f>
        <v>8.6390917873017531E-2</v>
      </c>
      <c r="V232" s="9">
        <f>INT(200*U232)/200</f>
        <v>8.5000000000000006E-2</v>
      </c>
      <c r="W232" s="9">
        <f t="array" ref="W232">SQRT(MMULT(MMULT(P232:S232,$K$3:$N$6),TRANSPOSE(P232:S232)))</f>
        <v>7.5951381893476805E-2</v>
      </c>
      <c r="Y232" s="31">
        <f>U232/W232</f>
        <v>1.1374502440809091</v>
      </c>
      <c r="AA232" s="9">
        <f t="shared" si="27"/>
        <v>0.25086231973238354</v>
      </c>
      <c r="AB232" s="9">
        <f t="shared" si="28"/>
        <v>0.34287994828348956</v>
      </c>
      <c r="AC232" s="9">
        <f t="shared" si="29"/>
        <v>0.21873228189419314</v>
      </c>
      <c r="AD232" s="9">
        <f t="shared" si="30"/>
        <v>0.18752545008993399</v>
      </c>
      <c r="AE232" s="9"/>
      <c r="AF232" s="9">
        <f t="shared" si="31"/>
        <v>0.51278645529348421</v>
      </c>
      <c r="AG232" s="9">
        <f t="shared" si="32"/>
        <v>0.19281749704627427</v>
      </c>
      <c r="AH232" s="9">
        <f t="shared" si="33"/>
        <v>0.50820673859461685</v>
      </c>
      <c r="AI232" s="9">
        <f t="shared" si="34"/>
        <v>0.3868986923710126</v>
      </c>
    </row>
    <row r="233" spans="16:35" x14ac:dyDescent="0.3">
      <c r="P233" s="9">
        <v>0.32208294289629325</v>
      </c>
      <c r="Q233" s="9">
        <v>0.28730485857586119</v>
      </c>
      <c r="R233" s="9">
        <v>0.22247272821242711</v>
      </c>
      <c r="S233" s="9">
        <v>0.16813947031541845</v>
      </c>
      <c r="U233" s="9">
        <f t="array" ref="U233">MMULT(TRANSPOSE($B$3:$B$6),TRANSPOSE(P233:S233))</f>
        <v>8.8534476030675907E-2</v>
      </c>
      <c r="V233" s="9">
        <f>INT(200*U233)/200</f>
        <v>8.5000000000000006E-2</v>
      </c>
      <c r="W233" s="9">
        <f t="array" ref="W233">SQRT(MMULT(MMULT(P233:S233,$K$3:$N$6),TRANSPOSE(P233:S233)))</f>
        <v>7.7922653027120883E-2</v>
      </c>
      <c r="Y233" s="31">
        <f>U233/W233</f>
        <v>1.1361840567705208</v>
      </c>
      <c r="AA233" s="9">
        <f t="shared" si="27"/>
        <v>0.24379332126912709</v>
      </c>
      <c r="AB233" s="9">
        <f t="shared" si="28"/>
        <v>0.34317847521231148</v>
      </c>
      <c r="AC233" s="9">
        <f t="shared" si="29"/>
        <v>0.23600665252412906</v>
      </c>
      <c r="AD233" s="9">
        <f t="shared" si="30"/>
        <v>0.17702155099443243</v>
      </c>
      <c r="AE233" s="9"/>
      <c r="AF233" s="9">
        <f t="shared" si="31"/>
        <v>0.53140784147549858</v>
      </c>
      <c r="AG233" s="9">
        <f t="shared" si="32"/>
        <v>0.19293012853673774</v>
      </c>
      <c r="AH233" s="9">
        <f t="shared" si="33"/>
        <v>0.4843665832093782</v>
      </c>
      <c r="AI233" s="9">
        <f t="shared" si="34"/>
        <v>0.42996398861107166</v>
      </c>
    </row>
    <row r="234" spans="16:35" x14ac:dyDescent="0.3">
      <c r="P234" s="9">
        <v>0.4685293833142064</v>
      </c>
      <c r="Q234" s="9">
        <v>0.23961054706580479</v>
      </c>
      <c r="R234" s="9">
        <v>0.16495904026976835</v>
      </c>
      <c r="S234" s="9">
        <v>0.12690102935022057</v>
      </c>
      <c r="U234" s="9">
        <f t="array" ref="U234">MMULT(TRANSPOSE($B$3:$B$6),TRANSPOSE(P234:S234))</f>
        <v>8.0738040093672706E-2</v>
      </c>
      <c r="V234" s="9">
        <f>INT(200*U234)/200</f>
        <v>0.08</v>
      </c>
      <c r="W234" s="9">
        <f t="array" ref="W234">SQRT(MMULT(MMULT(P234:S234,$K$3:$N$6),TRANSPOSE(P234:S234)))</f>
        <v>7.1083555587392003E-2</v>
      </c>
      <c r="Y234" s="31">
        <f>U234/W234</f>
        <v>1.1358188181007804</v>
      </c>
      <c r="AA234" s="9">
        <f t="shared" si="27"/>
        <v>0.25631391734767273</v>
      </c>
      <c r="AB234" s="9">
        <f t="shared" si="28"/>
        <v>0.3374262927490157</v>
      </c>
      <c r="AC234" s="9">
        <f t="shared" si="29"/>
        <v>0.22834747194666621</v>
      </c>
      <c r="AD234" s="9">
        <f t="shared" si="30"/>
        <v>0.17791231795664542</v>
      </c>
      <c r="AE234" s="9"/>
      <c r="AF234" s="9">
        <f t="shared" si="31"/>
        <v>0.51681093264936462</v>
      </c>
      <c r="AG234" s="9">
        <f t="shared" si="32"/>
        <v>0.20399217725638435</v>
      </c>
      <c r="AH234" s="9">
        <f t="shared" si="33"/>
        <v>0.4862982387330852</v>
      </c>
      <c r="AI234" s="9">
        <f t="shared" si="34"/>
        <v>0.42465711130985323</v>
      </c>
    </row>
    <row r="235" spans="16:35" x14ac:dyDescent="0.3">
      <c r="P235" s="9">
        <v>0.35277464614223397</v>
      </c>
      <c r="Q235" s="9">
        <v>0.33742184937833009</v>
      </c>
      <c r="R235" s="9">
        <v>4.3356013965354039E-2</v>
      </c>
      <c r="S235" s="9">
        <v>0.26644749051408195</v>
      </c>
      <c r="U235" s="9">
        <f t="array" ref="U235">MMULT(TRANSPOSE($B$3:$B$6),TRANSPOSE(P235:S235))</f>
        <v>8.9149216105470122E-2</v>
      </c>
      <c r="V235" s="9">
        <f>INT(200*U235)/200</f>
        <v>8.5000000000000006E-2</v>
      </c>
      <c r="W235" s="9">
        <f t="array" ref="W235">SQRT(MMULT(MMULT(P235:S235,$K$3:$N$6),TRANSPOSE(P235:S235)))</f>
        <v>7.8526446952764145E-2</v>
      </c>
      <c r="Y235" s="31">
        <f>U235/W235</f>
        <v>1.1352763249188629</v>
      </c>
      <c r="AA235" s="9">
        <f t="shared" si="27"/>
        <v>0.27052149066507036</v>
      </c>
      <c r="AB235" s="9">
        <f t="shared" si="28"/>
        <v>0.33078333018302736</v>
      </c>
      <c r="AC235" s="9">
        <f t="shared" si="29"/>
        <v>0.2147756585715257</v>
      </c>
      <c r="AD235" s="9">
        <f t="shared" si="30"/>
        <v>0.18391952058037667</v>
      </c>
      <c r="AE235" s="9"/>
      <c r="AF235" s="9">
        <f t="shared" si="31"/>
        <v>0.4396554676877687</v>
      </c>
      <c r="AG235" s="9">
        <f t="shared" si="32"/>
        <v>0.19167375688499669</v>
      </c>
      <c r="AH235" s="9">
        <f t="shared" si="33"/>
        <v>0.47533758953864769</v>
      </c>
      <c r="AI235" s="9">
        <f t="shared" si="34"/>
        <v>0.40877210277871368</v>
      </c>
    </row>
    <row r="236" spans="16:35" x14ac:dyDescent="0.3">
      <c r="P236" s="9">
        <v>0.36918817987338048</v>
      </c>
      <c r="Q236" s="9">
        <v>0.26561041568565297</v>
      </c>
      <c r="R236" s="9">
        <v>0.23453228776441362</v>
      </c>
      <c r="S236" s="9">
        <v>0.13066911667655295</v>
      </c>
      <c r="U236" s="9">
        <f t="array" ref="U236">MMULT(TRANSPOSE($B$3:$B$6),TRANSPOSE(P236:S236))</f>
        <v>8.5742023618236657E-2</v>
      </c>
      <c r="V236" s="9">
        <f>INT(200*U236)/200</f>
        <v>8.5000000000000006E-2</v>
      </c>
      <c r="W236" s="9">
        <f t="array" ref="W236">SQRT(MMULT(MMULT(P236:S236,$K$3:$N$6),TRANSPOSE(P236:S236)))</f>
        <v>7.5546281578252023E-2</v>
      </c>
      <c r="Y236" s="31">
        <f>U236/W236</f>
        <v>1.1349602101782299</v>
      </c>
      <c r="AA236" s="9">
        <f t="shared" si="27"/>
        <v>0.2554413976616664</v>
      </c>
      <c r="AB236" s="9">
        <f t="shared" si="28"/>
        <v>0.34082588461979868</v>
      </c>
      <c r="AC236" s="9">
        <f t="shared" si="29"/>
        <v>0.20856788409528287</v>
      </c>
      <c r="AD236" s="9">
        <f t="shared" si="30"/>
        <v>0.19516483362325207</v>
      </c>
      <c r="AE236" s="9"/>
      <c r="AF236" s="9">
        <f t="shared" si="31"/>
        <v>0.4574854196705635</v>
      </c>
      <c r="AG236" s="9">
        <f t="shared" si="32"/>
        <v>0.19589027486394639</v>
      </c>
      <c r="AH236" s="9">
        <f t="shared" si="33"/>
        <v>0.50591602648189415</v>
      </c>
      <c r="AI236" s="9">
        <f t="shared" si="34"/>
        <v>0.39972823710274008</v>
      </c>
    </row>
    <row r="237" spans="16:35" x14ac:dyDescent="0.3">
      <c r="P237" s="9">
        <v>0.25211547497015901</v>
      </c>
      <c r="Q237" s="9">
        <v>0.31226371648309559</v>
      </c>
      <c r="R237" s="9">
        <v>0.3108654228394378</v>
      </c>
      <c r="S237" s="9">
        <v>0.12475538570730758</v>
      </c>
      <c r="U237" s="9">
        <f t="array" ref="U237">MMULT(TRANSPOSE($B$3:$B$6),TRANSPOSE(P237:S237))</f>
        <v>9.2096600550500035E-2</v>
      </c>
      <c r="V237" s="9">
        <f>INT(200*U237)/200</f>
        <v>0.09</v>
      </c>
      <c r="W237" s="9">
        <f t="array" ref="W237">SQRT(MMULT(MMULT(P237:S237,$K$3:$N$6),TRANSPOSE(P237:S237)))</f>
        <v>8.1156048461240887E-2</v>
      </c>
      <c r="Y237" s="31">
        <f>U237/W237</f>
        <v>1.1348088318332086</v>
      </c>
      <c r="AA237" s="9">
        <f t="shared" si="27"/>
        <v>0.23702731708032126</v>
      </c>
      <c r="AB237" s="9">
        <f t="shared" si="28"/>
        <v>0.34649519410768281</v>
      </c>
      <c r="AC237" s="9">
        <f t="shared" si="29"/>
        <v>0.22493151306218451</v>
      </c>
      <c r="AD237" s="9">
        <f t="shared" si="30"/>
        <v>0.19154597574981147</v>
      </c>
      <c r="AE237" s="9"/>
      <c r="AF237" s="9">
        <f t="shared" si="31"/>
        <v>0.52498435836139767</v>
      </c>
      <c r="AG237" s="9">
        <f t="shared" si="32"/>
        <v>0.20179749163513389</v>
      </c>
      <c r="AH237" s="9">
        <f t="shared" si="33"/>
        <v>0.4656205352870631</v>
      </c>
      <c r="AI237" s="9">
        <f t="shared" si="34"/>
        <v>0.4032371081133489</v>
      </c>
    </row>
    <row r="238" spans="16:35" x14ac:dyDescent="0.3">
      <c r="P238" s="9">
        <v>0.20775216001770835</v>
      </c>
      <c r="Q238" s="9">
        <v>0.34671757938823489</v>
      </c>
      <c r="R238" s="9">
        <v>0.22227898719438538</v>
      </c>
      <c r="S238" s="9">
        <v>0.22325127339967132</v>
      </c>
      <c r="U238" s="9">
        <f t="array" ref="U238">MMULT(TRANSPOSE($B$3:$B$6),TRANSPOSE(P238:S238))</f>
        <v>9.5390492832531745E-2</v>
      </c>
      <c r="V238" s="9">
        <f>INT(200*U238)/200</f>
        <v>9.5000000000000001E-2</v>
      </c>
      <c r="W238" s="9">
        <f t="array" ref="W238">SQRT(MMULT(MMULT(P238:S238,$K$3:$N$6),TRANSPOSE(P238:S238)))</f>
        <v>8.4092059875793324E-2</v>
      </c>
      <c r="Y238" s="31">
        <f>U238/W238</f>
        <v>1.13435790458013</v>
      </c>
      <c r="AA238" s="9">
        <f t="shared" si="27"/>
        <v>0.23908963300986477</v>
      </c>
      <c r="AB238" s="9">
        <f t="shared" si="28"/>
        <v>0.34607015783434864</v>
      </c>
      <c r="AC238" s="9">
        <f t="shared" si="29"/>
        <v>0.21960109980333531</v>
      </c>
      <c r="AD238" s="9">
        <f t="shared" si="30"/>
        <v>0.19523910935245131</v>
      </c>
      <c r="AE238" s="9"/>
      <c r="AF238" s="9">
        <f t="shared" si="31"/>
        <v>0.51718612947284159</v>
      </c>
      <c r="AG238" s="9">
        <f t="shared" si="32"/>
        <v>0.20194577886206799</v>
      </c>
      <c r="AH238" s="9">
        <f t="shared" si="33"/>
        <v>0.46968902599135109</v>
      </c>
      <c r="AI238" s="9">
        <f t="shared" si="34"/>
        <v>0.39814408084299385</v>
      </c>
    </row>
    <row r="239" spans="16:35" x14ac:dyDescent="0.3">
      <c r="P239" s="9">
        <v>0.26900685819005021</v>
      </c>
      <c r="Q239" s="9">
        <v>0.30337256448025351</v>
      </c>
      <c r="R239" s="9">
        <v>0.30601776722323115</v>
      </c>
      <c r="S239" s="9">
        <v>0.12160281010646515</v>
      </c>
      <c r="U239" s="9">
        <f t="array" ref="U239">MMULT(TRANSPOSE($B$3:$B$6),TRANSPOSE(P239:S239))</f>
        <v>9.1098361638309283E-2</v>
      </c>
      <c r="V239" s="9">
        <f>INT(200*U239)/200</f>
        <v>0.09</v>
      </c>
      <c r="W239" s="9">
        <f t="array" ref="W239">SQRT(MMULT(MMULT(P239:S239,$K$3:$N$6),TRANSPOSE(P239:S239)))</f>
        <v>8.040239147607621E-2</v>
      </c>
      <c r="Y239" s="31">
        <f>U239/W239</f>
        <v>1.133030497798261</v>
      </c>
      <c r="AA239" s="9">
        <f t="shared" si="27"/>
        <v>0.24063992376434679</v>
      </c>
      <c r="AB239" s="9">
        <f t="shared" si="28"/>
        <v>0.34510551912746368</v>
      </c>
      <c r="AC239" s="9">
        <f t="shared" si="29"/>
        <v>0.21872672354450756</v>
      </c>
      <c r="AD239" s="9">
        <f t="shared" si="30"/>
        <v>0.195527833563682</v>
      </c>
      <c r="AE239" s="9"/>
      <c r="AF239" s="9">
        <f t="shared" si="31"/>
        <v>0.51117007490942068</v>
      </c>
      <c r="AG239" s="9">
        <f t="shared" si="32"/>
        <v>0.20089168424173851</v>
      </c>
      <c r="AH239" s="9">
        <f t="shared" si="33"/>
        <v>0.47438193431974141</v>
      </c>
      <c r="AI239" s="9">
        <f t="shared" si="34"/>
        <v>0.39914740897411199</v>
      </c>
    </row>
    <row r="240" spans="16:35" x14ac:dyDescent="0.3">
      <c r="P240" s="9">
        <v>4.5827337617463576E-2</v>
      </c>
      <c r="Q240" s="9">
        <v>0.44065622307024022</v>
      </c>
      <c r="R240" s="9">
        <v>0.25453609098494151</v>
      </c>
      <c r="S240" s="9">
        <v>0.25898034832735473</v>
      </c>
      <c r="U240" s="9">
        <f t="array" ref="U240">MMULT(TRANSPOSE($B$3:$B$6),TRANSPOSE(P240:S240))</f>
        <v>0.1052491400642505</v>
      </c>
      <c r="V240" s="9">
        <f>INT(200*U240)/200</f>
        <v>0.105</v>
      </c>
      <c r="W240" s="9">
        <f t="array" ref="W240">SQRT(MMULT(MMULT(P240:S240,$K$3:$N$6),TRANSPOSE(P240:S240)))</f>
        <v>9.2940812365553169E-2</v>
      </c>
      <c r="Y240" s="31">
        <f>U240/W240</f>
        <v>1.132431892786631</v>
      </c>
      <c r="AA240" s="9">
        <f t="shared" si="27"/>
        <v>0.23744085543598886</v>
      </c>
      <c r="AB240" s="9">
        <f t="shared" si="28"/>
        <v>0.3459502827036684</v>
      </c>
      <c r="AC240" s="9">
        <f t="shared" si="29"/>
        <v>0.22597558337743021</v>
      </c>
      <c r="AD240" s="9">
        <f t="shared" si="30"/>
        <v>0.19063327848291259</v>
      </c>
      <c r="AE240" s="9"/>
      <c r="AF240" s="9">
        <f t="shared" si="31"/>
        <v>0.50599934156792314</v>
      </c>
      <c r="AG240" s="9">
        <f t="shared" si="32"/>
        <v>0.19798990224543664</v>
      </c>
      <c r="AH240" s="9">
        <f t="shared" si="33"/>
        <v>0.47095229685273687</v>
      </c>
      <c r="AI240" s="9">
        <f t="shared" si="34"/>
        <v>0.43472517211810141</v>
      </c>
    </row>
    <row r="241" spans="16:35" x14ac:dyDescent="0.3">
      <c r="P241" s="9">
        <v>0.20046135051645031</v>
      </c>
      <c r="Q241" s="9">
        <v>0.45685606134473089</v>
      </c>
      <c r="R241" s="9">
        <v>1.285385063407569E-2</v>
      </c>
      <c r="S241" s="9">
        <v>0.32982873750474301</v>
      </c>
      <c r="U241" s="9">
        <f t="array" ref="U241">MMULT(TRANSPOSE($B$3:$B$6),TRANSPOSE(P241:S241))</f>
        <v>9.9492026115897331E-2</v>
      </c>
      <c r="V241" s="9">
        <f>INT(200*U241)/200</f>
        <v>9.5000000000000001E-2</v>
      </c>
      <c r="W241" s="9">
        <f t="array" ref="W241">SQRT(MMULT(MMULT(P241:S241,$K$3:$N$6),TRANSPOSE(P241:S241)))</f>
        <v>8.7915725742058484E-2</v>
      </c>
      <c r="Y241" s="31">
        <f>U241/W241</f>
        <v>1.1316749680006428</v>
      </c>
      <c r="AA241" s="9">
        <f t="shared" si="27"/>
        <v>0.23948957797323631</v>
      </c>
      <c r="AB241" s="9">
        <f t="shared" si="28"/>
        <v>0.34556134179861842</v>
      </c>
      <c r="AC241" s="9">
        <f t="shared" si="29"/>
        <v>0.22208834568711761</v>
      </c>
      <c r="AD241" s="9">
        <f t="shared" si="30"/>
        <v>0.19286073454102767</v>
      </c>
      <c r="AE241" s="9"/>
      <c r="AF241" s="9">
        <f t="shared" si="31"/>
        <v>0.49621520087262477</v>
      </c>
      <c r="AG241" s="9">
        <f t="shared" si="32"/>
        <v>0.19767844656683384</v>
      </c>
      <c r="AH241" s="9">
        <f t="shared" si="33"/>
        <v>0.48132527867790215</v>
      </c>
      <c r="AI241" s="9">
        <f t="shared" si="34"/>
        <v>0.43753654506480522</v>
      </c>
    </row>
    <row r="242" spans="16:35" x14ac:dyDescent="0.3">
      <c r="P242" s="9">
        <v>0.15060365455991326</v>
      </c>
      <c r="Q242" s="9">
        <v>0.3589058148007806</v>
      </c>
      <c r="R242" s="9">
        <v>0.34013539873174442</v>
      </c>
      <c r="S242" s="9">
        <v>0.15035513190756172</v>
      </c>
      <c r="U242" s="9">
        <f t="array" ref="U242">MMULT(TRANSPOSE($B$3:$B$6),TRANSPOSE(P242:S242))</f>
        <v>9.7909951604739337E-2</v>
      </c>
      <c r="V242" s="9">
        <f>INT(200*U242)/200</f>
        <v>9.5000000000000001E-2</v>
      </c>
      <c r="W242" s="9">
        <f t="array" ref="W242">SQRT(MMULT(MMULT(P242:S242,$K$3:$N$6),TRANSPOSE(P242:S242)))</f>
        <v>8.6519086415876245E-2</v>
      </c>
      <c r="Y242" s="31">
        <f>U242/W242</f>
        <v>1.1316572522981805</v>
      </c>
      <c r="AA242" s="9">
        <f t="shared" si="27"/>
        <v>0.25258852909942009</v>
      </c>
      <c r="AB242" s="9">
        <f t="shared" si="28"/>
        <v>0.33760753483422812</v>
      </c>
      <c r="AC242" s="9">
        <f t="shared" si="29"/>
        <v>0.22388881322335205</v>
      </c>
      <c r="AD242" s="9">
        <f t="shared" si="30"/>
        <v>0.18591512284299977</v>
      </c>
      <c r="AE242" s="9"/>
      <c r="AF242" s="9">
        <f t="shared" si="31"/>
        <v>0.47763641357610953</v>
      </c>
      <c r="AG242" s="9">
        <f t="shared" si="32"/>
        <v>0.20515677420574049</v>
      </c>
      <c r="AH242" s="9">
        <f t="shared" si="33"/>
        <v>0.47580006112086026</v>
      </c>
      <c r="AI242" s="9">
        <f t="shared" si="34"/>
        <v>0.44778854932810075</v>
      </c>
    </row>
    <row r="243" spans="16:35" x14ac:dyDescent="0.3">
      <c r="P243" s="9">
        <v>0.15719107428565696</v>
      </c>
      <c r="Q243" s="9">
        <v>0.36647185492387846</v>
      </c>
      <c r="R243" s="9">
        <v>0.42834485590947968</v>
      </c>
      <c r="S243" s="9">
        <v>4.7992214880985012E-2</v>
      </c>
      <c r="U243" s="9">
        <f t="array" ref="U243">MMULT(TRANSPOSE($B$3:$B$6),TRANSPOSE(P243:S243))</f>
        <v>9.7493241781615531E-2</v>
      </c>
      <c r="V243" s="9">
        <f>INT(200*U243)/200</f>
        <v>9.5000000000000001E-2</v>
      </c>
      <c r="W243" s="9">
        <f t="array" ref="W243">SQRT(MMULT(MMULT(P243:S243,$K$3:$N$6),TRANSPOSE(P243:S243)))</f>
        <v>8.6158210354202791E-2</v>
      </c>
      <c r="Y243" s="31">
        <f>U243/W243</f>
        <v>1.1315606647447014</v>
      </c>
      <c r="AA243" s="9">
        <f t="shared" si="27"/>
        <v>0.25169641855402514</v>
      </c>
      <c r="AB243" s="9">
        <f t="shared" si="28"/>
        <v>0.33749483559201121</v>
      </c>
      <c r="AC243" s="9">
        <f t="shared" si="29"/>
        <v>0.22228984168091137</v>
      </c>
      <c r="AD243" s="9">
        <f t="shared" si="30"/>
        <v>0.18851890417305225</v>
      </c>
      <c r="AE243" s="9"/>
      <c r="AF243" s="9">
        <f t="shared" si="31"/>
        <v>0.47640385839203797</v>
      </c>
      <c r="AG243" s="9">
        <f t="shared" si="32"/>
        <v>0.20555654066141821</v>
      </c>
      <c r="AH243" s="9">
        <f t="shared" si="33"/>
        <v>0.47647032751128882</v>
      </c>
      <c r="AI243" s="9">
        <f t="shared" si="34"/>
        <v>0.42963696291857451</v>
      </c>
    </row>
    <row r="244" spans="16:35" x14ac:dyDescent="0.3">
      <c r="P244" s="9">
        <v>0.41054027782451247</v>
      </c>
      <c r="Q244" s="9">
        <v>0.25058265508105365</v>
      </c>
      <c r="R244" s="9">
        <v>0.19755467785346814</v>
      </c>
      <c r="S244" s="9">
        <v>0.14132238924096563</v>
      </c>
      <c r="U244" s="9">
        <f t="array" ref="U244">MMULT(TRANSPOSE($B$3:$B$6),TRANSPOSE(P244:S244))</f>
        <v>8.3573561873763857E-2</v>
      </c>
      <c r="V244" s="9">
        <f>INT(200*U244)/200</f>
        <v>0.08</v>
      </c>
      <c r="W244" s="9">
        <f t="array" ref="W244">SQRT(MMULT(MMULT(P244:S244,$K$3:$N$6),TRANSPOSE(P244:S244)))</f>
        <v>7.3879079452269042E-2</v>
      </c>
      <c r="Y244" s="31">
        <f>U244/W244</f>
        <v>1.1312209422933879</v>
      </c>
      <c r="AA244" s="9">
        <f t="shared" si="27"/>
        <v>0.25104201643749668</v>
      </c>
      <c r="AB244" s="9">
        <f t="shared" si="28"/>
        <v>0.33964075347722567</v>
      </c>
      <c r="AC244" s="9">
        <f t="shared" si="29"/>
        <v>0.21584321100309511</v>
      </c>
      <c r="AD244" s="9">
        <f t="shared" si="30"/>
        <v>0.19347401908218251</v>
      </c>
      <c r="AE244" s="9"/>
      <c r="AF244" s="9">
        <f t="shared" si="31"/>
        <v>0.47618620381366167</v>
      </c>
      <c r="AG244" s="9">
        <f t="shared" si="32"/>
        <v>0.20149159964903302</v>
      </c>
      <c r="AH244" s="9">
        <f t="shared" si="33"/>
        <v>0.50937953936299318</v>
      </c>
      <c r="AI244" s="9">
        <f t="shared" si="34"/>
        <v>0.42820947515420799</v>
      </c>
    </row>
    <row r="245" spans="16:35" x14ac:dyDescent="0.3">
      <c r="P245" s="9">
        <v>0.2985948057515132</v>
      </c>
      <c r="Q245" s="9">
        <v>0.31582341929679386</v>
      </c>
      <c r="R245" s="9">
        <v>0.14601791780130463</v>
      </c>
      <c r="S245" s="9">
        <v>0.2395638571503883</v>
      </c>
      <c r="U245" s="9">
        <f t="array" ref="U245">MMULT(TRANSPOSE($B$3:$B$6),TRANSPOSE(P245:S245))</f>
        <v>9.0666479346939347E-2</v>
      </c>
      <c r="V245" s="9">
        <f>INT(200*U245)/200</f>
        <v>0.09</v>
      </c>
      <c r="W245" s="9">
        <f t="array" ref="W245">SQRT(MMULT(MMULT(P245:S245,$K$3:$N$6),TRANSPOSE(P245:S245)))</f>
        <v>8.0176473222779446E-2</v>
      </c>
      <c r="Y245" s="31">
        <f>U245/W245</f>
        <v>1.1308364623997893</v>
      </c>
      <c r="AA245" s="9">
        <f t="shared" si="27"/>
        <v>0.25300032564381508</v>
      </c>
      <c r="AB245" s="9">
        <f t="shared" si="28"/>
        <v>0.33897530623742889</v>
      </c>
      <c r="AC245" s="9">
        <f t="shared" si="29"/>
        <v>0.21428524301351318</v>
      </c>
      <c r="AD245" s="9">
        <f t="shared" si="30"/>
        <v>0.1937391251052428</v>
      </c>
      <c r="AE245" s="9"/>
      <c r="AF245" s="9">
        <f t="shared" si="31"/>
        <v>0.48835217822680899</v>
      </c>
      <c r="AG245" s="9">
        <f t="shared" si="32"/>
        <v>0.20507534267209121</v>
      </c>
      <c r="AH245" s="9">
        <f t="shared" si="33"/>
        <v>0.51767731881159085</v>
      </c>
      <c r="AI245" s="9">
        <f t="shared" si="34"/>
        <v>0.42651351878992422</v>
      </c>
    </row>
    <row r="246" spans="16:35" x14ac:dyDescent="0.3">
      <c r="P246" s="9">
        <v>0.1200946304160873</v>
      </c>
      <c r="Q246" s="9">
        <v>0.46200218989936259</v>
      </c>
      <c r="R246" s="9">
        <v>9.1915506550192996E-2</v>
      </c>
      <c r="S246" s="9">
        <v>0.32598767313435723</v>
      </c>
      <c r="U246" s="9">
        <f t="array" ref="U246">MMULT(TRANSPOSE($B$3:$B$6),TRANSPOSE(P246:S246))</f>
        <v>0.10302382213893316</v>
      </c>
      <c r="V246" s="9">
        <f>INT(200*U246)/200</f>
        <v>0.1</v>
      </c>
      <c r="W246" s="9">
        <f t="array" ref="W246">SQRT(MMULT(MMULT(P246:S246,$K$3:$N$6),TRANSPOSE(P246:S246)))</f>
        <v>9.1106682656878657E-2</v>
      </c>
      <c r="Y246" s="31">
        <f>U246/W246</f>
        <v>1.1308042301017174</v>
      </c>
      <c r="AA246" s="9">
        <f t="shared" si="27"/>
        <v>0.25063170748464791</v>
      </c>
      <c r="AB246" s="9">
        <f t="shared" si="28"/>
        <v>0.33652843479927935</v>
      </c>
      <c r="AC246" s="9">
        <f t="shared" si="29"/>
        <v>0.22335507542327254</v>
      </c>
      <c r="AD246" s="9">
        <f t="shared" si="30"/>
        <v>0.18948478229280016</v>
      </c>
      <c r="AE246" s="9"/>
      <c r="AF246" s="9">
        <f t="shared" si="31"/>
        <v>0.4868180586625101</v>
      </c>
      <c r="AG246" s="9">
        <f t="shared" si="32"/>
        <v>0.20940478710898261</v>
      </c>
      <c r="AH246" s="9">
        <f t="shared" si="33"/>
        <v>0.46479622756498118</v>
      </c>
      <c r="AI246" s="9">
        <f t="shared" si="34"/>
        <v>0.42739706564262286</v>
      </c>
    </row>
    <row r="247" spans="16:35" x14ac:dyDescent="0.3">
      <c r="P247" s="9">
        <v>5.6193622924644903E-3</v>
      </c>
      <c r="Q247" s="9">
        <v>0.43943788421600077</v>
      </c>
      <c r="R247" s="9">
        <v>0.3837642201903439</v>
      </c>
      <c r="S247" s="9">
        <v>0.17117853330119071</v>
      </c>
      <c r="U247" s="9">
        <f t="array" ref="U247">MMULT(TRANSPOSE($B$3:$B$6),TRANSPOSE(P247:S247))</f>
        <v>0.10658582013280554</v>
      </c>
      <c r="V247" s="9">
        <f>INT(200*U247)/200</f>
        <v>0.105</v>
      </c>
      <c r="W247" s="9">
        <f t="array" ref="W247">SQRT(MMULT(MMULT(P247:S247,$K$3:$N$6),TRANSPOSE(P247:S247)))</f>
        <v>9.4289500276682675E-2</v>
      </c>
      <c r="Y247" s="31">
        <f>U247/W247</f>
        <v>1.1304102770726392</v>
      </c>
      <c r="AA247" s="9">
        <f t="shared" si="27"/>
        <v>0.23698753797614702</v>
      </c>
      <c r="AB247" s="9">
        <f t="shared" si="28"/>
        <v>0.34650168933268044</v>
      </c>
      <c r="AC247" s="9">
        <f t="shared" si="29"/>
        <v>0.21736167474182375</v>
      </c>
      <c r="AD247" s="9">
        <f t="shared" si="30"/>
        <v>0.19914909794934868</v>
      </c>
      <c r="AE247" s="9"/>
      <c r="AF247" s="9">
        <f t="shared" si="31"/>
        <v>0.52363224055456348</v>
      </c>
      <c r="AG247" s="9">
        <f t="shared" si="32"/>
        <v>0.21538065753146568</v>
      </c>
      <c r="AH247" s="9">
        <f t="shared" si="33"/>
        <v>0.49102142143067889</v>
      </c>
      <c r="AI247" s="9">
        <f t="shared" si="34"/>
        <v>0.42979821754586534</v>
      </c>
    </row>
    <row r="248" spans="16:35" x14ac:dyDescent="0.3">
      <c r="P248" s="9">
        <v>0.21492856185459575</v>
      </c>
      <c r="Q248" s="9">
        <v>0.34721643748444359</v>
      </c>
      <c r="R248" s="9">
        <v>0.19579647169095415</v>
      </c>
      <c r="S248" s="9">
        <v>0.24205852897000665</v>
      </c>
      <c r="U248" s="9">
        <f t="array" ref="U248">MMULT(TRANSPOSE($B$3:$B$6),TRANSPOSE(P248:S248))</f>
        <v>9.5172052036700219E-2</v>
      </c>
      <c r="V248" s="9">
        <f>INT(200*U248)/200</f>
        <v>9.5000000000000001E-2</v>
      </c>
      <c r="W248" s="9">
        <f t="array" ref="W248">SQRT(MMULT(MMULT(P248:S248,$K$3:$N$6),TRANSPOSE(P248:S248)))</f>
        <v>8.4194913788648892E-2</v>
      </c>
      <c r="Y248" s="31">
        <f>U248/W248</f>
        <v>1.1303776885573729</v>
      </c>
      <c r="AA248" s="9">
        <f t="shared" si="27"/>
        <v>0.23170882629718892</v>
      </c>
      <c r="AB248" s="9">
        <f t="shared" si="28"/>
        <v>0.3487228328655339</v>
      </c>
      <c r="AC248" s="9">
        <f t="shared" si="29"/>
        <v>0.21782562634729408</v>
      </c>
      <c r="AD248" s="9">
        <f t="shared" si="30"/>
        <v>0.20174271448998296</v>
      </c>
      <c r="AE248" s="9"/>
      <c r="AF248" s="9">
        <f t="shared" si="31"/>
        <v>0.54277219130012078</v>
      </c>
      <c r="AG248" s="9">
        <f t="shared" si="32"/>
        <v>0.21292835147156797</v>
      </c>
      <c r="AH248" s="9">
        <f t="shared" si="33"/>
        <v>0.49202779289945586</v>
      </c>
      <c r="AI248" s="9">
        <f t="shared" si="34"/>
        <v>0.41656045861187074</v>
      </c>
    </row>
    <row r="249" spans="16:35" x14ac:dyDescent="0.3">
      <c r="P249" s="9">
        <v>0.20720506825300378</v>
      </c>
      <c r="Q249" s="9">
        <v>0.37384666415506002</v>
      </c>
      <c r="R249" s="9">
        <v>0.14059614306100821</v>
      </c>
      <c r="S249" s="9">
        <v>0.27835212453092795</v>
      </c>
      <c r="U249" s="9">
        <f t="array" ref="U249">MMULT(TRANSPOSE($B$3:$B$6),TRANSPOSE(P249:S249))</f>
        <v>9.6453296875750452E-2</v>
      </c>
      <c r="V249" s="9">
        <f>INT(200*U249)/200</f>
        <v>9.5000000000000001E-2</v>
      </c>
      <c r="W249" s="9">
        <f t="array" ref="W249">SQRT(MMULT(MMULT(P249:S249,$K$3:$N$6),TRANSPOSE(P249:S249)))</f>
        <v>8.5333931386718673E-2</v>
      </c>
      <c r="Y249" s="31">
        <f>U249/W249</f>
        <v>1.1303041510960128</v>
      </c>
      <c r="AA249" s="9">
        <f t="shared" si="27"/>
        <v>0.24136991518461379</v>
      </c>
      <c r="AB249" s="9">
        <f t="shared" si="28"/>
        <v>0.34756725949746509</v>
      </c>
      <c r="AC249" s="9">
        <f t="shared" si="29"/>
        <v>0.20728608032805299</v>
      </c>
      <c r="AD249" s="9">
        <f t="shared" si="30"/>
        <v>0.20377674498986809</v>
      </c>
      <c r="AE249" s="9"/>
      <c r="AF249" s="9">
        <f t="shared" si="31"/>
        <v>0.54478552575492512</v>
      </c>
      <c r="AG249" s="9">
        <f t="shared" si="32"/>
        <v>0.21427290229476881</v>
      </c>
      <c r="AH249" s="9">
        <f t="shared" si="33"/>
        <v>0.56509475557321898</v>
      </c>
      <c r="AI249" s="9">
        <f t="shared" si="34"/>
        <v>0.41758903068226327</v>
      </c>
    </row>
    <row r="250" spans="16:35" x14ac:dyDescent="0.3">
      <c r="P250" s="9">
        <v>0.3090739955246678</v>
      </c>
      <c r="Q250" s="9">
        <v>0.28959099177408526</v>
      </c>
      <c r="R250" s="9">
        <v>0.33524299011610792</v>
      </c>
      <c r="S250" s="9">
        <v>6.609202258513909E-2</v>
      </c>
      <c r="U250" s="9">
        <f t="array" ref="U250">MMULT(TRANSPOSE($B$3:$B$6),TRANSPOSE(P250:S250))</f>
        <v>8.8781435875079154E-2</v>
      </c>
      <c r="V250" s="9">
        <f>INT(200*U250)/200</f>
        <v>8.5000000000000006E-2</v>
      </c>
      <c r="W250" s="9">
        <f t="array" ref="W250">SQRT(MMULT(MMULT(P250:S250,$K$3:$N$6),TRANSPOSE(P250:S250)))</f>
        <v>7.859521397414318E-2</v>
      </c>
      <c r="Y250" s="31">
        <f>U250/W250</f>
        <v>1.1296035901662804</v>
      </c>
      <c r="AA250" s="9">
        <f t="shared" si="27"/>
        <v>0.23799682006011585</v>
      </c>
      <c r="AB250" s="9">
        <f t="shared" si="28"/>
        <v>0.34995701469637258</v>
      </c>
      <c r="AC250" s="9">
        <f t="shared" si="29"/>
        <v>0.2018917597050591</v>
      </c>
      <c r="AD250" s="9">
        <f t="shared" si="30"/>
        <v>0.21015440553845244</v>
      </c>
      <c r="AE250" s="9"/>
      <c r="AF250" s="9">
        <f t="shared" si="31"/>
        <v>0.55319593330501848</v>
      </c>
      <c r="AG250" s="9">
        <f t="shared" si="32"/>
        <v>0.21084649412022619</v>
      </c>
      <c r="AH250" s="9">
        <f t="shared" si="33"/>
        <v>0.56936530759943338</v>
      </c>
      <c r="AI250" s="9">
        <f t="shared" si="34"/>
        <v>0.39796751217933718</v>
      </c>
    </row>
    <row r="251" spans="16:35" x14ac:dyDescent="0.3">
      <c r="P251" s="9">
        <v>0.1874012624126748</v>
      </c>
      <c r="Q251" s="9">
        <v>0.37259683796898024</v>
      </c>
      <c r="R251" s="9">
        <v>0.17085515997157441</v>
      </c>
      <c r="S251" s="9">
        <v>0.26914673964677055</v>
      </c>
      <c r="U251" s="9">
        <f t="array" ref="U251">MMULT(TRANSPOSE($B$3:$B$6),TRANSPOSE(P251:S251))</f>
        <v>9.7215631012923992E-2</v>
      </c>
      <c r="V251" s="9">
        <f>INT(200*U251)/200</f>
        <v>9.5000000000000001E-2</v>
      </c>
      <c r="W251" s="9">
        <f t="array" ref="W251">SQRT(MMULT(MMULT(P251:S251,$K$3:$N$6),TRANSPOSE(P251:S251)))</f>
        <v>8.611493236680777E-2</v>
      </c>
      <c r="Y251" s="31">
        <f>U251/W251</f>
        <v>1.1289056188168696</v>
      </c>
      <c r="AA251" s="9">
        <f t="shared" si="27"/>
        <v>0.25687314269986594</v>
      </c>
      <c r="AB251" s="9">
        <f t="shared" si="28"/>
        <v>0.34237294737051976</v>
      </c>
      <c r="AC251" s="9">
        <f t="shared" si="29"/>
        <v>0.19179999642299772</v>
      </c>
      <c r="AD251" s="9">
        <f t="shared" si="30"/>
        <v>0.20895391350661655</v>
      </c>
      <c r="AE251" s="9"/>
      <c r="AF251" s="9">
        <f t="shared" si="31"/>
        <v>0.51054417697610022</v>
      </c>
      <c r="AG251" s="9">
        <f t="shared" si="32"/>
        <v>0.21078134831535403</v>
      </c>
      <c r="AH251" s="9">
        <f t="shared" si="33"/>
        <v>0.62209150499337862</v>
      </c>
      <c r="AI251" s="9">
        <f t="shared" si="34"/>
        <v>0.3975891877166694</v>
      </c>
    </row>
    <row r="252" spans="16:35" x14ac:dyDescent="0.3">
      <c r="P252" s="9">
        <v>0.39931080431812416</v>
      </c>
      <c r="Q252" s="9">
        <v>0.25022476154953915</v>
      </c>
      <c r="R252" s="9">
        <v>0.22098437218318631</v>
      </c>
      <c r="S252" s="9">
        <v>0.12948006194915043</v>
      </c>
      <c r="U252" s="9">
        <f t="array" ref="U252">MMULT(TRANSPOSE($B$3:$B$6),TRANSPOSE(P252:S252))</f>
        <v>8.3992543660928662E-2</v>
      </c>
      <c r="V252" s="9">
        <f>INT(200*U252)/200</f>
        <v>0.08</v>
      </c>
      <c r="W252" s="9">
        <f t="array" ref="W252">SQRT(MMULT(MMULT(P252:S252,$K$3:$N$6),TRANSPOSE(P252:S252)))</f>
        <v>7.4454650713880771E-2</v>
      </c>
      <c r="Y252" s="31">
        <f>U252/W252</f>
        <v>1.1281033871705439</v>
      </c>
      <c r="AA252" s="9">
        <f t="shared" si="27"/>
        <v>0.26690611876530557</v>
      </c>
      <c r="AB252" s="9">
        <f t="shared" si="28"/>
        <v>0.33224407460301736</v>
      </c>
      <c r="AC252" s="9">
        <f t="shared" si="29"/>
        <v>0.20072482049074142</v>
      </c>
      <c r="AD252" s="9">
        <f t="shared" si="30"/>
        <v>0.20012498614093563</v>
      </c>
      <c r="AE252" s="9"/>
      <c r="AF252" s="9">
        <f t="shared" si="31"/>
        <v>0.50439726226085446</v>
      </c>
      <c r="AG252" s="9">
        <f t="shared" si="32"/>
        <v>0.21127360543001103</v>
      </c>
      <c r="AH252" s="9">
        <f t="shared" si="33"/>
        <v>0.55823247640395701</v>
      </c>
      <c r="AI252" s="9">
        <f t="shared" si="34"/>
        <v>0.39654442423819269</v>
      </c>
    </row>
    <row r="253" spans="16:35" x14ac:dyDescent="0.3">
      <c r="P253" s="9">
        <v>0.33732295860336969</v>
      </c>
      <c r="Q253" s="9">
        <v>0.27087822081005164</v>
      </c>
      <c r="R253" s="9">
        <v>0.24500677215173969</v>
      </c>
      <c r="S253" s="9">
        <v>0.14679204843483884</v>
      </c>
      <c r="U253" s="9">
        <f t="array" ref="U253">MMULT(TRANSPOSE($B$3:$B$6),TRANSPOSE(P253:S253))</f>
        <v>8.7306488270468552E-2</v>
      </c>
      <c r="V253" s="9">
        <f>INT(200*U253)/200</f>
        <v>8.5000000000000006E-2</v>
      </c>
      <c r="W253" s="9">
        <f t="array" ref="W253">SQRT(MMULT(MMULT(P253:S253,$K$3:$N$6),TRANSPOSE(P253:S253)))</f>
        <v>7.7484658933918218E-2</v>
      </c>
      <c r="Y253" s="31">
        <f>U253/W253</f>
        <v>1.126758373485605</v>
      </c>
      <c r="AA253" s="9">
        <f t="shared" si="27"/>
        <v>0.26034458754829748</v>
      </c>
      <c r="AB253" s="9">
        <f t="shared" si="28"/>
        <v>0.34319556114736693</v>
      </c>
      <c r="AC253" s="9">
        <f t="shared" si="29"/>
        <v>0.18567940617143538</v>
      </c>
      <c r="AD253" s="9">
        <f t="shared" si="30"/>
        <v>0.21078044513290015</v>
      </c>
      <c r="AE253" s="9"/>
      <c r="AF253" s="9">
        <f t="shared" si="31"/>
        <v>0.55171141997066053</v>
      </c>
      <c r="AG253" s="9">
        <f t="shared" si="32"/>
        <v>0.26157759613770848</v>
      </c>
      <c r="AH253" s="9">
        <f t="shared" si="33"/>
        <v>0.61179340706410179</v>
      </c>
      <c r="AI253" s="9">
        <f t="shared" si="34"/>
        <v>0.41273553136403734</v>
      </c>
    </row>
    <row r="254" spans="16:35" x14ac:dyDescent="0.3">
      <c r="P254" s="9">
        <v>0.30834049844919514</v>
      </c>
      <c r="Q254" s="9">
        <v>0.33236913416536562</v>
      </c>
      <c r="R254" s="9">
        <v>8.7093483978285369E-2</v>
      </c>
      <c r="S254" s="9">
        <v>0.27219688340715387</v>
      </c>
      <c r="U254" s="9">
        <f t="array" ref="U254">MMULT(TRANSPOSE($B$3:$B$6),TRANSPOSE(P254:S254))</f>
        <v>9.0886382398240637E-2</v>
      </c>
      <c r="V254" s="9">
        <f>INT(200*U254)/200</f>
        <v>0.09</v>
      </c>
      <c r="W254" s="9">
        <f t="array" ref="W254">SQRT(MMULT(MMULT(P254:S254,$K$3:$N$6),TRANSPOSE(P254:S254)))</f>
        <v>8.0743211683507857E-2</v>
      </c>
      <c r="Y254" s="31">
        <f>U254/W254</f>
        <v>1.1256225818028065</v>
      </c>
      <c r="AA254" s="9">
        <f t="shared" si="27"/>
        <v>0.27092901504385086</v>
      </c>
      <c r="AB254" s="9">
        <f t="shared" si="28"/>
        <v>0.33776685648150861</v>
      </c>
      <c r="AC254" s="9">
        <f t="shared" si="29"/>
        <v>0.17641881230827269</v>
      </c>
      <c r="AD254" s="9">
        <f t="shared" si="30"/>
        <v>0.21488531616636766</v>
      </c>
      <c r="AE254" s="9"/>
      <c r="AF254" s="9">
        <f t="shared" si="31"/>
        <v>0.53092551532786925</v>
      </c>
      <c r="AG254" s="9">
        <f t="shared" si="32"/>
        <v>0.27154879105223084</v>
      </c>
      <c r="AH254" s="9">
        <f t="shared" si="33"/>
        <v>0.56643982913506319</v>
      </c>
      <c r="AI254" s="9">
        <f t="shared" si="34"/>
        <v>0.37573630303859001</v>
      </c>
    </row>
    <row r="255" spans="16:35" x14ac:dyDescent="0.3">
      <c r="P255" s="9">
        <v>0.50965387664689288</v>
      </c>
      <c r="Q255" s="9">
        <v>0.22563615503007306</v>
      </c>
      <c r="R255" s="9">
        <v>0.13224171248854746</v>
      </c>
      <c r="S255" s="9">
        <v>0.13246825583448649</v>
      </c>
      <c r="U255" s="9">
        <f t="array" ref="U255">MMULT(TRANSPOSE($B$3:$B$6),TRANSPOSE(P255:S255))</f>
        <v>7.8593206188445411E-2</v>
      </c>
      <c r="V255" s="9">
        <f>INT(200*U255)/200</f>
        <v>7.4999999999999997E-2</v>
      </c>
      <c r="W255" s="9">
        <f t="array" ref="W255">SQRT(MMULT(MMULT(P255:S255,$K$3:$N$6),TRANSPOSE(P255:S255)))</f>
        <v>6.9828082499740055E-2</v>
      </c>
      <c r="Y255" s="31">
        <f>U255/W255</f>
        <v>1.1255243359824179</v>
      </c>
      <c r="AA255" s="9">
        <f t="shared" si="27"/>
        <v>0.26550727276224501</v>
      </c>
      <c r="AB255" s="9">
        <f t="shared" si="28"/>
        <v>0.34151456011777914</v>
      </c>
      <c r="AC255" s="9">
        <f t="shared" si="29"/>
        <v>0.17188795282246175</v>
      </c>
      <c r="AD255" s="9">
        <f t="shared" si="30"/>
        <v>0.22109021429751402</v>
      </c>
      <c r="AE255" s="9"/>
      <c r="AF255" s="9">
        <f t="shared" si="31"/>
        <v>0.52888517918368261</v>
      </c>
      <c r="AG255" s="9">
        <f t="shared" si="32"/>
        <v>0.26225001630117339</v>
      </c>
      <c r="AH255" s="9">
        <f t="shared" si="33"/>
        <v>0.58802773227401495</v>
      </c>
      <c r="AI255" s="9">
        <f t="shared" si="34"/>
        <v>0.36096448484205818</v>
      </c>
    </row>
    <row r="256" spans="16:35" x14ac:dyDescent="0.3">
      <c r="P256" s="9">
        <v>0.30303366479972416</v>
      </c>
      <c r="Q256" s="9">
        <v>0.28603754917718849</v>
      </c>
      <c r="R256" s="9">
        <v>0.23382249457030052</v>
      </c>
      <c r="S256" s="9">
        <v>0.17710629145278681</v>
      </c>
      <c r="U256" s="9">
        <f t="array" ref="U256">MMULT(TRANSPOSE($B$3:$B$6),TRANSPOSE(P256:S256))</f>
        <v>8.9330706060707754E-2</v>
      </c>
      <c r="V256" s="9">
        <f>INT(200*U256)/200</f>
        <v>8.5000000000000006E-2</v>
      </c>
      <c r="W256" s="9">
        <f t="array" ref="W256">SQRT(MMULT(MMULT(P256:S256,$K$3:$N$6),TRANSPOSE(P256:S256)))</f>
        <v>7.9385191663454008E-2</v>
      </c>
      <c r="Y256" s="31">
        <f>U256/W256</f>
        <v>1.1252817331400649</v>
      </c>
      <c r="AA256" s="9">
        <f t="shared" si="27"/>
        <v>0.27029192677765962</v>
      </c>
      <c r="AB256" s="9">
        <f t="shared" si="28"/>
        <v>0.33958474639943675</v>
      </c>
      <c r="AC256" s="9">
        <f t="shared" si="29"/>
        <v>0.16956695940010941</v>
      </c>
      <c r="AD256" s="9">
        <f t="shared" si="30"/>
        <v>0.22055636742279419</v>
      </c>
      <c r="AE256" s="9"/>
      <c r="AF256" s="9">
        <f t="shared" si="31"/>
        <v>0.53012746368315355</v>
      </c>
      <c r="AG256" s="9">
        <f t="shared" si="32"/>
        <v>0.26672087880305523</v>
      </c>
      <c r="AH256" s="9">
        <f t="shared" si="33"/>
        <v>0.60301497398472048</v>
      </c>
      <c r="AI256" s="9">
        <f t="shared" si="34"/>
        <v>0.36141964088775602</v>
      </c>
    </row>
    <row r="257" spans="16:35" x14ac:dyDescent="0.3">
      <c r="P257" s="9">
        <v>8.2660620194861381E-2</v>
      </c>
      <c r="Q257" s="9">
        <v>0.47504876088707731</v>
      </c>
      <c r="R257" s="9">
        <v>0.10867087345398938</v>
      </c>
      <c r="S257" s="9">
        <v>0.33361974546407192</v>
      </c>
      <c r="U257" s="9">
        <f t="array" ref="U257">MMULT(TRANSPOSE($B$3:$B$6),TRANSPOSE(P257:S257))</f>
        <v>0.10503255502745147</v>
      </c>
      <c r="V257" s="9">
        <f>INT(200*U257)/200</f>
        <v>0.105</v>
      </c>
      <c r="W257" s="9">
        <f t="array" ref="W257">SQRT(MMULT(MMULT(P257:S257,$K$3:$N$6),TRANSPOSE(P257:S257)))</f>
        <v>9.3368721854112061E-2</v>
      </c>
      <c r="Y257" s="31">
        <f>U257/W257</f>
        <v>1.1249222752729127</v>
      </c>
      <c r="AA257" s="9">
        <f t="shared" si="27"/>
        <v>0.27763273855414095</v>
      </c>
      <c r="AB257" s="9">
        <f t="shared" si="28"/>
        <v>0.33348229197846818</v>
      </c>
      <c r="AC257" s="9">
        <f t="shared" si="29"/>
        <v>0.17092122874673091</v>
      </c>
      <c r="AD257" s="9">
        <f t="shared" si="30"/>
        <v>0.21796374072065999</v>
      </c>
      <c r="AE257" s="9"/>
      <c r="AF257" s="9">
        <f t="shared" si="31"/>
        <v>0.50101147885991804</v>
      </c>
      <c r="AG257" s="9">
        <f t="shared" si="32"/>
        <v>0.25824977693438311</v>
      </c>
      <c r="AH257" s="9">
        <f t="shared" si="33"/>
        <v>0.59299802695059811</v>
      </c>
      <c r="AI257" s="9">
        <f t="shared" si="34"/>
        <v>0.35304209083311594</v>
      </c>
    </row>
    <row r="258" spans="16:35" x14ac:dyDescent="0.3">
      <c r="P258" s="9">
        <v>0.14126252971203854</v>
      </c>
      <c r="Q258" s="9">
        <v>0.35890773067301834</v>
      </c>
      <c r="R258" s="9">
        <v>0.32060840655431577</v>
      </c>
      <c r="S258" s="9">
        <v>0.17922133306062743</v>
      </c>
      <c r="U258" s="9">
        <f t="array" ref="U258">MMULT(TRANSPOSE($B$3:$B$6),TRANSPOSE(P258:S258))</f>
        <v>9.8408855468488418E-2</v>
      </c>
      <c r="V258" s="9">
        <f>INT(200*U258)/200</f>
        <v>9.5000000000000001E-2</v>
      </c>
      <c r="W258" s="9">
        <f t="array" ref="W258">SQRT(MMULT(MMULT(P258:S258,$K$3:$N$6),TRANSPOSE(P258:S258)))</f>
        <v>8.7528825418182202E-2</v>
      </c>
      <c r="Y258" s="31">
        <f>U258/W258</f>
        <v>1.1243022512677991</v>
      </c>
      <c r="AA258" s="9">
        <f t="shared" si="27"/>
        <v>0.28689743758875758</v>
      </c>
      <c r="AB258" s="9">
        <f t="shared" si="28"/>
        <v>0.33139564053465653</v>
      </c>
      <c r="AC258" s="9">
        <f t="shared" si="29"/>
        <v>0.15710468551995491</v>
      </c>
      <c r="AD258" s="9">
        <f t="shared" si="30"/>
        <v>0.22460223635663099</v>
      </c>
      <c r="AE258" s="9"/>
      <c r="AF258" s="9">
        <f t="shared" si="31"/>
        <v>0.43893643794883236</v>
      </c>
      <c r="AG258" s="9">
        <f t="shared" si="32"/>
        <v>0.25325952649986083</v>
      </c>
      <c r="AH258" s="9">
        <f t="shared" si="33"/>
        <v>0.57308841890065709</v>
      </c>
      <c r="AI258" s="9">
        <f t="shared" si="34"/>
        <v>0.35042288285414108</v>
      </c>
    </row>
    <row r="259" spans="16:35" x14ac:dyDescent="0.3">
      <c r="P259" s="9">
        <v>0.41063502665362922</v>
      </c>
      <c r="Q259" s="9">
        <v>0.32245053865878981</v>
      </c>
      <c r="R259" s="9">
        <v>9.4852079032218704E-4</v>
      </c>
      <c r="S259" s="9">
        <v>0.26596591389725888</v>
      </c>
      <c r="U259" s="9">
        <f t="array" ref="U259">MMULT(TRANSPOSE($B$3:$B$6),TRANSPOSE(P259:S259))</f>
        <v>8.6246256382346911E-2</v>
      </c>
      <c r="V259" s="9">
        <f>INT(200*U259)/200</f>
        <v>8.5000000000000006E-2</v>
      </c>
      <c r="W259" s="9">
        <f t="array" ref="W259">SQRT(MMULT(MMULT(P259:S259,$K$3:$N$6),TRANSPOSE(P259:S259)))</f>
        <v>7.6729036329390807E-2</v>
      </c>
      <c r="Y259" s="31">
        <f>U259/W259</f>
        <v>1.1240367468203243</v>
      </c>
      <c r="AA259" s="9">
        <f t="shared" si="27"/>
        <v>0.29306520795266383</v>
      </c>
      <c r="AB259" s="9">
        <f t="shared" si="28"/>
        <v>0.32743747823420283</v>
      </c>
      <c r="AC259" s="9">
        <f t="shared" si="29"/>
        <v>0.15910448259098042</v>
      </c>
      <c r="AD259" s="9">
        <f t="shared" si="30"/>
        <v>0.22039283122215306</v>
      </c>
      <c r="AE259" s="9"/>
      <c r="AF259" s="9">
        <f t="shared" si="31"/>
        <v>0.42788900703666377</v>
      </c>
      <c r="AG259" s="9">
        <f t="shared" si="32"/>
        <v>0.25988954522734503</v>
      </c>
      <c r="AH259" s="9">
        <f t="shared" si="33"/>
        <v>0.57442369677375316</v>
      </c>
      <c r="AI259" s="9">
        <f t="shared" si="34"/>
        <v>0.36333937057113297</v>
      </c>
    </row>
    <row r="260" spans="16:35" x14ac:dyDescent="0.3">
      <c r="P260" s="9">
        <v>0.19817186057559408</v>
      </c>
      <c r="Q260" s="9">
        <v>0.3535574236573108</v>
      </c>
      <c r="R260" s="9">
        <v>0.19273703414035889</v>
      </c>
      <c r="S260" s="9">
        <v>0.25553368162673629</v>
      </c>
      <c r="U260" s="9">
        <f t="array" ref="U260">MMULT(TRANSPOSE($B$3:$B$6),TRANSPOSE(P260:S260))</f>
        <v>9.6123378475020144E-2</v>
      </c>
      <c r="V260" s="9">
        <f>INT(200*U260)/200</f>
        <v>9.5000000000000001E-2</v>
      </c>
      <c r="W260" s="9">
        <f t="array" ref="W260">SQRT(MMULT(MMULT(P260:S260,$K$3:$N$6),TRANSPOSE(P260:S260)))</f>
        <v>8.5519521728804324E-2</v>
      </c>
      <c r="Y260" s="31">
        <f>U260/W260</f>
        <v>1.1239934056207925</v>
      </c>
      <c r="AA260" s="9">
        <f t="shared" si="27"/>
        <v>0.29856850454854972</v>
      </c>
      <c r="AB260" s="9">
        <f t="shared" si="28"/>
        <v>0.32575904903616604</v>
      </c>
      <c r="AC260" s="9">
        <f t="shared" si="29"/>
        <v>0.15494835905169863</v>
      </c>
      <c r="AD260" s="9">
        <f t="shared" si="30"/>
        <v>0.2207240873635857</v>
      </c>
      <c r="AE260" s="9"/>
      <c r="AF260" s="9">
        <f t="shared" si="31"/>
        <v>0.41521697751097303</v>
      </c>
      <c r="AG260" s="9">
        <f t="shared" si="32"/>
        <v>0.25933838303005935</v>
      </c>
      <c r="AH260" s="9">
        <f t="shared" si="33"/>
        <v>0.60806058596147128</v>
      </c>
      <c r="AI260" s="9">
        <f t="shared" si="34"/>
        <v>0.36399782726855018</v>
      </c>
    </row>
    <row r="261" spans="16:35" x14ac:dyDescent="0.3">
      <c r="P261" s="9">
        <v>0.44223011305221455</v>
      </c>
      <c r="Q261" s="9">
        <v>0.28139080922733112</v>
      </c>
      <c r="R261" s="9">
        <v>4.2609062061652971E-2</v>
      </c>
      <c r="S261" s="9">
        <v>0.23377001565880129</v>
      </c>
      <c r="U261" s="9">
        <f t="array" ref="U261">MMULT(TRANSPOSE($B$3:$B$6),TRANSPOSE(P261:S261))</f>
        <v>8.3527786652502795E-2</v>
      </c>
      <c r="V261" s="9">
        <f>INT(200*U261)/200</f>
        <v>0.08</v>
      </c>
      <c r="W261" s="9">
        <f t="array" ref="W261">SQRT(MMULT(MMULT(P261:S261,$K$3:$N$6),TRANSPOSE(P261:S261)))</f>
        <v>7.4319755874891827E-2</v>
      </c>
      <c r="Y261" s="31">
        <f>U261/W261</f>
        <v>1.1238974841778484</v>
      </c>
      <c r="AA261" s="9">
        <f t="shared" si="27"/>
        <v>0.29231213500053665</v>
      </c>
      <c r="AB261" s="9">
        <f t="shared" si="28"/>
        <v>0.32820970693771401</v>
      </c>
      <c r="AC261" s="9">
        <f t="shared" si="29"/>
        <v>0.157961308827024</v>
      </c>
      <c r="AD261" s="9">
        <f t="shared" si="30"/>
        <v>0.22151684923472539</v>
      </c>
      <c r="AE261" s="9"/>
      <c r="AF261" s="9">
        <f t="shared" si="31"/>
        <v>0.43343818470057116</v>
      </c>
      <c r="AG261" s="9">
        <f t="shared" si="32"/>
        <v>0.25631747670711175</v>
      </c>
      <c r="AH261" s="9">
        <f t="shared" si="33"/>
        <v>0.63962970880995129</v>
      </c>
      <c r="AI261" s="9">
        <f t="shared" si="34"/>
        <v>0.35576747955180638</v>
      </c>
    </row>
    <row r="262" spans="16:35" x14ac:dyDescent="0.3">
      <c r="P262" s="9">
        <v>0.41115384789068304</v>
      </c>
      <c r="Q262" s="9">
        <v>0.2441497332271807</v>
      </c>
      <c r="R262" s="9">
        <v>0.20027515605669313</v>
      </c>
      <c r="S262" s="9">
        <v>0.14442126282544318</v>
      </c>
      <c r="U262" s="9">
        <f t="array" ref="U262">MMULT(TRANSPOSE($B$3:$B$6),TRANSPOSE(P262:S262))</f>
        <v>8.336007278098985E-2</v>
      </c>
      <c r="V262" s="9">
        <f>INT(200*U262)/200</f>
        <v>0.08</v>
      </c>
      <c r="W262" s="9">
        <f t="array" ref="W262">SQRT(MMULT(MMULT(P262:S262,$K$3:$N$6),TRANSPOSE(P262:S262)))</f>
        <v>7.4190273125681563E-2</v>
      </c>
      <c r="Y262" s="31">
        <f>U262/W262</f>
        <v>1.1235984081063328</v>
      </c>
      <c r="AA262" s="9">
        <f t="shared" si="27"/>
        <v>0.29936452976480427</v>
      </c>
      <c r="AB262" s="9">
        <f t="shared" si="28"/>
        <v>0.32504772350808608</v>
      </c>
      <c r="AC262" s="9">
        <f t="shared" si="29"/>
        <v>0.15456341325094258</v>
      </c>
      <c r="AD262" s="9">
        <f t="shared" si="30"/>
        <v>0.22102433347616715</v>
      </c>
      <c r="AE262" s="9"/>
      <c r="AF262" s="9">
        <f t="shared" si="31"/>
        <v>0.4164597540308651</v>
      </c>
      <c r="AG262" s="9">
        <f t="shared" si="32"/>
        <v>0.25725605857811074</v>
      </c>
      <c r="AH262" s="9">
        <f t="shared" si="33"/>
        <v>0.65849073663132618</v>
      </c>
      <c r="AI262" s="9">
        <f t="shared" si="34"/>
        <v>0.35529012265291038</v>
      </c>
    </row>
    <row r="263" spans="16:35" x14ac:dyDescent="0.3">
      <c r="P263" s="9">
        <v>1.281149900274413E-2</v>
      </c>
      <c r="Q263" s="9">
        <v>0.5888870322321218</v>
      </c>
      <c r="R263" s="9">
        <v>2.4181698026317592E-2</v>
      </c>
      <c r="S263" s="9">
        <v>0.37411977073881642</v>
      </c>
      <c r="U263" s="9">
        <f t="array" ref="U263">MMULT(TRANSPOSE($B$3:$B$6),TRANSPOSE(P263:S263))</f>
        <v>0.11164387747535214</v>
      </c>
      <c r="V263" s="9">
        <f>INT(200*U263)/200</f>
        <v>0.11</v>
      </c>
      <c r="W263" s="9">
        <f t="array" ref="W263">SQRT(MMULT(MMULT(P263:S263,$K$3:$N$6),TRANSPOSE(P263:S263)))</f>
        <v>9.9410669862828899E-2</v>
      </c>
      <c r="Y263" s="31">
        <f>U263/W263</f>
        <v>1.1230572898201283</v>
      </c>
      <c r="AA263" s="9">
        <f t="shared" si="27"/>
        <v>0.28614312426859401</v>
      </c>
      <c r="AB263" s="9">
        <f t="shared" si="28"/>
        <v>0.33054512768154143</v>
      </c>
      <c r="AC263" s="9">
        <f t="shared" si="29"/>
        <v>0.16326509791820984</v>
      </c>
      <c r="AD263" s="9">
        <f t="shared" si="30"/>
        <v>0.22004665013165473</v>
      </c>
      <c r="AE263" s="9"/>
      <c r="AF263" s="9">
        <f t="shared" si="31"/>
        <v>0.44808341579376926</v>
      </c>
      <c r="AG263" s="9">
        <f t="shared" si="32"/>
        <v>0.24879786972178822</v>
      </c>
      <c r="AH263" s="9">
        <f t="shared" si="33"/>
        <v>0.7027156634876085</v>
      </c>
      <c r="AI263" s="9">
        <f t="shared" si="34"/>
        <v>0.36283812464929371</v>
      </c>
    </row>
    <row r="264" spans="16:35" x14ac:dyDescent="0.3">
      <c r="P264" s="9">
        <v>0.3794640516922772</v>
      </c>
      <c r="Q264" s="9">
        <v>0.25246905694085514</v>
      </c>
      <c r="R264" s="9">
        <v>0.23387238478306396</v>
      </c>
      <c r="S264" s="9">
        <v>0.13419450658380372</v>
      </c>
      <c r="U264" s="9">
        <f t="array" ref="U264">MMULT(TRANSPOSE($B$3:$B$6),TRANSPOSE(P264:S264))</f>
        <v>8.4915471350333366E-2</v>
      </c>
      <c r="V264" s="9">
        <f>INT(200*U264)/200</f>
        <v>0.08</v>
      </c>
      <c r="W264" s="9">
        <f t="array" ref="W264">SQRT(MMULT(MMULT(P264:S264,$K$3:$N$6),TRANSPOSE(P264:S264)))</f>
        <v>7.5612847610906003E-2</v>
      </c>
      <c r="Y264" s="31">
        <f>U264/W264</f>
        <v>1.1230296706625502</v>
      </c>
      <c r="AA264" s="9">
        <f t="shared" si="27"/>
        <v>0.28380140284232042</v>
      </c>
      <c r="AB264" s="9">
        <f t="shared" si="28"/>
        <v>0.33300909074653806</v>
      </c>
      <c r="AC264" s="9">
        <f t="shared" si="29"/>
        <v>0.15746036374811673</v>
      </c>
      <c r="AD264" s="9">
        <f t="shared" si="30"/>
        <v>0.2257291426630248</v>
      </c>
      <c r="AE264" s="9"/>
      <c r="AF264" s="9">
        <f t="shared" si="31"/>
        <v>0.44990078072837431</v>
      </c>
      <c r="AG264" s="9">
        <f t="shared" si="32"/>
        <v>0.24362552505088306</v>
      </c>
      <c r="AH264" s="9">
        <f t="shared" si="33"/>
        <v>0.72058260388954987</v>
      </c>
      <c r="AI264" s="9">
        <f t="shared" si="34"/>
        <v>0.34822229404824917</v>
      </c>
    </row>
    <row r="265" spans="16:35" x14ac:dyDescent="0.3">
      <c r="P265" s="9">
        <v>0.29668368991079025</v>
      </c>
      <c r="Q265" s="9">
        <v>0.32928443144273339</v>
      </c>
      <c r="R265" s="9">
        <v>0.10240662865143696</v>
      </c>
      <c r="S265" s="9">
        <v>0.2716252499950394</v>
      </c>
      <c r="U265" s="9">
        <f t="array" ref="U265">MMULT(TRANSPOSE($B$3:$B$6),TRANSPOSE(P265:S265))</f>
        <v>9.1280128350240616E-2</v>
      </c>
      <c r="V265" s="9">
        <f>INT(200*U265)/200</f>
        <v>0.09</v>
      </c>
      <c r="W265" s="9">
        <f t="array" ref="W265">SQRT(MMULT(MMULT(P265:S265,$K$3:$N$6),TRANSPOSE(P265:S265)))</f>
        <v>8.1327656685526814E-2</v>
      </c>
      <c r="Y265" s="31">
        <f>U265/W265</f>
        <v>1.1223749960385243</v>
      </c>
      <c r="AA265" s="9">
        <f t="shared" si="27"/>
        <v>0.28241290230917832</v>
      </c>
      <c r="AB265" s="9">
        <f t="shared" si="28"/>
        <v>0.33246880171577625</v>
      </c>
      <c r="AC265" s="9">
        <f t="shared" si="29"/>
        <v>0.15991446661774986</v>
      </c>
      <c r="AD265" s="9">
        <f t="shared" si="30"/>
        <v>0.22520382935729555</v>
      </c>
      <c r="AE265" s="9"/>
      <c r="AF265" s="9">
        <f t="shared" si="31"/>
        <v>0.45168177985860586</v>
      </c>
      <c r="AG265" s="9">
        <f t="shared" si="32"/>
        <v>0.24414849804921038</v>
      </c>
      <c r="AH265" s="9">
        <f t="shared" si="33"/>
        <v>0.70298613509107744</v>
      </c>
      <c r="AI265" s="9">
        <f t="shared" si="34"/>
        <v>0.34774797208851632</v>
      </c>
    </row>
    <row r="266" spans="16:35" x14ac:dyDescent="0.3">
      <c r="P266" s="9">
        <v>0.39907254007521836</v>
      </c>
      <c r="Q266" s="9">
        <v>0.27529733121160416</v>
      </c>
      <c r="R266" s="9">
        <v>9.7277055931905887E-2</v>
      </c>
      <c r="S266" s="9">
        <v>0.22835307278127162</v>
      </c>
      <c r="U266" s="9">
        <f t="array" ref="U266">MMULT(TRANSPOSE($B$3:$B$6),TRANSPOSE(P266:S266))</f>
        <v>8.513827604473323E-2</v>
      </c>
      <c r="V266" s="9">
        <f>INT(200*U266)/200</f>
        <v>8.5000000000000006E-2</v>
      </c>
      <c r="W266" s="9">
        <f t="array" ref="W266">SQRT(MMULT(MMULT(P266:S266,$K$3:$N$6),TRANSPOSE(P266:S266)))</f>
        <v>7.586777364013525E-2</v>
      </c>
      <c r="Y266" s="31">
        <f>U266/W266</f>
        <v>1.1221928884926937</v>
      </c>
      <c r="AA266" s="9">
        <f t="shared" si="27"/>
        <v>0.26965321455052227</v>
      </c>
      <c r="AB266" s="9">
        <f t="shared" si="28"/>
        <v>0.33689218066978155</v>
      </c>
      <c r="AC266" s="9">
        <f t="shared" si="29"/>
        <v>0.16347157821190181</v>
      </c>
      <c r="AD266" s="9">
        <f t="shared" si="30"/>
        <v>0.22998302656779435</v>
      </c>
      <c r="AE266" s="9"/>
      <c r="AF266" s="9">
        <f t="shared" si="31"/>
        <v>0.43250566044325089</v>
      </c>
      <c r="AG266" s="9">
        <f t="shared" si="32"/>
        <v>0.23006532803323659</v>
      </c>
      <c r="AH266" s="9">
        <f t="shared" si="33"/>
        <v>0.68929268249766817</v>
      </c>
      <c r="AI266" s="9">
        <f t="shared" si="34"/>
        <v>0.32776036223309568</v>
      </c>
    </row>
    <row r="267" spans="16:35" x14ac:dyDescent="0.3">
      <c r="P267" s="9">
        <v>0.274251677722195</v>
      </c>
      <c r="Q267" s="9">
        <v>0.33385064705902223</v>
      </c>
      <c r="R267" s="9">
        <v>0.12035516282924473</v>
      </c>
      <c r="S267" s="9">
        <v>0.27154251238953814</v>
      </c>
      <c r="U267" s="9">
        <f t="array" ref="U267">MMULT(TRANSPOSE($B$3:$B$6),TRANSPOSE(P267:S267))</f>
        <v>9.2366316373636931E-2</v>
      </c>
      <c r="V267" s="9">
        <f>INT(200*U267)/200</f>
        <v>0.09</v>
      </c>
      <c r="W267" s="9">
        <f t="array" ref="W267">SQRT(MMULT(MMULT(P267:S267,$K$3:$N$6),TRANSPOSE(P267:S267)))</f>
        <v>8.2351634214395605E-2</v>
      </c>
      <c r="Y267" s="31">
        <f>U267/W267</f>
        <v>1.121608784753062</v>
      </c>
      <c r="AA267" s="9">
        <f t="shared" si="27"/>
        <v>0.27280647957483972</v>
      </c>
      <c r="AB267" s="9">
        <f t="shared" si="28"/>
        <v>0.33538243742408647</v>
      </c>
      <c r="AC267" s="9">
        <f t="shared" si="29"/>
        <v>0.16240633721143341</v>
      </c>
      <c r="AD267" s="9">
        <f t="shared" si="30"/>
        <v>0.22940474578964049</v>
      </c>
      <c r="AE267" s="9"/>
      <c r="AF267" s="9">
        <f t="shared" si="31"/>
        <v>0.43420902529857552</v>
      </c>
      <c r="AG267" s="9">
        <f t="shared" si="32"/>
        <v>0.2350885440154179</v>
      </c>
      <c r="AH267" s="9">
        <f t="shared" si="33"/>
        <v>0.6901553692770257</v>
      </c>
      <c r="AI267" s="9">
        <f t="shared" si="34"/>
        <v>0.33063989976649022</v>
      </c>
    </row>
    <row r="268" spans="16:35" x14ac:dyDescent="0.3">
      <c r="P268" s="9">
        <v>0.20017804201941447</v>
      </c>
      <c r="Q268" s="9">
        <v>0.39561820389595626</v>
      </c>
      <c r="R268" s="9">
        <v>9.361681242804766E-2</v>
      </c>
      <c r="S268" s="9">
        <v>0.31058694165658163</v>
      </c>
      <c r="U268" s="9">
        <f t="array" ref="U268">MMULT(TRANSPOSE($B$3:$B$6),TRANSPOSE(P268:S268))</f>
        <v>9.7540152435188529E-2</v>
      </c>
      <c r="V268" s="9">
        <f>INT(200*U268)/200</f>
        <v>9.5000000000000001E-2</v>
      </c>
      <c r="W268" s="9">
        <f t="array" ref="W268">SQRT(MMULT(MMULT(P268:S268,$K$3:$N$6),TRANSPOSE(P268:S268)))</f>
        <v>8.6973990739256615E-2</v>
      </c>
      <c r="Y268" s="31">
        <f>U268/W268</f>
        <v>1.1214864536641616</v>
      </c>
      <c r="AA268" s="9">
        <f t="shared" si="27"/>
        <v>0.27694239856574671</v>
      </c>
      <c r="AB268" s="9">
        <f t="shared" si="28"/>
        <v>0.3288544205419987</v>
      </c>
      <c r="AC268" s="9">
        <f t="shared" si="29"/>
        <v>0.17477676007071358</v>
      </c>
      <c r="AD268" s="9">
        <f t="shared" si="30"/>
        <v>0.2194264208215411</v>
      </c>
      <c r="AE268" s="9"/>
      <c r="AF268" s="9">
        <f t="shared" si="31"/>
        <v>0.40755259405413441</v>
      </c>
      <c r="AG268" s="9">
        <f t="shared" si="32"/>
        <v>0.21921027739846041</v>
      </c>
      <c r="AH268" s="9">
        <f t="shared" si="33"/>
        <v>0.68613282562809241</v>
      </c>
      <c r="AI268" s="9">
        <f t="shared" si="34"/>
        <v>0.34287444538124123</v>
      </c>
    </row>
    <row r="269" spans="16:35" x14ac:dyDescent="0.3">
      <c r="P269" s="9">
        <v>0.34445173949662605</v>
      </c>
      <c r="Q269" s="9">
        <v>0.26409502917491401</v>
      </c>
      <c r="R269" s="9">
        <v>0.23779221018249008</v>
      </c>
      <c r="S269" s="9">
        <v>0.15366102114596991</v>
      </c>
      <c r="U269" s="9">
        <f t="array" ref="U269">MMULT(TRANSPOSE($B$3:$B$6),TRANSPOSE(P269:S269))</f>
        <v>8.6821357068326249E-2</v>
      </c>
      <c r="V269" s="9">
        <f>INT(200*U269)/200</f>
        <v>8.5000000000000006E-2</v>
      </c>
      <c r="W269" s="9">
        <f t="array" ref="W269">SQRT(MMULT(MMULT(P269:S269,$K$3:$N$6),TRANSPOSE(P269:S269)))</f>
        <v>7.74376403291199E-2</v>
      </c>
      <c r="Y269" s="31">
        <f>U269/W269</f>
        <v>1.1211777205416429</v>
      </c>
      <c r="AA269" s="9">
        <f t="shared" si="27"/>
        <v>0.28646002602243331</v>
      </c>
      <c r="AB269" s="9">
        <f t="shared" si="28"/>
        <v>0.3247386883664265</v>
      </c>
      <c r="AC269" s="9">
        <f t="shared" si="29"/>
        <v>0.16807436883632546</v>
      </c>
      <c r="AD269" s="9">
        <f t="shared" si="30"/>
        <v>0.22072691677481476</v>
      </c>
      <c r="AE269" s="9"/>
      <c r="AF269" s="9">
        <f t="shared" si="31"/>
        <v>0.38128706029983128</v>
      </c>
      <c r="AG269" s="9">
        <f t="shared" si="32"/>
        <v>0.22402899606766563</v>
      </c>
      <c r="AH269" s="9">
        <f t="shared" si="33"/>
        <v>0.68542541656874278</v>
      </c>
      <c r="AI269" s="9">
        <f t="shared" si="34"/>
        <v>0.33861027630192231</v>
      </c>
    </row>
    <row r="270" spans="16:35" x14ac:dyDescent="0.3">
      <c r="P270" s="9">
        <v>0.32277429676660774</v>
      </c>
      <c r="Q270" s="9">
        <v>0.33859965099628803</v>
      </c>
      <c r="R270" s="9">
        <v>5.3317548736089695E-2</v>
      </c>
      <c r="S270" s="9">
        <v>0.28530850350101461</v>
      </c>
      <c r="U270" s="9">
        <f t="array" ref="U270">MMULT(TRANSPOSE($B$3:$B$6),TRANSPOSE(P270:S270))</f>
        <v>9.0518597681192248E-2</v>
      </c>
      <c r="V270" s="9">
        <f>INT(200*U270)/200</f>
        <v>0.09</v>
      </c>
      <c r="W270" s="9">
        <f t="array" ref="W270">SQRT(MMULT(MMULT(P270:S270,$K$3:$N$6),TRANSPOSE(P270:S270)))</f>
        <v>8.074128269228982E-2</v>
      </c>
      <c r="Y270" s="31">
        <f>U270/W270</f>
        <v>1.1210943728273974</v>
      </c>
      <c r="AA270" s="9">
        <f t="shared" ref="AA270:AA333" si="35">AVERAGE(P260:P280)</f>
        <v>0.27296869622256509</v>
      </c>
      <c r="AB270" s="9">
        <f t="shared" ref="AB270:AB333" si="36">AVERAGE(Q260:Q280)</f>
        <v>0.32656385759912993</v>
      </c>
      <c r="AC270" s="9">
        <f t="shared" ref="AC270:AC333" si="37">AVERAGE(R260:R280)</f>
        <v>0.18743118546414345</v>
      </c>
      <c r="AD270" s="9">
        <f t="shared" ref="AD270:AD333" si="38">AVERAGE(S260:S280)</f>
        <v>0.21303626071416154</v>
      </c>
      <c r="AE270" s="9"/>
      <c r="AF270" s="9">
        <f t="shared" ref="AF270:AF333" si="39">STDEV(P260:P280)/AA270</f>
        <v>0.40520196455240276</v>
      </c>
      <c r="AG270" s="9">
        <f t="shared" ref="AG270:AG333" si="40">STDEV(Q260:Q280)/AB270</f>
        <v>0.22406089701597154</v>
      </c>
      <c r="AH270" s="9">
        <f t="shared" ref="AH270:AH333" si="41">STDEV(R260:R280)/AC270</f>
        <v>0.63904376797233098</v>
      </c>
      <c r="AI270" s="9">
        <f t="shared" ref="AI270:AI333" si="42">STDEV(S260:S280)/AD270</f>
        <v>0.36654297195070501</v>
      </c>
    </row>
    <row r="271" spans="16:35" x14ac:dyDescent="0.3">
      <c r="P271" s="9">
        <v>0.17769023501639394</v>
      </c>
      <c r="Q271" s="9">
        <v>0.34105480770659286</v>
      </c>
      <c r="R271" s="9">
        <v>0.39851493539794119</v>
      </c>
      <c r="S271" s="9">
        <v>8.2740021879071965E-2</v>
      </c>
      <c r="U271" s="9">
        <f t="array" ref="U271">MMULT(TRANSPOSE($B$3:$B$6),TRANSPOSE(P271:S271))</f>
        <v>9.5970070131692606E-2</v>
      </c>
      <c r="V271" s="9">
        <f>INT(200*U271)/200</f>
        <v>9.5000000000000001E-2</v>
      </c>
      <c r="W271" s="9">
        <f t="array" ref="W271">SQRT(MMULT(MMULT(P271:S271,$K$3:$N$6),TRANSPOSE(P271:S271)))</f>
        <v>8.5622582560955993E-2</v>
      </c>
      <c r="Y271" s="31">
        <f>U271/W271</f>
        <v>1.1208499821103863</v>
      </c>
      <c r="AA271" s="9">
        <f t="shared" si="35"/>
        <v>0.28223068464708168</v>
      </c>
      <c r="AB271" s="9">
        <f t="shared" si="36"/>
        <v>0.32412811949225295</v>
      </c>
      <c r="AC271" s="9">
        <f t="shared" si="37"/>
        <v>0.18016769293912105</v>
      </c>
      <c r="AD271" s="9">
        <f t="shared" si="38"/>
        <v>0.21347350292154432</v>
      </c>
      <c r="AE271" s="9"/>
      <c r="AF271" s="9">
        <f t="shared" si="39"/>
        <v>0.39741810993641402</v>
      </c>
      <c r="AG271" s="9">
        <f t="shared" si="40"/>
        <v>0.22546019781439702</v>
      </c>
      <c r="AH271" s="9">
        <f t="shared" si="41"/>
        <v>0.6881908091523089</v>
      </c>
      <c r="AI271" s="9">
        <f t="shared" si="42"/>
        <v>0.36708080888819605</v>
      </c>
    </row>
    <row r="272" spans="16:35" x14ac:dyDescent="0.3">
      <c r="P272" s="9">
        <v>0.33550155246229413</v>
      </c>
      <c r="Q272" s="9">
        <v>0.30619518594679396</v>
      </c>
      <c r="R272" s="9">
        <v>9.9499352873864036E-2</v>
      </c>
      <c r="S272" s="9">
        <v>0.25880390871704789</v>
      </c>
      <c r="U272" s="9">
        <f t="array" ref="U272">MMULT(TRANSPOSE($B$3:$B$6),TRANSPOSE(P272:S272))</f>
        <v>8.8883612995403261E-2</v>
      </c>
      <c r="V272" s="9">
        <f>INT(200*U272)/200</f>
        <v>8.5000000000000006E-2</v>
      </c>
      <c r="W272" s="9">
        <f t="array" ref="W272">SQRT(MMULT(MMULT(P272:S272,$K$3:$N$6),TRANSPOSE(P272:S272)))</f>
        <v>7.9363285606037601E-2</v>
      </c>
      <c r="Y272" s="31">
        <f>U272/W272</f>
        <v>1.1199588363393236</v>
      </c>
      <c r="AA272" s="9">
        <f t="shared" si="35"/>
        <v>0.26735073615902472</v>
      </c>
      <c r="AB272" s="9">
        <f t="shared" si="36"/>
        <v>0.32906480846896791</v>
      </c>
      <c r="AC272" s="9">
        <f t="shared" si="37"/>
        <v>0.18818538955215511</v>
      </c>
      <c r="AD272" s="9">
        <f t="shared" si="38"/>
        <v>0.21539906581985235</v>
      </c>
      <c r="AE272" s="9"/>
      <c r="AF272" s="9">
        <f t="shared" si="39"/>
        <v>0.41366062898277478</v>
      </c>
      <c r="AG272" s="9">
        <f t="shared" si="40"/>
        <v>0.22350227073016796</v>
      </c>
      <c r="AH272" s="9">
        <f t="shared" si="41"/>
        <v>0.63783097315697956</v>
      </c>
      <c r="AI272" s="9">
        <f t="shared" si="42"/>
        <v>0.36850653097148606</v>
      </c>
    </row>
    <row r="273" spans="16:35" x14ac:dyDescent="0.3">
      <c r="P273" s="9">
        <v>0.12166128889771</v>
      </c>
      <c r="Q273" s="9">
        <v>0.36567024919210173</v>
      </c>
      <c r="R273" s="9">
        <v>0.40371975019579837</v>
      </c>
      <c r="S273" s="9">
        <v>0.10894871171438991</v>
      </c>
      <c r="U273" s="9">
        <f t="array" ref="U273">MMULT(TRANSPOSE($B$3:$B$6),TRANSPOSE(P273:S273))</f>
        <v>9.9187850019193044E-2</v>
      </c>
      <c r="V273" s="9">
        <f>INT(200*U273)/200</f>
        <v>9.5000000000000001E-2</v>
      </c>
      <c r="W273" s="9">
        <f t="array" ref="W273">SQRT(MMULT(MMULT(P273:S273,$K$3:$N$6),TRANSPOSE(P273:S273)))</f>
        <v>8.8583372423486462E-2</v>
      </c>
      <c r="Y273" s="31">
        <f>U273/W273</f>
        <v>1.1197118297213866</v>
      </c>
      <c r="AA273" s="9">
        <f t="shared" si="35"/>
        <v>0.25915253890811174</v>
      </c>
      <c r="AB273" s="9">
        <f t="shared" si="36"/>
        <v>0.33183055554390212</v>
      </c>
      <c r="AC273" s="9">
        <f t="shared" si="37"/>
        <v>0.19386949473453119</v>
      </c>
      <c r="AD273" s="9">
        <f t="shared" si="38"/>
        <v>0.21514741081345506</v>
      </c>
      <c r="AE273" s="9"/>
      <c r="AF273" s="9">
        <f t="shared" si="39"/>
        <v>0.40775615438458745</v>
      </c>
      <c r="AG273" s="9">
        <f t="shared" si="40"/>
        <v>0.21471808735316855</v>
      </c>
      <c r="AH273" s="9">
        <f t="shared" si="41"/>
        <v>0.63656405294154816</v>
      </c>
      <c r="AI273" s="9">
        <f t="shared" si="42"/>
        <v>0.37007298652167792</v>
      </c>
    </row>
    <row r="274" spans="16:35" x14ac:dyDescent="0.3">
      <c r="P274" s="9">
        <v>0.28814680865162484</v>
      </c>
      <c r="Q274" s="9">
        <v>0.32262144517498026</v>
      </c>
      <c r="R274" s="9">
        <v>0.12310735457978486</v>
      </c>
      <c r="S274" s="9">
        <v>0.2661243915936099</v>
      </c>
      <c r="U274" s="9">
        <f t="array" ref="U274">MMULT(TRANSPOSE($B$3:$B$6),TRANSPOSE(P274:S274))</f>
        <v>9.1413782109546857E-2</v>
      </c>
      <c r="V274" s="9">
        <f>INT(200*U274)/200</f>
        <v>0.09</v>
      </c>
      <c r="W274" s="9">
        <f t="array" ref="W274">SQRT(MMULT(MMULT(P274:S274,$K$3:$N$6),TRANSPOSE(P274:S274)))</f>
        <v>8.1657393874411538E-2</v>
      </c>
      <c r="Y274" s="31">
        <f>U274/W274</f>
        <v>1.1194795446220163</v>
      </c>
      <c r="AA274" s="9">
        <f t="shared" si="35"/>
        <v>0.27056602549340047</v>
      </c>
      <c r="AB274" s="9">
        <f t="shared" si="36"/>
        <v>0.31884709237022535</v>
      </c>
      <c r="AC274" s="9">
        <f t="shared" si="37"/>
        <v>0.20160759460453098</v>
      </c>
      <c r="AD274" s="9">
        <f t="shared" si="38"/>
        <v>0.20897928753184325</v>
      </c>
      <c r="AE274" s="9"/>
      <c r="AF274" s="9">
        <f t="shared" si="39"/>
        <v>0.33052691138863177</v>
      </c>
      <c r="AG274" s="9">
        <f t="shared" si="40"/>
        <v>0.12575847093624576</v>
      </c>
      <c r="AH274" s="9">
        <f t="shared" si="41"/>
        <v>0.58120643219741797</v>
      </c>
      <c r="AI274" s="9">
        <f t="shared" si="42"/>
        <v>0.34103028352921033</v>
      </c>
    </row>
    <row r="275" spans="16:35" x14ac:dyDescent="0.3">
      <c r="P275" s="9">
        <v>0.27918198725321097</v>
      </c>
      <c r="Q275" s="9">
        <v>0.32102306451936791</v>
      </c>
      <c r="R275" s="9">
        <v>0.13862964424058102</v>
      </c>
      <c r="S275" s="9">
        <v>0.26116530398684012</v>
      </c>
      <c r="U275" s="9">
        <f t="array" ref="U275">MMULT(TRANSPOSE($B$3:$B$6),TRANSPOSE(P275:S275))</f>
        <v>9.1724058624673338E-2</v>
      </c>
      <c r="V275" s="9">
        <f>INT(200*U275)/200</f>
        <v>0.09</v>
      </c>
      <c r="W275" s="9">
        <f t="array" ref="W275">SQRT(MMULT(MMULT(P275:S275,$K$3:$N$6),TRANSPOSE(P275:S275)))</f>
        <v>8.1963805709496296E-2</v>
      </c>
      <c r="Y275" s="31">
        <f>U275/W275</f>
        <v>1.1190800357632273</v>
      </c>
      <c r="AA275" s="9">
        <f t="shared" si="35"/>
        <v>0.26112489050478593</v>
      </c>
      <c r="AB275" s="9">
        <f t="shared" si="36"/>
        <v>0.32250750492842606</v>
      </c>
      <c r="AC275" s="9">
        <f t="shared" si="37"/>
        <v>0.206912463358497</v>
      </c>
      <c r="AD275" s="9">
        <f t="shared" si="38"/>
        <v>0.20945514120829098</v>
      </c>
      <c r="AE275" s="9"/>
      <c r="AF275" s="9">
        <f t="shared" si="39"/>
        <v>0.33627139268410722</v>
      </c>
      <c r="AG275" s="9">
        <f t="shared" si="40"/>
        <v>0.11514256499358884</v>
      </c>
      <c r="AH275" s="9">
        <f t="shared" si="41"/>
        <v>0.58557747166602425</v>
      </c>
      <c r="AI275" s="9">
        <f t="shared" si="42"/>
        <v>0.33790349457502389</v>
      </c>
    </row>
    <row r="276" spans="16:35" x14ac:dyDescent="0.3">
      <c r="P276" s="9">
        <v>0.2417004337151161</v>
      </c>
      <c r="Q276" s="9">
        <v>0.31852711306418519</v>
      </c>
      <c r="R276" s="9">
        <v>0.20694105596573867</v>
      </c>
      <c r="S276" s="9">
        <v>0.23283139725496008</v>
      </c>
      <c r="U276" s="9">
        <f t="array" ref="U276">MMULT(TRANSPOSE($B$3:$B$6),TRANSPOSE(P276:S276))</f>
        <v>9.3123082146733899E-2</v>
      </c>
      <c r="V276" s="9">
        <f>INT(200*U276)/200</f>
        <v>0.09</v>
      </c>
      <c r="W276" s="9">
        <f t="array" ref="W276">SQRT(MMULT(MMULT(P276:S276,$K$3:$N$6),TRANSPOSE(P276:S276)))</f>
        <v>8.3276613217992748E-2</v>
      </c>
      <c r="Y276" s="31">
        <f>U276/W276</f>
        <v>1.1182381048922596</v>
      </c>
      <c r="AA276" s="9">
        <f t="shared" si="35"/>
        <v>0.2675315512012747</v>
      </c>
      <c r="AB276" s="9">
        <f t="shared" si="36"/>
        <v>0.32035387634314416</v>
      </c>
      <c r="AC276" s="9">
        <f t="shared" si="37"/>
        <v>0.20372152646767186</v>
      </c>
      <c r="AD276" s="9">
        <f t="shared" si="38"/>
        <v>0.20839304598790928</v>
      </c>
      <c r="AE276" s="9"/>
      <c r="AF276" s="9">
        <f t="shared" si="39"/>
        <v>0.35560451756832473</v>
      </c>
      <c r="AG276" s="9">
        <f t="shared" si="40"/>
        <v>0.11868904936579297</v>
      </c>
      <c r="AH276" s="9">
        <f t="shared" si="41"/>
        <v>0.61298654813920539</v>
      </c>
      <c r="AI276" s="9">
        <f t="shared" si="42"/>
        <v>0.33570533522444618</v>
      </c>
    </row>
    <row r="277" spans="16:35" x14ac:dyDescent="0.3">
      <c r="P277" s="9">
        <v>0.36925223031039045</v>
      </c>
      <c r="Q277" s="9">
        <v>0.25433294101759096</v>
      </c>
      <c r="R277" s="9">
        <v>0.21145243356046384</v>
      </c>
      <c r="S277" s="9">
        <v>0.16496239511155486</v>
      </c>
      <c r="U277" s="9">
        <f t="array" ref="U277">MMULT(TRANSPOSE($B$3:$B$6),TRANSPOSE(P277:S277))</f>
        <v>8.5515575882131351E-2</v>
      </c>
      <c r="V277" s="9">
        <f>INT(200*U277)/200</f>
        <v>8.5000000000000006E-2</v>
      </c>
      <c r="W277" s="9">
        <f t="array" ref="W277">SQRT(MMULT(MMULT(P277:S277,$K$3:$N$6),TRANSPOSE(P277:S277)))</f>
        <v>7.6487607254654991E-2</v>
      </c>
      <c r="Y277" s="31">
        <f>U277/W277</f>
        <v>1.1180317825529431</v>
      </c>
      <c r="AA277" s="9">
        <f t="shared" si="35"/>
        <v>0.25809669902500953</v>
      </c>
      <c r="AB277" s="9">
        <f t="shared" si="36"/>
        <v>0.32264850492428671</v>
      </c>
      <c r="AC277" s="9">
        <f t="shared" si="37"/>
        <v>0.21233722371343777</v>
      </c>
      <c r="AD277" s="9">
        <f t="shared" si="38"/>
        <v>0.20691757233726601</v>
      </c>
      <c r="AE277" s="9"/>
      <c r="AF277" s="9">
        <f t="shared" si="39"/>
        <v>0.35327963071617241</v>
      </c>
      <c r="AG277" s="9">
        <f t="shared" si="40"/>
        <v>0.11341950141264036</v>
      </c>
      <c r="AH277" s="9">
        <f t="shared" si="41"/>
        <v>0.58115166955488595</v>
      </c>
      <c r="AI277" s="9">
        <f t="shared" si="42"/>
        <v>0.33754160817493523</v>
      </c>
    </row>
    <row r="278" spans="16:35" x14ac:dyDescent="0.3">
      <c r="P278" s="9">
        <v>0.16951491900390814</v>
      </c>
      <c r="Q278" s="9">
        <v>0.33796040636323421</v>
      </c>
      <c r="R278" s="9">
        <v>0.36844975349887327</v>
      </c>
      <c r="S278" s="9">
        <v>0.12407492113398437</v>
      </c>
      <c r="U278" s="9">
        <f t="array" ref="U278">MMULT(TRANSPOSE($B$3:$B$6),TRANSPOSE(P278:S278))</f>
        <v>9.6369542891366719E-2</v>
      </c>
      <c r="V278" s="9">
        <f>INT(200*U278)/200</f>
        <v>9.5000000000000001E-2</v>
      </c>
      <c r="W278" s="9">
        <f t="array" ref="W278">SQRT(MMULT(MMULT(P278:S278,$K$3:$N$6),TRANSPOSE(P278:S278)))</f>
        <v>8.6216192630862346E-2</v>
      </c>
      <c r="Y278" s="31">
        <f>U278/W278</f>
        <v>1.1177661637643441</v>
      </c>
      <c r="AA278" s="9">
        <f t="shared" si="35"/>
        <v>0.26015932197797065</v>
      </c>
      <c r="AB278" s="9">
        <f t="shared" si="36"/>
        <v>0.31974888818203456</v>
      </c>
      <c r="AC278" s="9">
        <f t="shared" si="37"/>
        <v>0.22234160714030671</v>
      </c>
      <c r="AD278" s="9">
        <f t="shared" si="38"/>
        <v>0.19775018269968819</v>
      </c>
      <c r="AE278" s="9"/>
      <c r="AF278" s="9">
        <f t="shared" si="39"/>
        <v>0.35382089414763657</v>
      </c>
      <c r="AG278" s="9">
        <f t="shared" si="40"/>
        <v>0.11898795681164404</v>
      </c>
      <c r="AH278" s="9">
        <f t="shared" si="41"/>
        <v>0.55808044767729881</v>
      </c>
      <c r="AI278" s="9">
        <f t="shared" si="42"/>
        <v>0.37156301341187298</v>
      </c>
    </row>
    <row r="279" spans="16:35" x14ac:dyDescent="0.3">
      <c r="P279" s="9">
        <v>0.34113270630245707</v>
      </c>
      <c r="Q279" s="9">
        <v>0.27247735498600301</v>
      </c>
      <c r="R279" s="9">
        <v>0.17985819063216554</v>
      </c>
      <c r="S279" s="9">
        <v>0.20653174807937452</v>
      </c>
      <c r="U279" s="9">
        <f t="array" ref="U279">MMULT(TRANSPOSE($B$3:$B$6),TRANSPOSE(P279:S279))</f>
        <v>8.7413129621475447E-2</v>
      </c>
      <c r="V279" s="9">
        <f>INT(200*U279)/200</f>
        <v>8.5000000000000006E-2</v>
      </c>
      <c r="W279" s="9">
        <f t="array" ref="W279">SQRT(MMULT(MMULT(P279:S279,$K$3:$N$6),TRANSPOSE(P279:S279)))</f>
        <v>7.8231061649619307E-2</v>
      </c>
      <c r="Y279" s="31">
        <f>U279/W279</f>
        <v>1.1173711282735841</v>
      </c>
      <c r="AA279" s="9">
        <f t="shared" si="35"/>
        <v>0.26208266243119566</v>
      </c>
      <c r="AB279" s="9">
        <f t="shared" si="36"/>
        <v>0.31627183614040083</v>
      </c>
      <c r="AC279" s="9">
        <f t="shared" si="37"/>
        <v>0.22674584217564053</v>
      </c>
      <c r="AD279" s="9">
        <f t="shared" si="38"/>
        <v>0.19489965925276292</v>
      </c>
      <c r="AE279" s="9"/>
      <c r="AF279" s="9">
        <f t="shared" si="39"/>
        <v>0.34779653014209116</v>
      </c>
      <c r="AG279" s="9">
        <f t="shared" si="40"/>
        <v>0.10710289969295785</v>
      </c>
      <c r="AH279" s="9">
        <f t="shared" si="41"/>
        <v>0.53314020204603374</v>
      </c>
      <c r="AI279" s="9">
        <f t="shared" si="42"/>
        <v>0.35893927521255931</v>
      </c>
    </row>
    <row r="280" spans="16:35" x14ac:dyDescent="0.3">
      <c r="P280" s="9">
        <v>0.12731710085639655</v>
      </c>
      <c r="Q280" s="9">
        <v>0.3607790925455609</v>
      </c>
      <c r="R280" s="9">
        <v>0.40744166997449965</v>
      </c>
      <c r="S280" s="9">
        <v>0.10446213662354292</v>
      </c>
      <c r="U280" s="9">
        <f t="array" ref="U280">MMULT(TRANSPOSE($B$3:$B$6),TRANSPOSE(P280:S280))</f>
        <v>9.8781910302037909E-2</v>
      </c>
      <c r="V280" s="9">
        <f>INT(200*U280)/200</f>
        <v>9.5000000000000001E-2</v>
      </c>
      <c r="W280" s="9">
        <f t="array" ref="W280">SQRT(MMULT(MMULT(P280:S280,$K$3:$N$6),TRANSPOSE(P280:S280)))</f>
        <v>8.8450074290749317E-2</v>
      </c>
      <c r="Y280" s="31">
        <f>U280/W280</f>
        <v>1.116809805917474</v>
      </c>
      <c r="AA280" s="9">
        <f t="shared" si="35"/>
        <v>0.24870047435200893</v>
      </c>
      <c r="AB280" s="9">
        <f t="shared" si="36"/>
        <v>0.32316266993067932</v>
      </c>
      <c r="AC280" s="9">
        <f t="shared" si="37"/>
        <v>0.23933859079355077</v>
      </c>
      <c r="AD280" s="9">
        <f t="shared" si="38"/>
        <v>0.18879826492376103</v>
      </c>
      <c r="AE280" s="9"/>
      <c r="AF280" s="9">
        <f t="shared" si="39"/>
        <v>0.39712464298160027</v>
      </c>
      <c r="AG280" s="9">
        <f t="shared" si="40"/>
        <v>0.11534916227315352</v>
      </c>
      <c r="AH280" s="9">
        <f t="shared" si="41"/>
        <v>0.56422446468116616</v>
      </c>
      <c r="AI280" s="9">
        <f t="shared" si="42"/>
        <v>0.41719911852101793</v>
      </c>
    </row>
    <row r="281" spans="16:35" x14ac:dyDescent="0.3">
      <c r="P281" s="9">
        <v>0.39267361749044116</v>
      </c>
      <c r="Q281" s="9">
        <v>0.30240692341289488</v>
      </c>
      <c r="R281" s="9">
        <v>4.0203691114888758E-2</v>
      </c>
      <c r="S281" s="9">
        <v>0.26471576798177526</v>
      </c>
      <c r="U281" s="9">
        <f t="array" ref="U281">MMULT(TRANSPOSE($B$3:$B$6),TRANSPOSE(P281:S281))</f>
        <v>8.6378778808141071E-2</v>
      </c>
      <c r="V281" s="9">
        <f>INT(200*U281)/200</f>
        <v>8.5000000000000006E-2</v>
      </c>
      <c r="W281" s="9">
        <f t="array" ref="W281">SQRT(MMULT(MMULT(P281:S281,$K$3:$N$6),TRANSPOSE(P281:S281)))</f>
        <v>7.7358159733818016E-2</v>
      </c>
      <c r="Y281" s="31">
        <f>U281/W281</f>
        <v>1.1166085013573506</v>
      </c>
      <c r="AA281" s="9">
        <f t="shared" si="35"/>
        <v>0.23808217947957983</v>
      </c>
      <c r="AB281" s="9">
        <f t="shared" si="36"/>
        <v>0.32908724960615532</v>
      </c>
      <c r="AC281" s="9">
        <f t="shared" si="37"/>
        <v>0.24111128648946525</v>
      </c>
      <c r="AD281" s="9">
        <f t="shared" si="38"/>
        <v>0.19171928442479971</v>
      </c>
      <c r="AE281" s="9"/>
      <c r="AF281" s="9">
        <f t="shared" si="39"/>
        <v>0.4297910261398854</v>
      </c>
      <c r="AG281" s="9">
        <f t="shared" si="40"/>
        <v>0.14632301803923767</v>
      </c>
      <c r="AH281" s="9">
        <f t="shared" si="41"/>
        <v>0.55037132099568986</v>
      </c>
      <c r="AI281" s="9">
        <f t="shared" si="42"/>
        <v>0.43562922116248398</v>
      </c>
    </row>
    <row r="282" spans="16:35" x14ac:dyDescent="0.3">
      <c r="P282" s="9">
        <v>0.12975119480301814</v>
      </c>
      <c r="Q282" s="9">
        <v>0.3850612777383447</v>
      </c>
      <c r="R282" s="9">
        <v>0.21098069093536789</v>
      </c>
      <c r="S282" s="9">
        <v>0.27420683652326922</v>
      </c>
      <c r="U282" s="9">
        <f t="array" ref="U282">MMULT(TRANSPOSE($B$3:$B$6),TRANSPOSE(P282:S282))</f>
        <v>0.10004889457978433</v>
      </c>
      <c r="V282" s="9">
        <f>INT(200*U282)/200</f>
        <v>0.1</v>
      </c>
      <c r="W282" s="9">
        <f t="array" ref="W282">SQRT(MMULT(MMULT(P282:S282,$K$3:$N$6),TRANSPOSE(P282:S282)))</f>
        <v>8.9612936045678229E-2</v>
      </c>
      <c r="Y282" s="31">
        <f>U282/W282</f>
        <v>1.1164559381112857</v>
      </c>
      <c r="AA282" s="9">
        <f t="shared" si="35"/>
        <v>0.24852202647564253</v>
      </c>
      <c r="AB282" s="9">
        <f t="shared" si="36"/>
        <v>0.32453767099942193</v>
      </c>
      <c r="AC282" s="9">
        <f t="shared" si="37"/>
        <v>0.23034956102184298</v>
      </c>
      <c r="AD282" s="9">
        <f t="shared" si="38"/>
        <v>0.19659074150309261</v>
      </c>
      <c r="AE282" s="9"/>
      <c r="AF282" s="9">
        <f t="shared" si="39"/>
        <v>0.43028785393161789</v>
      </c>
      <c r="AG282" s="9">
        <f t="shared" si="40"/>
        <v>0.15829183378742803</v>
      </c>
      <c r="AH282" s="9">
        <f t="shared" si="41"/>
        <v>0.55737602775307959</v>
      </c>
      <c r="AI282" s="9">
        <f t="shared" si="42"/>
        <v>0.40562584774775301</v>
      </c>
    </row>
    <row r="283" spans="16:35" x14ac:dyDescent="0.3">
      <c r="P283" s="9">
        <v>0.23899170562151115</v>
      </c>
      <c r="Q283" s="9">
        <v>0.30223042180079907</v>
      </c>
      <c r="R283" s="9">
        <v>0.31964136488659028</v>
      </c>
      <c r="S283" s="9">
        <v>0.13913650769109948</v>
      </c>
      <c r="U283" s="9">
        <f t="array" ref="U283">MMULT(TRANSPOSE($B$3:$B$6),TRANSPOSE(P283:S283))</f>
        <v>9.2391788823120838E-2</v>
      </c>
      <c r="V283" s="9">
        <f>INT(200*U283)/200</f>
        <v>0.09</v>
      </c>
      <c r="W283" s="9">
        <f t="array" ref="W283">SQRT(MMULT(MMULT(P283:S283,$K$3:$N$6),TRANSPOSE(P283:S283)))</f>
        <v>8.2810962205400671E-2</v>
      </c>
      <c r="Y283" s="31">
        <f>U283/W283</f>
        <v>1.1156951490788902</v>
      </c>
      <c r="AA283" s="9">
        <f t="shared" si="35"/>
        <v>0.24793882282015081</v>
      </c>
      <c r="AB283" s="9">
        <f t="shared" si="36"/>
        <v>0.32307126643835843</v>
      </c>
      <c r="AC283" s="9">
        <f t="shared" si="37"/>
        <v>0.23458688214373696</v>
      </c>
      <c r="AD283" s="9">
        <f t="shared" si="38"/>
        <v>0.19440302859775382</v>
      </c>
      <c r="AE283" s="9"/>
      <c r="AF283" s="9">
        <f t="shared" si="39"/>
        <v>0.42942168969524058</v>
      </c>
      <c r="AG283" s="9">
        <f t="shared" si="40"/>
        <v>0.16204349470918614</v>
      </c>
      <c r="AH283" s="9">
        <f t="shared" si="41"/>
        <v>0.53407841654048416</v>
      </c>
      <c r="AI283" s="9">
        <f t="shared" si="42"/>
        <v>0.40416939165480709</v>
      </c>
    </row>
    <row r="284" spans="16:35" x14ac:dyDescent="0.3">
      <c r="P284" s="9">
        <v>0.25249471729380824</v>
      </c>
      <c r="Q284" s="9">
        <v>0.31623430558490895</v>
      </c>
      <c r="R284" s="9">
        <v>0.18668179529631393</v>
      </c>
      <c r="S284" s="9">
        <v>0.24458918182496892</v>
      </c>
      <c r="U284" s="9">
        <f t="array" ref="U284">MMULT(TRANSPOSE($B$3:$B$6),TRANSPOSE(P284:S284))</f>
        <v>9.2640162526797923E-2</v>
      </c>
      <c r="V284" s="9">
        <f>INT(200*U284)/200</f>
        <v>0.09</v>
      </c>
      <c r="W284" s="9">
        <f t="array" ref="W284">SQRT(MMULT(MMULT(P284:S284,$K$3:$N$6),TRANSPOSE(P284:S284)))</f>
        <v>8.3054381855197063E-2</v>
      </c>
      <c r="Y284" s="31">
        <f>U284/W284</f>
        <v>1.1154157126629802</v>
      </c>
      <c r="AA284" s="9">
        <f t="shared" si="35"/>
        <v>0.25918818185696796</v>
      </c>
      <c r="AB284" s="9">
        <f t="shared" si="36"/>
        <v>0.3175993346183138</v>
      </c>
      <c r="AC284" s="9">
        <f t="shared" si="37"/>
        <v>0.22677457996829745</v>
      </c>
      <c r="AD284" s="9">
        <f t="shared" si="38"/>
        <v>0.19643790355642091</v>
      </c>
      <c r="AE284" s="9"/>
      <c r="AF284" s="9">
        <f t="shared" si="39"/>
        <v>0.40484088876999375</v>
      </c>
      <c r="AG284" s="9">
        <f t="shared" si="40"/>
        <v>0.16897172370692484</v>
      </c>
      <c r="AH284" s="9">
        <f t="shared" si="41"/>
        <v>0.52554512567809941</v>
      </c>
      <c r="AI284" s="9">
        <f t="shared" si="42"/>
        <v>0.39086608989992644</v>
      </c>
    </row>
    <row r="285" spans="16:35" x14ac:dyDescent="0.3">
      <c r="P285" s="9">
        <v>0.18120021693137278</v>
      </c>
      <c r="Q285" s="9">
        <v>0.32933772066307071</v>
      </c>
      <c r="R285" s="9">
        <v>0.34527462861635061</v>
      </c>
      <c r="S285" s="9">
        <v>0.14418743378920593</v>
      </c>
      <c r="U285" s="9">
        <f t="array" ref="U285">MMULT(TRANSPOSE($B$3:$B$6),TRANSPOSE(P285:S285))</f>
        <v>9.5683785169170768E-2</v>
      </c>
      <c r="V285" s="9">
        <f>INT(200*U285)/200</f>
        <v>9.5000000000000001E-2</v>
      </c>
      <c r="W285" s="9">
        <f t="array" ref="W285">SQRT(MMULT(MMULT(P285:S285,$K$3:$N$6),TRANSPOSE(P285:S285)))</f>
        <v>8.5783996870494719E-2</v>
      </c>
      <c r="Y285" s="31">
        <f>U285/W285</f>
        <v>1.1154036727109071</v>
      </c>
      <c r="AA285" s="9">
        <f t="shared" si="35"/>
        <v>0.25050610513629484</v>
      </c>
      <c r="AB285" s="9">
        <f t="shared" si="36"/>
        <v>0.32117168907834398</v>
      </c>
      <c r="AC285" s="9">
        <f t="shared" si="37"/>
        <v>0.23082489351027116</v>
      </c>
      <c r="AD285" s="9">
        <f t="shared" si="38"/>
        <v>0.19749731227508999</v>
      </c>
      <c r="AE285" s="9"/>
      <c r="AF285" s="9">
        <f t="shared" si="39"/>
        <v>0.43848029320878479</v>
      </c>
      <c r="AG285" s="9">
        <f t="shared" si="40"/>
        <v>0.17573605589066066</v>
      </c>
      <c r="AH285" s="9">
        <f t="shared" si="41"/>
        <v>0.50646444377260647</v>
      </c>
      <c r="AI285" s="9">
        <f t="shared" si="42"/>
        <v>0.39461457640248099</v>
      </c>
    </row>
    <row r="286" spans="16:35" x14ac:dyDescent="0.3">
      <c r="P286" s="9">
        <v>0.43122356453705341</v>
      </c>
      <c r="Q286" s="9">
        <v>0.28405823115181283</v>
      </c>
      <c r="R286" s="9">
        <v>3.5396953944109161E-2</v>
      </c>
      <c r="S286" s="9">
        <v>0.24932125036702457</v>
      </c>
      <c r="U286" s="9">
        <f t="array" ref="U286">MMULT(TRANSPOSE($B$3:$B$6),TRANSPOSE(P286:S286))</f>
        <v>8.4130768889547375E-2</v>
      </c>
      <c r="V286" s="9">
        <f>INT(200*U286)/200</f>
        <v>0.08</v>
      </c>
      <c r="W286" s="9">
        <f t="array" ref="W286">SQRT(MMULT(MMULT(P286:S286,$K$3:$N$6),TRANSPOSE(P286:S286)))</f>
        <v>7.5435890345441237E-2</v>
      </c>
      <c r="Y286" s="31">
        <f>U286/W286</f>
        <v>1.1152618270201353</v>
      </c>
      <c r="AA286" s="9">
        <f t="shared" si="35"/>
        <v>0.23722404848763823</v>
      </c>
      <c r="AB286" s="9">
        <f t="shared" si="36"/>
        <v>0.32614179436188434</v>
      </c>
      <c r="AC286" s="9">
        <f t="shared" si="37"/>
        <v>0.24173566438744762</v>
      </c>
      <c r="AD286" s="9">
        <f t="shared" si="38"/>
        <v>0.19489849276302981</v>
      </c>
      <c r="AE286" s="9"/>
      <c r="AF286" s="9">
        <f t="shared" si="39"/>
        <v>0.51576709537895593</v>
      </c>
      <c r="AG286" s="9">
        <f t="shared" si="40"/>
        <v>0.18657790973469324</v>
      </c>
      <c r="AH286" s="9">
        <f t="shared" si="41"/>
        <v>0.4904133136711134</v>
      </c>
      <c r="AI286" s="9">
        <f t="shared" si="42"/>
        <v>0.39304906590245442</v>
      </c>
    </row>
    <row r="287" spans="16:35" x14ac:dyDescent="0.3">
      <c r="P287" s="9">
        <v>0.20094064437364978</v>
      </c>
      <c r="Q287" s="9">
        <v>0.32348453141559791</v>
      </c>
      <c r="R287" s="9">
        <v>0.27820669809299042</v>
      </c>
      <c r="S287" s="9">
        <v>0.19736812611776192</v>
      </c>
      <c r="U287" s="9">
        <f t="array" ref="U287">MMULT(TRANSPOSE($B$3:$B$6),TRANSPOSE(P287:S287))</f>
        <v>9.4864749721855338E-2</v>
      </c>
      <c r="V287" s="9">
        <f>INT(200*U287)/200</f>
        <v>0.09</v>
      </c>
      <c r="W287" s="9">
        <f t="array" ref="W287">SQRT(MMULT(MMULT(P287:S287,$K$3:$N$6),TRANSPOSE(P287:S287)))</f>
        <v>8.5071797027637022E-2</v>
      </c>
      <c r="Y287" s="31">
        <f>U287/W287</f>
        <v>1.1151139747410874</v>
      </c>
      <c r="AA287" s="9">
        <f t="shared" si="35"/>
        <v>0.24398933122174049</v>
      </c>
      <c r="AB287" s="9">
        <f t="shared" si="36"/>
        <v>0.32268216586277781</v>
      </c>
      <c r="AC287" s="9">
        <f t="shared" si="37"/>
        <v>0.24079709217736822</v>
      </c>
      <c r="AD287" s="9">
        <f t="shared" si="38"/>
        <v>0.19253141073811347</v>
      </c>
      <c r="AE287" s="9"/>
      <c r="AF287" s="9">
        <f t="shared" si="39"/>
        <v>0.51834533730494858</v>
      </c>
      <c r="AG287" s="9">
        <f t="shared" si="40"/>
        <v>0.1962321037346805</v>
      </c>
      <c r="AH287" s="9">
        <f t="shared" si="41"/>
        <v>0.49384769511884152</v>
      </c>
      <c r="AI287" s="9">
        <f t="shared" si="42"/>
        <v>0.39547069892217196</v>
      </c>
    </row>
    <row r="288" spans="16:35" x14ac:dyDescent="0.3">
      <c r="P288" s="9">
        <v>0.31756675973437903</v>
      </c>
      <c r="Q288" s="9">
        <v>0.2729586954717258</v>
      </c>
      <c r="R288" s="9">
        <v>0.33044721479349154</v>
      </c>
      <c r="S288" s="9">
        <v>7.9027330000403628E-2</v>
      </c>
      <c r="U288" s="9">
        <f t="array" ref="U288">MMULT(TRANSPOSE($B$3:$B$6),TRANSPOSE(P288:S288))</f>
        <v>8.7956368715065458E-2</v>
      </c>
      <c r="V288" s="9">
        <f>INT(200*U288)/200</f>
        <v>8.5000000000000006E-2</v>
      </c>
      <c r="W288" s="9">
        <f t="array" ref="W288">SQRT(MMULT(MMULT(P288:S288,$K$3:$N$6),TRANSPOSE(P288:S288)))</f>
        <v>7.890310244253998E-2</v>
      </c>
      <c r="Y288" s="31">
        <f>U288/W288</f>
        <v>1.1147390405734474</v>
      </c>
      <c r="AA288" s="9">
        <f t="shared" si="35"/>
        <v>0.23263397804669536</v>
      </c>
      <c r="AB288" s="9">
        <f t="shared" si="36"/>
        <v>0.32834743263289756</v>
      </c>
      <c r="AC288" s="9">
        <f t="shared" si="37"/>
        <v>0.24154413198129301</v>
      </c>
      <c r="AD288" s="9">
        <f t="shared" si="38"/>
        <v>0.19747445733911406</v>
      </c>
      <c r="AE288" s="9"/>
      <c r="AF288" s="9">
        <f t="shared" si="39"/>
        <v>0.53888070768902852</v>
      </c>
      <c r="AG288" s="9">
        <f t="shared" si="40"/>
        <v>0.18947030136841758</v>
      </c>
      <c r="AH288" s="9">
        <f t="shared" si="41"/>
        <v>0.49172263067467969</v>
      </c>
      <c r="AI288" s="9">
        <f t="shared" si="42"/>
        <v>0.39304544399388747</v>
      </c>
    </row>
    <row r="289" spans="16:35" x14ac:dyDescent="0.3">
      <c r="P289" s="9">
        <v>0.2405681915371399</v>
      </c>
      <c r="Q289" s="9">
        <v>0.32260011102164959</v>
      </c>
      <c r="R289" s="9">
        <v>0.1861057481700589</v>
      </c>
      <c r="S289" s="9">
        <v>0.25072594927115166</v>
      </c>
      <c r="U289" s="9">
        <f t="array" ref="U289">MMULT(TRANSPOSE($B$3:$B$6),TRANSPOSE(P289:S289))</f>
        <v>9.3361966211336633E-2</v>
      </c>
      <c r="V289" s="9">
        <f>INT(200*U289)/200</f>
        <v>0.09</v>
      </c>
      <c r="W289" s="9">
        <f t="array" ref="W289">SQRT(MMULT(MMULT(P289:S289,$K$3:$N$6),TRANSPOSE(P289:S289)))</f>
        <v>8.3775849550660891E-2</v>
      </c>
      <c r="Y289" s="31">
        <f>U289/W289</f>
        <v>1.1144257767852157</v>
      </c>
      <c r="AA289" s="9">
        <f t="shared" si="35"/>
        <v>0.23599714485416945</v>
      </c>
      <c r="AB289" s="9">
        <f t="shared" si="36"/>
        <v>0.32633893916249029</v>
      </c>
      <c r="AC289" s="9">
        <f t="shared" si="37"/>
        <v>0.23779218285213138</v>
      </c>
      <c r="AD289" s="9">
        <f t="shared" si="38"/>
        <v>0.19987173313120882</v>
      </c>
      <c r="AE289" s="9"/>
      <c r="AF289" s="9">
        <f t="shared" si="39"/>
        <v>0.52766977891693911</v>
      </c>
      <c r="AG289" s="9">
        <f t="shared" si="40"/>
        <v>0.1917211214296875</v>
      </c>
      <c r="AH289" s="9">
        <f t="shared" si="41"/>
        <v>0.48685338360582303</v>
      </c>
      <c r="AI289" s="9">
        <f t="shared" si="42"/>
        <v>0.38022684229693027</v>
      </c>
    </row>
    <row r="290" spans="16:35" x14ac:dyDescent="0.3">
      <c r="P290" s="9">
        <v>6.3425789833704407E-2</v>
      </c>
      <c r="Q290" s="9">
        <v>0.40880253877076062</v>
      </c>
      <c r="R290" s="9">
        <v>0.50223993115860521</v>
      </c>
      <c r="S290" s="9">
        <v>2.5531740236929841E-2</v>
      </c>
      <c r="U290" s="9">
        <f t="array" ref="U290">MMULT(TRANSPOSE($B$3:$B$6),TRANSPOSE(P290:S290))</f>
        <v>0.1026716642024933</v>
      </c>
      <c r="V290" s="9">
        <f>INT(200*U290)/200</f>
        <v>0.1</v>
      </c>
      <c r="W290" s="9">
        <f t="array" ref="W290">SQRT(MMULT(MMULT(P290:S290,$K$3:$N$6),TRANSPOSE(P290:S290)))</f>
        <v>9.217706878001021E-2</v>
      </c>
      <c r="Y290" s="31">
        <f>U290/W290</f>
        <v>1.1138525618289021</v>
      </c>
      <c r="AA290" s="9">
        <f t="shared" si="35"/>
        <v>0.23171183462960818</v>
      </c>
      <c r="AB290" s="9">
        <f t="shared" si="36"/>
        <v>0.32717745346696958</v>
      </c>
      <c r="AC290" s="9">
        <f t="shared" si="37"/>
        <v>0.24495208999475751</v>
      </c>
      <c r="AD290" s="9">
        <f t="shared" si="38"/>
        <v>0.19615862190866479</v>
      </c>
      <c r="AE290" s="9"/>
      <c r="AF290" s="9">
        <f t="shared" si="39"/>
        <v>0.52762693815434847</v>
      </c>
      <c r="AG290" s="9">
        <f t="shared" si="40"/>
        <v>0.18926367934865795</v>
      </c>
      <c r="AH290" s="9">
        <f t="shared" si="41"/>
        <v>0.47623166112992071</v>
      </c>
      <c r="AI290" s="9">
        <f t="shared" si="42"/>
        <v>0.3953130690843023</v>
      </c>
    </row>
    <row r="291" spans="16:35" x14ac:dyDescent="0.3">
      <c r="P291" s="9">
        <v>9.9790104445595953E-2</v>
      </c>
      <c r="Q291" s="9">
        <v>0.46301582418128417</v>
      </c>
      <c r="R291" s="9">
        <v>9.0544158350292975E-2</v>
      </c>
      <c r="S291" s="9">
        <v>0.34664991302282688</v>
      </c>
      <c r="U291" s="9">
        <f t="array" ref="U291">MMULT(TRANSPOSE($B$3:$B$6),TRANSPOSE(P291:S291))</f>
        <v>0.1039861092934852</v>
      </c>
      <c r="V291" s="9">
        <f>INT(200*U291)/200</f>
        <v>0.1</v>
      </c>
      <c r="W291" s="9">
        <f t="array" ref="W291">SQRT(MMULT(MMULT(P291:S291,$K$3:$N$6),TRANSPOSE(P291:S291)))</f>
        <v>9.3410301482264424E-2</v>
      </c>
      <c r="Y291" s="31">
        <f>U291/W291</f>
        <v>1.1132188596268344</v>
      </c>
      <c r="AA291" s="9">
        <f t="shared" si="35"/>
        <v>0.24019125523826343</v>
      </c>
      <c r="AB291" s="9">
        <f t="shared" si="36"/>
        <v>0.3235646987433129</v>
      </c>
      <c r="AC291" s="9">
        <f t="shared" si="37"/>
        <v>0.23371137328135777</v>
      </c>
      <c r="AD291" s="9">
        <f t="shared" si="38"/>
        <v>0.20253267273706591</v>
      </c>
      <c r="AE291" s="9"/>
      <c r="AF291" s="9">
        <f t="shared" si="39"/>
        <v>0.50302233688932252</v>
      </c>
      <c r="AG291" s="9">
        <f t="shared" si="40"/>
        <v>0.19185452929315966</v>
      </c>
      <c r="AH291" s="9">
        <f t="shared" si="41"/>
        <v>0.47696273698499014</v>
      </c>
      <c r="AI291" s="9">
        <f t="shared" si="42"/>
        <v>0.37076713548922541</v>
      </c>
    </row>
    <row r="292" spans="16:35" x14ac:dyDescent="0.3">
      <c r="P292" s="9">
        <v>0.39692702193371066</v>
      </c>
      <c r="Q292" s="9">
        <v>0.24551365696519339</v>
      </c>
      <c r="R292" s="9">
        <v>0.17251870057787294</v>
      </c>
      <c r="S292" s="9">
        <v>0.18504062052322301</v>
      </c>
      <c r="U292" s="9">
        <f t="array" ref="U292">MMULT(TRANSPOSE($B$3:$B$6),TRANSPOSE(P292:S292))</f>
        <v>8.4149815188605898E-2</v>
      </c>
      <c r="V292" s="9">
        <f>INT(200*U292)/200</f>
        <v>0.08</v>
      </c>
      <c r="W292" s="9">
        <f t="array" ref="W292">SQRT(MMULT(MMULT(P292:S292,$K$3:$N$6),TRANSPOSE(P292:S292)))</f>
        <v>7.562996641791489E-2</v>
      </c>
      <c r="Y292" s="31">
        <f>U292/W292</f>
        <v>1.1126517592724048</v>
      </c>
      <c r="AA292" s="9">
        <f t="shared" si="35"/>
        <v>0.22746729750235919</v>
      </c>
      <c r="AB292" s="9">
        <f t="shared" si="36"/>
        <v>0.32583517731220657</v>
      </c>
      <c r="AC292" s="9">
        <f t="shared" si="37"/>
        <v>0.24862318493944335</v>
      </c>
      <c r="AD292" s="9">
        <f t="shared" si="38"/>
        <v>0.1980743402459908</v>
      </c>
      <c r="AE292" s="9"/>
      <c r="AF292" s="9">
        <f t="shared" si="39"/>
        <v>0.51874388924618309</v>
      </c>
      <c r="AG292" s="9">
        <f t="shared" si="40"/>
        <v>0.19069989945954774</v>
      </c>
      <c r="AH292" s="9">
        <f t="shared" si="41"/>
        <v>0.42253401405334917</v>
      </c>
      <c r="AI292" s="9">
        <f t="shared" si="42"/>
        <v>0.37353227091849078</v>
      </c>
    </row>
    <row r="293" spans="16:35" x14ac:dyDescent="0.3">
      <c r="P293" s="9">
        <v>0.32325427569696863</v>
      </c>
      <c r="Q293" s="9">
        <v>0.27540069016445912</v>
      </c>
      <c r="R293" s="9">
        <v>0.18848309643363875</v>
      </c>
      <c r="S293" s="9">
        <v>0.21286193770493347</v>
      </c>
      <c r="U293" s="9">
        <f t="array" ref="U293">MMULT(TRANSPOSE($B$3:$B$6),TRANSPOSE(P293:S293))</f>
        <v>8.8279999191773109E-2</v>
      </c>
      <c r="V293" s="9">
        <f>INT(200*U293)/200</f>
        <v>8.5000000000000006E-2</v>
      </c>
      <c r="W293" s="9">
        <f t="array" ref="W293">SQRT(MMULT(MMULT(P293:S293,$K$3:$N$6),TRANSPOSE(P293:S293)))</f>
        <v>7.9350586543866619E-2</v>
      </c>
      <c r="Y293" s="31">
        <f>U293/W293</f>
        <v>1.1125311486257272</v>
      </c>
      <c r="AA293" s="9">
        <f t="shared" si="35"/>
        <v>0.23982529135168085</v>
      </c>
      <c r="AB293" s="9">
        <f t="shared" si="36"/>
        <v>0.32251610142550968</v>
      </c>
      <c r="AC293" s="9">
        <f t="shared" si="37"/>
        <v>0.23900695434317448</v>
      </c>
      <c r="AD293" s="9">
        <f t="shared" si="38"/>
        <v>0.19865165287963496</v>
      </c>
      <c r="AE293" s="9"/>
      <c r="AF293" s="9">
        <f t="shared" si="39"/>
        <v>0.50373328756656621</v>
      </c>
      <c r="AG293" s="9">
        <f t="shared" si="40"/>
        <v>0.18808032130223948</v>
      </c>
      <c r="AH293" s="9">
        <f t="shared" si="41"/>
        <v>0.49039971349685796</v>
      </c>
      <c r="AI293" s="9">
        <f t="shared" si="42"/>
        <v>0.37580959204589759</v>
      </c>
    </row>
    <row r="294" spans="16:35" x14ac:dyDescent="0.3">
      <c r="P294" s="9">
        <v>0.3578978286708695</v>
      </c>
      <c r="Q294" s="9">
        <v>0.25075968097116413</v>
      </c>
      <c r="R294" s="9">
        <v>0.23966140451156845</v>
      </c>
      <c r="S294" s="9">
        <v>0.15168108584639797</v>
      </c>
      <c r="U294" s="9">
        <f t="array" ref="U294">MMULT(TRANSPOSE($B$3:$B$6),TRANSPOSE(P294:S294))</f>
        <v>8.5835147477659593E-2</v>
      </c>
      <c r="V294" s="9">
        <f>INT(200*U294)/200</f>
        <v>8.5000000000000006E-2</v>
      </c>
      <c r="W294" s="9">
        <f t="array" ref="W294">SQRT(MMULT(MMULT(P294:S294,$K$3:$N$6),TRANSPOSE(P294:S294)))</f>
        <v>7.7245888991638187E-2</v>
      </c>
      <c r="Y294" s="31">
        <f>U294/W294</f>
        <v>1.1111937295064491</v>
      </c>
      <c r="AA294" s="9">
        <f t="shared" si="35"/>
        <v>0.23529579249065313</v>
      </c>
      <c r="AB294" s="9">
        <f t="shared" si="36"/>
        <v>0.32771256542466343</v>
      </c>
      <c r="AC294" s="9">
        <f t="shared" si="37"/>
        <v>0.22917176100740755</v>
      </c>
      <c r="AD294" s="9">
        <f t="shared" si="38"/>
        <v>0.20781988107727595</v>
      </c>
      <c r="AE294" s="9"/>
      <c r="AF294" s="9">
        <f t="shared" si="39"/>
        <v>0.52109102842707433</v>
      </c>
      <c r="AG294" s="9">
        <f t="shared" si="40"/>
        <v>0.19359801949815192</v>
      </c>
      <c r="AH294" s="9">
        <f t="shared" si="41"/>
        <v>0.51821273177729443</v>
      </c>
      <c r="AI294" s="9">
        <f t="shared" si="42"/>
        <v>0.37866369977681236</v>
      </c>
    </row>
    <row r="295" spans="16:35" x14ac:dyDescent="0.3">
      <c r="P295" s="9">
        <v>0.10582319751749043</v>
      </c>
      <c r="Q295" s="9">
        <v>0.3976408888356156</v>
      </c>
      <c r="R295" s="9">
        <v>0.20816393896123303</v>
      </c>
      <c r="S295" s="9">
        <v>0.28837197468566089</v>
      </c>
      <c r="U295" s="9">
        <f t="array" ref="U295">MMULT(TRANSPOSE($B$3:$B$6),TRANSPOSE(P295:S295))</f>
        <v>0.10149785416486315</v>
      </c>
      <c r="V295" s="9">
        <f>INT(200*U295)/200</f>
        <v>0.1</v>
      </c>
      <c r="W295" s="9">
        <f t="array" ref="W295">SQRT(MMULT(MMULT(P295:S295,$K$3:$N$6),TRANSPOSE(P295:S295)))</f>
        <v>9.1358312748819462E-2</v>
      </c>
      <c r="Y295" s="31">
        <f>U295/W295</f>
        <v>1.1109865223093747</v>
      </c>
      <c r="AA295" s="9">
        <f t="shared" si="35"/>
        <v>0.23284000949639039</v>
      </c>
      <c r="AB295" s="9">
        <f t="shared" si="36"/>
        <v>0.32748524549664082</v>
      </c>
      <c r="AC295" s="9">
        <f t="shared" si="37"/>
        <v>0.23637595040007262</v>
      </c>
      <c r="AD295" s="9">
        <f t="shared" si="38"/>
        <v>0.20329879460689618</v>
      </c>
      <c r="AE295" s="9"/>
      <c r="AF295" s="9">
        <f t="shared" si="39"/>
        <v>0.5272512716028106</v>
      </c>
      <c r="AG295" s="9">
        <f t="shared" si="40"/>
        <v>0.19389031440873641</v>
      </c>
      <c r="AH295" s="9">
        <f t="shared" si="41"/>
        <v>0.510319888877522</v>
      </c>
      <c r="AI295" s="9">
        <f t="shared" si="42"/>
        <v>0.38958144583133519</v>
      </c>
    </row>
    <row r="296" spans="16:35" x14ac:dyDescent="0.3">
      <c r="P296" s="9">
        <v>2.5879763142178726E-4</v>
      </c>
      <c r="Q296" s="9">
        <v>0.4253952754737147</v>
      </c>
      <c r="R296" s="9">
        <v>0.36775583266128692</v>
      </c>
      <c r="S296" s="9">
        <v>0.20659009423357663</v>
      </c>
      <c r="U296" s="9">
        <f t="array" ref="U296">MMULT(TRANSPOSE($B$3:$B$6),TRANSPOSE(P296:S296))</f>
        <v>0.10650653462192129</v>
      </c>
      <c r="V296" s="9">
        <f>INT(200*U296)/200</f>
        <v>0.105</v>
      </c>
      <c r="W296" s="9">
        <f t="array" ref="W296">SQRT(MMULT(MMULT(P296:S296,$K$3:$N$6),TRANSPOSE(P296:S296)))</f>
        <v>9.5966585123143586E-2</v>
      </c>
      <c r="Y296" s="31">
        <f>U296/W296</f>
        <v>1.109829369100223</v>
      </c>
      <c r="AA296" s="9">
        <f t="shared" si="35"/>
        <v>0.23052994383291267</v>
      </c>
      <c r="AB296" s="9">
        <f t="shared" si="36"/>
        <v>0.32821987495390892</v>
      </c>
      <c r="AC296" s="9">
        <f t="shared" si="37"/>
        <v>0.23577229287517035</v>
      </c>
      <c r="AD296" s="9">
        <f t="shared" si="38"/>
        <v>0.20547788833800812</v>
      </c>
      <c r="AE296" s="9"/>
      <c r="AF296" s="9">
        <f t="shared" si="39"/>
        <v>0.53890231781947961</v>
      </c>
      <c r="AG296" s="9">
        <f t="shared" si="40"/>
        <v>0.19379651218099575</v>
      </c>
      <c r="AH296" s="9">
        <f t="shared" si="41"/>
        <v>0.50932888935451259</v>
      </c>
      <c r="AI296" s="9">
        <f t="shared" si="42"/>
        <v>0.38016669462246439</v>
      </c>
    </row>
    <row r="297" spans="16:35" x14ac:dyDescent="0.3">
      <c r="P297" s="9">
        <v>0.38377137113126347</v>
      </c>
      <c r="Q297" s="9">
        <v>0.24587491458294855</v>
      </c>
      <c r="R297" s="9">
        <v>0.18723103955407108</v>
      </c>
      <c r="S297" s="9">
        <v>0.18312267473171692</v>
      </c>
      <c r="U297" s="9">
        <f t="array" ref="U297">MMULT(TRANSPOSE($B$3:$B$6),TRANSPOSE(P297:S297))</f>
        <v>8.4708376299228186E-2</v>
      </c>
      <c r="V297" s="9">
        <f>INT(200*U297)/200</f>
        <v>0.08</v>
      </c>
      <c r="W297" s="9">
        <f t="array" ref="W297">SQRT(MMULT(MMULT(P297:S297,$K$3:$N$6),TRANSPOSE(P297:S297)))</f>
        <v>7.6327525817740577E-2</v>
      </c>
      <c r="Y297" s="31">
        <f>U297/W297</f>
        <v>1.1098011548481199</v>
      </c>
      <c r="AA297" s="9">
        <f t="shared" si="35"/>
        <v>0.2328634033395543</v>
      </c>
      <c r="AB297" s="9">
        <f t="shared" si="36"/>
        <v>0.32689951492580754</v>
      </c>
      <c r="AC297" s="9">
        <f t="shared" si="37"/>
        <v>0.23529300334441081</v>
      </c>
      <c r="AD297" s="9">
        <f t="shared" si="38"/>
        <v>0.20494407839022746</v>
      </c>
      <c r="AE297" s="9"/>
      <c r="AF297" s="9">
        <f t="shared" si="39"/>
        <v>0.55214999239345097</v>
      </c>
      <c r="AG297" s="9">
        <f t="shared" si="40"/>
        <v>0.19836716485117914</v>
      </c>
      <c r="AH297" s="9">
        <f t="shared" si="41"/>
        <v>0.51400763959850815</v>
      </c>
      <c r="AI297" s="9">
        <f t="shared" si="42"/>
        <v>0.37980640952505423</v>
      </c>
    </row>
    <row r="298" spans="16:35" x14ac:dyDescent="0.3">
      <c r="P298" s="9">
        <v>0.13078981363444181</v>
      </c>
      <c r="Q298" s="9">
        <v>0.37330354319010478</v>
      </c>
      <c r="R298" s="9">
        <v>0.2271402694428856</v>
      </c>
      <c r="S298" s="9">
        <v>0.26876637373256779</v>
      </c>
      <c r="U298" s="9">
        <f t="array" ref="U298">MMULT(TRANSPOSE($B$3:$B$6),TRANSPOSE(P298:S298))</f>
        <v>9.9621709297079225E-2</v>
      </c>
      <c r="V298" s="9">
        <f>INT(200*U298)/200</f>
        <v>9.5000000000000001E-2</v>
      </c>
      <c r="W298" s="9">
        <f t="array" ref="W298">SQRT(MMULT(MMULT(P298:S298,$K$3:$N$6),TRANSPOSE(P298:S298)))</f>
        <v>8.9770829842206232E-2</v>
      </c>
      <c r="Y298" s="31">
        <f>U298/W298</f>
        <v>1.1097336347696494</v>
      </c>
      <c r="AA298" s="9">
        <f t="shared" si="35"/>
        <v>0.22919011362473451</v>
      </c>
      <c r="AB298" s="9">
        <f t="shared" si="36"/>
        <v>0.3312042515829805</v>
      </c>
      <c r="AC298" s="9">
        <f t="shared" si="37"/>
        <v>0.22811771917846413</v>
      </c>
      <c r="AD298" s="9">
        <f t="shared" si="38"/>
        <v>0.21148791561382096</v>
      </c>
      <c r="AE298" s="9"/>
      <c r="AF298" s="9">
        <f t="shared" si="39"/>
        <v>0.56991461038367019</v>
      </c>
      <c r="AG298" s="9">
        <f t="shared" si="40"/>
        <v>0.20395923749150799</v>
      </c>
      <c r="AH298" s="9">
        <f t="shared" si="41"/>
        <v>0.53799316393949614</v>
      </c>
      <c r="AI298" s="9">
        <f t="shared" si="42"/>
        <v>0.39146119671632323</v>
      </c>
    </row>
    <row r="299" spans="16:35" x14ac:dyDescent="0.3">
      <c r="P299" s="9">
        <v>0.24014142196086452</v>
      </c>
      <c r="Q299" s="9">
        <v>0.29578204348468268</v>
      </c>
      <c r="R299" s="9">
        <v>0.28965882178647928</v>
      </c>
      <c r="S299" s="9">
        <v>0.17441771276797349</v>
      </c>
      <c r="U299" s="9">
        <f t="array" ref="U299">MMULT(TRANSPOSE($B$3:$B$6),TRANSPOSE(P299:S299))</f>
        <v>9.2272523730909245E-2</v>
      </c>
      <c r="V299" s="9">
        <f>INT(200*U299)/200</f>
        <v>0.09</v>
      </c>
      <c r="W299" s="9">
        <f t="array" ref="W299">SQRT(MMULT(MMULT(P299:S299,$K$3:$N$6),TRANSPOSE(P299:S299)))</f>
        <v>8.3321924347992196E-2</v>
      </c>
      <c r="Y299" s="31">
        <f>U299/W299</f>
        <v>1.1074218994935243</v>
      </c>
      <c r="AA299" s="9">
        <f t="shared" si="35"/>
        <v>0.21895047528327902</v>
      </c>
      <c r="AB299" s="9">
        <f t="shared" si="36"/>
        <v>0.3375195603802788</v>
      </c>
      <c r="AC299" s="9">
        <f t="shared" si="37"/>
        <v>0.22067607373402981</v>
      </c>
      <c r="AD299" s="9">
        <f t="shared" si="38"/>
        <v>0.22285389060241242</v>
      </c>
      <c r="AE299" s="9"/>
      <c r="AF299" s="9">
        <f t="shared" si="39"/>
        <v>0.60181530576920639</v>
      </c>
      <c r="AG299" s="9">
        <f t="shared" si="40"/>
        <v>0.20156519361273295</v>
      </c>
      <c r="AH299" s="9">
        <f t="shared" si="41"/>
        <v>0.54802290712605206</v>
      </c>
      <c r="AI299" s="9">
        <f t="shared" si="42"/>
        <v>0.35912881332921792</v>
      </c>
    </row>
    <row r="300" spans="16:35" x14ac:dyDescent="0.3">
      <c r="P300" s="9">
        <v>0.2511411915866697</v>
      </c>
      <c r="Q300" s="9">
        <v>0.2900861553800676</v>
      </c>
      <c r="R300" s="9">
        <v>0.33021624062731281</v>
      </c>
      <c r="S300" s="9">
        <v>0.12855641240594992</v>
      </c>
      <c r="U300" s="9">
        <f t="array" ref="U300">MMULT(TRANSPOSE($B$3:$B$6),TRANSPOSE(P300:S300))</f>
        <v>9.1465705394005128E-2</v>
      </c>
      <c r="V300" s="9">
        <f>INT(200*U300)/200</f>
        <v>0.09</v>
      </c>
      <c r="W300" s="9">
        <f t="array" ref="W300">SQRT(MMULT(MMULT(P300:S300,$K$3:$N$6),TRANSPOSE(P300:S300)))</f>
        <v>8.2621180412206494E-2</v>
      </c>
      <c r="Y300" s="31">
        <f>U300/W300</f>
        <v>1.1070491239373765</v>
      </c>
      <c r="AA300" s="9">
        <f t="shared" si="35"/>
        <v>0.21682795193225765</v>
      </c>
      <c r="AB300" s="9">
        <f t="shared" si="36"/>
        <v>0.34022924249711461</v>
      </c>
      <c r="AC300" s="9">
        <f t="shared" si="37"/>
        <v>0.21644564871490884</v>
      </c>
      <c r="AD300" s="9">
        <f t="shared" si="38"/>
        <v>0.22649715685571889</v>
      </c>
      <c r="AE300" s="9"/>
      <c r="AF300" s="9">
        <f t="shared" si="39"/>
        <v>0.60767584458258039</v>
      </c>
      <c r="AG300" s="9">
        <f t="shared" si="40"/>
        <v>0.2014511493751637</v>
      </c>
      <c r="AH300" s="9">
        <f t="shared" si="41"/>
        <v>0.57163044112803318</v>
      </c>
      <c r="AI300" s="9">
        <f t="shared" si="42"/>
        <v>0.36667141533863445</v>
      </c>
    </row>
    <row r="301" spans="16:35" x14ac:dyDescent="0.3">
      <c r="P301" s="9">
        <v>0.30538493363815683</v>
      </c>
      <c r="Q301" s="9">
        <v>0.28491124334877166</v>
      </c>
      <c r="R301" s="9">
        <v>0.17138661899310503</v>
      </c>
      <c r="S301" s="9">
        <v>0.23831720401996642</v>
      </c>
      <c r="U301" s="9">
        <f t="array" ref="U301">MMULT(TRANSPOSE($B$3:$B$6),TRANSPOSE(P301:S301))</f>
        <v>8.9419890148088321E-2</v>
      </c>
      <c r="V301" s="9">
        <f>INT(200*U301)/200</f>
        <v>8.5000000000000006E-2</v>
      </c>
      <c r="W301" s="9">
        <f t="array" ref="W301">SQRT(MMULT(MMULT(P301:S301,$K$3:$N$6),TRANSPOSE(P301:S301)))</f>
        <v>8.0806206049996193E-2</v>
      </c>
      <c r="Y301" s="31">
        <f>U301/W301</f>
        <v>1.1065968137739655</v>
      </c>
      <c r="AA301" s="9">
        <f t="shared" si="35"/>
        <v>0.2274495057630804</v>
      </c>
      <c r="AB301" s="9">
        <f t="shared" si="36"/>
        <v>0.334409643816591</v>
      </c>
      <c r="AC301" s="9">
        <f t="shared" si="37"/>
        <v>0.20125080587629704</v>
      </c>
      <c r="AD301" s="9">
        <f t="shared" si="38"/>
        <v>0.23689004454403162</v>
      </c>
      <c r="AE301" s="9"/>
      <c r="AF301" s="9">
        <f t="shared" si="39"/>
        <v>0.56146377558573912</v>
      </c>
      <c r="AG301" s="9">
        <f t="shared" si="40"/>
        <v>0.20217139166007775</v>
      </c>
      <c r="AH301" s="9">
        <f t="shared" si="41"/>
        <v>0.52203133234732679</v>
      </c>
      <c r="AI301" s="9">
        <f t="shared" si="42"/>
        <v>0.29183910342166119</v>
      </c>
    </row>
    <row r="302" spans="16:35" x14ac:dyDescent="0.3">
      <c r="P302" s="9">
        <v>0.12547050503645385</v>
      </c>
      <c r="Q302" s="9">
        <v>0.3500869733596621</v>
      </c>
      <c r="R302" s="9">
        <v>0.35335173593468649</v>
      </c>
      <c r="S302" s="9">
        <v>0.17109078566919764</v>
      </c>
      <c r="U302" s="9">
        <f t="array" ref="U302">MMULT(TRANSPOSE($B$3:$B$6),TRANSPOSE(P302:S302))</f>
        <v>9.8771931515182765E-2</v>
      </c>
      <c r="V302" s="9">
        <f>INT(200*U302)/200</f>
        <v>9.5000000000000001E-2</v>
      </c>
      <c r="W302" s="9">
        <f t="array" ref="W302">SQRT(MMULT(MMULT(P302:S302,$K$3:$N$6),TRANSPOSE(P302:S302)))</f>
        <v>8.9262923821059284E-2</v>
      </c>
      <c r="Y302" s="31">
        <f>U302/W302</f>
        <v>1.1065280778073738</v>
      </c>
      <c r="AA302" s="9">
        <f t="shared" si="35"/>
        <v>0.22401204536074087</v>
      </c>
      <c r="AB302" s="9">
        <f t="shared" si="36"/>
        <v>0.33304285973591152</v>
      </c>
      <c r="AC302" s="9">
        <f t="shared" si="37"/>
        <v>0.20787167644920887</v>
      </c>
      <c r="AD302" s="9">
        <f t="shared" si="38"/>
        <v>0.23507341845413876</v>
      </c>
      <c r="AE302" s="9"/>
      <c r="AF302" s="9">
        <f t="shared" si="39"/>
        <v>0.59016894135249987</v>
      </c>
      <c r="AG302" s="9">
        <f t="shared" si="40"/>
        <v>0.19553809892904755</v>
      </c>
      <c r="AH302" s="9">
        <f t="shared" si="41"/>
        <v>0.49103502997528764</v>
      </c>
      <c r="AI302" s="9">
        <f t="shared" si="42"/>
        <v>0.28313995439392536</v>
      </c>
    </row>
    <row r="303" spans="16:35" x14ac:dyDescent="0.3">
      <c r="P303" s="9">
        <v>0.38926906563877189</v>
      </c>
      <c r="Q303" s="9">
        <v>0.31536068411770996</v>
      </c>
      <c r="R303" s="9">
        <v>9.0398484137209426E-3</v>
      </c>
      <c r="S303" s="9">
        <v>0.28633040182979724</v>
      </c>
      <c r="U303" s="9">
        <f t="array" ref="U303">MMULT(TRANSPOSE($B$3:$B$6),TRANSPOSE(P303:S303))</f>
        <v>8.700160000273674E-2</v>
      </c>
      <c r="V303" s="9">
        <f>INT(200*U303)/200</f>
        <v>8.5000000000000006E-2</v>
      </c>
      <c r="W303" s="9">
        <f t="array" ref="W303">SQRT(MMULT(MMULT(P303:S303,$K$3:$N$6),TRANSPOSE(P303:S303)))</f>
        <v>7.8626799994436419E-2</v>
      </c>
      <c r="Y303" s="31">
        <f>U303/W303</f>
        <v>1.1065133009214787</v>
      </c>
      <c r="AA303" s="9">
        <f t="shared" si="35"/>
        <v>0.21002321753477399</v>
      </c>
      <c r="AB303" s="9">
        <f t="shared" si="36"/>
        <v>0.34226838180183361</v>
      </c>
      <c r="AC303" s="9">
        <f t="shared" si="37"/>
        <v>0.20474180934061015</v>
      </c>
      <c r="AD303" s="9">
        <f t="shared" si="38"/>
        <v>0.24296659132278242</v>
      </c>
      <c r="AE303" s="9"/>
      <c r="AF303" s="9">
        <f t="shared" si="39"/>
        <v>0.61175724646308616</v>
      </c>
      <c r="AG303" s="9">
        <f t="shared" si="40"/>
        <v>0.19231047662027739</v>
      </c>
      <c r="AH303" s="9">
        <f t="shared" si="41"/>
        <v>0.50891473009742116</v>
      </c>
      <c r="AI303" s="9">
        <f t="shared" si="42"/>
        <v>0.28837216339339727</v>
      </c>
    </row>
    <row r="304" spans="16:35" x14ac:dyDescent="0.3">
      <c r="P304" s="9">
        <v>0.14387222953992945</v>
      </c>
      <c r="Q304" s="9">
        <v>0.41135616578302658</v>
      </c>
      <c r="R304" s="9">
        <v>0.11310230483548341</v>
      </c>
      <c r="S304" s="9">
        <v>0.33166929984156063</v>
      </c>
      <c r="U304" s="9">
        <f t="array" ref="U304">MMULT(TRANSPOSE($B$3:$B$6),TRANSPOSE(P304:S304))</f>
        <v>0.10047639382634832</v>
      </c>
      <c r="V304" s="9">
        <f>INT(200*U304)/200</f>
        <v>0.1</v>
      </c>
      <c r="W304" s="9">
        <f t="array" ref="W304">SQRT(MMULT(MMULT(P304:S304,$K$3:$N$6),TRANSPOSE(P304:S304)))</f>
        <v>9.0853560563701488E-2</v>
      </c>
      <c r="Y304" s="31">
        <f>U304/W304</f>
        <v>1.1059158628780414</v>
      </c>
      <c r="AA304" s="9">
        <f t="shared" si="35"/>
        <v>0.20557137720017821</v>
      </c>
      <c r="AB304" s="9">
        <f t="shared" si="36"/>
        <v>0.34353371903672719</v>
      </c>
      <c r="AC304" s="9">
        <f t="shared" si="37"/>
        <v>0.21469002383139935</v>
      </c>
      <c r="AD304" s="9">
        <f t="shared" si="38"/>
        <v>0.23620487993169537</v>
      </c>
      <c r="AE304" s="9"/>
      <c r="AF304" s="9">
        <f t="shared" si="39"/>
        <v>0.61272411534169835</v>
      </c>
      <c r="AG304" s="9">
        <f t="shared" si="40"/>
        <v>0.1883897627267235</v>
      </c>
      <c r="AH304" s="9">
        <f t="shared" si="41"/>
        <v>0.52275161790094038</v>
      </c>
      <c r="AI304" s="9">
        <f t="shared" si="42"/>
        <v>0.33594419952115973</v>
      </c>
    </row>
    <row r="305" spans="16:35" x14ac:dyDescent="0.3">
      <c r="P305" s="9">
        <v>0.20092327441429086</v>
      </c>
      <c r="Q305" s="9">
        <v>0.31146058709643476</v>
      </c>
      <c r="R305" s="9">
        <v>0.33796977254228061</v>
      </c>
      <c r="S305" s="9">
        <v>0.14964636594699365</v>
      </c>
      <c r="U305" s="9">
        <f t="array" ref="U305">MMULT(TRANSPOSE($B$3:$B$6),TRANSPOSE(P305:S305))</f>
        <v>9.4319728785454554E-2</v>
      </c>
      <c r="V305" s="9">
        <f>INT(200*U305)/200</f>
        <v>0.09</v>
      </c>
      <c r="W305" s="9">
        <f t="array" ref="W305">SQRT(MMULT(MMULT(P305:S305,$K$3:$N$6),TRANSPOSE(P305:S305)))</f>
        <v>8.5305098727888523E-2</v>
      </c>
      <c r="Y305" s="31">
        <f>U305/W305</f>
        <v>1.1056751611802416</v>
      </c>
      <c r="AA305" s="9">
        <f t="shared" si="35"/>
        <v>0.20105548804571946</v>
      </c>
      <c r="AB305" s="9">
        <f t="shared" si="36"/>
        <v>0.34532806998615295</v>
      </c>
      <c r="AC305" s="9">
        <f t="shared" si="37"/>
        <v>0.21383845772087878</v>
      </c>
      <c r="AD305" s="9">
        <f t="shared" si="38"/>
        <v>0.23977798424724892</v>
      </c>
      <c r="AE305" s="9"/>
      <c r="AF305" s="9">
        <f t="shared" si="39"/>
        <v>0.60608878421927581</v>
      </c>
      <c r="AG305" s="9">
        <f t="shared" si="40"/>
        <v>0.18099260477469659</v>
      </c>
      <c r="AH305" s="9">
        <f t="shared" si="41"/>
        <v>0.52421990611286884</v>
      </c>
      <c r="AI305" s="9">
        <f t="shared" si="42"/>
        <v>0.32117287425417718</v>
      </c>
    </row>
    <row r="306" spans="16:35" x14ac:dyDescent="0.3">
      <c r="P306" s="9">
        <v>0.13268883799834075</v>
      </c>
      <c r="Q306" s="9">
        <v>0.34476493926570023</v>
      </c>
      <c r="R306" s="9">
        <v>0.33259782059340282</v>
      </c>
      <c r="S306" s="9">
        <v>0.18994840214255621</v>
      </c>
      <c r="U306" s="9">
        <f t="array" ref="U306">MMULT(TRANSPOSE($B$3:$B$6),TRANSPOSE(P306:S306))</f>
        <v>9.8371905623129863E-2</v>
      </c>
      <c r="V306" s="9">
        <f>INT(200*U306)/200</f>
        <v>9.5000000000000001E-2</v>
      </c>
      <c r="W306" s="9">
        <f t="array" ref="W306">SQRT(MMULT(MMULT(P306:S306,$K$3:$N$6),TRANSPOSE(P306:S306)))</f>
        <v>8.9151998081328482E-2</v>
      </c>
      <c r="Y306" s="31">
        <f>U306/W306</f>
        <v>1.1034178452555887</v>
      </c>
      <c r="AA306" s="9">
        <f t="shared" si="35"/>
        <v>0.21143379845358989</v>
      </c>
      <c r="AB306" s="9">
        <f t="shared" si="36"/>
        <v>0.33848002186114906</v>
      </c>
      <c r="AC306" s="9">
        <f t="shared" si="37"/>
        <v>0.21583048956613665</v>
      </c>
      <c r="AD306" s="9">
        <f t="shared" si="38"/>
        <v>0.23425569011912453</v>
      </c>
      <c r="AE306" s="9"/>
      <c r="AF306" s="9">
        <f t="shared" si="39"/>
        <v>0.57994397290920918</v>
      </c>
      <c r="AG306" s="9">
        <f t="shared" si="40"/>
        <v>0.19007011132955373</v>
      </c>
      <c r="AH306" s="9">
        <f t="shared" si="41"/>
        <v>0.52061167602305236</v>
      </c>
      <c r="AI306" s="9">
        <f t="shared" si="42"/>
        <v>0.33086794116305623</v>
      </c>
    </row>
    <row r="307" spans="16:35" x14ac:dyDescent="0.3">
      <c r="P307" s="9">
        <v>0.4802262141765275</v>
      </c>
      <c r="Q307" s="9">
        <v>0.2563306705616834</v>
      </c>
      <c r="R307" s="9">
        <v>2.5331873798158579E-2</v>
      </c>
      <c r="S307" s="9">
        <v>0.23811124146363058</v>
      </c>
      <c r="U307" s="9">
        <f t="array" ref="U307">MMULT(TRANSPOSE($B$3:$B$6),TRANSPOSE(P307:S307))</f>
        <v>8.1167506260280187E-2</v>
      </c>
      <c r="V307" s="9">
        <f>INT(200*U307)/200</f>
        <v>0.08</v>
      </c>
      <c r="W307" s="9">
        <f t="array" ref="W307">SQRT(MMULT(MMULT(P307:S307,$K$3:$N$6),TRANSPOSE(P307:S307)))</f>
        <v>7.3684687060892193E-2</v>
      </c>
      <c r="Y307" s="31">
        <f>U307/W307</f>
        <v>1.1015518895154468</v>
      </c>
      <c r="AA307" s="9">
        <f t="shared" si="35"/>
        <v>0.23439750838660625</v>
      </c>
      <c r="AB307" s="9">
        <f t="shared" si="36"/>
        <v>0.32957839937261557</v>
      </c>
      <c r="AC307" s="9">
        <f t="shared" si="37"/>
        <v>0.20077475917157628</v>
      </c>
      <c r="AD307" s="9">
        <f t="shared" si="38"/>
        <v>0.23524933306920198</v>
      </c>
      <c r="AE307" s="9"/>
      <c r="AF307" s="9">
        <f t="shared" si="39"/>
        <v>0.53839279074700785</v>
      </c>
      <c r="AG307" s="9">
        <f t="shared" si="40"/>
        <v>0.19612768330190841</v>
      </c>
      <c r="AH307" s="9">
        <f t="shared" si="41"/>
        <v>0.5586919306393705</v>
      </c>
      <c r="AI307" s="9">
        <f t="shared" si="42"/>
        <v>0.328454399468398</v>
      </c>
    </row>
    <row r="308" spans="16:35" x14ac:dyDescent="0.3">
      <c r="P308" s="9">
        <v>0.12380156036243443</v>
      </c>
      <c r="Q308" s="9">
        <v>0.41388400121622937</v>
      </c>
      <c r="R308" s="9">
        <v>0.12752573060811065</v>
      </c>
      <c r="S308" s="9">
        <v>0.33478870781322562</v>
      </c>
      <c r="U308" s="9">
        <f t="array" ref="U308">MMULT(TRANSPOSE($B$3:$B$6),TRANSPOSE(P308:S308))</f>
        <v>0.10141171195004747</v>
      </c>
      <c r="V308" s="9">
        <f>INT(200*U308)/200</f>
        <v>0.1</v>
      </c>
      <c r="W308" s="9">
        <f t="array" ref="W308">SQRT(MMULT(MMULT(P308:S308,$K$3:$N$6),TRANSPOSE(P308:S308)))</f>
        <v>9.2089886099563326E-2</v>
      </c>
      <c r="Y308" s="31">
        <f>U308/W308</f>
        <v>1.1012252946040766</v>
      </c>
      <c r="AA308" s="9">
        <f t="shared" si="35"/>
        <v>0.24186444955586936</v>
      </c>
      <c r="AB308" s="9">
        <f t="shared" si="36"/>
        <v>0.32755475183794353</v>
      </c>
      <c r="AC308" s="9">
        <f t="shared" si="37"/>
        <v>0.19639156950055617</v>
      </c>
      <c r="AD308" s="9">
        <f t="shared" si="38"/>
        <v>0.23418922910563097</v>
      </c>
      <c r="AE308" s="9"/>
      <c r="AF308" s="9">
        <f t="shared" si="39"/>
        <v>0.57645501681463296</v>
      </c>
      <c r="AG308" s="9">
        <f t="shared" si="40"/>
        <v>0.20750834448795275</v>
      </c>
      <c r="AH308" s="9">
        <f t="shared" si="41"/>
        <v>0.5830247381020206</v>
      </c>
      <c r="AI308" s="9">
        <f t="shared" si="42"/>
        <v>0.33377748386086448</v>
      </c>
    </row>
    <row r="309" spans="16:35" x14ac:dyDescent="0.3">
      <c r="P309" s="9">
        <v>0.10253435456381424</v>
      </c>
      <c r="Q309" s="9">
        <v>0.40558018021498976</v>
      </c>
      <c r="R309" s="9">
        <v>0.17417266046037239</v>
      </c>
      <c r="S309" s="9">
        <v>0.31771280476082364</v>
      </c>
      <c r="U309" s="9">
        <f t="array" ref="U309">MMULT(TRANSPOSE($B$3:$B$6),TRANSPOSE(P309:S309))</f>
        <v>0.10198889476465174</v>
      </c>
      <c r="V309" s="9">
        <f>INT(200*U309)/200</f>
        <v>0.1</v>
      </c>
      <c r="W309" s="9">
        <f t="array" ref="W309">SQRT(MMULT(MMULT(P309:S309,$K$3:$N$6),TRANSPOSE(P309:S309)))</f>
        <v>9.2650533103716792E-2</v>
      </c>
      <c r="Y309" s="31">
        <f>U309/W309</f>
        <v>1.1007912350647913</v>
      </c>
      <c r="AA309" s="9">
        <f t="shared" si="35"/>
        <v>0.25436353988100113</v>
      </c>
      <c r="AB309" s="9">
        <f t="shared" si="36"/>
        <v>0.32101348227498333</v>
      </c>
      <c r="AC309" s="9">
        <f t="shared" si="37"/>
        <v>0.19348935762574873</v>
      </c>
      <c r="AD309" s="9">
        <f t="shared" si="38"/>
        <v>0.23113362021826678</v>
      </c>
      <c r="AE309" s="9"/>
      <c r="AF309" s="9">
        <f t="shared" si="39"/>
        <v>0.55325469857834053</v>
      </c>
      <c r="AG309" s="9">
        <f t="shared" si="40"/>
        <v>0.21783862912481519</v>
      </c>
      <c r="AH309" s="9">
        <f t="shared" si="41"/>
        <v>0.59153218806035623</v>
      </c>
      <c r="AI309" s="9">
        <f t="shared" si="42"/>
        <v>0.33747523029012044</v>
      </c>
    </row>
    <row r="310" spans="16:35" x14ac:dyDescent="0.3">
      <c r="P310" s="9">
        <v>0.19599520116569119</v>
      </c>
      <c r="Q310" s="9">
        <v>0.37950343547520216</v>
      </c>
      <c r="R310" s="9">
        <v>9.7266822768518335E-2</v>
      </c>
      <c r="S310" s="9">
        <v>0.32723454059058826</v>
      </c>
      <c r="U310" s="9">
        <f t="array" ref="U310">MMULT(TRANSPOSE($B$3:$B$6),TRANSPOSE(P310:S310))</f>
        <v>9.7278770198579126E-2</v>
      </c>
      <c r="V310" s="9">
        <f>INT(200*U310)/200</f>
        <v>9.5000000000000001E-2</v>
      </c>
      <c r="W310" s="9">
        <f t="array" ref="W310">SQRT(MMULT(MMULT(P310:S310,$K$3:$N$6),TRANSPOSE(P310:S310)))</f>
        <v>8.8389323925041521E-2</v>
      </c>
      <c r="Y310" s="31">
        <f>U310/W310</f>
        <v>1.1005714930128472</v>
      </c>
      <c r="AA310" s="9">
        <f t="shared" si="35"/>
        <v>0.24558150363785641</v>
      </c>
      <c r="AB310" s="9">
        <f t="shared" si="36"/>
        <v>0.32622283257816764</v>
      </c>
      <c r="AC310" s="9">
        <f t="shared" si="37"/>
        <v>0.19143376012658242</v>
      </c>
      <c r="AD310" s="9">
        <f t="shared" si="38"/>
        <v>0.23676190365739347</v>
      </c>
      <c r="AE310" s="9"/>
      <c r="AF310" s="9">
        <f t="shared" si="39"/>
        <v>0.59964778628401971</v>
      </c>
      <c r="AG310" s="9">
        <f t="shared" si="40"/>
        <v>0.22070687129156472</v>
      </c>
      <c r="AH310" s="9">
        <f t="shared" si="41"/>
        <v>0.5903884534003313</v>
      </c>
      <c r="AI310" s="9">
        <f t="shared" si="42"/>
        <v>0.32931418634673237</v>
      </c>
    </row>
    <row r="311" spans="16:35" x14ac:dyDescent="0.3">
      <c r="P311" s="9">
        <v>0.28647842028098142</v>
      </c>
      <c r="Q311" s="9">
        <v>0.28659096647976567</v>
      </c>
      <c r="R311" s="9">
        <v>0.18314823154775672</v>
      </c>
      <c r="S311" s="9">
        <v>0.24378238169149624</v>
      </c>
      <c r="U311" s="9">
        <f t="array" ref="U311">MMULT(TRANSPOSE($B$3:$B$6),TRANSPOSE(P311:S311))</f>
        <v>9.0288473800904254E-2</v>
      </c>
      <c r="V311" s="9">
        <f>INT(200*U311)/200</f>
        <v>0.09</v>
      </c>
      <c r="W311" s="9">
        <f t="array" ref="W311">SQRT(MMULT(MMULT(P311:S311,$K$3:$N$6),TRANSPOSE(P311:S311)))</f>
        <v>8.2064453344095123E-2</v>
      </c>
      <c r="Y311" s="31">
        <f>U311/W311</f>
        <v>1.100214162425794</v>
      </c>
      <c r="AA311" s="9">
        <f t="shared" si="35"/>
        <v>0.23482086143447159</v>
      </c>
      <c r="AB311" s="9">
        <f t="shared" si="36"/>
        <v>0.33296388721478448</v>
      </c>
      <c r="AC311" s="9">
        <f t="shared" si="37"/>
        <v>0.18675441607286669</v>
      </c>
      <c r="AD311" s="9">
        <f t="shared" si="38"/>
        <v>0.24546083527787715</v>
      </c>
      <c r="AE311" s="9"/>
      <c r="AF311" s="9">
        <f t="shared" si="39"/>
        <v>0.65962692362688502</v>
      </c>
      <c r="AG311" s="9">
        <f t="shared" si="40"/>
        <v>0.22528298714646497</v>
      </c>
      <c r="AH311" s="9">
        <f t="shared" si="41"/>
        <v>0.58337516775235021</v>
      </c>
      <c r="AI311" s="9">
        <f t="shared" si="42"/>
        <v>0.30735128376249232</v>
      </c>
    </row>
    <row r="312" spans="16:35" x14ac:dyDescent="0.3">
      <c r="P312" s="9">
        <v>2.7603435996465722E-2</v>
      </c>
      <c r="Q312" s="9">
        <v>0.4343133584870158</v>
      </c>
      <c r="R312" s="9">
        <v>0.22958244038144079</v>
      </c>
      <c r="S312" s="9">
        <v>0.30850076513507768</v>
      </c>
      <c r="U312" s="9">
        <f t="array" ref="U312">MMULT(TRANSPOSE($B$3:$B$6),TRANSPOSE(P312:S312))</f>
        <v>0.10600144136799455</v>
      </c>
      <c r="V312" s="9">
        <f>INT(200*U312)/200</f>
        <v>0.105</v>
      </c>
      <c r="W312" s="9">
        <f t="array" ref="W312">SQRT(MMULT(MMULT(P312:S312,$K$3:$N$6),TRANSPOSE(P312:S312)))</f>
        <v>9.6370081894371878E-2</v>
      </c>
      <c r="Y312" s="31">
        <f>U312/W312</f>
        <v>1.0999413851715856</v>
      </c>
      <c r="AA312" s="9">
        <f t="shared" si="35"/>
        <v>0.22891027832679192</v>
      </c>
      <c r="AB312" s="9">
        <f t="shared" si="36"/>
        <v>0.33459834787303921</v>
      </c>
      <c r="AC312" s="9">
        <f t="shared" si="37"/>
        <v>0.19167975693000386</v>
      </c>
      <c r="AD312" s="9">
        <f t="shared" si="38"/>
        <v>0.24481161687016498</v>
      </c>
      <c r="AE312" s="9"/>
      <c r="AF312" s="9">
        <f t="shared" si="39"/>
        <v>0.67465028746111888</v>
      </c>
      <c r="AG312" s="9">
        <f t="shared" si="40"/>
        <v>0.22200380563108774</v>
      </c>
      <c r="AH312" s="9">
        <f t="shared" si="41"/>
        <v>0.57671552064161169</v>
      </c>
      <c r="AI312" s="9">
        <f t="shared" si="42"/>
        <v>0.30866922411510189</v>
      </c>
    </row>
    <row r="313" spans="16:35" x14ac:dyDescent="0.3">
      <c r="P313" s="9">
        <v>0.10316163758840503</v>
      </c>
      <c r="Q313" s="9">
        <v>0.43924962034955561</v>
      </c>
      <c r="R313" s="9">
        <v>0.10679149129729981</v>
      </c>
      <c r="S313" s="9">
        <v>0.35079725076473961</v>
      </c>
      <c r="U313" s="9">
        <f t="array" ref="U313">MMULT(TRANSPOSE($B$3:$B$6),TRANSPOSE(P313:S313))</f>
        <v>0.10312421708628207</v>
      </c>
      <c r="V313" s="9">
        <f>INT(200*U313)/200</f>
        <v>0.1</v>
      </c>
      <c r="W313" s="9">
        <f t="array" ref="W313">SQRT(MMULT(MMULT(P313:S313,$K$3:$N$6),TRANSPOSE(P313:S313)))</f>
        <v>9.3755204545167364E-2</v>
      </c>
      <c r="Y313" s="31">
        <f>U313/W313</f>
        <v>1.0999305861105673</v>
      </c>
      <c r="AA313" s="9">
        <f t="shared" si="35"/>
        <v>0.2408713945706776</v>
      </c>
      <c r="AB313" s="9">
        <f t="shared" si="36"/>
        <v>0.33200272229503047</v>
      </c>
      <c r="AC313" s="9">
        <f t="shared" si="37"/>
        <v>0.17669449904551737</v>
      </c>
      <c r="AD313" s="9">
        <f t="shared" si="38"/>
        <v>0.25043138408877441</v>
      </c>
      <c r="AE313" s="9"/>
      <c r="AF313" s="9">
        <f t="shared" si="39"/>
        <v>0.64658549345279259</v>
      </c>
      <c r="AG313" s="9">
        <f t="shared" si="40"/>
        <v>0.22489326346135047</v>
      </c>
      <c r="AH313" s="9">
        <f t="shared" si="41"/>
        <v>0.61603140995400407</v>
      </c>
      <c r="AI313" s="9">
        <f t="shared" si="42"/>
        <v>0.29622825255447865</v>
      </c>
    </row>
    <row r="314" spans="16:35" x14ac:dyDescent="0.3">
      <c r="P314" s="9">
        <v>0.22976562867045813</v>
      </c>
      <c r="Q314" s="9">
        <v>0.30197277209722551</v>
      </c>
      <c r="R314" s="9">
        <v>0.39739560074021135</v>
      </c>
      <c r="S314" s="9">
        <v>7.0865998492105009E-2</v>
      </c>
      <c r="U314" s="9">
        <f t="array" ref="U314">MMULT(TRANSPOSE($B$3:$B$6),TRANSPOSE(P314:S314))</f>
        <v>9.2523782934015947E-2</v>
      </c>
      <c r="V314" s="9">
        <f>INT(200*U314)/200</f>
        <v>0.09</v>
      </c>
      <c r="W314" s="9">
        <f t="array" ref="W314">SQRT(MMULT(MMULT(P314:S314,$K$3:$N$6),TRANSPOSE(P314:S314)))</f>
        <v>8.4124216328448992E-2</v>
      </c>
      <c r="Y314" s="31">
        <f>U314/W314</f>
        <v>1.0998471899312827</v>
      </c>
      <c r="AA314" s="9">
        <f t="shared" si="35"/>
        <v>0.23071769301948009</v>
      </c>
      <c r="AB314" s="9">
        <f t="shared" si="36"/>
        <v>0.33204230680994617</v>
      </c>
      <c r="AC314" s="9">
        <f t="shared" si="37"/>
        <v>0.19475308150406473</v>
      </c>
      <c r="AD314" s="9">
        <f t="shared" si="38"/>
        <v>0.24248691866650893</v>
      </c>
      <c r="AE314" s="9"/>
      <c r="AF314" s="9">
        <f t="shared" si="39"/>
        <v>0.66099130540829043</v>
      </c>
      <c r="AG314" s="9">
        <f t="shared" si="40"/>
        <v>0.22483921438470092</v>
      </c>
      <c r="AH314" s="9">
        <f t="shared" si="41"/>
        <v>0.57035877000069501</v>
      </c>
      <c r="AI314" s="9">
        <f t="shared" si="42"/>
        <v>0.32550041111364603</v>
      </c>
    </row>
    <row r="315" spans="16:35" x14ac:dyDescent="0.3">
      <c r="P315" s="9">
        <v>0.2630641564272353</v>
      </c>
      <c r="Q315" s="9">
        <v>0.28844105090910543</v>
      </c>
      <c r="R315" s="9">
        <v>0.22177851619063688</v>
      </c>
      <c r="S315" s="9">
        <v>0.22671627647302245</v>
      </c>
      <c r="U315" s="9">
        <f t="array" ref="U315">MMULT(TRANSPOSE($B$3:$B$6),TRANSPOSE(P315:S315))</f>
        <v>9.1270162605444086E-2</v>
      </c>
      <c r="V315" s="9">
        <f>INT(200*U315)/200</f>
        <v>0.09</v>
      </c>
      <c r="W315" s="9">
        <f t="array" ref="W315">SQRT(MMULT(MMULT(P315:S315,$K$3:$N$6),TRANSPOSE(P315:S315)))</f>
        <v>8.3000110034141733E-2</v>
      </c>
      <c r="Y315" s="31">
        <f>U315/W315</f>
        <v>1.099639055513306</v>
      </c>
      <c r="AA315" s="9">
        <f t="shared" si="35"/>
        <v>0.24979135152141702</v>
      </c>
      <c r="AB315" s="9">
        <f t="shared" si="36"/>
        <v>0.32187808773220927</v>
      </c>
      <c r="AC315" s="9">
        <f t="shared" si="37"/>
        <v>0.19454380645071256</v>
      </c>
      <c r="AD315" s="9">
        <f t="shared" si="38"/>
        <v>0.23378675429566104</v>
      </c>
      <c r="AE315" s="9"/>
      <c r="AF315" s="9">
        <f t="shared" si="39"/>
        <v>0.66289218744855016</v>
      </c>
      <c r="AG315" s="9">
        <f t="shared" si="40"/>
        <v>0.24165236567545459</v>
      </c>
      <c r="AH315" s="9">
        <f t="shared" si="41"/>
        <v>0.57182322947826958</v>
      </c>
      <c r="AI315" s="9">
        <f t="shared" si="42"/>
        <v>0.33653229149555697</v>
      </c>
    </row>
    <row r="316" spans="16:35" x14ac:dyDescent="0.3">
      <c r="P316" s="9">
        <v>0.32376771608276933</v>
      </c>
      <c r="Q316" s="9">
        <v>0.25383187821053371</v>
      </c>
      <c r="R316" s="9">
        <v>0.24999660771164817</v>
      </c>
      <c r="S316" s="9">
        <v>0.17240379799504868</v>
      </c>
      <c r="U316" s="9">
        <f t="array" ref="U316">MMULT(TRANSPOSE($B$3:$B$6),TRANSPOSE(P316:S316))</f>
        <v>8.7443924066900686E-2</v>
      </c>
      <c r="V316" s="9">
        <f>INT(200*U316)/200</f>
        <v>8.5000000000000006E-2</v>
      </c>
      <c r="W316" s="9">
        <f t="array" ref="W316">SQRT(MMULT(MMULT(P316:S316,$K$3:$N$6),TRANSPOSE(P316:S316)))</f>
        <v>7.9599033959836168E-2</v>
      </c>
      <c r="Y316" s="31">
        <f>U316/W316</f>
        <v>1.0985550919000207</v>
      </c>
      <c r="AA316" s="9">
        <f t="shared" si="35"/>
        <v>0.25441348039794864</v>
      </c>
      <c r="AB316" s="9">
        <f t="shared" si="36"/>
        <v>0.32152964541540074</v>
      </c>
      <c r="AC316" s="9">
        <f t="shared" si="37"/>
        <v>0.18362607028341241</v>
      </c>
      <c r="AD316" s="9">
        <f t="shared" si="38"/>
        <v>0.24043080390323812</v>
      </c>
      <c r="AE316" s="9"/>
      <c r="AF316" s="9">
        <f t="shared" si="39"/>
        <v>0.65054391167211856</v>
      </c>
      <c r="AG316" s="9">
        <f t="shared" si="40"/>
        <v>0.24211753162274902</v>
      </c>
      <c r="AH316" s="9">
        <f t="shared" si="41"/>
        <v>0.58628689472521589</v>
      </c>
      <c r="AI316" s="9">
        <f t="shared" si="42"/>
        <v>0.32063850311618153</v>
      </c>
    </row>
    <row r="317" spans="16:35" x14ac:dyDescent="0.3">
      <c r="P317" s="9">
        <v>0.48249670622476493</v>
      </c>
      <c r="Q317" s="9">
        <v>0.23846120321451172</v>
      </c>
      <c r="R317" s="9">
        <v>5.1585494375519146E-2</v>
      </c>
      <c r="S317" s="9">
        <v>0.22745659618520422</v>
      </c>
      <c r="U317" s="9">
        <f t="array" ref="U317">MMULT(TRANSPOSE($B$3:$B$6),TRANSPOSE(P317:S317))</f>
        <v>8.048041012803997E-2</v>
      </c>
      <c r="V317" s="9">
        <f>INT(200*U317)/200</f>
        <v>0.08</v>
      </c>
      <c r="W317" s="9">
        <f t="array" ref="W317">SQRT(MMULT(MMULT(P317:S317,$K$3:$N$6),TRANSPOSE(P317:S317)))</f>
        <v>7.3397151855719253E-2</v>
      </c>
      <c r="Y317" s="31">
        <f>U317/W317</f>
        <v>1.09650590102249</v>
      </c>
      <c r="AA317" s="9">
        <f t="shared" si="35"/>
        <v>0.26766602551078206</v>
      </c>
      <c r="AB317" s="9">
        <f t="shared" si="36"/>
        <v>0.31871097488509659</v>
      </c>
      <c r="AC317" s="9">
        <f t="shared" si="37"/>
        <v>0.16884658376887279</v>
      </c>
      <c r="AD317" s="9">
        <f t="shared" si="38"/>
        <v>0.24477641583524848</v>
      </c>
      <c r="AE317" s="9"/>
      <c r="AF317" s="9">
        <f t="shared" si="39"/>
        <v>0.62171787090359576</v>
      </c>
      <c r="AG317" s="9">
        <f t="shared" si="40"/>
        <v>0.24484873348569686</v>
      </c>
      <c r="AH317" s="9">
        <f t="shared" si="41"/>
        <v>0.63660026980066819</v>
      </c>
      <c r="AI317" s="9">
        <f t="shared" si="42"/>
        <v>0.31324248550565587</v>
      </c>
    </row>
    <row r="318" spans="16:35" x14ac:dyDescent="0.3">
      <c r="P318" s="9">
        <v>0.54057713568578991</v>
      </c>
      <c r="Q318" s="9">
        <v>0.20337831635483533</v>
      </c>
      <c r="R318" s="9">
        <v>9.5184056462649588E-2</v>
      </c>
      <c r="S318" s="9">
        <v>0.16086049149672516</v>
      </c>
      <c r="U318" s="9">
        <f t="array" ref="U318">MMULT(TRANSPOSE($B$3:$B$6),TRANSPOSE(P318:S318))</f>
        <v>7.6705291423094762E-2</v>
      </c>
      <c r="V318" s="9">
        <f>INT(200*U318)/200</f>
        <v>7.4999999999999997E-2</v>
      </c>
      <c r="W318" s="9">
        <f t="array" ref="W318">SQRT(MMULT(MMULT(P318:S318,$K$3:$N$6),TRANSPOSE(P318:S318)))</f>
        <v>6.9961212018678193E-2</v>
      </c>
      <c r="Y318" s="31">
        <f>U318/W318</f>
        <v>1.0963974066460718</v>
      </c>
      <c r="AA318" s="9">
        <f t="shared" si="35"/>
        <v>0.25047563461967759</v>
      </c>
      <c r="AB318" s="9">
        <f t="shared" si="36"/>
        <v>0.32609576725140438</v>
      </c>
      <c r="AC318" s="9">
        <f t="shared" si="37"/>
        <v>0.17361149375912721</v>
      </c>
      <c r="AD318" s="9">
        <f t="shared" si="38"/>
        <v>0.24981710436979071</v>
      </c>
      <c r="AE318" s="9"/>
      <c r="AF318" s="9">
        <f t="shared" si="39"/>
        <v>0.64654173427158801</v>
      </c>
      <c r="AG318" s="9">
        <f t="shared" si="40"/>
        <v>0.2427730273758745</v>
      </c>
      <c r="AH318" s="9">
        <f t="shared" si="41"/>
        <v>0.59286925397669188</v>
      </c>
      <c r="AI318" s="9">
        <f t="shared" si="42"/>
        <v>0.31877953604694603</v>
      </c>
    </row>
    <row r="319" spans="16:35" x14ac:dyDescent="0.3">
      <c r="P319" s="9">
        <v>0.39327071046220902</v>
      </c>
      <c r="Q319" s="9">
        <v>0.23593688236794147</v>
      </c>
      <c r="R319" s="9">
        <v>0.16619382007193026</v>
      </c>
      <c r="S319" s="9">
        <v>0.20459858709791934</v>
      </c>
      <c r="U319" s="9">
        <f t="array" ref="U319">MMULT(TRANSPOSE($B$3:$B$6),TRANSPOSE(P319:S319))</f>
        <v>8.4079029276848627E-2</v>
      </c>
      <c r="V319" s="9">
        <f>INT(200*U319)/200</f>
        <v>0.08</v>
      </c>
      <c r="W319" s="9">
        <f t="array" ref="W319">SQRT(MMULT(MMULT(P319:S319,$K$3:$N$6),TRANSPOSE(P319:S319)))</f>
        <v>7.6708196155309799E-2</v>
      </c>
      <c r="Y319" s="31">
        <f>U319/W319</f>
        <v>1.0960892510966525</v>
      </c>
      <c r="AA319" s="9">
        <f t="shared" si="35"/>
        <v>0.26337347255574106</v>
      </c>
      <c r="AB319" s="9">
        <f t="shared" si="36"/>
        <v>0.31705856701707158</v>
      </c>
      <c r="AC319" s="9">
        <f t="shared" si="37"/>
        <v>0.17811562425654179</v>
      </c>
      <c r="AD319" s="9">
        <f t="shared" si="38"/>
        <v>0.24145233617064554</v>
      </c>
      <c r="AE319" s="9"/>
      <c r="AF319" s="9">
        <f t="shared" si="39"/>
        <v>0.61561073782907427</v>
      </c>
      <c r="AG319" s="9">
        <f t="shared" si="40"/>
        <v>0.2506677137006677</v>
      </c>
      <c r="AH319" s="9">
        <f t="shared" si="41"/>
        <v>0.57760747084059272</v>
      </c>
      <c r="AI319" s="9">
        <f t="shared" si="42"/>
        <v>0.32921790837690518</v>
      </c>
    </row>
    <row r="320" spans="16:35" x14ac:dyDescent="0.3">
      <c r="P320" s="9">
        <v>5.5718660854824381E-2</v>
      </c>
      <c r="Q320" s="9">
        <v>0.40517839985155424</v>
      </c>
      <c r="R320" s="9">
        <v>0.24649127430398693</v>
      </c>
      <c r="S320" s="9">
        <v>0.29261166498963453</v>
      </c>
      <c r="U320" s="9">
        <f t="array" ref="U320">MMULT(TRANSPOSE($B$3:$B$6),TRANSPOSE(P320:S320))</f>
        <v>0.10385780102872959</v>
      </c>
      <c r="V320" s="9">
        <f>INT(200*U320)/200</f>
        <v>0.1</v>
      </c>
      <c r="W320" s="9">
        <f t="array" ref="W320">SQRT(MMULT(MMULT(P320:S320,$K$3:$N$6),TRANSPOSE(P320:S320)))</f>
        <v>9.4757780867242E-2</v>
      </c>
      <c r="Y320" s="31">
        <f>U320/W320</f>
        <v>1.0960345427911291</v>
      </c>
      <c r="AA320" s="9">
        <f t="shared" si="35"/>
        <v>0.27498508092736806</v>
      </c>
      <c r="AB320" s="9">
        <f t="shared" si="36"/>
        <v>0.31370418389005994</v>
      </c>
      <c r="AC320" s="9">
        <f t="shared" si="37"/>
        <v>0.16985903086775522</v>
      </c>
      <c r="AD320" s="9">
        <f t="shared" si="38"/>
        <v>0.24145170431481672</v>
      </c>
      <c r="AE320" s="9"/>
      <c r="AF320" s="9">
        <f t="shared" si="39"/>
        <v>0.57725624543705778</v>
      </c>
      <c r="AG320" s="9">
        <f t="shared" si="40"/>
        <v>0.24545861692257126</v>
      </c>
      <c r="AH320" s="9">
        <f t="shared" si="41"/>
        <v>0.64717949995466784</v>
      </c>
      <c r="AI320" s="9">
        <f t="shared" si="42"/>
        <v>0.32921613401783595</v>
      </c>
    </row>
    <row r="321" spans="16:35" x14ac:dyDescent="0.3">
      <c r="P321" s="9">
        <v>2.5167705315589792E-2</v>
      </c>
      <c r="Q321" s="9">
        <v>0.43164830274902083</v>
      </c>
      <c r="R321" s="9">
        <v>0.2319500154992829</v>
      </c>
      <c r="S321" s="9">
        <v>0.31123397643610656</v>
      </c>
      <c r="U321" s="9">
        <f t="array" ref="U321">MMULT(TRANSPOSE($B$3:$B$6),TRANSPOSE(P321:S321))</f>
        <v>0.10603163247443786</v>
      </c>
      <c r="V321" s="9">
        <f>INT(200*U321)/200</f>
        <v>0.105</v>
      </c>
      <c r="W321" s="9">
        <f t="array" ref="W321">SQRT(MMULT(MMULT(P321:S321,$K$3:$N$6),TRANSPOSE(P321:S321)))</f>
        <v>9.6745364224543884E-2</v>
      </c>
      <c r="Y321" s="31">
        <f>U321/W321</f>
        <v>1.0959866999760397</v>
      </c>
      <c r="AA321" s="9">
        <f t="shared" si="35"/>
        <v>0.27849557164850158</v>
      </c>
      <c r="AB321" s="9">
        <f t="shared" si="36"/>
        <v>0.30858338073772185</v>
      </c>
      <c r="AC321" s="9">
        <f t="shared" si="37"/>
        <v>0.17786988789504171</v>
      </c>
      <c r="AD321" s="9">
        <f t="shared" si="38"/>
        <v>0.23505115971873483</v>
      </c>
      <c r="AE321" s="9"/>
      <c r="AF321" s="9">
        <f t="shared" si="39"/>
        <v>0.56630887510280603</v>
      </c>
      <c r="AG321" s="9">
        <f t="shared" si="40"/>
        <v>0.24620797662870675</v>
      </c>
      <c r="AH321" s="9">
        <f t="shared" si="41"/>
        <v>0.62125699167475557</v>
      </c>
      <c r="AI321" s="9">
        <f t="shared" si="42"/>
        <v>0.33025476540736698</v>
      </c>
    </row>
    <row r="322" spans="16:35" x14ac:dyDescent="0.3">
      <c r="P322" s="9">
        <v>0.18126268837688303</v>
      </c>
      <c r="Q322" s="9">
        <v>0.31923491717212144</v>
      </c>
      <c r="R322" s="9">
        <v>0.27481877699298474</v>
      </c>
      <c r="S322" s="9">
        <v>0.22468361745801077</v>
      </c>
      <c r="U322" s="9">
        <f t="array" ref="U322">MMULT(TRANSPOSE($B$3:$B$6),TRANSPOSE(P322:S322))</f>
        <v>9.5662124891053094E-2</v>
      </c>
      <c r="V322" s="9">
        <f>INT(200*U322)/200</f>
        <v>9.5000000000000001E-2</v>
      </c>
      <c r="W322" s="9">
        <f t="array" ref="W322">SQRT(MMULT(MMULT(P322:S322,$K$3:$N$6),TRANSPOSE(P322:S322)))</f>
        <v>8.7289595229974412E-2</v>
      </c>
      <c r="Y322" s="31">
        <f>U322/W322</f>
        <v>1.0959166970475724</v>
      </c>
      <c r="AA322" s="9">
        <f t="shared" si="35"/>
        <v>0.28295287337240099</v>
      </c>
      <c r="AB322" s="9">
        <f t="shared" si="36"/>
        <v>0.30639544772310662</v>
      </c>
      <c r="AC322" s="9">
        <f t="shared" si="37"/>
        <v>0.18520861190305626</v>
      </c>
      <c r="AD322" s="9">
        <f t="shared" si="38"/>
        <v>0.22544306700143604</v>
      </c>
      <c r="AE322" s="9"/>
      <c r="AF322" s="9">
        <f t="shared" si="39"/>
        <v>0.56287277695635918</v>
      </c>
      <c r="AG322" s="9">
        <f t="shared" si="40"/>
        <v>0.25225859987503418</v>
      </c>
      <c r="AH322" s="9">
        <f t="shared" si="41"/>
        <v>0.62555774156487975</v>
      </c>
      <c r="AI322" s="9">
        <f t="shared" si="42"/>
        <v>0.39145909111298632</v>
      </c>
    </row>
    <row r="323" spans="16:35" x14ac:dyDescent="0.3">
      <c r="P323" s="9">
        <v>0.37665394615805453</v>
      </c>
      <c r="Q323" s="9">
        <v>0.2955788362214784</v>
      </c>
      <c r="R323" s="9">
        <v>3.8661320360470014E-2</v>
      </c>
      <c r="S323" s="9">
        <v>0.28910589725999708</v>
      </c>
      <c r="U323" s="9">
        <f t="array" ref="U323">MMULT(TRANSPOSE($B$3:$B$6),TRANSPOSE(P323:S323))</f>
        <v>8.693159638205103E-2</v>
      </c>
      <c r="V323" s="9">
        <f>INT(200*U323)/200</f>
        <v>8.5000000000000006E-2</v>
      </c>
      <c r="W323" s="9">
        <f t="array" ref="W323">SQRT(MMULT(MMULT(P323:S323,$K$3:$N$6),TRANSPOSE(P323:S323)))</f>
        <v>7.9387932039009915E-2</v>
      </c>
      <c r="Y323" s="31">
        <f>U323/W323</f>
        <v>1.0950228095037704</v>
      </c>
      <c r="AA323" s="9">
        <f t="shared" si="35"/>
        <v>0.29560842722907632</v>
      </c>
      <c r="AB323" s="9">
        <f t="shared" si="36"/>
        <v>0.30184590857211097</v>
      </c>
      <c r="AC323" s="9">
        <f t="shared" si="37"/>
        <v>0.17642999891109098</v>
      </c>
      <c r="AD323" s="9">
        <f t="shared" si="38"/>
        <v>0.2261156652877217</v>
      </c>
      <c r="AE323" s="9"/>
      <c r="AF323" s="9">
        <f t="shared" si="39"/>
        <v>0.50110664787192982</v>
      </c>
      <c r="AG323" s="9">
        <f t="shared" si="40"/>
        <v>0.23858782971968648</v>
      </c>
      <c r="AH323" s="9">
        <f t="shared" si="41"/>
        <v>0.67597630299099754</v>
      </c>
      <c r="AI323" s="9">
        <f t="shared" si="42"/>
        <v>0.39345935763686879</v>
      </c>
    </row>
    <row r="324" spans="16:35" x14ac:dyDescent="0.3">
      <c r="P324" s="9">
        <v>0.17604133306362346</v>
      </c>
      <c r="Q324" s="9">
        <v>0.31619195893094021</v>
      </c>
      <c r="R324" s="9">
        <v>0.38827008004321539</v>
      </c>
      <c r="S324" s="9">
        <v>0.11949662796222094</v>
      </c>
      <c r="U324" s="9">
        <f t="array" ref="U324">MMULT(TRANSPOSE($B$3:$B$6),TRANSPOSE(P324:S324))</f>
        <v>9.5404678756909528E-2</v>
      </c>
      <c r="V324" s="9">
        <f>INT(200*U324)/200</f>
        <v>9.5000000000000001E-2</v>
      </c>
      <c r="W324" s="9">
        <f t="array" ref="W324">SQRT(MMULT(MMULT(P324:S324,$K$3:$N$6),TRANSPOSE(P324:S324)))</f>
        <v>8.7156157081292152E-2</v>
      </c>
      <c r="Y324" s="31">
        <f>U324/W324</f>
        <v>1.0946407224899077</v>
      </c>
      <c r="AA324" s="9">
        <f t="shared" si="35"/>
        <v>0.30983108986443197</v>
      </c>
      <c r="AB324" s="9">
        <f t="shared" si="36"/>
        <v>0.29140474300582525</v>
      </c>
      <c r="AC324" s="9">
        <f t="shared" si="37"/>
        <v>0.18382781130917772</v>
      </c>
      <c r="AD324" s="9">
        <f t="shared" si="38"/>
        <v>0.21493635582056503</v>
      </c>
      <c r="AE324" s="9"/>
      <c r="AF324" s="9">
        <f t="shared" si="39"/>
        <v>0.46147342091925247</v>
      </c>
      <c r="AG324" s="9">
        <f t="shared" si="40"/>
        <v>0.229254339418798</v>
      </c>
      <c r="AH324" s="9">
        <f t="shared" si="41"/>
        <v>0.65030860998364537</v>
      </c>
      <c r="AI324" s="9">
        <f t="shared" si="42"/>
        <v>0.40593531810949257</v>
      </c>
    </row>
    <row r="325" spans="16:35" x14ac:dyDescent="0.3">
      <c r="P325" s="9">
        <v>0.54441905808060498</v>
      </c>
      <c r="Q325" s="9">
        <v>0.19790756515055113</v>
      </c>
      <c r="R325" s="9">
        <v>0.10870752871508821</v>
      </c>
      <c r="S325" s="9">
        <v>0.14896584805375587</v>
      </c>
      <c r="U325" s="9">
        <f t="array" ref="U325">MMULT(TRANSPOSE($B$3:$B$6),TRANSPOSE(P325:S325))</f>
        <v>7.6330865882539942E-2</v>
      </c>
      <c r="V325" s="9">
        <f>INT(200*U325)/200</f>
        <v>7.4999999999999997E-2</v>
      </c>
      <c r="W325" s="9">
        <f t="array" ref="W325">SQRT(MMULT(MMULT(P325:S325,$K$3:$N$6),TRANSPOSE(P325:S325)))</f>
        <v>6.9735879203964221E-2</v>
      </c>
      <c r="Y325" s="31">
        <f>U325/W325</f>
        <v>1.0945709260979795</v>
      </c>
      <c r="AA325" s="9">
        <f t="shared" si="35"/>
        <v>0.3060015609878014</v>
      </c>
      <c r="AB325" s="9">
        <f t="shared" si="36"/>
        <v>0.29307790774722714</v>
      </c>
      <c r="AC325" s="9">
        <f t="shared" si="37"/>
        <v>0.18660400516593775</v>
      </c>
      <c r="AD325" s="9">
        <f t="shared" si="38"/>
        <v>0.21431652609903362</v>
      </c>
      <c r="AE325" s="9"/>
      <c r="AF325" s="9">
        <f t="shared" si="39"/>
        <v>0.47800282919300252</v>
      </c>
      <c r="AG325" s="9">
        <f t="shared" si="40"/>
        <v>0.23038207838002153</v>
      </c>
      <c r="AH325" s="9">
        <f t="shared" si="41"/>
        <v>0.67142889796914162</v>
      </c>
      <c r="AI325" s="9">
        <f t="shared" si="42"/>
        <v>0.4123062352715407</v>
      </c>
    </row>
    <row r="326" spans="16:35" x14ac:dyDescent="0.3">
      <c r="P326" s="9">
        <v>0.29798798082145406</v>
      </c>
      <c r="Q326" s="9">
        <v>0.30414329844345589</v>
      </c>
      <c r="R326" s="9">
        <v>0.10869731302897781</v>
      </c>
      <c r="S326" s="9">
        <v>0.28917140770611222</v>
      </c>
      <c r="U326" s="9">
        <f t="array" ref="U326">MMULT(TRANSPOSE($B$3:$B$6),TRANSPOSE(P326:S326))</f>
        <v>9.0511667225717629E-2</v>
      </c>
      <c r="V326" s="9">
        <f>INT(200*U326)/200</f>
        <v>0.09</v>
      </c>
      <c r="W326" s="9">
        <f t="array" ref="W326">SQRT(MMULT(MMULT(P326:S326,$K$3:$N$6),TRANSPOSE(P326:S326)))</f>
        <v>8.2698616049944426E-2</v>
      </c>
      <c r="Y326" s="31">
        <f>U326/W326</f>
        <v>1.0944762022505268</v>
      </c>
      <c r="AA326" s="9">
        <f t="shared" si="35"/>
        <v>0.2981904654323812</v>
      </c>
      <c r="AB326" s="9">
        <f t="shared" si="36"/>
        <v>0.29600585880051739</v>
      </c>
      <c r="AC326" s="9">
        <f t="shared" si="37"/>
        <v>0.19336777499898877</v>
      </c>
      <c r="AD326" s="9">
        <f t="shared" si="38"/>
        <v>0.21243590076811261</v>
      </c>
      <c r="AE326" s="9"/>
      <c r="AF326" s="9">
        <f t="shared" si="39"/>
        <v>0.51278125552747211</v>
      </c>
      <c r="AG326" s="9">
        <f t="shared" si="40"/>
        <v>0.23186286849279247</v>
      </c>
      <c r="AH326" s="9">
        <f t="shared" si="41"/>
        <v>0.67741126144207586</v>
      </c>
      <c r="AI326" s="9">
        <f t="shared" si="42"/>
        <v>0.41662962326972353</v>
      </c>
    </row>
    <row r="327" spans="16:35" x14ac:dyDescent="0.3">
      <c r="P327" s="9">
        <v>0.41099228536784382</v>
      </c>
      <c r="Q327" s="9">
        <v>0.28557285812931249</v>
      </c>
      <c r="R327" s="9">
        <v>2.2228603788069949E-2</v>
      </c>
      <c r="S327" s="9">
        <v>0.28120625271477384</v>
      </c>
      <c r="U327" s="9">
        <f t="array" ref="U327">MMULT(TRANSPOSE($B$3:$B$6),TRANSPOSE(P327:S327))</f>
        <v>8.5146365502239557E-2</v>
      </c>
      <c r="V327" s="9">
        <f>INT(200*U327)/200</f>
        <v>8.5000000000000006E-2</v>
      </c>
      <c r="W327" s="9">
        <f t="array" ref="W327">SQRT(MMULT(MMULT(P327:S327,$K$3:$N$6),TRANSPOSE(P327:S327)))</f>
        <v>7.7843127479526333E-2</v>
      </c>
      <c r="Y327" s="31">
        <f>U327/W327</f>
        <v>1.0938199460785289</v>
      </c>
      <c r="AA327" s="9">
        <f t="shared" si="35"/>
        <v>0.29270568714633383</v>
      </c>
      <c r="AB327" s="9">
        <f t="shared" si="36"/>
        <v>0.2985097674158273</v>
      </c>
      <c r="AC327" s="9">
        <f t="shared" si="37"/>
        <v>0.19291462307119345</v>
      </c>
      <c r="AD327" s="9">
        <f t="shared" si="38"/>
        <v>0.21586992236664543</v>
      </c>
      <c r="AE327" s="9"/>
      <c r="AF327" s="9">
        <f t="shared" si="39"/>
        <v>0.52614273476536666</v>
      </c>
      <c r="AG327" s="9">
        <f t="shared" si="40"/>
        <v>0.2277085116149713</v>
      </c>
      <c r="AH327" s="9">
        <f t="shared" si="41"/>
        <v>0.67802082517186946</v>
      </c>
      <c r="AI327" s="9">
        <f t="shared" si="42"/>
        <v>0.40892635676470912</v>
      </c>
    </row>
    <row r="328" spans="16:35" x14ac:dyDescent="0.3">
      <c r="P328" s="9">
        <v>0.11922800546333324</v>
      </c>
      <c r="Q328" s="9">
        <v>0.4114113102541474</v>
      </c>
      <c r="R328" s="9">
        <v>0.12539498359350115</v>
      </c>
      <c r="S328" s="9">
        <v>0.34396570068901816</v>
      </c>
      <c r="U328" s="9">
        <f t="array" ref="U328">MMULT(TRANSPOSE($B$3:$B$6),TRANSPOSE(P328:S328))</f>
        <v>0.10156142541054947</v>
      </c>
      <c r="V328" s="9">
        <f>INT(200*U328)/200</f>
        <v>0.1</v>
      </c>
      <c r="W328" s="9">
        <f t="array" ref="W328">SQRT(MMULT(MMULT(P328:S328,$K$3:$N$6),TRANSPOSE(P328:S328)))</f>
        <v>9.291221248205736E-2</v>
      </c>
      <c r="Y328" s="31">
        <f>U328/W328</f>
        <v>1.0930901621803741</v>
      </c>
      <c r="AA328" s="9">
        <f t="shared" si="35"/>
        <v>0.28248281469460096</v>
      </c>
      <c r="AB328" s="9">
        <f t="shared" si="36"/>
        <v>0.30019258712257041</v>
      </c>
      <c r="AC328" s="9">
        <f t="shared" si="37"/>
        <v>0.20805405037074973</v>
      </c>
      <c r="AD328" s="9">
        <f t="shared" si="38"/>
        <v>0.20927054781207893</v>
      </c>
      <c r="AE328" s="9"/>
      <c r="AF328" s="9">
        <f t="shared" si="39"/>
        <v>0.52313264487190747</v>
      </c>
      <c r="AG328" s="9">
        <f t="shared" si="40"/>
        <v>0.22265793479909551</v>
      </c>
      <c r="AH328" s="9">
        <f t="shared" si="41"/>
        <v>0.63453560083199478</v>
      </c>
      <c r="AI328" s="9">
        <f t="shared" si="42"/>
        <v>0.44175883253454801</v>
      </c>
    </row>
    <row r="329" spans="16:35" x14ac:dyDescent="0.3">
      <c r="P329" s="9">
        <v>0.39465615701976597</v>
      </c>
      <c r="Q329" s="9">
        <v>0.22410279629524016</v>
      </c>
      <c r="R329" s="9">
        <v>0.22211247105381646</v>
      </c>
      <c r="S329" s="9">
        <v>0.15912857563117735</v>
      </c>
      <c r="U329" s="9">
        <f t="array" ref="U329">MMULT(TRANSPOSE($B$3:$B$6),TRANSPOSE(P329:S329))</f>
        <v>8.3488971568575016E-2</v>
      </c>
      <c r="V329" s="9">
        <f>INT(200*U329)/200</f>
        <v>0.08</v>
      </c>
      <c r="W329" s="9">
        <f t="array" ref="W329">SQRT(MMULT(MMULT(P329:S329,$K$3:$N$6),TRANSPOSE(P329:S329)))</f>
        <v>7.6385323194902877E-2</v>
      </c>
      <c r="Y329" s="31">
        <f>U329/W329</f>
        <v>1.0929975560297971</v>
      </c>
      <c r="AA329" s="9">
        <f t="shared" si="35"/>
        <v>0.27059875271387906</v>
      </c>
      <c r="AB329" s="9">
        <f t="shared" si="36"/>
        <v>0.30321951438349803</v>
      </c>
      <c r="AC329" s="9">
        <f t="shared" si="37"/>
        <v>0.21389380863102586</v>
      </c>
      <c r="AD329" s="9">
        <f t="shared" si="38"/>
        <v>0.21228792427159709</v>
      </c>
      <c r="AE329" s="9"/>
      <c r="AF329" s="9">
        <f t="shared" si="39"/>
        <v>0.500771428523757</v>
      </c>
      <c r="AG329" s="9">
        <f t="shared" si="40"/>
        <v>0.2097403249154276</v>
      </c>
      <c r="AH329" s="9">
        <f t="shared" si="41"/>
        <v>0.60526733374226438</v>
      </c>
      <c r="AI329" s="9">
        <f t="shared" si="42"/>
        <v>0.43252583604450529</v>
      </c>
    </row>
    <row r="330" spans="16:35" x14ac:dyDescent="0.3">
      <c r="P330" s="9">
        <v>0.34637813036798165</v>
      </c>
      <c r="Q330" s="9">
        <v>0.33513813454774494</v>
      </c>
      <c r="R330" s="9">
        <v>7.8419929585478042E-4</v>
      </c>
      <c r="S330" s="9">
        <v>0.3176995357884187</v>
      </c>
      <c r="U330" s="9">
        <f t="array" ref="U330">MMULT(TRANSPOSE($B$3:$B$6),TRANSPOSE(P330:S330))</f>
        <v>8.9534944356367718E-2</v>
      </c>
      <c r="V330" s="9">
        <f>INT(200*U330)/200</f>
        <v>8.5000000000000006E-2</v>
      </c>
      <c r="W330" s="9">
        <f t="array" ref="W330">SQRT(MMULT(MMULT(P330:S330,$K$3:$N$6),TRANSPOSE(P330:S330)))</f>
        <v>8.1932956216423936E-2</v>
      </c>
      <c r="Y330" s="31">
        <f>U330/W330</f>
        <v>1.0927830325060324</v>
      </c>
      <c r="AA330" s="9">
        <f t="shared" si="35"/>
        <v>0.26550753663242682</v>
      </c>
      <c r="AB330" s="9">
        <f t="shared" si="36"/>
        <v>0.30891573427432495</v>
      </c>
      <c r="AC330" s="9">
        <f t="shared" si="37"/>
        <v>0.20705088639328006</v>
      </c>
      <c r="AD330" s="9">
        <f t="shared" si="38"/>
        <v>0.21852584269996828</v>
      </c>
      <c r="AE330" s="9"/>
      <c r="AF330" s="9">
        <f t="shared" si="39"/>
        <v>0.49959788961598406</v>
      </c>
      <c r="AG330" s="9">
        <f t="shared" si="40"/>
        <v>0.20270657357684385</v>
      </c>
      <c r="AH330" s="9">
        <f t="shared" si="41"/>
        <v>0.65566050719771507</v>
      </c>
      <c r="AI330" s="9">
        <f t="shared" si="42"/>
        <v>0.43766760275514138</v>
      </c>
    </row>
    <row r="331" spans="16:35" x14ac:dyDescent="0.3">
      <c r="P331" s="9">
        <v>0.26971550630949448</v>
      </c>
      <c r="Q331" s="9">
        <v>0.27196656927610213</v>
      </c>
      <c r="R331" s="9">
        <v>0.26549482034153515</v>
      </c>
      <c r="S331" s="9">
        <v>0.19282310407286818</v>
      </c>
      <c r="U331" s="9">
        <f t="array" ref="U331">MMULT(TRANSPOSE($B$3:$B$6),TRANSPOSE(P331:S331))</f>
        <v>9.0356896800883407E-2</v>
      </c>
      <c r="V331" s="9">
        <f>INT(200*U331)/200</f>
        <v>0.09</v>
      </c>
      <c r="W331" s="9">
        <f t="array" ref="W331">SQRT(MMULT(MMULT(P331:S331,$K$3:$N$6),TRANSPOSE(P331:S331)))</f>
        <v>8.2694611294871642E-2</v>
      </c>
      <c r="Y331" s="31">
        <f>U331/W331</f>
        <v>1.0926576156055643</v>
      </c>
      <c r="AA331" s="9">
        <f t="shared" si="35"/>
        <v>0.26897528654201669</v>
      </c>
      <c r="AB331" s="9">
        <f t="shared" si="36"/>
        <v>0.30548893992844006</v>
      </c>
      <c r="AC331" s="9">
        <f t="shared" si="37"/>
        <v>0.21219761753517893</v>
      </c>
      <c r="AD331" s="9">
        <f t="shared" si="38"/>
        <v>0.21333815599436451</v>
      </c>
      <c r="AE331" s="9"/>
      <c r="AF331" s="9">
        <f t="shared" si="39"/>
        <v>0.47495006124194977</v>
      </c>
      <c r="AG331" s="9">
        <f t="shared" si="40"/>
        <v>0.19296760288704609</v>
      </c>
      <c r="AH331" s="9">
        <f t="shared" si="41"/>
        <v>0.65659034458956178</v>
      </c>
      <c r="AI331" s="9">
        <f t="shared" si="42"/>
        <v>0.44234159837426856</v>
      </c>
    </row>
    <row r="332" spans="16:35" x14ac:dyDescent="0.3">
      <c r="P332" s="9">
        <v>0.38008175648286996</v>
      </c>
      <c r="Q332" s="9">
        <v>0.24064437317284612</v>
      </c>
      <c r="R332" s="9">
        <v>0.33726143571606254</v>
      </c>
      <c r="S332" s="9">
        <v>4.2012434628221421E-2</v>
      </c>
      <c r="U332" s="9">
        <f t="array" ref="U332">MMULT(TRANSPOSE($B$3:$B$6),TRANSPOSE(P332:S332))</f>
        <v>8.4187805254008319E-2</v>
      </c>
      <c r="V332" s="9">
        <f>INT(200*U332)/200</f>
        <v>0.08</v>
      </c>
      <c r="W332" s="9">
        <f t="array" ref="W332">SQRT(MMULT(MMULT(P332:S332,$K$3:$N$6),TRANSPOSE(P332:S332)))</f>
        <v>7.7076847313969937E-2</v>
      </c>
      <c r="Y332" s="31">
        <f>U332/W332</f>
        <v>1.0922580280310654</v>
      </c>
      <c r="AA332" s="9">
        <f t="shared" si="35"/>
        <v>0.2698678325393794</v>
      </c>
      <c r="AB332" s="9">
        <f t="shared" si="36"/>
        <v>0.3035227107473551</v>
      </c>
      <c r="AC332" s="9">
        <f t="shared" si="37"/>
        <v>0.21541355809271251</v>
      </c>
      <c r="AD332" s="9">
        <f t="shared" si="38"/>
        <v>0.21119589862055305</v>
      </c>
      <c r="AE332" s="9"/>
      <c r="AF332" s="9">
        <f t="shared" si="39"/>
        <v>0.46695062295218992</v>
      </c>
      <c r="AG332" s="9">
        <f t="shared" si="40"/>
        <v>0.18151392996769472</v>
      </c>
      <c r="AH332" s="9">
        <f t="shared" si="41"/>
        <v>0.65260244835522219</v>
      </c>
      <c r="AI332" s="9">
        <f t="shared" si="42"/>
        <v>0.43811251373562599</v>
      </c>
    </row>
    <row r="333" spans="16:35" x14ac:dyDescent="0.3">
      <c r="P333" s="9">
        <v>0.29337006698664703</v>
      </c>
      <c r="Q333" s="9">
        <v>0.33877303631610678</v>
      </c>
      <c r="R333" s="9">
        <v>4.5231567550169743E-2</v>
      </c>
      <c r="S333" s="9">
        <v>0.32262532914707659</v>
      </c>
      <c r="U333" s="9">
        <f t="array" ref="U333">MMULT(TRANSPOSE($B$3:$B$6),TRANSPOSE(P333:S333))</f>
        <v>9.1899064837356909E-2</v>
      </c>
      <c r="V333" s="9">
        <f>INT(200*U333)/200</f>
        <v>0.09</v>
      </c>
      <c r="W333" s="9">
        <f t="array" ref="W333">SQRT(MMULT(MMULT(P333:S333,$K$3:$N$6),TRANSPOSE(P333:S333)))</f>
        <v>8.4165270467576825E-2</v>
      </c>
      <c r="Y333" s="31">
        <f>U333/W333</f>
        <v>1.0918881900671773</v>
      </c>
      <c r="AA333" s="9">
        <f t="shared" si="35"/>
        <v>0.28033790977303003</v>
      </c>
      <c r="AB333" s="9">
        <f t="shared" si="36"/>
        <v>0.29890914908498062</v>
      </c>
      <c r="AC333" s="9">
        <f t="shared" si="37"/>
        <v>0.21112804833657067</v>
      </c>
      <c r="AD333" s="9">
        <f t="shared" si="38"/>
        <v>0.20962489280541868</v>
      </c>
      <c r="AE333" s="9"/>
      <c r="AF333" s="9">
        <f t="shared" si="39"/>
        <v>0.45449223203739553</v>
      </c>
      <c r="AG333" s="9">
        <f t="shared" si="40"/>
        <v>0.1930576028288451</v>
      </c>
      <c r="AH333" s="9">
        <f t="shared" si="41"/>
        <v>0.66333518580595408</v>
      </c>
      <c r="AI333" s="9">
        <f t="shared" si="42"/>
        <v>0.44158484984526969</v>
      </c>
    </row>
    <row r="334" spans="16:35" x14ac:dyDescent="0.3">
      <c r="P334" s="9">
        <v>0.40183755293087425</v>
      </c>
      <c r="Q334" s="9">
        <v>0.21998514345755429</v>
      </c>
      <c r="R334" s="9">
        <v>0.26214555165712106</v>
      </c>
      <c r="S334" s="9">
        <v>0.11603175195445029</v>
      </c>
      <c r="U334" s="9">
        <f t="array" ref="U334">MMULT(TRANSPOSE($B$3:$B$6),TRANSPOSE(P334:S334))</f>
        <v>8.2901939881061038E-2</v>
      </c>
      <c r="V334" s="9">
        <f>INT(200*U334)/200</f>
        <v>0.08</v>
      </c>
      <c r="W334" s="9">
        <f t="array" ref="W334">SQRT(MMULT(MMULT(P334:S334,$K$3:$N$6),TRANSPOSE(P334:S334)))</f>
        <v>7.5990022259480733E-2</v>
      </c>
      <c r="Y334" s="31">
        <f>U334/W334</f>
        <v>1.0909582260415505</v>
      </c>
      <c r="AA334" s="9">
        <f t="shared" ref="AA334:AA397" si="43">AVERAGE(P324:P344)</f>
        <v>0.27667227157993135</v>
      </c>
      <c r="AB334" s="9">
        <f t="shared" ref="AB334:AB397" si="44">AVERAGE(Q324:Q344)</f>
        <v>0.29692960402275509</v>
      </c>
      <c r="AC334" s="9">
        <f t="shared" ref="AC334:AC397" si="45">AVERAGE(R324:R344)</f>
        <v>0.22458572218020292</v>
      </c>
      <c r="AD334" s="9">
        <f t="shared" ref="AD334:AD397" si="46">AVERAGE(S324:S344)</f>
        <v>0.20181240221711069</v>
      </c>
      <c r="AE334" s="9"/>
      <c r="AF334" s="9">
        <f t="shared" ref="AF334:AF397" si="47">STDEV(P324:P344)/AA334</f>
        <v>0.45395310892599827</v>
      </c>
      <c r="AG334" s="9">
        <f t="shared" ref="AG334:AG397" si="48">STDEV(Q324:Q344)/AB334</f>
        <v>0.19712995121511634</v>
      </c>
      <c r="AH334" s="9">
        <f t="shared" ref="AH334:AH397" si="49">STDEV(R324:R344)/AC334</f>
        <v>0.60632529433623084</v>
      </c>
      <c r="AI334" s="9">
        <f t="shared" ref="AI334:AI397" si="50">STDEV(S324:S344)/AD334</f>
        <v>0.45808346260376415</v>
      </c>
    </row>
    <row r="335" spans="16:35" x14ac:dyDescent="0.3">
      <c r="P335" s="9">
        <v>0.14934552226121656</v>
      </c>
      <c r="Q335" s="9">
        <v>0.3371092316666664</v>
      </c>
      <c r="R335" s="9">
        <v>0.45569567173217168</v>
      </c>
      <c r="S335" s="9">
        <v>5.7849574339945274E-2</v>
      </c>
      <c r="U335" s="9">
        <f t="array" ref="U335">MMULT(TRANSPOSE($B$3:$B$6),TRANSPOSE(P335:S335))</f>
        <v>9.6951789577814418E-2</v>
      </c>
      <c r="V335" s="9">
        <f>INT(200*U335)/200</f>
        <v>9.5000000000000001E-2</v>
      </c>
      <c r="W335" s="9">
        <f t="array" ref="W335">SQRT(MMULT(MMULT(P335:S335,$K$3:$N$6),TRANSPOSE(P335:S335)))</f>
        <v>8.8885682092130686E-2</v>
      </c>
      <c r="Y335" s="31">
        <f>U335/W335</f>
        <v>1.0907469830441663</v>
      </c>
      <c r="AA335" s="9">
        <f t="shared" si="43"/>
        <v>0.28170523667490133</v>
      </c>
      <c r="AB335" s="9">
        <f t="shared" si="44"/>
        <v>0.29613610357114151</v>
      </c>
      <c r="AC335" s="9">
        <f t="shared" si="45"/>
        <v>0.21217183880424256</v>
      </c>
      <c r="AD335" s="9">
        <f t="shared" si="46"/>
        <v>0.20998682094971463</v>
      </c>
      <c r="AE335" s="9"/>
      <c r="AF335" s="9">
        <f t="shared" si="47"/>
        <v>0.4382652302689487</v>
      </c>
      <c r="AG335" s="9">
        <f t="shared" si="48"/>
        <v>0.1971129497666925</v>
      </c>
      <c r="AH335" s="9">
        <f t="shared" si="49"/>
        <v>0.62370445791131202</v>
      </c>
      <c r="AI335" s="9">
        <f t="shared" si="50"/>
        <v>0.43999828153278753</v>
      </c>
    </row>
    <row r="336" spans="16:35" x14ac:dyDescent="0.3">
      <c r="P336" s="9">
        <v>9.9031149763411E-2</v>
      </c>
      <c r="Q336" s="9">
        <v>0.34992802302820042</v>
      </c>
      <c r="R336" s="9">
        <v>0.36381768268470854</v>
      </c>
      <c r="S336" s="9">
        <v>0.18722314452368002</v>
      </c>
      <c r="U336" s="9">
        <f t="array" ref="U336">MMULT(TRANSPOSE($B$3:$B$6),TRANSPOSE(P336:S336))</f>
        <v>9.9939970481914789E-2</v>
      </c>
      <c r="V336" s="9">
        <f>INT(200*U336)/200</f>
        <v>9.5000000000000001E-2</v>
      </c>
      <c r="W336" s="9">
        <f t="array" ref="W336">SQRT(MMULT(MMULT(P336:S336,$K$3:$N$6),TRANSPOSE(P336:S336)))</f>
        <v>9.1638453972334416E-2</v>
      </c>
      <c r="Y336" s="31">
        <f>U336/W336</f>
        <v>1.0905898795726803</v>
      </c>
      <c r="AA336" s="9">
        <f t="shared" si="43"/>
        <v>0.27376185143698073</v>
      </c>
      <c r="AB336" s="9">
        <f t="shared" si="44"/>
        <v>0.29736974149717471</v>
      </c>
      <c r="AC336" s="9">
        <f t="shared" si="45"/>
        <v>0.21854204372186384</v>
      </c>
      <c r="AD336" s="9">
        <f t="shared" si="46"/>
        <v>0.21032636334398086</v>
      </c>
      <c r="AE336" s="9"/>
      <c r="AF336" s="9">
        <f t="shared" si="47"/>
        <v>0.40322547808269116</v>
      </c>
      <c r="AG336" s="9">
        <f t="shared" si="48"/>
        <v>0.18977747422464628</v>
      </c>
      <c r="AH336" s="9">
        <f t="shared" si="49"/>
        <v>0.59625712229289607</v>
      </c>
      <c r="AI336" s="9">
        <f t="shared" si="50"/>
        <v>0.43822947988079941</v>
      </c>
    </row>
    <row r="337" spans="16:35" x14ac:dyDescent="0.3">
      <c r="P337" s="9">
        <v>0.20858737207577424</v>
      </c>
      <c r="Q337" s="9">
        <v>0.30641395913204189</v>
      </c>
      <c r="R337" s="9">
        <v>0.24048041722794675</v>
      </c>
      <c r="S337" s="9">
        <v>0.24451825156423718</v>
      </c>
      <c r="U337" s="9">
        <f t="array" ref="U337">MMULT(TRANSPOSE($B$3:$B$6),TRANSPOSE(P337:S337))</f>
        <v>9.418648466486923E-2</v>
      </c>
      <c r="V337" s="9">
        <f>INT(200*U337)/200</f>
        <v>0.09</v>
      </c>
      <c r="W337" s="9">
        <f t="array" ref="W337">SQRT(MMULT(MMULT(P337:S337,$K$3:$N$6),TRANSPOSE(P337:S337)))</f>
        <v>8.6397730668996614E-2</v>
      </c>
      <c r="Y337" s="31">
        <f>U337/W337</f>
        <v>1.0901499835188098</v>
      </c>
      <c r="AA337" s="9">
        <f t="shared" si="43"/>
        <v>0.27027501628957046</v>
      </c>
      <c r="AB337" s="9">
        <f t="shared" si="44"/>
        <v>0.29747658114797193</v>
      </c>
      <c r="AC337" s="9">
        <f t="shared" si="45"/>
        <v>0.22268821546566253</v>
      </c>
      <c r="AD337" s="9">
        <f t="shared" si="46"/>
        <v>0.20956018709679511</v>
      </c>
      <c r="AE337" s="9"/>
      <c r="AF337" s="9">
        <f t="shared" si="47"/>
        <v>0.40973138339350029</v>
      </c>
      <c r="AG337" s="9">
        <f t="shared" si="48"/>
        <v>0.18976171028684735</v>
      </c>
      <c r="AH337" s="9">
        <f t="shared" si="49"/>
        <v>0.57480469291688052</v>
      </c>
      <c r="AI337" s="9">
        <f t="shared" si="50"/>
        <v>0.43685686103636051</v>
      </c>
    </row>
    <row r="338" spans="16:35" x14ac:dyDescent="0.3">
      <c r="P338" s="9">
        <v>0.26781638473837482</v>
      </c>
      <c r="Q338" s="9">
        <v>0.27380041705611663</v>
      </c>
      <c r="R338" s="9">
        <v>0.36951346766620063</v>
      </c>
      <c r="S338" s="9">
        <v>8.8869730539307953E-2</v>
      </c>
      <c r="U338" s="9">
        <f t="array" ref="U338">MMULT(TRANSPOSE($B$3:$B$6),TRANSPOSE(P338:S338))</f>
        <v>9.0114754976614628E-2</v>
      </c>
      <c r="V338" s="9">
        <f>INT(200*U338)/200</f>
        <v>0.09</v>
      </c>
      <c r="W338" s="9">
        <f t="array" ref="W338">SQRT(MMULT(MMULT(P338:S338,$K$3:$N$6),TRANSPOSE(P338:S338)))</f>
        <v>8.2699259493880586E-2</v>
      </c>
      <c r="Y338" s="31">
        <f>U338/W338</f>
        <v>1.0896682210713478</v>
      </c>
      <c r="AA338" s="9">
        <f t="shared" si="43"/>
        <v>0.25408596498451835</v>
      </c>
      <c r="AB338" s="9">
        <f t="shared" si="44"/>
        <v>0.3013277629649751</v>
      </c>
      <c r="AC338" s="9">
        <f t="shared" si="45"/>
        <v>0.24390457820233152</v>
      </c>
      <c r="AD338" s="9">
        <f t="shared" si="46"/>
        <v>0.20068169384817502</v>
      </c>
      <c r="AE338" s="9"/>
      <c r="AF338" s="9">
        <f t="shared" si="47"/>
        <v>0.4484462021601146</v>
      </c>
      <c r="AG338" s="9">
        <f t="shared" si="48"/>
        <v>0.19355861472208538</v>
      </c>
      <c r="AH338" s="9">
        <f t="shared" si="49"/>
        <v>0.53309050169628192</v>
      </c>
      <c r="AI338" s="9">
        <f t="shared" si="50"/>
        <v>0.46479949431815371</v>
      </c>
    </row>
    <row r="339" spans="16:35" x14ac:dyDescent="0.3">
      <c r="P339" s="9">
        <v>0.29101183409062925</v>
      </c>
      <c r="Q339" s="9">
        <v>0.26694378883431619</v>
      </c>
      <c r="R339" s="9">
        <v>0.21781897992844779</v>
      </c>
      <c r="S339" s="9">
        <v>0.22422539714660691</v>
      </c>
      <c r="U339" s="9">
        <f t="array" ref="U339">MMULT(TRANSPOSE($B$3:$B$6),TRANSPOSE(P339:S339))</f>
        <v>8.9418598725170287E-2</v>
      </c>
      <c r="V339" s="9">
        <f>INT(200*U339)/200</f>
        <v>8.5000000000000006E-2</v>
      </c>
      <c r="W339" s="9">
        <f t="array" ref="W339">SQRT(MMULT(MMULT(P339:S339,$K$3:$N$6),TRANSPOSE(P339:S339)))</f>
        <v>8.207601566329821E-2</v>
      </c>
      <c r="Y339" s="31">
        <f>U339/W339</f>
        <v>1.0894607639336888</v>
      </c>
      <c r="AA339" s="9">
        <f t="shared" si="43"/>
        <v>0.26032412349948286</v>
      </c>
      <c r="AB339" s="9">
        <f t="shared" si="44"/>
        <v>0.29711474347539346</v>
      </c>
      <c r="AC339" s="9">
        <f t="shared" si="45"/>
        <v>0.24340955183893423</v>
      </c>
      <c r="AD339" s="9">
        <f t="shared" si="46"/>
        <v>0.19915158118618956</v>
      </c>
      <c r="AE339" s="9"/>
      <c r="AF339" s="9">
        <f t="shared" si="47"/>
        <v>0.42139195543760843</v>
      </c>
      <c r="AG339" s="9">
        <f t="shared" si="48"/>
        <v>0.17811377738961964</v>
      </c>
      <c r="AH339" s="9">
        <f t="shared" si="49"/>
        <v>0.53619843590577676</v>
      </c>
      <c r="AI339" s="9">
        <f t="shared" si="50"/>
        <v>0.45716766411922682</v>
      </c>
    </row>
    <row r="340" spans="16:35" x14ac:dyDescent="0.3">
      <c r="P340" s="9">
        <v>0.28635517275171224</v>
      </c>
      <c r="Q340" s="9">
        <v>0.3555575000753054</v>
      </c>
      <c r="R340" s="9">
        <v>2.2492453079268511E-2</v>
      </c>
      <c r="S340" s="9">
        <v>0.3355948740937138</v>
      </c>
      <c r="U340" s="9">
        <f t="array" ref="U340">MMULT(TRANSPOSE($B$3:$B$6),TRANSPOSE(P340:S340))</f>
        <v>9.2760975604899459E-2</v>
      </c>
      <c r="V340" s="9">
        <f>INT(200*U340)/200</f>
        <v>0.09</v>
      </c>
      <c r="W340" s="9">
        <f t="array" ref="W340">SQRT(MMULT(MMULT(P340:S340,$K$3:$N$6),TRANSPOSE(P340:S340)))</f>
        <v>8.5152388921457947E-2</v>
      </c>
      <c r="Y340" s="31">
        <f>U340/W340</f>
        <v>1.0893525922151104</v>
      </c>
      <c r="AA340" s="9">
        <f t="shared" si="43"/>
        <v>0.2493996613356956</v>
      </c>
      <c r="AB340" s="9">
        <f t="shared" si="44"/>
        <v>0.30124688012114997</v>
      </c>
      <c r="AC340" s="9">
        <f t="shared" si="45"/>
        <v>0.24945207851432427</v>
      </c>
      <c r="AD340" s="9">
        <f t="shared" si="46"/>
        <v>0.19990138002883007</v>
      </c>
      <c r="AE340" s="9"/>
      <c r="AF340" s="9">
        <f t="shared" si="47"/>
        <v>0.42920295934684288</v>
      </c>
      <c r="AG340" s="9">
        <f t="shared" si="48"/>
        <v>0.16682300857267179</v>
      </c>
      <c r="AH340" s="9">
        <f t="shared" si="49"/>
        <v>0.53078035874140916</v>
      </c>
      <c r="AI340" s="9">
        <f t="shared" si="50"/>
        <v>0.45404377667466789</v>
      </c>
    </row>
    <row r="341" spans="16:35" x14ac:dyDescent="0.3">
      <c r="P341" s="9">
        <v>0.12854140895621116</v>
      </c>
      <c r="Q341" s="9">
        <v>0.33321571858797111</v>
      </c>
      <c r="R341" s="9">
        <v>0.35457262828386299</v>
      </c>
      <c r="S341" s="9">
        <v>0.18367024417195474</v>
      </c>
      <c r="U341" s="9">
        <f t="array" ref="U341">MMULT(TRANSPOSE($B$3:$B$6),TRANSPOSE(P341:S341))</f>
        <v>9.8166655603830949E-2</v>
      </c>
      <c r="V341" s="9">
        <f>INT(200*U341)/200</f>
        <v>9.5000000000000001E-2</v>
      </c>
      <c r="W341" s="9">
        <f t="array" ref="W341">SQRT(MMULT(MMULT(P341:S341,$K$3:$N$6),TRANSPOSE(P341:S341)))</f>
        <v>9.0129919924592697E-2</v>
      </c>
      <c r="Y341" s="31">
        <f>U341/W341</f>
        <v>1.089168343719402</v>
      </c>
      <c r="AA341" s="9">
        <f t="shared" si="43"/>
        <v>0.25312328629852943</v>
      </c>
      <c r="AB341" s="9">
        <f t="shared" si="44"/>
        <v>0.2954686774178989</v>
      </c>
      <c r="AC341" s="9">
        <f t="shared" si="45"/>
        <v>0.26326750499321117</v>
      </c>
      <c r="AD341" s="9">
        <f t="shared" si="46"/>
        <v>0.18814053129036046</v>
      </c>
      <c r="AE341" s="9"/>
      <c r="AF341" s="9">
        <f t="shared" si="47"/>
        <v>0.44183191957795842</v>
      </c>
      <c r="AG341" s="9">
        <f t="shared" si="48"/>
        <v>0.17958192505355083</v>
      </c>
      <c r="AH341" s="9">
        <f t="shared" si="49"/>
        <v>0.45461563032424296</v>
      </c>
      <c r="AI341" s="9">
        <f t="shared" si="50"/>
        <v>0.48228931816023501</v>
      </c>
    </row>
    <row r="342" spans="16:35" x14ac:dyDescent="0.3">
      <c r="P342" s="9">
        <v>4.3911171260207292E-2</v>
      </c>
      <c r="Q342" s="9">
        <v>0.39035748994623731</v>
      </c>
      <c r="R342" s="9">
        <v>0.2994847672074894</v>
      </c>
      <c r="S342" s="9">
        <v>0.26624657158606613</v>
      </c>
      <c r="U342" s="9">
        <f t="array" ref="U342">MMULT(TRANSPOSE($B$3:$B$6),TRANSPOSE(P342:S342))</f>
        <v>0.10380096384845343</v>
      </c>
      <c r="V342" s="9">
        <f>INT(200*U342)/200</f>
        <v>0.1</v>
      </c>
      <c r="W342" s="9">
        <f t="array" ref="W342">SQRT(MMULT(MMULT(P342:S342,$K$3:$N$6),TRANSPOSE(P342:S342)))</f>
        <v>9.5422919580505736E-2</v>
      </c>
      <c r="Y342" s="31">
        <f>U342/W342</f>
        <v>1.0877990770433237</v>
      </c>
      <c r="AA342" s="9">
        <f t="shared" si="43"/>
        <v>0.25224841872133535</v>
      </c>
      <c r="AB342" s="9">
        <f t="shared" si="44"/>
        <v>0.29578736432782027</v>
      </c>
      <c r="AC342" s="9">
        <f t="shared" si="45"/>
        <v>0.26205701265835524</v>
      </c>
      <c r="AD342" s="9">
        <f t="shared" si="46"/>
        <v>0.18990720429248911</v>
      </c>
      <c r="AE342" s="9"/>
      <c r="AF342" s="9">
        <f t="shared" si="47"/>
        <v>0.44310883858849737</v>
      </c>
      <c r="AG342" s="9">
        <f t="shared" si="48"/>
        <v>0.17895478242058302</v>
      </c>
      <c r="AH342" s="9">
        <f t="shared" si="49"/>
        <v>0.4571156948151851</v>
      </c>
      <c r="AI342" s="9">
        <f t="shared" si="50"/>
        <v>0.48020254167803483</v>
      </c>
    </row>
    <row r="343" spans="16:35" x14ac:dyDescent="0.3">
      <c r="P343" s="9">
        <v>0.40113431028354635</v>
      </c>
      <c r="Q343" s="9">
        <v>0.22235012226225742</v>
      </c>
      <c r="R343" s="9">
        <v>0.18482307211400617</v>
      </c>
      <c r="S343" s="9">
        <v>0.19169249534019006</v>
      </c>
      <c r="U343" s="9">
        <f t="array" ref="U343">MMULT(TRANSPOSE($B$3:$B$6),TRANSPOSE(P343:S343))</f>
        <v>8.3280469065636353E-2</v>
      </c>
      <c r="V343" s="9">
        <f>INT(200*U343)/200</f>
        <v>0.08</v>
      </c>
      <c r="W343" s="9">
        <f t="array" ref="W343">SQRT(MMULT(MMULT(P343:S343,$K$3:$N$6),TRANSPOSE(P343:S343)))</f>
        <v>7.6571901685117627E-2</v>
      </c>
      <c r="Y343" s="31">
        <f>U343/W343</f>
        <v>1.0876113461058601</v>
      </c>
      <c r="AA343" s="9">
        <f t="shared" si="43"/>
        <v>0.23979391180027959</v>
      </c>
      <c r="AB343" s="9">
        <f t="shared" si="44"/>
        <v>0.30014381297599124</v>
      </c>
      <c r="AC343" s="9">
        <f t="shared" si="45"/>
        <v>0.26477874136533508</v>
      </c>
      <c r="AD343" s="9">
        <f t="shared" si="46"/>
        <v>0.19528353385839406</v>
      </c>
      <c r="AE343" s="9"/>
      <c r="AF343" s="9">
        <f t="shared" si="47"/>
        <v>0.46451604667918012</v>
      </c>
      <c r="AG343" s="9">
        <f t="shared" si="48"/>
        <v>0.17299155274193023</v>
      </c>
      <c r="AH343" s="9">
        <f t="shared" si="49"/>
        <v>0.46155292685530508</v>
      </c>
      <c r="AI343" s="9">
        <f t="shared" si="50"/>
        <v>0.4361239799101867</v>
      </c>
    </row>
    <row r="344" spans="16:35" x14ac:dyDescent="0.3">
      <c r="P344" s="9">
        <v>0.29967554410298253</v>
      </c>
      <c r="Q344" s="9">
        <v>0.25400838991474234</v>
      </c>
      <c r="R344" s="9">
        <v>0.32127247107674733</v>
      </c>
      <c r="S344" s="9">
        <v>0.1250435949055278</v>
      </c>
      <c r="U344" s="9">
        <f t="array" ref="U344">MMULT(TRANSPOSE($B$3:$B$6),TRANSPOSE(P344:S344))</f>
        <v>8.8292014294502216E-2</v>
      </c>
      <c r="V344" s="9">
        <f>INT(200*U344)/200</f>
        <v>8.5000000000000006E-2</v>
      </c>
      <c r="W344" s="9">
        <f t="array" ref="W344">SQRT(MMULT(MMULT(P344:S344,$K$3:$N$6),TRANSPOSE(P344:S344)))</f>
        <v>8.1193725710280801E-2</v>
      </c>
      <c r="Y344" s="31">
        <f>U344/W344</f>
        <v>1.0874241023198006</v>
      </c>
      <c r="AA344" s="9">
        <f t="shared" si="43"/>
        <v>0.23536300153671574</v>
      </c>
      <c r="AB344" s="9">
        <f t="shared" si="44"/>
        <v>0.29805637825370468</v>
      </c>
      <c r="AC344" s="9">
        <f t="shared" si="45"/>
        <v>0.27654031895051168</v>
      </c>
      <c r="AD344" s="9">
        <f t="shared" si="46"/>
        <v>0.19004030125906787</v>
      </c>
      <c r="AE344" s="9"/>
      <c r="AF344" s="9">
        <f t="shared" si="47"/>
        <v>0.47161354315788145</v>
      </c>
      <c r="AG344" s="9">
        <f t="shared" si="48"/>
        <v>0.17167009192502927</v>
      </c>
      <c r="AH344" s="9">
        <f t="shared" si="49"/>
        <v>0.40295696988313556</v>
      </c>
      <c r="AI344" s="9">
        <f t="shared" si="50"/>
        <v>0.42190771486870277</v>
      </c>
    </row>
    <row r="345" spans="16:35" x14ac:dyDescent="0.3">
      <c r="P345" s="9">
        <v>0.28173360005799231</v>
      </c>
      <c r="Q345" s="9">
        <v>0.29952844944705442</v>
      </c>
      <c r="R345" s="9">
        <v>0.12757852914804871</v>
      </c>
      <c r="S345" s="9">
        <v>0.29115942134690448</v>
      </c>
      <c r="U345" s="9">
        <f t="array" ref="U345">MMULT(TRANSPOSE($B$3:$B$6),TRANSPOSE(P345:S345))</f>
        <v>9.1061167102948787E-2</v>
      </c>
      <c r="V345" s="9">
        <f>INT(200*U345)/200</f>
        <v>0.09</v>
      </c>
      <c r="W345" s="9">
        <f t="array" ref="W345">SQRT(MMULT(MMULT(P345:S345,$K$3:$N$6),TRANSPOSE(P345:S345)))</f>
        <v>8.3769992233490395E-2</v>
      </c>
      <c r="Y345" s="31">
        <f>U345/W345</f>
        <v>1.0870380272823215</v>
      </c>
      <c r="AA345" s="9">
        <f t="shared" si="43"/>
        <v>0.23188858984759675</v>
      </c>
      <c r="AB345" s="9">
        <f t="shared" si="44"/>
        <v>0.29884495506051012</v>
      </c>
      <c r="AC345" s="9">
        <f t="shared" si="45"/>
        <v>0.27683166512743401</v>
      </c>
      <c r="AD345" s="9">
        <f t="shared" si="46"/>
        <v>0.1924347899644592</v>
      </c>
      <c r="AE345" s="9"/>
      <c r="AF345" s="9">
        <f t="shared" si="47"/>
        <v>0.45963036986884581</v>
      </c>
      <c r="AG345" s="9">
        <f t="shared" si="48"/>
        <v>0.16737344793752013</v>
      </c>
      <c r="AH345" s="9">
        <f t="shared" si="49"/>
        <v>0.40241901315875478</v>
      </c>
      <c r="AI345" s="9">
        <f t="shared" si="50"/>
        <v>0.40841850965387966</v>
      </c>
    </row>
    <row r="346" spans="16:35" x14ac:dyDescent="0.3">
      <c r="P346" s="9">
        <v>0.37760796808427161</v>
      </c>
      <c r="Q346" s="9">
        <v>0.22381396159724845</v>
      </c>
      <c r="R346" s="9">
        <v>0.24248183198513348</v>
      </c>
      <c r="S346" s="9">
        <v>0.15609623833334646</v>
      </c>
      <c r="U346" s="9">
        <f t="array" ref="U346">MMULT(TRANSPOSE($B$3:$B$6),TRANSPOSE(P346:S346))</f>
        <v>8.4187399857153344E-2</v>
      </c>
      <c r="V346" s="9">
        <f>INT(200*U346)/200</f>
        <v>0.08</v>
      </c>
      <c r="W346" s="9">
        <f t="array" ref="W346">SQRT(MMULT(MMULT(P346:S346,$K$3:$N$6),TRANSPOSE(P346:S346)))</f>
        <v>7.7481816060674294E-2</v>
      </c>
      <c r="Y346" s="31">
        <f>U346/W346</f>
        <v>1.0865439678288911</v>
      </c>
      <c r="AA346" s="9">
        <f t="shared" si="43"/>
        <v>0.22961075918572721</v>
      </c>
      <c r="AB346" s="9">
        <f t="shared" si="44"/>
        <v>0.2989524160322391</v>
      </c>
      <c r="AC346" s="9">
        <f t="shared" si="45"/>
        <v>0.27295149954179659</v>
      </c>
      <c r="AD346" s="9">
        <f t="shared" si="46"/>
        <v>0.19848532524023715</v>
      </c>
      <c r="AE346" s="9"/>
      <c r="AF346" s="9">
        <f t="shared" si="47"/>
        <v>0.4743715453184324</v>
      </c>
      <c r="AG346" s="9">
        <f t="shared" si="48"/>
        <v>0.1676098647913041</v>
      </c>
      <c r="AH346" s="9">
        <f t="shared" si="49"/>
        <v>0.38892072391386795</v>
      </c>
      <c r="AI346" s="9">
        <f t="shared" si="50"/>
        <v>0.36455289089821791</v>
      </c>
    </row>
    <row r="347" spans="16:35" x14ac:dyDescent="0.3">
      <c r="P347" s="9">
        <v>0.22476444272583898</v>
      </c>
      <c r="Q347" s="9">
        <v>0.30638693111019749</v>
      </c>
      <c r="R347" s="9">
        <v>0.19576691964875126</v>
      </c>
      <c r="S347" s="9">
        <v>0.2730817065152123</v>
      </c>
      <c r="U347" s="9">
        <f t="array" ref="U347">MMULT(TRANSPOSE($B$3:$B$6),TRANSPOSE(P347:S347))</f>
        <v>9.36080513039423E-2</v>
      </c>
      <c r="V347" s="9">
        <f>INT(200*U347)/200</f>
        <v>0.09</v>
      </c>
      <c r="W347" s="9">
        <f t="array" ref="W347">SQRT(MMULT(MMULT(P347:S347,$K$3:$N$6),TRANSPOSE(P347:S347)))</f>
        <v>8.6198030306601572E-2</v>
      </c>
      <c r="Y347" s="31">
        <f>U347/W347</f>
        <v>1.0859650849443276</v>
      </c>
      <c r="AA347" s="9">
        <f t="shared" si="43"/>
        <v>0.2385920861239097</v>
      </c>
      <c r="AB347" s="9">
        <f t="shared" si="44"/>
        <v>0.29430345872539199</v>
      </c>
      <c r="AC347" s="9">
        <f t="shared" si="45"/>
        <v>0.27051327496982874</v>
      </c>
      <c r="AD347" s="9">
        <f t="shared" si="46"/>
        <v>0.19659118018086957</v>
      </c>
      <c r="AE347" s="9"/>
      <c r="AF347" s="9">
        <f t="shared" si="47"/>
        <v>0.44147369847666973</v>
      </c>
      <c r="AG347" s="9">
        <f t="shared" si="48"/>
        <v>0.16876603199229578</v>
      </c>
      <c r="AH347" s="9">
        <f t="shared" si="49"/>
        <v>0.38645361150753138</v>
      </c>
      <c r="AI347" s="9">
        <f t="shared" si="50"/>
        <v>0.37226426651478134</v>
      </c>
    </row>
    <row r="348" spans="16:35" x14ac:dyDescent="0.3">
      <c r="P348" s="9">
        <v>7.1022207961749101E-2</v>
      </c>
      <c r="Q348" s="9">
        <v>0.36644767628637936</v>
      </c>
      <c r="R348" s="9">
        <v>0.46777222125811968</v>
      </c>
      <c r="S348" s="9">
        <v>9.4757894493751868E-2</v>
      </c>
      <c r="U348" s="9">
        <f t="array" ref="U348">MMULT(TRANSPOSE($B$3:$B$6),TRANSPOSE(P348:S348))</f>
        <v>0.10129410414606996</v>
      </c>
      <c r="V348" s="9">
        <f>INT(200*U348)/200</f>
        <v>0.1</v>
      </c>
      <c r="W348" s="9">
        <f t="array" ref="W348">SQRT(MMULT(MMULT(P348:S348,$K$3:$N$6),TRANSPOSE(P348:S348)))</f>
        <v>9.3318180338864382E-2</v>
      </c>
      <c r="Y348" s="31">
        <f>U348/W348</f>
        <v>1.0854702028933993</v>
      </c>
      <c r="AA348" s="9">
        <f t="shared" si="43"/>
        <v>0.24955005528172691</v>
      </c>
      <c r="AB348" s="9">
        <f t="shared" si="44"/>
        <v>0.28969601216075552</v>
      </c>
      <c r="AC348" s="9">
        <f t="shared" si="45"/>
        <v>0.2731379089324264</v>
      </c>
      <c r="AD348" s="9">
        <f t="shared" si="46"/>
        <v>0.18761602362509114</v>
      </c>
      <c r="AE348" s="9"/>
      <c r="AF348" s="9">
        <f t="shared" si="47"/>
        <v>0.4555905165423389</v>
      </c>
      <c r="AG348" s="9">
        <f t="shared" si="48"/>
        <v>0.18251270774554987</v>
      </c>
      <c r="AH348" s="9">
        <f t="shared" si="49"/>
        <v>0.38237447899431065</v>
      </c>
      <c r="AI348" s="9">
        <f t="shared" si="50"/>
        <v>0.41779384368814942</v>
      </c>
    </row>
    <row r="349" spans="16:35" x14ac:dyDescent="0.3">
      <c r="P349" s="9">
        <v>0.25022933427758826</v>
      </c>
      <c r="Q349" s="9">
        <v>0.32293790097293323</v>
      </c>
      <c r="R349" s="9">
        <v>0.11499942996215515</v>
      </c>
      <c r="S349" s="9">
        <v>0.31183333478732322</v>
      </c>
      <c r="U349" s="9">
        <f t="array" ref="U349">MMULT(TRANSPOSE($B$3:$B$6),TRANSPOSE(P349:S349))</f>
        <v>9.3188009104578903E-2</v>
      </c>
      <c r="V349" s="9">
        <f>INT(200*U349)/200</f>
        <v>0.09</v>
      </c>
      <c r="W349" s="9">
        <f t="array" ref="W349">SQRT(MMULT(MMULT(P349:S349,$K$3:$N$6),TRANSPOSE(P349:S349)))</f>
        <v>8.5860980248809796E-2</v>
      </c>
      <c r="Y349" s="31">
        <f>U349/W349</f>
        <v>1.0853359562695031</v>
      </c>
      <c r="AA349" s="9">
        <f t="shared" si="43"/>
        <v>0.25218838329804671</v>
      </c>
      <c r="AB349" s="9">
        <f t="shared" si="44"/>
        <v>0.29078169933640668</v>
      </c>
      <c r="AC349" s="9">
        <f t="shared" si="45"/>
        <v>0.25896054073148728</v>
      </c>
      <c r="AD349" s="9">
        <f t="shared" si="46"/>
        <v>0.19806937663405924</v>
      </c>
      <c r="AE349" s="9"/>
      <c r="AF349" s="9">
        <f t="shared" si="47"/>
        <v>0.45511778606818309</v>
      </c>
      <c r="AG349" s="9">
        <f t="shared" si="48"/>
        <v>0.18145727397147671</v>
      </c>
      <c r="AH349" s="9">
        <f t="shared" si="49"/>
        <v>0.42756614680776939</v>
      </c>
      <c r="AI349" s="9">
        <f t="shared" si="50"/>
        <v>0.39981468312614032</v>
      </c>
    </row>
    <row r="350" spans="16:35" x14ac:dyDescent="0.3">
      <c r="P350" s="9">
        <v>0.16524245158023573</v>
      </c>
      <c r="Q350" s="9">
        <v>0.31087766585612642</v>
      </c>
      <c r="R350" s="9">
        <v>0.34900553123700995</v>
      </c>
      <c r="S350" s="9">
        <v>0.17487435132662785</v>
      </c>
      <c r="U350" s="9">
        <f t="array" ref="U350">MMULT(TRANSPOSE($B$3:$B$6),TRANSPOSE(P350:S350))</f>
        <v>9.589724421228453E-2</v>
      </c>
      <c r="V350" s="9">
        <f>INT(200*U350)/200</f>
        <v>9.5000000000000001E-2</v>
      </c>
      <c r="W350" s="9">
        <f t="array" ref="W350">SQRT(MMULT(MMULT(P350:S350,$K$3:$N$6),TRANSPOSE(P350:S350)))</f>
        <v>8.8388298196604181E-2</v>
      </c>
      <c r="Y350" s="31">
        <f>U350/W350</f>
        <v>1.0849540738863195</v>
      </c>
      <c r="AA350" s="9">
        <f t="shared" si="43"/>
        <v>0.239512702315824</v>
      </c>
      <c r="AB350" s="9">
        <f t="shared" si="44"/>
        <v>0.29629816209962767</v>
      </c>
      <c r="AC350" s="9">
        <f t="shared" si="45"/>
        <v>0.26621753639130036</v>
      </c>
      <c r="AD350" s="9">
        <f t="shared" si="46"/>
        <v>0.19797159919324794</v>
      </c>
      <c r="AE350" s="9"/>
      <c r="AF350" s="9">
        <f t="shared" si="47"/>
        <v>0.52003740667008036</v>
      </c>
      <c r="AG350" s="9">
        <f t="shared" si="48"/>
        <v>0.18932981818015249</v>
      </c>
      <c r="AH350" s="9">
        <f t="shared" si="49"/>
        <v>0.42395747191811395</v>
      </c>
      <c r="AI350" s="9">
        <f t="shared" si="50"/>
        <v>0.39984723365813096</v>
      </c>
    </row>
    <row r="351" spans="16:35" x14ac:dyDescent="0.3">
      <c r="P351" s="9">
        <v>0.42457425458749215</v>
      </c>
      <c r="Q351" s="9">
        <v>0.21379587777947212</v>
      </c>
      <c r="R351" s="9">
        <v>0.29090815535247888</v>
      </c>
      <c r="S351" s="9">
        <v>7.0721712280556903E-2</v>
      </c>
      <c r="U351" s="9">
        <f t="array" ref="U351">MMULT(TRANSPOSE($B$3:$B$6),TRANSPOSE(P351:S351))</f>
        <v>8.1587278589528231E-2</v>
      </c>
      <c r="V351" s="9">
        <f>INT(200*U351)/200</f>
        <v>0.08</v>
      </c>
      <c r="W351" s="9">
        <f t="array" ref="W351">SQRT(MMULT(MMULT(P351:S351,$K$3:$N$6),TRANSPOSE(P351:S351)))</f>
        <v>7.5232973478785936E-2</v>
      </c>
      <c r="Y351" s="31">
        <f>U351/W351</f>
        <v>1.0844617036509141</v>
      </c>
      <c r="AA351" s="9">
        <f t="shared" si="43"/>
        <v>0.24130997687032907</v>
      </c>
      <c r="AB351" s="9">
        <f t="shared" si="44"/>
        <v>0.29320379256913542</v>
      </c>
      <c r="AC351" s="9">
        <f t="shared" si="45"/>
        <v>0.26907172422928366</v>
      </c>
      <c r="AD351" s="9">
        <f t="shared" si="46"/>
        <v>0.19641450633125185</v>
      </c>
      <c r="AE351" s="9"/>
      <c r="AF351" s="9">
        <f t="shared" si="47"/>
        <v>0.52021776719234769</v>
      </c>
      <c r="AG351" s="9">
        <f t="shared" si="48"/>
        <v>0.1856503701070962</v>
      </c>
      <c r="AH351" s="9">
        <f t="shared" si="49"/>
        <v>0.39765870801682357</v>
      </c>
      <c r="AI351" s="9">
        <f t="shared" si="50"/>
        <v>0.38997139992390262</v>
      </c>
    </row>
    <row r="352" spans="16:35" x14ac:dyDescent="0.3">
      <c r="P352" s="9">
        <v>0.25134328718841853</v>
      </c>
      <c r="Q352" s="9">
        <v>0.27865899438445041</v>
      </c>
      <c r="R352" s="9">
        <v>0.24007448130956069</v>
      </c>
      <c r="S352" s="9">
        <v>0.22992323711757043</v>
      </c>
      <c r="U352" s="9">
        <f t="array" ref="U352">MMULT(TRANSPOSE($B$3:$B$6),TRANSPOSE(P352:S352))</f>
        <v>9.1473275131372989E-2</v>
      </c>
      <c r="V352" s="9">
        <f>INT(200*U352)/200</f>
        <v>0.09</v>
      </c>
      <c r="W352" s="9">
        <f t="array" ref="W352">SQRT(MMULT(MMULT(P352:S352,$K$3:$N$6),TRANSPOSE(P352:S352)))</f>
        <v>8.435376576307535E-2</v>
      </c>
      <c r="Y352" s="31">
        <f>U352/W352</f>
        <v>1.084400610973246</v>
      </c>
      <c r="AA352" s="9">
        <f t="shared" si="43"/>
        <v>0.25039684333498696</v>
      </c>
      <c r="AB352" s="9">
        <f t="shared" si="44"/>
        <v>0.2920794141178828</v>
      </c>
      <c r="AC352" s="9">
        <f t="shared" si="45"/>
        <v>0.25464206063882783</v>
      </c>
      <c r="AD352" s="9">
        <f t="shared" si="46"/>
        <v>0.2028816819083023</v>
      </c>
      <c r="AE352" s="9"/>
      <c r="AF352" s="9">
        <f t="shared" si="47"/>
        <v>0.49464700286708868</v>
      </c>
      <c r="AG352" s="9">
        <f t="shared" si="48"/>
        <v>0.18421643104503158</v>
      </c>
      <c r="AH352" s="9">
        <f t="shared" si="49"/>
        <v>0.45170600166265312</v>
      </c>
      <c r="AI352" s="9">
        <f t="shared" si="50"/>
        <v>0.39958762233786127</v>
      </c>
    </row>
    <row r="353" spans="16:35" x14ac:dyDescent="0.3">
      <c r="P353" s="9">
        <v>0.11853711114069962</v>
      </c>
      <c r="Q353" s="9">
        <v>0.33212979478443749</v>
      </c>
      <c r="R353" s="9">
        <v>0.39441773856263784</v>
      </c>
      <c r="S353" s="9">
        <v>0.15491535551222502</v>
      </c>
      <c r="U353" s="9">
        <f t="array" ref="U353">MMULT(TRANSPOSE($B$3:$B$6),TRANSPOSE(P353:S353))</f>
        <v>9.8449853880088894E-2</v>
      </c>
      <c r="V353" s="9">
        <f>INT(200*U353)/200</f>
        <v>9.5000000000000001E-2</v>
      </c>
      <c r="W353" s="9">
        <f t="array" ref="W353">SQRT(MMULT(MMULT(P353:S353,$K$3:$N$6),TRANSPOSE(P353:S353)))</f>
        <v>9.0967168985529798E-2</v>
      </c>
      <c r="Y353" s="31">
        <f>U353/W353</f>
        <v>1.082256983239188</v>
      </c>
      <c r="AA353" s="9">
        <f t="shared" si="43"/>
        <v>0.26224353710133858</v>
      </c>
      <c r="AB353" s="9">
        <f t="shared" si="44"/>
        <v>0.28554925538374876</v>
      </c>
      <c r="AC353" s="9">
        <f t="shared" si="45"/>
        <v>0.25208340906311361</v>
      </c>
      <c r="AD353" s="9">
        <f t="shared" si="46"/>
        <v>0.20012379845179901</v>
      </c>
      <c r="AE353" s="9"/>
      <c r="AF353" s="9">
        <f t="shared" si="47"/>
        <v>0.43729643036386251</v>
      </c>
      <c r="AG353" s="9">
        <f t="shared" si="48"/>
        <v>0.1730881439203095</v>
      </c>
      <c r="AH353" s="9">
        <f t="shared" si="49"/>
        <v>0.45450313672105092</v>
      </c>
      <c r="AI353" s="9">
        <f t="shared" si="50"/>
        <v>0.39865570720217747</v>
      </c>
    </row>
    <row r="354" spans="16:35" x14ac:dyDescent="0.3">
      <c r="P354" s="9">
        <v>0.20032095145180542</v>
      </c>
      <c r="Q354" s="9">
        <v>0.29493690714809018</v>
      </c>
      <c r="R354" s="9">
        <v>0.29222469683887803</v>
      </c>
      <c r="S354" s="9">
        <v>0.21251744456122643</v>
      </c>
      <c r="U354" s="9">
        <f t="array" ref="U354">MMULT(TRANSPOSE($B$3:$B$6),TRANSPOSE(P354:S354))</f>
        <v>9.4063289419964016E-2</v>
      </c>
      <c r="V354" s="9">
        <f>INT(200*U354)/200</f>
        <v>0.09</v>
      </c>
      <c r="W354" s="9">
        <f t="array" ref="W354">SQRT(MMULT(MMULT(P354:S354,$K$3:$N$6),TRANSPOSE(P354:S354)))</f>
        <v>8.6917632514503657E-2</v>
      </c>
      <c r="Y354" s="31">
        <f>U354/W354</f>
        <v>1.0822118216837993</v>
      </c>
      <c r="AA354" s="9">
        <f t="shared" si="43"/>
        <v>0.25012561328587724</v>
      </c>
      <c r="AB354" s="9">
        <f t="shared" si="44"/>
        <v>0.29101068435580535</v>
      </c>
      <c r="AC354" s="9">
        <f t="shared" si="45"/>
        <v>0.25428824601287703</v>
      </c>
      <c r="AD354" s="9">
        <f t="shared" si="46"/>
        <v>0.20457545634544033</v>
      </c>
      <c r="AE354" s="9"/>
      <c r="AF354" s="9">
        <f t="shared" si="47"/>
        <v>0.45055718678792689</v>
      </c>
      <c r="AG354" s="9">
        <f t="shared" si="48"/>
        <v>0.16638186411672773</v>
      </c>
      <c r="AH354" s="9">
        <f t="shared" si="49"/>
        <v>0.44695525001206504</v>
      </c>
      <c r="AI354" s="9">
        <f t="shared" si="50"/>
        <v>0.40018188475438804</v>
      </c>
    </row>
    <row r="355" spans="16:35" x14ac:dyDescent="0.3">
      <c r="P355" s="9">
        <v>0.32887490745937392</v>
      </c>
      <c r="Q355" s="9">
        <v>0.2365452564004682</v>
      </c>
      <c r="R355" s="9">
        <v>0.26826382137248961</v>
      </c>
      <c r="S355" s="9">
        <v>0.16631601476766827</v>
      </c>
      <c r="U355" s="9">
        <f t="array" ref="U355">MMULT(TRANSPOSE($B$3:$B$6),TRANSPOSE(P355:S355))</f>
        <v>8.6671957637266789E-2</v>
      </c>
      <c r="V355" s="9">
        <f>INT(200*U355)/200</f>
        <v>8.5000000000000006E-2</v>
      </c>
      <c r="W355" s="9">
        <f t="array" ref="W355">SQRT(MMULT(MMULT(P355:S355,$K$3:$N$6),TRANSPOSE(P355:S355)))</f>
        <v>8.0178667632885725E-2</v>
      </c>
      <c r="Y355" s="31">
        <f>U355/W355</f>
        <v>1.0809852570026719</v>
      </c>
      <c r="AA355" s="9">
        <f t="shared" si="43"/>
        <v>0.24886613163280025</v>
      </c>
      <c r="AB355" s="9">
        <f t="shared" si="44"/>
        <v>0.29204343598881699</v>
      </c>
      <c r="AC355" s="9">
        <f t="shared" si="45"/>
        <v>0.24798587340536313</v>
      </c>
      <c r="AD355" s="9">
        <f t="shared" si="46"/>
        <v>0.21110455897301952</v>
      </c>
      <c r="AE355" s="9"/>
      <c r="AF355" s="9">
        <f t="shared" si="47"/>
        <v>0.45109150085034505</v>
      </c>
      <c r="AG355" s="9">
        <f t="shared" si="48"/>
        <v>0.16373509719637044</v>
      </c>
      <c r="AH355" s="9">
        <f t="shared" si="49"/>
        <v>0.45738345487394477</v>
      </c>
      <c r="AI355" s="9">
        <f t="shared" si="50"/>
        <v>0.38211421520382371</v>
      </c>
    </row>
    <row r="356" spans="16:35" x14ac:dyDescent="0.3">
      <c r="P356" s="9">
        <v>0.1015110783619565</v>
      </c>
      <c r="Q356" s="9">
        <v>0.33936591207297429</v>
      </c>
      <c r="R356" s="9">
        <v>0.37421219443378623</v>
      </c>
      <c r="S356" s="9">
        <v>0.18491081513128299</v>
      </c>
      <c r="U356" s="9">
        <f t="array" ref="U356">MMULT(TRANSPOSE($B$3:$B$6),TRANSPOSE(P356:S356))</f>
        <v>9.9500422150240644E-2</v>
      </c>
      <c r="V356" s="9">
        <f>INT(200*U356)/200</f>
        <v>9.5000000000000001E-2</v>
      </c>
      <c r="W356" s="9">
        <f t="array" ref="W356">SQRT(MMULT(MMULT(P356:S356,$K$3:$N$6),TRANSPOSE(P356:S356)))</f>
        <v>9.2068101450673581E-2</v>
      </c>
      <c r="Y356" s="31">
        <f>U356/W356</f>
        <v>1.0807263382480956</v>
      </c>
      <c r="AA356" s="9">
        <f t="shared" si="43"/>
        <v>0.24120278532727074</v>
      </c>
      <c r="AB356" s="9">
        <f t="shared" si="44"/>
        <v>0.29627806880494134</v>
      </c>
      <c r="AC356" s="9">
        <f t="shared" si="45"/>
        <v>0.24880478288063293</v>
      </c>
      <c r="AD356" s="9">
        <f t="shared" si="46"/>
        <v>0.21371436298715499</v>
      </c>
      <c r="AE356" s="9"/>
      <c r="AF356" s="9">
        <f t="shared" si="47"/>
        <v>0.4782521383104677</v>
      </c>
      <c r="AG356" s="9">
        <f t="shared" si="48"/>
        <v>0.17634207696122364</v>
      </c>
      <c r="AH356" s="9">
        <f t="shared" si="49"/>
        <v>0.45244593093156438</v>
      </c>
      <c r="AI356" s="9">
        <f t="shared" si="50"/>
        <v>0.3939602643096366</v>
      </c>
    </row>
    <row r="357" spans="16:35" x14ac:dyDescent="0.3">
      <c r="P357" s="9">
        <v>0.28763901546524295</v>
      </c>
      <c r="Q357" s="9">
        <v>0.25229991958441123</v>
      </c>
      <c r="R357" s="9">
        <v>0.31261496667338484</v>
      </c>
      <c r="S357" s="9">
        <v>0.14744609827696115</v>
      </c>
      <c r="U357" s="9">
        <f t="array" ref="U357">MMULT(TRANSPOSE($B$3:$B$6),TRANSPOSE(P357:S357))</f>
        <v>8.8828053468092971E-2</v>
      </c>
      <c r="V357" s="9">
        <f>INT(200*U357)/200</f>
        <v>8.5000000000000006E-2</v>
      </c>
      <c r="W357" s="9">
        <f t="array" ref="W357">SQRT(MMULT(MMULT(P357:S357,$K$3:$N$6),TRANSPOSE(P357:S357)))</f>
        <v>8.2199288838658555E-2</v>
      </c>
      <c r="Y357" s="31">
        <f>U357/W357</f>
        <v>1.0806426031549423</v>
      </c>
      <c r="AA357" s="9">
        <f t="shared" si="43"/>
        <v>0.23213139807852268</v>
      </c>
      <c r="AB357" s="9">
        <f t="shared" si="44"/>
        <v>0.30113698018227097</v>
      </c>
      <c r="AC357" s="9">
        <f t="shared" si="45"/>
        <v>0.24618758338685526</v>
      </c>
      <c r="AD357" s="9">
        <f t="shared" si="46"/>
        <v>0.22054403835235106</v>
      </c>
      <c r="AE357" s="9"/>
      <c r="AF357" s="9">
        <f t="shared" si="47"/>
        <v>0.48041413545969136</v>
      </c>
      <c r="AG357" s="9">
        <f t="shared" si="48"/>
        <v>0.16557387709086427</v>
      </c>
      <c r="AH357" s="9">
        <f t="shared" si="49"/>
        <v>0.46046675622766142</v>
      </c>
      <c r="AI357" s="9">
        <f t="shared" si="50"/>
        <v>0.38586234647617346</v>
      </c>
    </row>
    <row r="358" spans="16:35" x14ac:dyDescent="0.3">
      <c r="P358" s="9">
        <v>0.43870472438993624</v>
      </c>
      <c r="Q358" s="9">
        <v>0.20965758127467615</v>
      </c>
      <c r="R358" s="9">
        <v>0.29559773044249771</v>
      </c>
      <c r="S358" s="9">
        <v>5.6039963892889823E-2</v>
      </c>
      <c r="U358" s="9">
        <f t="array" ref="U358">MMULT(TRANSPOSE($B$3:$B$6),TRANSPOSE(P358:S358))</f>
        <v>8.0810338673608845E-2</v>
      </c>
      <c r="V358" s="9">
        <f>INT(200*U358)/200</f>
        <v>0.08</v>
      </c>
      <c r="W358" s="9">
        <f t="array" ref="W358">SQRT(MMULT(MMULT(P358:S358,$K$3:$N$6),TRANSPOSE(P358:S358)))</f>
        <v>7.4790920839631944E-2</v>
      </c>
      <c r="Y358" s="31">
        <f>U358/W358</f>
        <v>1.0804832694450153</v>
      </c>
      <c r="AA358" s="9">
        <f t="shared" si="43"/>
        <v>0.23396363147447299</v>
      </c>
      <c r="AB358" s="9">
        <f t="shared" si="44"/>
        <v>0.29977365596311117</v>
      </c>
      <c r="AC358" s="9">
        <f t="shared" si="45"/>
        <v>0.24631014935919687</v>
      </c>
      <c r="AD358" s="9">
        <f t="shared" si="46"/>
        <v>0.21995256320321901</v>
      </c>
      <c r="AE358" s="9"/>
      <c r="AF358" s="9">
        <f t="shared" si="47"/>
        <v>0.47745898905859857</v>
      </c>
      <c r="AG358" s="9">
        <f t="shared" si="48"/>
        <v>0.16712783847440843</v>
      </c>
      <c r="AH358" s="9">
        <f t="shared" si="49"/>
        <v>0.46001082548387068</v>
      </c>
      <c r="AI358" s="9">
        <f t="shared" si="50"/>
        <v>0.38534994298155573</v>
      </c>
    </row>
    <row r="359" spans="16:35" x14ac:dyDescent="0.3">
      <c r="P359" s="9">
        <v>0.3232212730810915</v>
      </c>
      <c r="Q359" s="9">
        <v>0.29659984774479264</v>
      </c>
      <c r="R359" s="9">
        <v>7.1788735446478374E-2</v>
      </c>
      <c r="S359" s="9">
        <v>0.30839014372763751</v>
      </c>
      <c r="U359" s="9">
        <f t="array" ref="U359">MMULT(TRANSPOSE($B$3:$B$6),TRANSPOSE(P359:S359))</f>
        <v>8.928511199943874E-2</v>
      </c>
      <c r="V359" s="9">
        <f>INT(200*U359)/200</f>
        <v>8.5000000000000006E-2</v>
      </c>
      <c r="W359" s="9">
        <f t="array" ref="W359">SQRT(MMULT(MMULT(P359:S359,$K$3:$N$6),TRANSPOSE(P359:S359)))</f>
        <v>8.2651747493619906E-2</v>
      </c>
      <c r="Y359" s="31">
        <f>U359/W359</f>
        <v>1.0802567968249053</v>
      </c>
      <c r="AA359" s="9">
        <f t="shared" si="43"/>
        <v>0.25019983541377772</v>
      </c>
      <c r="AB359" s="9">
        <f t="shared" si="44"/>
        <v>0.2922567324302689</v>
      </c>
      <c r="AC359" s="9">
        <f t="shared" si="45"/>
        <v>0.23749592335015185</v>
      </c>
      <c r="AD359" s="9">
        <f t="shared" si="46"/>
        <v>0.22004750880580148</v>
      </c>
      <c r="AE359" s="9"/>
      <c r="AF359" s="9">
        <f t="shared" si="47"/>
        <v>0.44612172763775471</v>
      </c>
      <c r="AG359" s="9">
        <f t="shared" si="48"/>
        <v>0.17594610914365855</v>
      </c>
      <c r="AH359" s="9">
        <f t="shared" si="49"/>
        <v>0.42878628144145042</v>
      </c>
      <c r="AI359" s="9">
        <f t="shared" si="50"/>
        <v>0.38451898494024156</v>
      </c>
    </row>
    <row r="360" spans="16:35" x14ac:dyDescent="0.3">
      <c r="P360" s="9">
        <v>2.4822533463951559E-2</v>
      </c>
      <c r="Q360" s="9">
        <v>0.38278950686195523</v>
      </c>
      <c r="R360" s="9">
        <v>0.37021588878452361</v>
      </c>
      <c r="S360" s="9">
        <v>0.22217207088956953</v>
      </c>
      <c r="U360" s="9">
        <f t="array" ref="U360">MMULT(TRANSPOSE($B$3:$B$6),TRANSPOSE(P360:S360))</f>
        <v>0.10421069421815468</v>
      </c>
      <c r="V360" s="9">
        <f>INT(200*U360)/200</f>
        <v>0.1</v>
      </c>
      <c r="W360" s="9">
        <f t="array" ref="W360">SQRT(MMULT(MMULT(P360:S360,$K$3:$N$6),TRANSPOSE(P360:S360)))</f>
        <v>9.6472116744979589E-2</v>
      </c>
      <c r="Y360" s="31">
        <f>U360/W360</f>
        <v>1.0802156906500946</v>
      </c>
      <c r="AA360" s="9">
        <f t="shared" si="43"/>
        <v>0.25442015954195896</v>
      </c>
      <c r="AB360" s="9">
        <f t="shared" si="44"/>
        <v>0.28917759851556285</v>
      </c>
      <c r="AC360" s="9">
        <f t="shared" si="45"/>
        <v>0.23834730702430443</v>
      </c>
      <c r="AD360" s="9">
        <f t="shared" si="46"/>
        <v>0.21805493491817377</v>
      </c>
      <c r="AE360" s="9"/>
      <c r="AF360" s="9">
        <f t="shared" si="47"/>
        <v>0.44526279703317478</v>
      </c>
      <c r="AG360" s="9">
        <f t="shared" si="48"/>
        <v>0.17784351778146421</v>
      </c>
      <c r="AH360" s="9">
        <f t="shared" si="49"/>
        <v>0.42303577934825531</v>
      </c>
      <c r="AI360" s="9">
        <f t="shared" si="50"/>
        <v>0.37979653405527214</v>
      </c>
    </row>
    <row r="361" spans="16:35" x14ac:dyDescent="0.3">
      <c r="P361" s="9">
        <v>0.32409793839631912</v>
      </c>
      <c r="Q361" s="9">
        <v>0.29057573993496821</v>
      </c>
      <c r="R361" s="9">
        <v>8.2430397676916428E-2</v>
      </c>
      <c r="S361" s="9">
        <v>0.30289592399179638</v>
      </c>
      <c r="U361" s="9">
        <f t="array" ref="U361">MMULT(TRANSPOSE($B$3:$B$6),TRANSPOSE(P361:S361))</f>
        <v>8.9041858645551447E-2</v>
      </c>
      <c r="V361" s="9">
        <f>INT(200*U361)/200</f>
        <v>8.5000000000000006E-2</v>
      </c>
      <c r="W361" s="9">
        <f t="array" ref="W361">SQRT(MMULT(MMULT(P361:S361,$K$3:$N$6),TRANSPOSE(P361:S361)))</f>
        <v>8.2433928460217271E-2</v>
      </c>
      <c r="Y361" s="31">
        <f>U361/W361</f>
        <v>1.0801603212265103</v>
      </c>
      <c r="AA361" s="9">
        <f t="shared" si="43"/>
        <v>0.25860089503153955</v>
      </c>
      <c r="AB361" s="9">
        <f t="shared" si="44"/>
        <v>0.28761741174544042</v>
      </c>
      <c r="AC361" s="9">
        <f t="shared" si="45"/>
        <v>0.23194766430097291</v>
      </c>
      <c r="AD361" s="9">
        <f t="shared" si="46"/>
        <v>0.22183402892204704</v>
      </c>
      <c r="AE361" s="9"/>
      <c r="AF361" s="9">
        <f t="shared" si="47"/>
        <v>0.43090764613389376</v>
      </c>
      <c r="AG361" s="9">
        <f t="shared" si="48"/>
        <v>0.17813157109511135</v>
      </c>
      <c r="AH361" s="9">
        <f t="shared" si="49"/>
        <v>0.42108741362109081</v>
      </c>
      <c r="AI361" s="9">
        <f t="shared" si="50"/>
        <v>0.37216051592846489</v>
      </c>
    </row>
    <row r="362" spans="16:35" x14ac:dyDescent="0.3">
      <c r="P362" s="9">
        <v>0.31936560471402736</v>
      </c>
      <c r="Q362" s="9">
        <v>0.30960377111166737</v>
      </c>
      <c r="R362" s="9">
        <v>5.1549692884291121E-2</v>
      </c>
      <c r="S362" s="9">
        <v>0.3194809312900142</v>
      </c>
      <c r="U362" s="9">
        <f t="array" ref="U362">MMULT(TRANSPOSE($B$3:$B$6),TRANSPOSE(P362:S362))</f>
        <v>8.9890138127945371E-2</v>
      </c>
      <c r="V362" s="9">
        <f>INT(200*U362)/200</f>
        <v>8.5000000000000006E-2</v>
      </c>
      <c r="W362" s="9">
        <f t="array" ref="W362">SQRT(MMULT(MMULT(P362:S362,$K$3:$N$6),TRANSPOSE(P362:S362)))</f>
        <v>8.3245649391403456E-2</v>
      </c>
      <c r="Y362" s="31">
        <f>U362/W362</f>
        <v>1.079817849762946</v>
      </c>
      <c r="AA362" s="9">
        <f t="shared" si="43"/>
        <v>0.25057257404103356</v>
      </c>
      <c r="AB362" s="9">
        <f t="shared" si="44"/>
        <v>0.2911900572116527</v>
      </c>
      <c r="AC362" s="9">
        <f t="shared" si="45"/>
        <v>0.23912274782137694</v>
      </c>
      <c r="AD362" s="9">
        <f t="shared" si="46"/>
        <v>0.21911462092593678</v>
      </c>
      <c r="AE362" s="9"/>
      <c r="AF362" s="9">
        <f t="shared" si="47"/>
        <v>0.41804414135108048</v>
      </c>
      <c r="AG362" s="9">
        <f t="shared" si="48"/>
        <v>0.16609116672242072</v>
      </c>
      <c r="AH362" s="9">
        <f t="shared" si="49"/>
        <v>0.44863975188592253</v>
      </c>
      <c r="AI362" s="9">
        <f t="shared" si="50"/>
        <v>0.40394501223042528</v>
      </c>
    </row>
    <row r="363" spans="16:35" x14ac:dyDescent="0.3">
      <c r="P363" s="9">
        <v>0.29269174035359036</v>
      </c>
      <c r="Q363" s="9">
        <v>0.25322415652942148</v>
      </c>
      <c r="R363" s="9">
        <v>0.24575308411749053</v>
      </c>
      <c r="S363" s="9">
        <v>0.2083310189994976</v>
      </c>
      <c r="U363" s="9">
        <f t="array" ref="U363">MMULT(TRANSPOSE($B$3:$B$6),TRANSPOSE(P363:S363))</f>
        <v>8.8865619555566738E-2</v>
      </c>
      <c r="V363" s="9">
        <f>INT(200*U363)/200</f>
        <v>8.5000000000000006E-2</v>
      </c>
      <c r="W363" s="9">
        <f t="array" ref="W363">SQRT(MMULT(MMULT(P363:S363,$K$3:$N$6),TRANSPOSE(P363:S363)))</f>
        <v>8.2321952972530879E-2</v>
      </c>
      <c r="Y363" s="31">
        <f>U363/W363</f>
        <v>1.0794887189474154</v>
      </c>
      <c r="AA363" s="9">
        <f t="shared" si="43"/>
        <v>0.24378023469938118</v>
      </c>
      <c r="AB363" s="9">
        <f t="shared" si="44"/>
        <v>0.29442068895012113</v>
      </c>
      <c r="AC363" s="9">
        <f t="shared" si="45"/>
        <v>0.24064927694553381</v>
      </c>
      <c r="AD363" s="9">
        <f t="shared" si="46"/>
        <v>0.2211497994049639</v>
      </c>
      <c r="AE363" s="9"/>
      <c r="AF363" s="9">
        <f t="shared" si="47"/>
        <v>0.44805459193689434</v>
      </c>
      <c r="AG363" s="9">
        <f t="shared" si="48"/>
        <v>0.16891393279700115</v>
      </c>
      <c r="AH363" s="9">
        <f t="shared" si="49"/>
        <v>0.44679957071490706</v>
      </c>
      <c r="AI363" s="9">
        <f t="shared" si="50"/>
        <v>0.40361513195466125</v>
      </c>
    </row>
    <row r="364" spans="16:35" x14ac:dyDescent="0.3">
      <c r="P364" s="9">
        <v>0.1466579101588584</v>
      </c>
      <c r="Q364" s="9">
        <v>0.3370401306754468</v>
      </c>
      <c r="R364" s="9">
        <v>0.23112464805903668</v>
      </c>
      <c r="S364" s="9">
        <v>0.28517731110665817</v>
      </c>
      <c r="U364" s="9">
        <f t="array" ref="U364">MMULT(TRANSPOSE($B$3:$B$6),TRANSPOSE(P364:S364))</f>
        <v>9.7891452229052905E-2</v>
      </c>
      <c r="V364" s="9">
        <f>INT(200*U364)/200</f>
        <v>9.5000000000000001E-2</v>
      </c>
      <c r="W364" s="9">
        <f t="array" ref="W364">SQRT(MMULT(MMULT(P364:S364,$K$3:$N$6),TRANSPOSE(P364:S364)))</f>
        <v>9.0686138242373676E-2</v>
      </c>
      <c r="Y364" s="31">
        <f>U364/W364</f>
        <v>1.0794533114578309</v>
      </c>
      <c r="AA364" s="9">
        <f t="shared" si="43"/>
        <v>0.25173562499338265</v>
      </c>
      <c r="AB364" s="9">
        <f t="shared" si="44"/>
        <v>0.29126178416438597</v>
      </c>
      <c r="AC364" s="9">
        <f t="shared" si="45"/>
        <v>0.24104920376601222</v>
      </c>
      <c r="AD364" s="9">
        <f t="shared" si="46"/>
        <v>0.21595338707621914</v>
      </c>
      <c r="AE364" s="9"/>
      <c r="AF364" s="9">
        <f t="shared" si="47"/>
        <v>0.41978566068537537</v>
      </c>
      <c r="AG364" s="9">
        <f t="shared" si="48"/>
        <v>0.16933869835735785</v>
      </c>
      <c r="AH364" s="9">
        <f t="shared" si="49"/>
        <v>0.44860714146832109</v>
      </c>
      <c r="AI364" s="9">
        <f t="shared" si="50"/>
        <v>0.44553001963009992</v>
      </c>
    </row>
    <row r="365" spans="16:35" x14ac:dyDescent="0.3">
      <c r="P365" s="9">
        <v>0.27322642938836567</v>
      </c>
      <c r="Q365" s="9">
        <v>0.27569617420798753</v>
      </c>
      <c r="R365" s="9">
        <v>0.18892264631895625</v>
      </c>
      <c r="S365" s="9">
        <v>0.26215475008469058</v>
      </c>
      <c r="U365" s="9">
        <f t="array" ref="U365">MMULT(TRANSPOSE($B$3:$B$6),TRANSPOSE(P365:S365))</f>
        <v>9.0576971850534121E-2</v>
      </c>
      <c r="V365" s="9">
        <f>INT(200*U365)/200</f>
        <v>0.09</v>
      </c>
      <c r="W365" s="9">
        <f t="array" ref="W365">SQRT(MMULT(MMULT(P365:S365,$K$3:$N$6),TRANSPOSE(P365:S365)))</f>
        <v>8.3941365956580138E-2</v>
      </c>
      <c r="Y365" s="31">
        <f>U365/W365</f>
        <v>1.0790504874245952</v>
      </c>
      <c r="AA365" s="9">
        <f t="shared" si="43"/>
        <v>0.24427605053637275</v>
      </c>
      <c r="AB365" s="9">
        <f t="shared" si="44"/>
        <v>0.29663954595823239</v>
      </c>
      <c r="AC365" s="9">
        <f t="shared" si="45"/>
        <v>0.2373902862804633</v>
      </c>
      <c r="AD365" s="9">
        <f t="shared" si="46"/>
        <v>0.22169411722493154</v>
      </c>
      <c r="AE365" s="9"/>
      <c r="AF365" s="9">
        <f t="shared" si="47"/>
        <v>0.46928447137213969</v>
      </c>
      <c r="AG365" s="9">
        <f t="shared" si="48"/>
        <v>0.18713310721472876</v>
      </c>
      <c r="AH365" s="9">
        <f t="shared" si="49"/>
        <v>0.45333331188286374</v>
      </c>
      <c r="AI365" s="9">
        <f t="shared" si="50"/>
        <v>0.44898618068968893</v>
      </c>
    </row>
    <row r="366" spans="16:35" x14ac:dyDescent="0.3">
      <c r="P366" s="9">
        <v>0.12080332764187224</v>
      </c>
      <c r="Q366" s="9">
        <v>0.3884557385856639</v>
      </c>
      <c r="R366" s="9">
        <v>0.14477562812871461</v>
      </c>
      <c r="S366" s="9">
        <v>0.34596530564374911</v>
      </c>
      <c r="U366" s="9">
        <f t="array" ref="U366">MMULT(TRANSPOSE($B$3:$B$6),TRANSPOSE(P366:S366))</f>
        <v>0.10079246530175527</v>
      </c>
      <c r="V366" s="9">
        <f>INT(200*U366)/200</f>
        <v>0.1</v>
      </c>
      <c r="W366" s="9">
        <f t="array" ref="W366">SQRT(MMULT(MMULT(P366:S366,$K$3:$N$6),TRANSPOSE(P366:S366)))</f>
        <v>9.3410764790783737E-2</v>
      </c>
      <c r="Y366" s="31">
        <f>U366/W366</f>
        <v>1.0790240881498472</v>
      </c>
      <c r="AA366" s="9">
        <f t="shared" si="43"/>
        <v>0.23645192773214449</v>
      </c>
      <c r="AB366" s="9">
        <f t="shared" si="44"/>
        <v>0.29985353025667105</v>
      </c>
      <c r="AC366" s="9">
        <f t="shared" si="45"/>
        <v>0.24075455060459125</v>
      </c>
      <c r="AD366" s="9">
        <f t="shared" si="46"/>
        <v>0.22293999140659315</v>
      </c>
      <c r="AE366" s="9"/>
      <c r="AF366" s="9">
        <f t="shared" si="47"/>
        <v>0.4828822035571177</v>
      </c>
      <c r="AG366" s="9">
        <f t="shared" si="48"/>
        <v>0.17937025552540597</v>
      </c>
      <c r="AH366" s="9">
        <f t="shared" si="49"/>
        <v>0.45570977957815506</v>
      </c>
      <c r="AI366" s="9">
        <f t="shared" si="50"/>
        <v>0.44393974102906114</v>
      </c>
    </row>
    <row r="367" spans="16:35" x14ac:dyDescent="0.3">
      <c r="P367" s="9">
        <v>0.1871088358605637</v>
      </c>
      <c r="Q367" s="9">
        <v>0.32585110052117144</v>
      </c>
      <c r="R367" s="9">
        <v>0.18752064261580281</v>
      </c>
      <c r="S367" s="9">
        <v>0.29951942100246204</v>
      </c>
      <c r="U367" s="9">
        <f t="array" ref="U367">MMULT(TRANSPOSE($B$3:$B$6),TRANSPOSE(P367:S367))</f>
        <v>9.5893117213848328E-2</v>
      </c>
      <c r="V367" s="9">
        <f>INT(200*U367)/200</f>
        <v>9.5000000000000001E-2</v>
      </c>
      <c r="W367" s="9">
        <f t="array" ref="W367">SQRT(MMULT(MMULT(P367:S367,$K$3:$N$6),TRANSPOSE(P367:S367)))</f>
        <v>8.8928472975321568E-2</v>
      </c>
      <c r="Y367" s="31">
        <f>U367/W367</f>
        <v>1.0783173713154786</v>
      </c>
      <c r="AA367" s="9">
        <f t="shared" si="43"/>
        <v>0.23271217166766167</v>
      </c>
      <c r="AB367" s="9">
        <f t="shared" si="44"/>
        <v>0.30621093766845697</v>
      </c>
      <c r="AC367" s="9">
        <f t="shared" si="45"/>
        <v>0.22840343672818403</v>
      </c>
      <c r="AD367" s="9">
        <f t="shared" si="46"/>
        <v>0.2326734539356973</v>
      </c>
      <c r="AE367" s="9"/>
      <c r="AF367" s="9">
        <f t="shared" si="47"/>
        <v>0.51548244308728475</v>
      </c>
      <c r="AG367" s="9">
        <f t="shared" si="48"/>
        <v>0.21337609730040258</v>
      </c>
      <c r="AH367" s="9">
        <f t="shared" si="49"/>
        <v>0.47517725192417909</v>
      </c>
      <c r="AI367" s="9">
        <f t="shared" si="50"/>
        <v>0.45092122983332644</v>
      </c>
    </row>
    <row r="368" spans="16:35" x14ac:dyDescent="0.3">
      <c r="P368" s="9">
        <v>0.26324134404079519</v>
      </c>
      <c r="Q368" s="9">
        <v>0.27775712250784046</v>
      </c>
      <c r="R368" s="9">
        <v>0.1983408050679252</v>
      </c>
      <c r="S368" s="9">
        <v>0.26066072838343923</v>
      </c>
      <c r="U368" s="9">
        <f t="array" ref="U368">MMULT(TRANSPOSE($B$3:$B$6),TRANSPOSE(P368:S368))</f>
        <v>9.1056030346158653E-2</v>
      </c>
      <c r="V368" s="9">
        <f>INT(200*U368)/200</f>
        <v>0.09</v>
      </c>
      <c r="W368" s="9">
        <f t="array" ref="W368">SQRT(MMULT(MMULT(P368:S368,$K$3:$N$6),TRANSPOSE(P368:S368)))</f>
        <v>8.4446072739428987E-2</v>
      </c>
      <c r="Y368" s="31">
        <f>U368/W368</f>
        <v>1.0782743044442775</v>
      </c>
      <c r="AA368" s="9">
        <f t="shared" si="43"/>
        <v>0.23403486239751917</v>
      </c>
      <c r="AB368" s="9">
        <f t="shared" si="44"/>
        <v>0.30574851663365565</v>
      </c>
      <c r="AC368" s="9">
        <f t="shared" si="45"/>
        <v>0.23012869506462588</v>
      </c>
      <c r="AD368" s="9">
        <f t="shared" si="46"/>
        <v>0.23008792590419927</v>
      </c>
      <c r="AE368" s="9"/>
      <c r="AF368" s="9">
        <f t="shared" si="47"/>
        <v>0.51592958927782984</v>
      </c>
      <c r="AG368" s="9">
        <f t="shared" si="48"/>
        <v>0.21511680776803274</v>
      </c>
      <c r="AH368" s="9">
        <f t="shared" si="49"/>
        <v>0.47891748082782737</v>
      </c>
      <c r="AI368" s="9">
        <f t="shared" si="50"/>
        <v>0.4683140310007407</v>
      </c>
    </row>
    <row r="369" spans="16:35" x14ac:dyDescent="0.3">
      <c r="P369" s="9">
        <v>0.41198249068714798</v>
      </c>
      <c r="Q369" s="9">
        <v>0.20859228209669192</v>
      </c>
      <c r="R369" s="9">
        <v>0.28267347506817625</v>
      </c>
      <c r="S369" s="9">
        <v>9.6751752147983955E-2</v>
      </c>
      <c r="U369" s="9">
        <f t="array" ref="U369">MMULT(TRANSPOSE($B$3:$B$6),TRANSPOSE(P369:S369))</f>
        <v>8.2051855640813506E-2</v>
      </c>
      <c r="V369" s="9">
        <f>INT(200*U369)/200</f>
        <v>0.08</v>
      </c>
      <c r="W369" s="9">
        <f t="array" ref="W369">SQRT(MMULT(MMULT(P369:S369,$K$3:$N$6),TRANSPOSE(P369:S369)))</f>
        <v>7.6142799051084384E-2</v>
      </c>
      <c r="Y369" s="31">
        <f>U369/W369</f>
        <v>1.077604929991669</v>
      </c>
      <c r="AA369" s="9">
        <f t="shared" si="43"/>
        <v>0.2239505555774382</v>
      </c>
      <c r="AB369" s="9">
        <f t="shared" si="44"/>
        <v>0.30926595274197927</v>
      </c>
      <c r="AC369" s="9">
        <f t="shared" si="45"/>
        <v>0.22767019708277916</v>
      </c>
      <c r="AD369" s="9">
        <f t="shared" si="46"/>
        <v>0.23911329459780339</v>
      </c>
      <c r="AE369" s="9"/>
      <c r="AF369" s="9">
        <f t="shared" si="47"/>
        <v>0.49684514062368706</v>
      </c>
      <c r="AG369" s="9">
        <f t="shared" si="48"/>
        <v>0.20130590777431431</v>
      </c>
      <c r="AH369" s="9">
        <f t="shared" si="49"/>
        <v>0.47986458105979757</v>
      </c>
      <c r="AI369" s="9">
        <f t="shared" si="50"/>
        <v>0.41868452917259524</v>
      </c>
    </row>
    <row r="370" spans="16:35" x14ac:dyDescent="0.3">
      <c r="P370" s="9">
        <v>0.33885614096939304</v>
      </c>
      <c r="Q370" s="9">
        <v>0.25827608876410779</v>
      </c>
      <c r="R370" s="9">
        <v>0.13287848711935862</v>
      </c>
      <c r="S370" s="9">
        <v>0.26998928314714066</v>
      </c>
      <c r="U370" s="9">
        <f t="array" ref="U370">MMULT(TRANSPOSE($B$3:$B$6),TRANSPOSE(P370:S370))</f>
        <v>8.7301197307724815E-2</v>
      </c>
      <c r="V370" s="9">
        <f>INT(200*U370)/200</f>
        <v>8.5000000000000006E-2</v>
      </c>
      <c r="W370" s="9">
        <f t="array" ref="W370">SQRT(MMULT(MMULT(P370:S370,$K$3:$N$6),TRANSPOSE(P370:S370)))</f>
        <v>8.1026944368243495E-2</v>
      </c>
      <c r="Y370" s="31">
        <f>U370/W370</f>
        <v>1.0774341546309176</v>
      </c>
      <c r="AA370" s="9">
        <f t="shared" si="43"/>
        <v>0.2227904051043684</v>
      </c>
      <c r="AB370" s="9">
        <f t="shared" si="44"/>
        <v>0.30715124563468227</v>
      </c>
      <c r="AC370" s="9">
        <f t="shared" si="45"/>
        <v>0.23450513315673543</v>
      </c>
      <c r="AD370" s="9">
        <f t="shared" si="46"/>
        <v>0.2355532161042139</v>
      </c>
      <c r="AE370" s="9"/>
      <c r="AF370" s="9">
        <f t="shared" si="47"/>
        <v>0.49510559794450815</v>
      </c>
      <c r="AG370" s="9">
        <f t="shared" si="48"/>
        <v>0.20658088104828953</v>
      </c>
      <c r="AH370" s="9">
        <f t="shared" si="49"/>
        <v>0.44067710009091354</v>
      </c>
      <c r="AI370" s="9">
        <f t="shared" si="50"/>
        <v>0.41964029946623593</v>
      </c>
    </row>
    <row r="371" spans="16:35" x14ac:dyDescent="0.3">
      <c r="P371" s="9">
        <v>0.25303789686143047</v>
      </c>
      <c r="Q371" s="9">
        <v>0.2781137436835554</v>
      </c>
      <c r="R371" s="9">
        <v>0.21461303404704671</v>
      </c>
      <c r="S371" s="9">
        <v>0.25423532540796728</v>
      </c>
      <c r="U371" s="9">
        <f t="array" ref="U371">MMULT(TRANSPOSE($B$3:$B$6),TRANSPOSE(P371:S371))</f>
        <v>9.1473613623180558E-2</v>
      </c>
      <c r="V371" s="9">
        <f>INT(200*U371)/200</f>
        <v>0.09</v>
      </c>
      <c r="W371" s="9">
        <f t="array" ref="W371">SQRT(MMULT(MMULT(P371:S371,$K$3:$N$6),TRANSPOSE(P371:S371)))</f>
        <v>8.4905208627632775E-2</v>
      </c>
      <c r="Y371" s="31">
        <f>U371/W371</f>
        <v>1.0773616260028842</v>
      </c>
      <c r="AA371" s="9">
        <f t="shared" si="43"/>
        <v>0.24162647333178736</v>
      </c>
      <c r="AB371" s="9">
        <f t="shared" si="44"/>
        <v>0.29977697325478547</v>
      </c>
      <c r="AC371" s="9">
        <f t="shared" si="45"/>
        <v>0.22160512875319111</v>
      </c>
      <c r="AD371" s="9">
        <f t="shared" si="46"/>
        <v>0.23699142466023609</v>
      </c>
      <c r="AE371" s="9"/>
      <c r="AF371" s="9">
        <f t="shared" si="47"/>
        <v>0.4493237922834723</v>
      </c>
      <c r="AG371" s="9">
        <f t="shared" si="48"/>
        <v>0.21088957881518003</v>
      </c>
      <c r="AH371" s="9">
        <f t="shared" si="49"/>
        <v>0.46234348494940292</v>
      </c>
      <c r="AI371" s="9">
        <f t="shared" si="50"/>
        <v>0.41715818499593449</v>
      </c>
    </row>
    <row r="372" spans="16:35" x14ac:dyDescent="0.3">
      <c r="P372" s="9">
        <v>0.25597951378686556</v>
      </c>
      <c r="Q372" s="9">
        <v>0.2888214325699287</v>
      </c>
      <c r="R372" s="9">
        <v>0.44158490928096378</v>
      </c>
      <c r="S372" s="9">
        <v>1.3614144362241903E-2</v>
      </c>
      <c r="U372" s="9">
        <f t="array" ref="U372">MMULT(TRANSPOSE($B$3:$B$6),TRANSPOSE(P372:S372))</f>
        <v>9.0803777566544883E-2</v>
      </c>
      <c r="V372" s="9">
        <f>INT(200*U372)/200</f>
        <v>0.09</v>
      </c>
      <c r="W372" s="9">
        <f t="array" ref="W372">SQRT(MMULT(MMULT(P372:S372,$K$3:$N$6),TRANSPOSE(P372:S372)))</f>
        <v>8.4287048898345832E-2</v>
      </c>
      <c r="Y372" s="31">
        <f>U372/W372</f>
        <v>1.077315895542369</v>
      </c>
      <c r="AA372" s="9">
        <f t="shared" si="43"/>
        <v>0.23835069891553734</v>
      </c>
      <c r="AB372" s="9">
        <f t="shared" si="44"/>
        <v>0.29830851813340875</v>
      </c>
      <c r="AC372" s="9">
        <f t="shared" si="45"/>
        <v>0.23234141028908495</v>
      </c>
      <c r="AD372" s="9">
        <f t="shared" si="46"/>
        <v>0.23099937266196907</v>
      </c>
      <c r="AE372" s="9"/>
      <c r="AF372" s="9">
        <f t="shared" si="47"/>
        <v>0.44884260428531508</v>
      </c>
      <c r="AG372" s="9">
        <f t="shared" si="48"/>
        <v>0.21387164643560405</v>
      </c>
      <c r="AH372" s="9">
        <f t="shared" si="49"/>
        <v>0.42564776714872893</v>
      </c>
      <c r="AI372" s="9">
        <f t="shared" si="50"/>
        <v>0.4263273685344019</v>
      </c>
    </row>
    <row r="373" spans="16:35" x14ac:dyDescent="0.3">
      <c r="P373" s="9">
        <v>0.10870416101371831</v>
      </c>
      <c r="Q373" s="9">
        <v>0.34650226089228875</v>
      </c>
      <c r="R373" s="9">
        <v>0.27213159291685424</v>
      </c>
      <c r="S373" s="9">
        <v>0.27266198517713885</v>
      </c>
      <c r="U373" s="9">
        <f t="array" ref="U373">MMULT(TRANSPOSE($B$3:$B$6),TRANSPOSE(P373:S373))</f>
        <v>9.9737812538603865E-2</v>
      </c>
      <c r="V373" s="9">
        <f>INT(200*U373)/200</f>
        <v>9.5000000000000001E-2</v>
      </c>
      <c r="W373" s="9">
        <f t="array" ref="W373">SQRT(MMULT(MMULT(P373:S373,$K$3:$N$6),TRANSPOSE(P373:S373)))</f>
        <v>9.2647191047782559E-2</v>
      </c>
      <c r="Y373" s="31">
        <f>U373/W373</f>
        <v>1.0765335830544969</v>
      </c>
      <c r="AA373" s="9">
        <f t="shared" si="43"/>
        <v>0.2441803158094315</v>
      </c>
      <c r="AB373" s="9">
        <f t="shared" si="44"/>
        <v>0.2928054254925761</v>
      </c>
      <c r="AC373" s="9">
        <f t="shared" si="45"/>
        <v>0.24145427718628101</v>
      </c>
      <c r="AD373" s="9">
        <f t="shared" si="46"/>
        <v>0.22155998151171147</v>
      </c>
      <c r="AE373" s="9"/>
      <c r="AF373" s="9">
        <f t="shared" si="47"/>
        <v>0.46963700484570287</v>
      </c>
      <c r="AG373" s="9">
        <f t="shared" si="48"/>
        <v>0.23102349985998655</v>
      </c>
      <c r="AH373" s="9">
        <f t="shared" si="49"/>
        <v>0.37192267048700678</v>
      </c>
      <c r="AI373" s="9">
        <f t="shared" si="50"/>
        <v>0.44716829368591843</v>
      </c>
    </row>
    <row r="374" spans="16:35" x14ac:dyDescent="0.3">
      <c r="P374" s="9">
        <v>0.28560030731473018</v>
      </c>
      <c r="Q374" s="9">
        <v>0.26579279428399893</v>
      </c>
      <c r="R374" s="9">
        <v>0.40281620179268557</v>
      </c>
      <c r="S374" s="9">
        <v>4.5790696608585368E-2</v>
      </c>
      <c r="U374" s="9">
        <f t="array" ref="U374">MMULT(TRANSPOSE($B$3:$B$6),TRANSPOSE(P374:S374))</f>
        <v>8.8960705800363304E-2</v>
      </c>
      <c r="V374" s="9">
        <f>INT(200*U374)/200</f>
        <v>8.5000000000000006E-2</v>
      </c>
      <c r="W374" s="9">
        <f t="array" ref="W374">SQRT(MMULT(MMULT(P374:S374,$K$3:$N$6),TRANSPOSE(P374:S374)))</f>
        <v>8.2650620143406212E-2</v>
      </c>
      <c r="Y374" s="31">
        <f>U374/W374</f>
        <v>1.0763465010426847</v>
      </c>
      <c r="AA374" s="9">
        <f t="shared" si="43"/>
        <v>0.23959510962050365</v>
      </c>
      <c r="AB374" s="9">
        <f t="shared" si="44"/>
        <v>0.29663331313549179</v>
      </c>
      <c r="AC374" s="9">
        <f t="shared" si="45"/>
        <v>0.23657312997830901</v>
      </c>
      <c r="AD374" s="9">
        <f t="shared" si="46"/>
        <v>0.22719844726569563</v>
      </c>
      <c r="AE374" s="9"/>
      <c r="AF374" s="9">
        <f t="shared" si="47"/>
        <v>0.47815837922415716</v>
      </c>
      <c r="AG374" s="9">
        <f t="shared" si="48"/>
        <v>0.22778124428268473</v>
      </c>
      <c r="AH374" s="9">
        <f t="shared" si="49"/>
        <v>0.39018716252629643</v>
      </c>
      <c r="AI374" s="9">
        <f t="shared" si="50"/>
        <v>0.44727740493244689</v>
      </c>
    </row>
    <row r="375" spans="16:35" x14ac:dyDescent="0.3">
      <c r="P375" s="9">
        <v>4.3669887854598043E-2</v>
      </c>
      <c r="Q375" s="9">
        <v>0.40786990481886365</v>
      </c>
      <c r="R375" s="9">
        <v>0.21538742964235111</v>
      </c>
      <c r="S375" s="9">
        <v>0.3330727776841873</v>
      </c>
      <c r="U375" s="9">
        <f t="array" ref="U375">MMULT(TRANSPOSE($B$3:$B$6),TRANSPOSE(P375:S375))</f>
        <v>0.10459623665698278</v>
      </c>
      <c r="V375" s="9">
        <f>INT(200*U375)/200</f>
        <v>0.1</v>
      </c>
      <c r="W375" s="9">
        <f t="array" ref="W375">SQRT(MMULT(MMULT(P375:S375,$K$3:$N$6),TRANSPOSE(P375:S375)))</f>
        <v>9.7188629465386034E-2</v>
      </c>
      <c r="Y375" s="31">
        <f>U375/W375</f>
        <v>1.0762188666754993</v>
      </c>
      <c r="AA375" s="9">
        <f t="shared" si="43"/>
        <v>0.24694142256467749</v>
      </c>
      <c r="AB375" s="9">
        <f t="shared" si="44"/>
        <v>0.29239146230693241</v>
      </c>
      <c r="AC375" s="9">
        <f t="shared" si="45"/>
        <v>0.23612198111156465</v>
      </c>
      <c r="AD375" s="9">
        <f t="shared" si="46"/>
        <v>0.22454513401682544</v>
      </c>
      <c r="AE375" s="9"/>
      <c r="AF375" s="9">
        <f t="shared" si="47"/>
        <v>0.45859308408560068</v>
      </c>
      <c r="AG375" s="9">
        <f t="shared" si="48"/>
        <v>0.23153884944560138</v>
      </c>
      <c r="AH375" s="9">
        <f t="shared" si="49"/>
        <v>0.39114908505929419</v>
      </c>
      <c r="AI375" s="9">
        <f t="shared" si="50"/>
        <v>0.44870687154938466</v>
      </c>
    </row>
    <row r="376" spans="16:35" x14ac:dyDescent="0.3">
      <c r="P376" s="9">
        <v>0.16456832857058085</v>
      </c>
      <c r="Q376" s="9">
        <v>0.30403892666768079</v>
      </c>
      <c r="R376" s="9">
        <v>0.33891337217917633</v>
      </c>
      <c r="S376" s="9">
        <v>0.19247937258256206</v>
      </c>
      <c r="U376" s="9">
        <f t="array" ref="U376">MMULT(TRANSPOSE($B$3:$B$6),TRANSPOSE(P376:S376))</f>
        <v>9.5778340040432258E-2</v>
      </c>
      <c r="V376" s="9">
        <f>INT(200*U376)/200</f>
        <v>9.5000000000000001E-2</v>
      </c>
      <c r="W376" s="9">
        <f t="array" ref="W376">SQRT(MMULT(MMULT(P376:S376,$K$3:$N$6),TRANSPOSE(P376:S376)))</f>
        <v>8.8997238541283635E-2</v>
      </c>
      <c r="Y376" s="31">
        <f>U376/W376</f>
        <v>1.0761945158107691</v>
      </c>
      <c r="AA376" s="9">
        <f t="shared" si="43"/>
        <v>0.24534637561512346</v>
      </c>
      <c r="AB376" s="9">
        <f t="shared" si="44"/>
        <v>0.29250500417838793</v>
      </c>
      <c r="AC376" s="9">
        <f t="shared" si="45"/>
        <v>0.23786641605008943</v>
      </c>
      <c r="AD376" s="9">
        <f t="shared" si="46"/>
        <v>0.22428220415639916</v>
      </c>
      <c r="AE376" s="9"/>
      <c r="AF376" s="9">
        <f t="shared" si="47"/>
        <v>0.46095112122743181</v>
      </c>
      <c r="AG376" s="9">
        <f t="shared" si="48"/>
        <v>0.23135527764729205</v>
      </c>
      <c r="AH376" s="9">
        <f t="shared" si="49"/>
        <v>0.38579174753818807</v>
      </c>
      <c r="AI376" s="9">
        <f t="shared" si="50"/>
        <v>0.44880533687937407</v>
      </c>
    </row>
    <row r="377" spans="16:35" x14ac:dyDescent="0.3">
      <c r="P377" s="9">
        <v>2.2976201007816804E-2</v>
      </c>
      <c r="Q377" s="9">
        <v>0.47287146772047689</v>
      </c>
      <c r="R377" s="9">
        <v>0.11483880302923463</v>
      </c>
      <c r="S377" s="9">
        <v>0.38931352824247167</v>
      </c>
      <c r="U377" s="9">
        <f t="array" ref="U377">MMULT(TRANSPOSE($B$3:$B$6),TRANSPOSE(P377:S377))</f>
        <v>0.10768331946367843</v>
      </c>
      <c r="V377" s="9">
        <f>INT(200*U377)/200</f>
        <v>0.105</v>
      </c>
      <c r="W377" s="9">
        <f t="array" ref="W377">SQRT(MMULT(MMULT(P377:S377,$K$3:$N$6),TRANSPOSE(P377:S377)))</f>
        <v>0.10011118156212345</v>
      </c>
      <c r="Y377" s="31">
        <f>U377/W377</f>
        <v>1.0756372843013158</v>
      </c>
      <c r="AA377" s="9">
        <f t="shared" si="43"/>
        <v>0.2418698771118811</v>
      </c>
      <c r="AB377" s="9">
        <f t="shared" si="44"/>
        <v>0.29128830923205601</v>
      </c>
      <c r="AC377" s="9">
        <f t="shared" si="45"/>
        <v>0.25307200225133897</v>
      </c>
      <c r="AD377" s="9">
        <f t="shared" si="46"/>
        <v>0.21376981140472404</v>
      </c>
      <c r="AE377" s="9"/>
      <c r="AF377" s="9">
        <f t="shared" si="47"/>
        <v>0.48837354495098811</v>
      </c>
      <c r="AG377" s="9">
        <f t="shared" si="48"/>
        <v>0.22682670976161018</v>
      </c>
      <c r="AH377" s="9">
        <f t="shared" si="49"/>
        <v>0.40110609738118586</v>
      </c>
      <c r="AI377" s="9">
        <f t="shared" si="50"/>
        <v>0.46230350526082536</v>
      </c>
    </row>
    <row r="378" spans="16:35" x14ac:dyDescent="0.3">
      <c r="P378" s="9">
        <v>0.31541552079225132</v>
      </c>
      <c r="Q378" s="9">
        <v>0.24258907785358355</v>
      </c>
      <c r="R378" s="9">
        <v>0.34884539173866308</v>
      </c>
      <c r="S378" s="9">
        <v>9.3150009615502113E-2</v>
      </c>
      <c r="U378" s="9">
        <f t="array" ref="U378">MMULT(TRANSPOSE($B$3:$B$6),TRANSPOSE(P378:S378))</f>
        <v>8.7159363889184938E-2</v>
      </c>
      <c r="V378" s="9">
        <f>INT(200*U378)/200</f>
        <v>8.5000000000000006E-2</v>
      </c>
      <c r="W378" s="9">
        <f t="array" ref="W378">SQRT(MMULT(MMULT(P378:S378,$K$3:$N$6),TRANSPOSE(P378:S378)))</f>
        <v>8.1034544754107429E-2</v>
      </c>
      <c r="Y378" s="31">
        <f>U378/W378</f>
        <v>1.0755828166081856</v>
      </c>
      <c r="AA378" s="9">
        <f t="shared" si="43"/>
        <v>0.23712603045393621</v>
      </c>
      <c r="AB378" s="9">
        <f t="shared" si="44"/>
        <v>0.29601273868144623</v>
      </c>
      <c r="AC378" s="9">
        <f t="shared" si="45"/>
        <v>0.24931669976737775</v>
      </c>
      <c r="AD378" s="9">
        <f t="shared" si="46"/>
        <v>0.21754453109723992</v>
      </c>
      <c r="AE378" s="9"/>
      <c r="AF378" s="9">
        <f t="shared" si="47"/>
        <v>0.51599799724144479</v>
      </c>
      <c r="AG378" s="9">
        <f t="shared" si="48"/>
        <v>0.24307173641390409</v>
      </c>
      <c r="AH378" s="9">
        <f t="shared" si="49"/>
        <v>0.42290683004253277</v>
      </c>
      <c r="AI378" s="9">
        <f t="shared" si="50"/>
        <v>0.47650538121939034</v>
      </c>
    </row>
    <row r="379" spans="16:35" x14ac:dyDescent="0.3">
      <c r="P379" s="9">
        <v>0.22693428116823475</v>
      </c>
      <c r="Q379" s="9">
        <v>0.2835237395494718</v>
      </c>
      <c r="R379" s="9">
        <v>0.24396927282371633</v>
      </c>
      <c r="S379" s="9">
        <v>0.24557270645857718</v>
      </c>
      <c r="U379" s="9">
        <f t="array" ref="U379">MMULT(TRANSPOSE($B$3:$B$6),TRANSPOSE(P379:S379))</f>
        <v>9.2709344679027916E-2</v>
      </c>
      <c r="V379" s="9">
        <f>INT(200*U379)/200</f>
        <v>0.09</v>
      </c>
      <c r="W379" s="9">
        <f t="array" ref="W379">SQRT(MMULT(MMULT(P379:S379,$K$3:$N$6),TRANSPOSE(P379:S379)))</f>
        <v>8.6221178742055163E-2</v>
      </c>
      <c r="Y379" s="31">
        <f>U379/W379</f>
        <v>1.0752502579022165</v>
      </c>
      <c r="AA379" s="9">
        <f t="shared" si="43"/>
        <v>0.23807329970150204</v>
      </c>
      <c r="AB379" s="9">
        <f t="shared" si="44"/>
        <v>0.29684231136220529</v>
      </c>
      <c r="AC379" s="9">
        <f t="shared" si="45"/>
        <v>0.24502848299512306</v>
      </c>
      <c r="AD379" s="9">
        <f t="shared" si="46"/>
        <v>0.22005590594116975</v>
      </c>
      <c r="AE379" s="9"/>
      <c r="AF379" s="9">
        <f t="shared" si="47"/>
        <v>0.51515860697272842</v>
      </c>
      <c r="AG379" s="9">
        <f t="shared" si="48"/>
        <v>0.24198590471881362</v>
      </c>
      <c r="AH379" s="9">
        <f t="shared" si="49"/>
        <v>0.44636625110016692</v>
      </c>
      <c r="AI379" s="9">
        <f t="shared" si="50"/>
        <v>0.4788896178315768</v>
      </c>
    </row>
    <row r="380" spans="16:35" x14ac:dyDescent="0.3">
      <c r="P380" s="9">
        <v>0.29885811314662597</v>
      </c>
      <c r="Q380" s="9">
        <v>0.25219099849155763</v>
      </c>
      <c r="R380" s="9">
        <v>0.21532239299956019</v>
      </c>
      <c r="S380" s="9">
        <v>0.23362849536225613</v>
      </c>
      <c r="U380" s="9">
        <f t="array" ref="U380">MMULT(TRANSPOSE($B$3:$B$6),TRANSPOSE(P380:S380))</f>
        <v>8.8666021306459814E-2</v>
      </c>
      <c r="V380" s="9">
        <f>INT(200*U380)/200</f>
        <v>8.5000000000000006E-2</v>
      </c>
      <c r="W380" s="9">
        <f t="array" ref="W380">SQRT(MMULT(MMULT(P380:S380,$K$3:$N$6),TRANSPOSE(P380:S380)))</f>
        <v>8.2493016394797156E-2</v>
      </c>
      <c r="Y380" s="31">
        <f>U380/W380</f>
        <v>1.074830636354958</v>
      </c>
      <c r="AA380" s="9">
        <f t="shared" si="43"/>
        <v>0.23296531256062286</v>
      </c>
      <c r="AB380" s="9">
        <f t="shared" si="44"/>
        <v>0.2982149156057991</v>
      </c>
      <c r="AC380" s="9">
        <f t="shared" si="45"/>
        <v>0.24566956040597945</v>
      </c>
      <c r="AD380" s="9">
        <f t="shared" si="46"/>
        <v>0.22315021142759872</v>
      </c>
      <c r="AE380" s="9"/>
      <c r="AF380" s="9">
        <f t="shared" si="47"/>
        <v>0.50286889088228615</v>
      </c>
      <c r="AG380" s="9">
        <f t="shared" si="48"/>
        <v>0.23580479294378709</v>
      </c>
      <c r="AH380" s="9">
        <f t="shared" si="49"/>
        <v>0.44630376903645175</v>
      </c>
      <c r="AI380" s="9">
        <f t="shared" si="50"/>
        <v>0.45931114342202484</v>
      </c>
    </row>
    <row r="381" spans="16:35" x14ac:dyDescent="0.3">
      <c r="P381" s="9">
        <v>0.42037996623974855</v>
      </c>
      <c r="Q381" s="9">
        <v>0.22792978688412127</v>
      </c>
      <c r="R381" s="9">
        <v>9.9315796310093421E-2</v>
      </c>
      <c r="S381" s="9">
        <v>0.25237445056603691</v>
      </c>
      <c r="U381" s="9">
        <f t="array" ref="U381">MMULT(TRANSPOSE($B$3:$B$6),TRANSPOSE(P381:S381))</f>
        <v>8.2863165737642186E-2</v>
      </c>
      <c r="V381" s="9">
        <f>INT(200*U381)/200</f>
        <v>0.08</v>
      </c>
      <c r="W381" s="9">
        <f t="array" ref="W381">SQRT(MMULT(MMULT(P381:S381,$K$3:$N$6),TRANSPOSE(P381:S381)))</f>
        <v>7.7195821827562766E-2</v>
      </c>
      <c r="Y381" s="31">
        <f>U381/W381</f>
        <v>1.0734151638768601</v>
      </c>
      <c r="AA381" s="9">
        <f t="shared" si="43"/>
        <v>0.23851438400580088</v>
      </c>
      <c r="AB381" s="9">
        <f t="shared" si="44"/>
        <v>0.29813580205003209</v>
      </c>
      <c r="AC381" s="9">
        <f t="shared" si="45"/>
        <v>0.23951047317690066</v>
      </c>
      <c r="AD381" s="9">
        <f t="shared" si="46"/>
        <v>0.22383934076726633</v>
      </c>
      <c r="AE381" s="9"/>
      <c r="AF381" s="9">
        <f t="shared" si="47"/>
        <v>0.52374098342908793</v>
      </c>
      <c r="AG381" s="9">
        <f t="shared" si="48"/>
        <v>0.23602869423446518</v>
      </c>
      <c r="AH381" s="9">
        <f t="shared" si="49"/>
        <v>0.49887953654084854</v>
      </c>
      <c r="AI381" s="9">
        <f t="shared" si="50"/>
        <v>0.45958855545928085</v>
      </c>
    </row>
    <row r="382" spans="16:35" x14ac:dyDescent="0.3">
      <c r="P382" s="9">
        <v>0.25530667565506837</v>
      </c>
      <c r="Q382" s="9">
        <v>0.259738182386057</v>
      </c>
      <c r="R382" s="9">
        <v>0.30789230993068645</v>
      </c>
      <c r="S382" s="9">
        <v>0.17706283202818823</v>
      </c>
      <c r="U382" s="9">
        <f t="array" ref="U382">MMULT(TRANSPOSE($B$3:$B$6),TRANSPOSE(P382:S382))</f>
        <v>9.0528501394572775E-2</v>
      </c>
      <c r="V382" s="9">
        <f>INT(200*U382)/200</f>
        <v>0.09</v>
      </c>
      <c r="W382" s="9">
        <f t="array" ref="W382">SQRT(MMULT(MMULT(P382:S382,$K$3:$N$6),TRANSPOSE(P382:S382)))</f>
        <v>8.4342268456905109E-2</v>
      </c>
      <c r="Y382" s="31">
        <f>U382/W382</f>
        <v>1.0733467696666059</v>
      </c>
      <c r="AA382" s="9">
        <f t="shared" si="43"/>
        <v>0.23586529182391497</v>
      </c>
      <c r="AB382" s="9">
        <f t="shared" si="44"/>
        <v>0.29857423206893963</v>
      </c>
      <c r="AC382" s="9">
        <f t="shared" si="45"/>
        <v>0.24851350152766349</v>
      </c>
      <c r="AD382" s="9">
        <f t="shared" si="46"/>
        <v>0.21704697457948191</v>
      </c>
      <c r="AE382" s="9"/>
      <c r="AF382" s="9">
        <f t="shared" si="47"/>
        <v>0.53075188716598665</v>
      </c>
      <c r="AG382" s="9">
        <f t="shared" si="48"/>
        <v>0.23533922155485559</v>
      </c>
      <c r="AH382" s="9">
        <f t="shared" si="49"/>
        <v>0.50111273598937056</v>
      </c>
      <c r="AI382" s="9">
        <f t="shared" si="50"/>
        <v>0.48581005522986903</v>
      </c>
    </row>
    <row r="383" spans="16:35" x14ac:dyDescent="0.3">
      <c r="P383" s="9">
        <v>0.4417875594858045</v>
      </c>
      <c r="Q383" s="9">
        <v>0.19403882565418198</v>
      </c>
      <c r="R383" s="9">
        <v>0.24291989772540834</v>
      </c>
      <c r="S383" s="9">
        <v>0.12125371713460519</v>
      </c>
      <c r="U383" s="9">
        <f t="array" ref="U383">MMULT(TRANSPOSE($B$3:$B$6),TRANSPOSE(P383:S383))</f>
        <v>8.0435128143902676E-2</v>
      </c>
      <c r="V383" s="9">
        <f>INT(200*U383)/200</f>
        <v>0.08</v>
      </c>
      <c r="W383" s="9">
        <f t="array" ref="W383">SQRT(MMULT(MMULT(P383:S383,$K$3:$N$6),TRANSPOSE(P383:S383)))</f>
        <v>7.4957300040668501E-2</v>
      </c>
      <c r="Y383" s="31">
        <f>U383/W383</f>
        <v>1.0730793144932134</v>
      </c>
      <c r="AA383" s="9">
        <f t="shared" si="43"/>
        <v>0.23686381851376617</v>
      </c>
      <c r="AB383" s="9">
        <f t="shared" si="44"/>
        <v>0.29662037242946432</v>
      </c>
      <c r="AC383" s="9">
        <f t="shared" si="45"/>
        <v>0.24147823802321822</v>
      </c>
      <c r="AD383" s="9">
        <f t="shared" si="46"/>
        <v>0.22503757103355132</v>
      </c>
      <c r="AE383" s="9"/>
      <c r="AF383" s="9">
        <f t="shared" si="47"/>
        <v>0.52957764689550468</v>
      </c>
      <c r="AG383" s="9">
        <f t="shared" si="48"/>
        <v>0.23975528467441362</v>
      </c>
      <c r="AH383" s="9">
        <f t="shared" si="49"/>
        <v>0.48463045102946589</v>
      </c>
      <c r="AI383" s="9">
        <f t="shared" si="50"/>
        <v>0.42263187643766681</v>
      </c>
    </row>
    <row r="384" spans="16:35" x14ac:dyDescent="0.3">
      <c r="P384" s="9">
        <v>0.19640241038610487</v>
      </c>
      <c r="Q384" s="9">
        <v>0.33360979703065102</v>
      </c>
      <c r="R384" s="9">
        <v>0.14324899275007938</v>
      </c>
      <c r="S384" s="9">
        <v>0.32673879983316473</v>
      </c>
      <c r="U384" s="9">
        <f t="array" ref="U384">MMULT(TRANSPOSE($B$3:$B$6),TRANSPOSE(P384:S384))</f>
        <v>9.5840617079033463E-2</v>
      </c>
      <c r="V384" s="9">
        <f>INT(200*U384)/200</f>
        <v>9.5000000000000001E-2</v>
      </c>
      <c r="W384" s="9">
        <f t="array" ref="W384">SQRT(MMULT(MMULT(P384:S384,$K$3:$N$6),TRANSPOSE(P384:S384)))</f>
        <v>8.9349398298990121E-2</v>
      </c>
      <c r="Y384" s="31">
        <f>U384/W384</f>
        <v>1.0726498320483564</v>
      </c>
      <c r="AA384" s="9">
        <f t="shared" si="43"/>
        <v>0.24481919529829407</v>
      </c>
      <c r="AB384" s="9">
        <f t="shared" si="44"/>
        <v>0.29311034114610179</v>
      </c>
      <c r="AC384" s="9">
        <f t="shared" si="45"/>
        <v>0.23665579230924505</v>
      </c>
      <c r="AD384" s="9">
        <f t="shared" si="46"/>
        <v>0.22541467124635914</v>
      </c>
      <c r="AE384" s="9"/>
      <c r="AF384" s="9">
        <f t="shared" si="47"/>
        <v>0.49897292184516695</v>
      </c>
      <c r="AG384" s="9">
        <f t="shared" si="48"/>
        <v>0.23999866408720907</v>
      </c>
      <c r="AH384" s="9">
        <f t="shared" si="49"/>
        <v>0.49770817381603649</v>
      </c>
      <c r="AI384" s="9">
        <f t="shared" si="50"/>
        <v>0.42287301169515934</v>
      </c>
    </row>
    <row r="385" spans="16:35" x14ac:dyDescent="0.3">
      <c r="P385" s="9">
        <v>0.30093048198651035</v>
      </c>
      <c r="Q385" s="9">
        <v>0.24796126327570034</v>
      </c>
      <c r="R385" s="9">
        <v>0.22165052185740511</v>
      </c>
      <c r="S385" s="9">
        <v>0.22945773288038426</v>
      </c>
      <c r="U385" s="9">
        <f t="array" ref="U385">MMULT(TRANSPOSE($B$3:$B$6),TRANSPOSE(P385:S385))</f>
        <v>8.8432692595091067E-2</v>
      </c>
      <c r="V385" s="9">
        <f>INT(200*U385)/200</f>
        <v>8.5000000000000006E-2</v>
      </c>
      <c r="W385" s="9">
        <f t="array" ref="W385">SQRT(MMULT(MMULT(P385:S385,$K$3:$N$6),TRANSPOSE(P385:S385)))</f>
        <v>8.2461139953640072E-2</v>
      </c>
      <c r="Y385" s="31">
        <f>U385/W385</f>
        <v>1.0724165666980618</v>
      </c>
      <c r="AA385" s="9">
        <f t="shared" si="43"/>
        <v>0.23513801417404009</v>
      </c>
      <c r="AB385" s="9">
        <f t="shared" si="44"/>
        <v>0.29829873078047314</v>
      </c>
      <c r="AC385" s="9">
        <f t="shared" si="45"/>
        <v>0.22786002179039663</v>
      </c>
      <c r="AD385" s="9">
        <f t="shared" si="46"/>
        <v>0.23870323325509019</v>
      </c>
      <c r="AE385" s="9"/>
      <c r="AF385" s="9">
        <f t="shared" si="47"/>
        <v>0.53898106690956227</v>
      </c>
      <c r="AG385" s="9">
        <f t="shared" si="48"/>
        <v>0.24211812011477704</v>
      </c>
      <c r="AH385" s="9">
        <f t="shared" si="49"/>
        <v>0.48927032252442609</v>
      </c>
      <c r="AI385" s="9">
        <f t="shared" si="50"/>
        <v>0.36956110770253447</v>
      </c>
    </row>
    <row r="386" spans="16:35" x14ac:dyDescent="0.3">
      <c r="P386" s="9">
        <v>0.23973044344773192</v>
      </c>
      <c r="Q386" s="9">
        <v>0.27808055350855343</v>
      </c>
      <c r="R386" s="9">
        <v>0.22555578002797638</v>
      </c>
      <c r="S386" s="9">
        <v>0.25663322301573832</v>
      </c>
      <c r="U386" s="9">
        <f t="array" ref="U386">MMULT(TRANSPOSE($B$3:$B$6),TRANSPOSE(P386:S386))</f>
        <v>9.2042104038943348E-2</v>
      </c>
      <c r="V386" s="9">
        <f>INT(200*U386)/200</f>
        <v>0.09</v>
      </c>
      <c r="W386" s="9">
        <f t="array" ref="W386">SQRT(MMULT(MMULT(P386:S386,$K$3:$N$6),TRANSPOSE(P386:S386)))</f>
        <v>8.5882586172974326E-2</v>
      </c>
      <c r="Y386" s="31">
        <f>U386/W386</f>
        <v>1.0717202187363486</v>
      </c>
      <c r="AA386" s="9">
        <f t="shared" si="43"/>
        <v>0.25772286882861389</v>
      </c>
      <c r="AB386" s="9">
        <f t="shared" si="44"/>
        <v>0.28723621148139267</v>
      </c>
      <c r="AC386" s="9">
        <f t="shared" si="45"/>
        <v>0.22744892478774928</v>
      </c>
      <c r="AD386" s="9">
        <f t="shared" si="46"/>
        <v>0.22759199490224416</v>
      </c>
      <c r="AE386" s="9"/>
      <c r="AF386" s="9">
        <f t="shared" si="47"/>
        <v>0.51610700237961771</v>
      </c>
      <c r="AG386" s="9">
        <f t="shared" si="48"/>
        <v>0.25203245094676469</v>
      </c>
      <c r="AH386" s="9">
        <f t="shared" si="49"/>
        <v>0.49043686074691611</v>
      </c>
      <c r="AI386" s="9">
        <f t="shared" si="50"/>
        <v>0.39721351517967191</v>
      </c>
    </row>
    <row r="387" spans="16:35" x14ac:dyDescent="0.3">
      <c r="P387" s="9">
        <v>4.7796859073781443E-2</v>
      </c>
      <c r="Q387" s="9">
        <v>0.3629051447126922</v>
      </c>
      <c r="R387" s="9">
        <v>0.46409293835495524</v>
      </c>
      <c r="S387" s="9">
        <v>0.12520505785857108</v>
      </c>
      <c r="U387" s="9">
        <f t="array" ref="U387">MMULT(TRANSPOSE($B$3:$B$6),TRANSPOSE(P387:S387))</f>
        <v>0.10227424614787545</v>
      </c>
      <c r="V387" s="9">
        <f>INT(200*U387)/200</f>
        <v>0.1</v>
      </c>
      <c r="W387" s="9">
        <f t="array" ref="W387">SQRT(MMULT(MMULT(P387:S387,$K$3:$N$6),TRANSPOSE(P387:S387)))</f>
        <v>9.5430329992138407E-2</v>
      </c>
      <c r="Y387" s="31">
        <f>U387/W387</f>
        <v>1.0717163626731758</v>
      </c>
      <c r="AA387" s="9">
        <f t="shared" si="43"/>
        <v>0.26114560910081341</v>
      </c>
      <c r="AB387" s="9">
        <f t="shared" si="44"/>
        <v>0.28572819914646969</v>
      </c>
      <c r="AC387" s="9">
        <f t="shared" si="45"/>
        <v>0.23039367757746571</v>
      </c>
      <c r="AD387" s="9">
        <f t="shared" si="46"/>
        <v>0.22273251417525125</v>
      </c>
      <c r="AE387" s="9"/>
      <c r="AF387" s="9">
        <f t="shared" si="47"/>
        <v>0.50320882640525477</v>
      </c>
      <c r="AG387" s="9">
        <f t="shared" si="48"/>
        <v>0.25323072551704162</v>
      </c>
      <c r="AH387" s="9">
        <f t="shared" si="49"/>
        <v>0.50083462287306058</v>
      </c>
      <c r="AI387" s="9">
        <f t="shared" si="50"/>
        <v>0.42656451924798872</v>
      </c>
    </row>
    <row r="388" spans="16:35" x14ac:dyDescent="0.3">
      <c r="P388" s="9">
        <v>8.7488056043721785E-2</v>
      </c>
      <c r="Q388" s="9">
        <v>0.42506411895836627</v>
      </c>
      <c r="R388" s="9">
        <v>0.10865929045261712</v>
      </c>
      <c r="S388" s="9">
        <v>0.37878853454529493</v>
      </c>
      <c r="U388" s="9">
        <f t="array" ref="U388">MMULT(TRANSPOSE($B$3:$B$6),TRANSPOSE(P388:S388))</f>
        <v>0.10344805944588259</v>
      </c>
      <c r="V388" s="9">
        <f>INT(200*U388)/200</f>
        <v>0.1</v>
      </c>
      <c r="W388" s="9">
        <f t="array" ref="W388">SQRT(MMULT(MMULT(P388:S388,$K$3:$N$6),TRANSPOSE(P388:S388)))</f>
        <v>9.6527511881477526E-2</v>
      </c>
      <c r="Y388" s="31">
        <f>U388/W388</f>
        <v>1.0716950787346777</v>
      </c>
      <c r="AA388" s="9">
        <f t="shared" si="43"/>
        <v>0.27657976385660293</v>
      </c>
      <c r="AB388" s="9">
        <f t="shared" si="44"/>
        <v>0.27393077864285964</v>
      </c>
      <c r="AC388" s="9">
        <f t="shared" si="45"/>
        <v>0.24068523910114936</v>
      </c>
      <c r="AD388" s="9">
        <f t="shared" si="46"/>
        <v>0.20880421839938806</v>
      </c>
      <c r="AE388" s="9"/>
      <c r="AF388" s="9">
        <f t="shared" si="47"/>
        <v>0.43615188459691773</v>
      </c>
      <c r="AG388" s="9">
        <f t="shared" si="48"/>
        <v>0.21663633442512603</v>
      </c>
      <c r="AH388" s="9">
        <f t="shared" si="49"/>
        <v>0.47447585935764713</v>
      </c>
      <c r="AI388" s="9">
        <f t="shared" si="50"/>
        <v>0.43442881711362374</v>
      </c>
    </row>
    <row r="389" spans="16:35" x14ac:dyDescent="0.3">
      <c r="P389" s="9">
        <v>0.28313399823967655</v>
      </c>
      <c r="Q389" s="9">
        <v>0.29517814880377974</v>
      </c>
      <c r="R389" s="9">
        <v>0.10828825285057712</v>
      </c>
      <c r="S389" s="9">
        <v>0.31339960010596662</v>
      </c>
      <c r="U389" s="9">
        <f t="array" ref="U389">MMULT(TRANSPOSE($B$3:$B$6),TRANSPOSE(P389:S389))</f>
        <v>9.0948687175538154E-2</v>
      </c>
      <c r="V389" s="9">
        <f>INT(200*U389)/200</f>
        <v>0.09</v>
      </c>
      <c r="W389" s="9">
        <f t="array" ref="W389">SQRT(MMULT(MMULT(P389:S389,$K$3:$N$6),TRANSPOSE(P389:S389)))</f>
        <v>8.4893556215678456E-2</v>
      </c>
      <c r="Y389" s="31">
        <f>U389/W389</f>
        <v>1.0713261551262641</v>
      </c>
      <c r="AA389" s="9">
        <f t="shared" si="43"/>
        <v>0.26562659032749658</v>
      </c>
      <c r="AB389" s="9">
        <f t="shared" si="44"/>
        <v>0.27844039851008945</v>
      </c>
      <c r="AC389" s="9">
        <f t="shared" si="45"/>
        <v>0.24324210618857994</v>
      </c>
      <c r="AD389" s="9">
        <f t="shared" si="46"/>
        <v>0.21269090497383414</v>
      </c>
      <c r="AE389" s="9"/>
      <c r="AF389" s="9">
        <f t="shared" si="47"/>
        <v>0.47883918213632964</v>
      </c>
      <c r="AG389" s="9">
        <f t="shared" si="48"/>
        <v>0.21703347744742243</v>
      </c>
      <c r="AH389" s="9">
        <f t="shared" si="49"/>
        <v>0.48223987396236528</v>
      </c>
      <c r="AI389" s="9">
        <f t="shared" si="50"/>
        <v>0.40992600575624188</v>
      </c>
    </row>
    <row r="390" spans="16:35" x14ac:dyDescent="0.3">
      <c r="P390" s="9">
        <v>0.30471476072868531</v>
      </c>
      <c r="Q390" s="9">
        <v>0.23741697121216268</v>
      </c>
      <c r="R390" s="9">
        <v>0.2961361006961607</v>
      </c>
      <c r="S390" s="9">
        <v>0.16173216736299126</v>
      </c>
      <c r="U390" s="9">
        <f t="array" ref="U390">MMULT(TRANSPOSE($B$3:$B$6),TRANSPOSE(P390:S390))</f>
        <v>8.7700317697851582E-2</v>
      </c>
      <c r="V390" s="9">
        <f>INT(200*U390)/200</f>
        <v>8.5000000000000006E-2</v>
      </c>
      <c r="W390" s="9">
        <f t="array" ref="W390">SQRT(MMULT(MMULT(P390:S390,$K$3:$N$6),TRANSPOSE(P390:S390)))</f>
        <v>8.187992777208597E-2</v>
      </c>
      <c r="Y390" s="31">
        <f>U390/W390</f>
        <v>1.0710844535911994</v>
      </c>
      <c r="AA390" s="9">
        <f t="shared" si="43"/>
        <v>0.2607392387517764</v>
      </c>
      <c r="AB390" s="9">
        <f t="shared" si="44"/>
        <v>0.28117857789404005</v>
      </c>
      <c r="AC390" s="9">
        <f t="shared" si="45"/>
        <v>0.24286234262784512</v>
      </c>
      <c r="AD390" s="9">
        <f t="shared" si="46"/>
        <v>0.21521984072633854</v>
      </c>
      <c r="AE390" s="9"/>
      <c r="AF390" s="9">
        <f t="shared" si="47"/>
        <v>0.50118122386065489</v>
      </c>
      <c r="AG390" s="9">
        <f t="shared" si="48"/>
        <v>0.22034471717910706</v>
      </c>
      <c r="AH390" s="9">
        <f t="shared" si="49"/>
        <v>0.48303692788243408</v>
      </c>
      <c r="AI390" s="9">
        <f t="shared" si="50"/>
        <v>0.41325906373737981</v>
      </c>
    </row>
    <row r="391" spans="16:35" x14ac:dyDescent="0.3">
      <c r="P391" s="9">
        <v>0.45538664131813295</v>
      </c>
      <c r="Q391" s="9">
        <v>0.25661470409300191</v>
      </c>
      <c r="R391" s="9">
        <v>3.537655308704089E-3</v>
      </c>
      <c r="S391" s="9">
        <v>0.28446099928016111</v>
      </c>
      <c r="U391" s="9">
        <f t="array" ref="U391">MMULT(TRANSPOSE($B$3:$B$6),TRANSPOSE(P391:S391))</f>
        <v>8.239196243588949E-2</v>
      </c>
      <c r="V391" s="9">
        <f>INT(200*U391)/200</f>
        <v>0.08</v>
      </c>
      <c r="W391" s="9">
        <f t="array" ref="W391">SQRT(MMULT(MMULT(P391:S391,$K$3:$N$6),TRANSPOSE(P391:S391)))</f>
        <v>7.6935837033870899E-2</v>
      </c>
      <c r="Y391" s="31">
        <f>U391/W391</f>
        <v>1.0709178662684404</v>
      </c>
      <c r="AA391" s="9">
        <f t="shared" si="43"/>
        <v>0.26474160009641023</v>
      </c>
      <c r="AB391" s="9">
        <f t="shared" si="44"/>
        <v>0.27919259717403289</v>
      </c>
      <c r="AC391" s="9">
        <f t="shared" si="45"/>
        <v>0.24282522828372274</v>
      </c>
      <c r="AD391" s="9">
        <f t="shared" si="46"/>
        <v>0.21324057444583422</v>
      </c>
      <c r="AE391" s="9"/>
      <c r="AF391" s="9">
        <f t="shared" si="47"/>
        <v>0.50300707015518786</v>
      </c>
      <c r="AG391" s="9">
        <f t="shared" si="48"/>
        <v>0.22772463689343891</v>
      </c>
      <c r="AH391" s="9">
        <f t="shared" si="49"/>
        <v>0.48314893891372107</v>
      </c>
      <c r="AI391" s="9">
        <f t="shared" si="50"/>
        <v>0.41724649868983954</v>
      </c>
    </row>
    <row r="392" spans="16:35" x14ac:dyDescent="0.3">
      <c r="P392" s="9">
        <v>0.19740696104182631</v>
      </c>
      <c r="Q392" s="9">
        <v>0.28732077408061296</v>
      </c>
      <c r="R392" s="9">
        <v>0.40367662941306648</v>
      </c>
      <c r="S392" s="9">
        <v>0.11159563546449427</v>
      </c>
      <c r="U392" s="9">
        <f t="array" ref="U392">MMULT(TRANSPOSE($B$3:$B$6),TRANSPOSE(P392:S392))</f>
        <v>9.3582738059575149E-2</v>
      </c>
      <c r="V392" s="9">
        <f>INT(200*U392)/200</f>
        <v>0.09</v>
      </c>
      <c r="W392" s="9">
        <f t="array" ref="W392">SQRT(MMULT(MMULT(P392:S392,$K$3:$N$6),TRANSPOSE(P392:S392)))</f>
        <v>8.7448257536726595E-2</v>
      </c>
      <c r="Y392" s="31">
        <f>U392/W392</f>
        <v>1.0701498314048417</v>
      </c>
      <c r="AA392" s="9">
        <f t="shared" si="43"/>
        <v>0.25330763849645849</v>
      </c>
      <c r="AB392" s="9">
        <f t="shared" si="44"/>
        <v>0.28389468731633893</v>
      </c>
      <c r="AC392" s="9">
        <f t="shared" si="45"/>
        <v>0.24647233618132902</v>
      </c>
      <c r="AD392" s="9">
        <f t="shared" si="46"/>
        <v>0.21632533800587361</v>
      </c>
      <c r="AE392" s="9"/>
      <c r="AF392" s="9">
        <f t="shared" si="47"/>
        <v>0.51080200396902886</v>
      </c>
      <c r="AG392" s="9">
        <f t="shared" si="48"/>
        <v>0.22278955818257795</v>
      </c>
      <c r="AH392" s="9">
        <f t="shared" si="49"/>
        <v>0.46160670319744973</v>
      </c>
      <c r="AI392" s="9">
        <f t="shared" si="50"/>
        <v>0.42290941742544252</v>
      </c>
    </row>
    <row r="393" spans="16:35" x14ac:dyDescent="0.3">
      <c r="P393" s="9">
        <v>0.27694857427374081</v>
      </c>
      <c r="Q393" s="9">
        <v>0.24779038014094726</v>
      </c>
      <c r="R393" s="9">
        <v>0.2938443756876124</v>
      </c>
      <c r="S393" s="9">
        <v>0.18141666989769947</v>
      </c>
      <c r="U393" s="9">
        <f t="array" ref="U393">MMULT(TRANSPOSE($B$3:$B$6),TRANSPOSE(P393:S393))</f>
        <v>8.9262912119173074E-2</v>
      </c>
      <c r="V393" s="9">
        <f>INT(200*U393)/200</f>
        <v>8.5000000000000006E-2</v>
      </c>
      <c r="W393" s="9">
        <f t="array" ref="W393">SQRT(MMULT(MMULT(P393:S393,$K$3:$N$6),TRANSPOSE(P393:S393)))</f>
        <v>8.3447383544982004E-2</v>
      </c>
      <c r="Y393" s="31">
        <f>U393/W393</f>
        <v>1.0696909636604273</v>
      </c>
      <c r="AA393" s="9">
        <f t="shared" si="43"/>
        <v>0.25673309592713839</v>
      </c>
      <c r="AB393" s="9">
        <f t="shared" si="44"/>
        <v>0.28281134447879885</v>
      </c>
      <c r="AC393" s="9">
        <f t="shared" si="45"/>
        <v>0.24131992273526426</v>
      </c>
      <c r="AD393" s="9">
        <f t="shared" si="46"/>
        <v>0.21913563685879853</v>
      </c>
      <c r="AE393" s="9"/>
      <c r="AF393" s="9">
        <f t="shared" si="47"/>
        <v>0.50789679972387936</v>
      </c>
      <c r="AG393" s="9">
        <f t="shared" si="48"/>
        <v>0.22585711934944394</v>
      </c>
      <c r="AH393" s="9">
        <f t="shared" si="49"/>
        <v>0.4695084723669864</v>
      </c>
      <c r="AI393" s="9">
        <f t="shared" si="50"/>
        <v>0.4158400301452122</v>
      </c>
    </row>
    <row r="394" spans="16:35" x14ac:dyDescent="0.3">
      <c r="P394" s="9">
        <v>0.2757670734888048</v>
      </c>
      <c r="Q394" s="9">
        <v>0.27279160394167568</v>
      </c>
      <c r="R394" s="9">
        <v>0.17086023292341634</v>
      </c>
      <c r="S394" s="9">
        <v>0.28058108964610318</v>
      </c>
      <c r="U394" s="9">
        <f t="array" ref="U394">MMULT(TRANSPOSE($B$3:$B$6),TRANSPOSE(P394:S394))</f>
        <v>9.0447248410119571E-2</v>
      </c>
      <c r="V394" s="9">
        <f>INT(200*U394)/200</f>
        <v>0.09</v>
      </c>
      <c r="W394" s="9">
        <f t="array" ref="W394">SQRT(MMULT(MMULT(P394:S394,$K$3:$N$6),TRANSPOSE(P394:S394)))</f>
        <v>8.4558161524496481E-2</v>
      </c>
      <c r="Y394" s="31">
        <f>U394/W394</f>
        <v>1.0696453988526824</v>
      </c>
      <c r="AA394" s="9">
        <f t="shared" si="43"/>
        <v>0.24412475303567641</v>
      </c>
      <c r="AB394" s="9">
        <f t="shared" si="44"/>
        <v>0.28796209147970581</v>
      </c>
      <c r="AC394" s="9">
        <f t="shared" si="45"/>
        <v>0.2510705655494877</v>
      </c>
      <c r="AD394" s="9">
        <f t="shared" si="46"/>
        <v>0.21684258993513006</v>
      </c>
      <c r="AE394" s="9"/>
      <c r="AF394" s="9">
        <f t="shared" si="47"/>
        <v>0.50901226104095709</v>
      </c>
      <c r="AG394" s="9">
        <f t="shared" si="48"/>
        <v>0.21057526757707926</v>
      </c>
      <c r="AH394" s="9">
        <f t="shared" si="49"/>
        <v>0.48563543871096942</v>
      </c>
      <c r="AI394" s="9">
        <f t="shared" si="50"/>
        <v>0.43470898669090524</v>
      </c>
    </row>
    <row r="395" spans="16:35" x14ac:dyDescent="0.3">
      <c r="P395" s="9">
        <v>8.2295503705396025E-2</v>
      </c>
      <c r="Q395" s="9">
        <v>0.37474897660579731</v>
      </c>
      <c r="R395" s="9">
        <v>0.21810502089686862</v>
      </c>
      <c r="S395" s="9">
        <v>0.32485049879193811</v>
      </c>
      <c r="U395" s="9">
        <f t="array" ref="U395">MMULT(TRANSPOSE($B$3:$B$6),TRANSPOSE(P395:S395))</f>
        <v>0.10191437128901332</v>
      </c>
      <c r="V395" s="9">
        <f>INT(200*U395)/200</f>
        <v>0.1</v>
      </c>
      <c r="W395" s="9">
        <f t="array" ref="W395">SQRT(MMULT(MMULT(P395:S395,$K$3:$N$6),TRANSPOSE(P395:S395)))</f>
        <v>9.5279491777075315E-2</v>
      </c>
      <c r="Y395" s="31">
        <f>U395/W395</f>
        <v>1.069635966651266</v>
      </c>
      <c r="AA395" s="9">
        <f t="shared" si="43"/>
        <v>0.24503350784535177</v>
      </c>
      <c r="AB395" s="9">
        <f t="shared" si="44"/>
        <v>0.28688758443256701</v>
      </c>
      <c r="AC395" s="9">
        <f t="shared" si="45"/>
        <v>0.25169635611978347</v>
      </c>
      <c r="AD395" s="9">
        <f t="shared" si="46"/>
        <v>0.21638255160229777</v>
      </c>
      <c r="AE395" s="9"/>
      <c r="AF395" s="9">
        <f t="shared" si="47"/>
        <v>0.50591230553650457</v>
      </c>
      <c r="AG395" s="9">
        <f t="shared" si="48"/>
        <v>0.20908808831615</v>
      </c>
      <c r="AH395" s="9">
        <f t="shared" si="49"/>
        <v>0.48224853356103048</v>
      </c>
      <c r="AI395" s="9">
        <f t="shared" si="50"/>
        <v>0.43313240522694424</v>
      </c>
    </row>
    <row r="396" spans="16:35" x14ac:dyDescent="0.3">
      <c r="P396" s="9">
        <v>0.51795183560064806</v>
      </c>
      <c r="Q396" s="9">
        <v>0.17555699953817402</v>
      </c>
      <c r="R396" s="9">
        <v>0.20675439258675724</v>
      </c>
      <c r="S396" s="9">
        <v>9.9736772274420737E-2</v>
      </c>
      <c r="U396" s="9">
        <f t="array" ref="U396">MMULT(TRANSPOSE($B$3:$B$6),TRANSPOSE(P396:S396))</f>
        <v>7.6575616037133351E-2</v>
      </c>
      <c r="V396" s="9">
        <f>INT(200*U396)/200</f>
        <v>7.4999999999999997E-2</v>
      </c>
      <c r="W396" s="9">
        <f t="array" ref="W396">SQRT(MMULT(MMULT(P396:S396,$K$3:$N$6),TRANSPOSE(P396:S396)))</f>
        <v>7.159108105208084E-2</v>
      </c>
      <c r="Y396" s="31">
        <f>U396/W396</f>
        <v>1.0696250833455969</v>
      </c>
      <c r="AA396" s="9">
        <f t="shared" si="43"/>
        <v>0.24234942739829252</v>
      </c>
      <c r="AB396" s="9">
        <f t="shared" si="44"/>
        <v>0.28811487943206043</v>
      </c>
      <c r="AC396" s="9">
        <f t="shared" si="45"/>
        <v>0.2514104121296144</v>
      </c>
      <c r="AD396" s="9">
        <f t="shared" si="46"/>
        <v>0.21812528104003265</v>
      </c>
      <c r="AE396" s="9"/>
      <c r="AF396" s="9">
        <f t="shared" si="47"/>
        <v>0.50878239429709582</v>
      </c>
      <c r="AG396" s="9">
        <f t="shared" si="48"/>
        <v>0.20620045722114599</v>
      </c>
      <c r="AH396" s="9">
        <f t="shared" si="49"/>
        <v>0.48312066118195579</v>
      </c>
      <c r="AI396" s="9">
        <f t="shared" si="50"/>
        <v>0.43239350830410223</v>
      </c>
    </row>
    <row r="397" spans="16:35" x14ac:dyDescent="0.3">
      <c r="P397" s="9">
        <v>0.23644587428676958</v>
      </c>
      <c r="Q397" s="9">
        <v>0.27237066763429835</v>
      </c>
      <c r="R397" s="9">
        <v>0.40075318076322097</v>
      </c>
      <c r="S397" s="9">
        <v>9.0430277315711294E-2</v>
      </c>
      <c r="U397" s="9">
        <f t="array" ref="U397">MMULT(TRANSPOSE($B$3:$B$6),TRANSPOSE(P397:S397))</f>
        <v>9.1398185799816414E-2</v>
      </c>
      <c r="V397" s="9">
        <f>INT(200*U397)/200</f>
        <v>0.09</v>
      </c>
      <c r="W397" s="9">
        <f t="array" ref="W397">SQRT(MMULT(MMULT(P397:S397,$K$3:$N$6),TRANSPOSE(P397:S397)))</f>
        <v>8.5450727823797645E-2</v>
      </c>
      <c r="Y397" s="31">
        <f>U397/W397</f>
        <v>1.0696010218693823</v>
      </c>
      <c r="AA397" s="9">
        <f t="shared" si="43"/>
        <v>0.24328270374181837</v>
      </c>
      <c r="AB397" s="9">
        <f t="shared" si="44"/>
        <v>0.287015769476473</v>
      </c>
      <c r="AC397" s="9">
        <f t="shared" si="45"/>
        <v>0.25808716398714915</v>
      </c>
      <c r="AD397" s="9">
        <f t="shared" si="46"/>
        <v>0.21161436279455945</v>
      </c>
      <c r="AE397" s="9"/>
      <c r="AF397" s="9">
        <f t="shared" si="47"/>
        <v>0.50704988736546996</v>
      </c>
      <c r="AG397" s="9">
        <f t="shared" si="48"/>
        <v>0.20840826182623173</v>
      </c>
      <c r="AH397" s="9">
        <f t="shared" si="49"/>
        <v>0.47968475814117534</v>
      </c>
      <c r="AI397" s="9">
        <f t="shared" si="50"/>
        <v>0.45471782006114131</v>
      </c>
    </row>
    <row r="398" spans="16:35" x14ac:dyDescent="0.3">
      <c r="P398" s="9">
        <v>0.34709345087939769</v>
      </c>
      <c r="Q398" s="9">
        <v>0.22512563714466563</v>
      </c>
      <c r="R398" s="9">
        <v>0.33096159502659156</v>
      </c>
      <c r="S398" s="9">
        <v>9.6819316949345161E-2</v>
      </c>
      <c r="U398" s="9">
        <f t="array" ref="U398">MMULT(TRANSPOSE($B$3:$B$6),TRANSPOSE(P398:S398))</f>
        <v>8.529779835739279E-2</v>
      </c>
      <c r="V398" s="9">
        <f>INT(200*U398)/200</f>
        <v>8.5000000000000006E-2</v>
      </c>
      <c r="W398" s="9">
        <f t="array" ref="W398">SQRT(MMULT(MMULT(P398:S398,$K$3:$N$6),TRANSPOSE(P398:S398)))</f>
        <v>7.975939303510822E-2</v>
      </c>
      <c r="Y398" s="31">
        <f>U398/W398</f>
        <v>1.0694389100961024</v>
      </c>
      <c r="AA398" s="9">
        <f t="shared" ref="AA398:AA461" si="51">AVERAGE(P388:P408)</f>
        <v>0.25431515102433011</v>
      </c>
      <c r="AB398" s="9">
        <f t="shared" ref="AB398:AB461" si="52">AVERAGE(Q388:Q408)</f>
        <v>0.28512676996525138</v>
      </c>
      <c r="AC398" s="9">
        <f t="shared" ref="AC398:AC461" si="53">AVERAGE(R388:R408)</f>
        <v>0.23844281399492201</v>
      </c>
      <c r="AD398" s="9">
        <f t="shared" ref="AD398:AD461" si="54">AVERAGE(S388:S408)</f>
        <v>0.2221152650154965</v>
      </c>
      <c r="AE398" s="9"/>
      <c r="AF398" s="9">
        <f t="shared" ref="AF398:AF461" si="55">STDEV(P388:P408)/AA398</f>
        <v>0.45251592590430406</v>
      </c>
      <c r="AG398" s="9">
        <f t="shared" ref="AG398:AG461" si="56">STDEV(Q388:Q408)/AB398</f>
        <v>0.20305205603320819</v>
      </c>
      <c r="AH398" s="9">
        <f t="shared" ref="AH398:AH461" si="57">STDEV(R388:R408)/AC398</f>
        <v>0.51247889479464925</v>
      </c>
      <c r="AI398" s="9">
        <f t="shared" ref="AI398:AI461" si="58">STDEV(S388:S408)/AD398</f>
        <v>0.4427114987998203</v>
      </c>
    </row>
    <row r="399" spans="16:35" x14ac:dyDescent="0.3">
      <c r="P399" s="9">
        <v>8.5398876681017227E-2</v>
      </c>
      <c r="Q399" s="9">
        <v>0.33729109506540966</v>
      </c>
      <c r="R399" s="9">
        <v>0.40253960057470428</v>
      </c>
      <c r="S399" s="9">
        <v>0.17477042767886894</v>
      </c>
      <c r="U399" s="9">
        <f t="array" ref="U399">MMULT(TRANSPOSE($B$3:$B$6),TRANSPOSE(P399:S399))</f>
        <v>0.10007827248150346</v>
      </c>
      <c r="V399" s="9">
        <f>INT(200*U399)/200</f>
        <v>0.1</v>
      </c>
      <c r="W399" s="9">
        <f t="array" ref="W399">SQRT(MMULT(MMULT(P399:S399,$K$3:$N$6),TRANSPOSE(P399:S399)))</f>
        <v>9.3584388628140183E-2</v>
      </c>
      <c r="Y399" s="31">
        <f>U399/W399</f>
        <v>1.0693906745404609</v>
      </c>
      <c r="AA399" s="9">
        <f t="shared" si="51"/>
        <v>0.25773651333384473</v>
      </c>
      <c r="AB399" s="9">
        <f t="shared" si="52"/>
        <v>0.2791983461808159</v>
      </c>
      <c r="AC399" s="9">
        <f t="shared" si="53"/>
        <v>0.24799427141492209</v>
      </c>
      <c r="AD399" s="9">
        <f t="shared" si="54"/>
        <v>0.21507086907041728</v>
      </c>
      <c r="AE399" s="9"/>
      <c r="AF399" s="9">
        <f t="shared" si="55"/>
        <v>0.43014737344118237</v>
      </c>
      <c r="AG399" s="9">
        <f t="shared" si="56"/>
        <v>0.17354692789718373</v>
      </c>
      <c r="AH399" s="9">
        <f t="shared" si="57"/>
        <v>0.48126607645934555</v>
      </c>
      <c r="AI399" s="9">
        <f t="shared" si="58"/>
        <v>0.425987462897647</v>
      </c>
    </row>
    <row r="400" spans="16:35" x14ac:dyDescent="0.3">
      <c r="P400" s="9">
        <v>0.12429989807811107</v>
      </c>
      <c r="Q400" s="9">
        <v>0.34102550661243469</v>
      </c>
      <c r="R400" s="9">
        <v>0.23599423804828451</v>
      </c>
      <c r="S400" s="9">
        <v>0.29868035726116959</v>
      </c>
      <c r="U400" s="9">
        <f t="array" ref="U400">MMULT(TRANSPOSE($B$3:$B$6),TRANSPOSE(P400:S400))</f>
        <v>9.9006076575128832E-2</v>
      </c>
      <c r="V400" s="9">
        <f>INT(200*U400)/200</f>
        <v>9.5000000000000001E-2</v>
      </c>
      <c r="W400" s="9">
        <f t="array" ref="W400">SQRT(MMULT(MMULT(P400:S400,$K$3:$N$6),TRANSPOSE(P400:S400)))</f>
        <v>9.2588831433929611E-2</v>
      </c>
      <c r="Y400" s="31">
        <f>U400/W400</f>
        <v>1.0693090628946806</v>
      </c>
      <c r="AA400" s="9">
        <f t="shared" si="51"/>
        <v>0.25306883291130011</v>
      </c>
      <c r="AB400" s="9">
        <f t="shared" si="52"/>
        <v>0.27990565839530207</v>
      </c>
      <c r="AC400" s="9">
        <f t="shared" si="53"/>
        <v>0.25263872573081964</v>
      </c>
      <c r="AD400" s="9">
        <f t="shared" si="54"/>
        <v>0.21438678296257821</v>
      </c>
      <c r="AE400" s="9"/>
      <c r="AF400" s="9">
        <f t="shared" si="55"/>
        <v>0.44178271029555904</v>
      </c>
      <c r="AG400" s="9">
        <f t="shared" si="56"/>
        <v>0.17436617636964302</v>
      </c>
      <c r="AH400" s="9">
        <f t="shared" si="57"/>
        <v>0.45708637925373313</v>
      </c>
      <c r="AI400" s="9">
        <f t="shared" si="58"/>
        <v>0.42398784328646727</v>
      </c>
    </row>
    <row r="401" spans="16:35" x14ac:dyDescent="0.3">
      <c r="P401" s="9">
        <v>0.38290770138393571</v>
      </c>
      <c r="Q401" s="9">
        <v>0.2104854033714085</v>
      </c>
      <c r="R401" s="9">
        <v>0.21454299177299038</v>
      </c>
      <c r="S401" s="9">
        <v>0.1920639034716656</v>
      </c>
      <c r="U401" s="9">
        <f t="array" ref="U401">MMULT(TRANSPOSE($B$3:$B$6),TRANSPOSE(P401:S401))</f>
        <v>8.3682996247701494E-2</v>
      </c>
      <c r="V401" s="9">
        <f>INT(200*U401)/200</f>
        <v>0.08</v>
      </c>
      <c r="W401" s="9">
        <f t="array" ref="W401">SQRT(MMULT(MMULT(P401:S401,$K$3:$N$6),TRANSPOSE(P401:S401)))</f>
        <v>7.8286738430329489E-2</v>
      </c>
      <c r="Y401" s="31">
        <f>U401/W401</f>
        <v>1.068929398842875</v>
      </c>
      <c r="AA401" s="9">
        <f t="shared" si="51"/>
        <v>0.24421500324540565</v>
      </c>
      <c r="AB401" s="9">
        <f t="shared" si="52"/>
        <v>0.28695987597814626</v>
      </c>
      <c r="AC401" s="9">
        <f t="shared" si="53"/>
        <v>0.2447147037891971</v>
      </c>
      <c r="AD401" s="9">
        <f t="shared" si="54"/>
        <v>0.22411041698725101</v>
      </c>
      <c r="AE401" s="9"/>
      <c r="AF401" s="9">
        <f t="shared" si="55"/>
        <v>0.47019282426310915</v>
      </c>
      <c r="AG401" s="9">
        <f t="shared" si="56"/>
        <v>0.18432010162670484</v>
      </c>
      <c r="AH401" s="9">
        <f t="shared" si="57"/>
        <v>0.48229597210109237</v>
      </c>
      <c r="AI401" s="9">
        <f t="shared" si="58"/>
        <v>0.42735228147027837</v>
      </c>
    </row>
    <row r="402" spans="16:35" x14ac:dyDescent="0.3">
      <c r="P402" s="9">
        <v>0.18026677264076379</v>
      </c>
      <c r="Q402" s="9">
        <v>0.32667367987254819</v>
      </c>
      <c r="R402" s="9">
        <v>0.17590506215982485</v>
      </c>
      <c r="S402" s="9">
        <v>0.31715448532686324</v>
      </c>
      <c r="U402" s="9">
        <f t="array" ref="U402">MMULT(TRANSPOSE($B$3:$B$6),TRANSPOSE(P402:S402))</f>
        <v>9.6271153895584868E-2</v>
      </c>
      <c r="V402" s="9">
        <f>INT(200*U402)/200</f>
        <v>9.5000000000000001E-2</v>
      </c>
      <c r="W402" s="9">
        <f t="array" ref="W402">SQRT(MMULT(MMULT(P402:S402,$K$3:$N$6),TRANSPOSE(P402:S402)))</f>
        <v>9.0093271351674581E-2</v>
      </c>
      <c r="Y402" s="31">
        <f>U402/W402</f>
        <v>1.068572074820052</v>
      </c>
      <c r="AA402" s="9">
        <f t="shared" si="51"/>
        <v>0.23649707900241748</v>
      </c>
      <c r="AB402" s="9">
        <f t="shared" si="52"/>
        <v>0.2869540182718856</v>
      </c>
      <c r="AC402" s="9">
        <f t="shared" si="53"/>
        <v>0.25308196117433562</v>
      </c>
      <c r="AD402" s="9">
        <f t="shared" si="54"/>
        <v>0.22346694155136135</v>
      </c>
      <c r="AE402" s="9"/>
      <c r="AF402" s="9">
        <f t="shared" si="55"/>
        <v>0.44375457452555545</v>
      </c>
      <c r="AG402" s="9">
        <f t="shared" si="56"/>
        <v>0.18433618458401499</v>
      </c>
      <c r="AH402" s="9">
        <f t="shared" si="57"/>
        <v>0.41746134910479954</v>
      </c>
      <c r="AI402" s="9">
        <f t="shared" si="58"/>
        <v>0.42687738843899847</v>
      </c>
    </row>
    <row r="403" spans="16:35" x14ac:dyDescent="0.3">
      <c r="P403" s="9">
        <v>0.3272412816993463</v>
      </c>
      <c r="Q403" s="9">
        <v>0.23698798279771544</v>
      </c>
      <c r="R403" s="9">
        <v>0.19969162756332695</v>
      </c>
      <c r="S403" s="9">
        <v>0.23607910793961126</v>
      </c>
      <c r="U403" s="9">
        <f t="array" ref="U403">MMULT(TRANSPOSE($B$3:$B$6),TRANSPOSE(P403:S403))</f>
        <v>8.7008755480852989E-2</v>
      </c>
      <c r="V403" s="9">
        <f>INT(200*U403)/200</f>
        <v>8.5000000000000006E-2</v>
      </c>
      <c r="W403" s="9">
        <f t="array" ref="W403">SQRT(MMULT(MMULT(P403:S403,$K$3:$N$6),TRANSPOSE(P403:S403)))</f>
        <v>8.1433455099675589E-2</v>
      </c>
      <c r="Y403" s="31">
        <f>U403/W403</f>
        <v>1.0684644950205435</v>
      </c>
      <c r="AA403" s="9">
        <f t="shared" si="51"/>
        <v>0.23369353479368082</v>
      </c>
      <c r="AB403" s="9">
        <f t="shared" si="52"/>
        <v>0.29034179276819866</v>
      </c>
      <c r="AC403" s="9">
        <f t="shared" si="53"/>
        <v>0.24128796584791767</v>
      </c>
      <c r="AD403" s="9">
        <f t="shared" si="54"/>
        <v>0.23467670659020284</v>
      </c>
      <c r="AE403" s="9"/>
      <c r="AF403" s="9">
        <f t="shared" si="55"/>
        <v>0.45706407001297267</v>
      </c>
      <c r="AG403" s="9">
        <f t="shared" si="56"/>
        <v>0.18995140816159645</v>
      </c>
      <c r="AH403" s="9">
        <f t="shared" si="57"/>
        <v>0.4217054212441807</v>
      </c>
      <c r="AI403" s="9">
        <f t="shared" si="58"/>
        <v>0.40660579251173284</v>
      </c>
    </row>
    <row r="404" spans="16:35" x14ac:dyDescent="0.3">
      <c r="P404" s="9">
        <v>0.17701235876510324</v>
      </c>
      <c r="Q404" s="9">
        <v>0.30220451267322818</v>
      </c>
      <c r="R404" s="9">
        <v>0.44768339682410063</v>
      </c>
      <c r="S404" s="9">
        <v>7.3099731737567952E-2</v>
      </c>
      <c r="U404" s="9">
        <f t="array" ref="U404">MMULT(TRANSPOSE($B$3:$B$6),TRANSPOSE(P404:S404))</f>
        <v>9.4762117374268165E-2</v>
      </c>
      <c r="V404" s="9">
        <f>INT(200*U404)/200</f>
        <v>0.09</v>
      </c>
      <c r="W404" s="9">
        <f t="array" ref="W404">SQRT(MMULT(MMULT(P404:S404,$K$3:$N$6),TRANSPOSE(P404:S404)))</f>
        <v>8.8762073034929057E-2</v>
      </c>
      <c r="Y404" s="31">
        <f>U404/W404</f>
        <v>1.0675969379058781</v>
      </c>
      <c r="AA404" s="9">
        <f t="shared" si="51"/>
        <v>0.22688606655226765</v>
      </c>
      <c r="AB404" s="9">
        <f t="shared" si="52"/>
        <v>0.29608761282607615</v>
      </c>
      <c r="AC404" s="9">
        <f t="shared" si="53"/>
        <v>0.23398623489129555</v>
      </c>
      <c r="AD404" s="9">
        <f t="shared" si="54"/>
        <v>0.24304008573036079</v>
      </c>
      <c r="AE404" s="9"/>
      <c r="AF404" s="9">
        <f t="shared" si="55"/>
        <v>0.47804219798490016</v>
      </c>
      <c r="AG404" s="9">
        <f t="shared" si="56"/>
        <v>0.19169362868663237</v>
      </c>
      <c r="AH404" s="9">
        <f t="shared" si="57"/>
        <v>0.44140468550138523</v>
      </c>
      <c r="AI404" s="9">
        <f t="shared" si="58"/>
        <v>0.40395149960923327</v>
      </c>
    </row>
    <row r="405" spans="16:35" x14ac:dyDescent="0.3">
      <c r="P405" s="9">
        <v>0.21548626138928725</v>
      </c>
      <c r="Q405" s="9">
        <v>0.31104514904073433</v>
      </c>
      <c r="R405" s="9">
        <v>0.15639059472629124</v>
      </c>
      <c r="S405" s="9">
        <v>0.31707799484368715</v>
      </c>
      <c r="U405" s="9">
        <f t="array" ref="U405">MMULT(TRANSPOSE($B$3:$B$6),TRANSPOSE(P405:S405))</f>
        <v>9.4303436080342765E-2</v>
      </c>
      <c r="V405" s="9">
        <f>INT(200*U405)/200</f>
        <v>0.09</v>
      </c>
      <c r="W405" s="9">
        <f t="array" ref="W405">SQRT(MMULT(MMULT(P405:S405,$K$3:$N$6),TRANSPOSE(P405:S405)))</f>
        <v>8.8422181732168884E-2</v>
      </c>
      <c r="Y405" s="31">
        <f>U405/W405</f>
        <v>1.0665133367324979</v>
      </c>
      <c r="AA405" s="9">
        <f t="shared" si="51"/>
        <v>0.22609052740987762</v>
      </c>
      <c r="AB405" s="9">
        <f t="shared" si="52"/>
        <v>0.29545075787734959</v>
      </c>
      <c r="AC405" s="9">
        <f t="shared" si="53"/>
        <v>0.23689543933841692</v>
      </c>
      <c r="AD405" s="9">
        <f t="shared" si="54"/>
        <v>0.24156327537435593</v>
      </c>
      <c r="AE405" s="9"/>
      <c r="AF405" s="9">
        <f t="shared" si="55"/>
        <v>0.47832815545618879</v>
      </c>
      <c r="AG405" s="9">
        <f t="shared" si="56"/>
        <v>0.19328612975136761</v>
      </c>
      <c r="AH405" s="9">
        <f t="shared" si="57"/>
        <v>0.43171403493830268</v>
      </c>
      <c r="AI405" s="9">
        <f t="shared" si="58"/>
        <v>0.40492934290663374</v>
      </c>
    </row>
    <row r="406" spans="16:35" x14ac:dyDescent="0.3">
      <c r="P406" s="9">
        <v>0.24456479259826522</v>
      </c>
      <c r="Q406" s="9">
        <v>0.2737344582650621</v>
      </c>
      <c r="R406" s="9">
        <v>0.21564569806385564</v>
      </c>
      <c r="S406" s="9">
        <v>0.26605505107281713</v>
      </c>
      <c r="U406" s="9">
        <f t="array" ref="U406">MMULT(TRANSPOSE($B$3:$B$6),TRANSPOSE(P406:S406))</f>
        <v>9.1738328043548811E-2</v>
      </c>
      <c r="V406" s="9">
        <f>INT(200*U406)/200</f>
        <v>0.09</v>
      </c>
      <c r="W406" s="9">
        <f t="array" ref="W406">SQRT(MMULT(MMULT(P406:S406,$K$3:$N$6),TRANSPOSE(P406:S406)))</f>
        <v>8.6031901142389719E-2</v>
      </c>
      <c r="Y406" s="31">
        <f>U406/W406</f>
        <v>1.0663291967907869</v>
      </c>
      <c r="AA406" s="9">
        <f t="shared" si="51"/>
        <v>0.23240184340825926</v>
      </c>
      <c r="AB406" s="9">
        <f t="shared" si="52"/>
        <v>0.29389496187329606</v>
      </c>
      <c r="AC406" s="9">
        <f t="shared" si="53"/>
        <v>0.23062836061426736</v>
      </c>
      <c r="AD406" s="9">
        <f t="shared" si="54"/>
        <v>0.24307483410417735</v>
      </c>
      <c r="AE406" s="9"/>
      <c r="AF406" s="9">
        <f t="shared" si="55"/>
        <v>0.44355496706142622</v>
      </c>
      <c r="AG406" s="9">
        <f t="shared" si="56"/>
        <v>0.18800290557874125</v>
      </c>
      <c r="AH406" s="9">
        <f t="shared" si="57"/>
        <v>0.46561795458150218</v>
      </c>
      <c r="AI406" s="9">
        <f t="shared" si="58"/>
        <v>0.40892712396869857</v>
      </c>
    </row>
    <row r="407" spans="16:35" x14ac:dyDescent="0.3">
      <c r="P407" s="9">
        <v>0.2593292466617752</v>
      </c>
      <c r="Q407" s="9">
        <v>0.25499924444121819</v>
      </c>
      <c r="R407" s="9">
        <v>0.36576756903620544</v>
      </c>
      <c r="S407" s="9">
        <v>0.11990393986080111</v>
      </c>
      <c r="U407" s="9">
        <f t="array" ref="U407">MMULT(TRANSPOSE($B$3:$B$6),TRANSPOSE(P407:S407))</f>
        <v>9.0004118461738489E-2</v>
      </c>
      <c r="V407" s="9">
        <f>INT(200*U407)/200</f>
        <v>0.09</v>
      </c>
      <c r="W407" s="9">
        <f t="array" ref="W407">SQRT(MMULT(MMULT(P407:S407,$K$3:$N$6),TRANSPOSE(P407:S407)))</f>
        <v>8.4419755385576653E-2</v>
      </c>
      <c r="Y407" s="31">
        <f>U407/W407</f>
        <v>1.0661499556668455</v>
      </c>
      <c r="AA407" s="9">
        <f t="shared" si="51"/>
        <v>0.21354287605256836</v>
      </c>
      <c r="AB407" s="9">
        <f t="shared" si="52"/>
        <v>0.30042237026073915</v>
      </c>
      <c r="AC407" s="9">
        <f t="shared" si="53"/>
        <v>0.24015872274200256</v>
      </c>
      <c r="AD407" s="9">
        <f t="shared" si="54"/>
        <v>0.2458760309446901</v>
      </c>
      <c r="AE407" s="9"/>
      <c r="AF407" s="9">
        <f t="shared" si="55"/>
        <v>0.38576705880523704</v>
      </c>
      <c r="AG407" s="9">
        <f t="shared" si="56"/>
        <v>0.16051982254885441</v>
      </c>
      <c r="AH407" s="9">
        <f t="shared" si="57"/>
        <v>0.47404737257555152</v>
      </c>
      <c r="AI407" s="9">
        <f t="shared" si="58"/>
        <v>0.3901425353345146</v>
      </c>
    </row>
    <row r="408" spans="16:35" x14ac:dyDescent="0.3">
      <c r="P408" s="9">
        <v>0.27947825200652782</v>
      </c>
      <c r="Q408" s="9">
        <v>0.32323615497703734</v>
      </c>
      <c r="R408" s="9">
        <v>5.1561588518185937E-2</v>
      </c>
      <c r="S408" s="9">
        <v>0.34572400449824892</v>
      </c>
      <c r="U408" s="9">
        <f t="array" ref="U408">MMULT(TRANSPOSE($B$3:$B$6),TRANSPOSE(P408:S408))</f>
        <v>9.2088202046502435E-2</v>
      </c>
      <c r="V408" s="9">
        <f>INT(200*U408)/200</f>
        <v>0.09</v>
      </c>
      <c r="W408" s="9">
        <f t="array" ref="W408">SQRT(MMULT(MMULT(P408:S408,$K$3:$N$6),TRANSPOSE(P408:S408)))</f>
        <v>8.6374899487737716E-2</v>
      </c>
      <c r="Y408" s="31">
        <f>U408/W408</f>
        <v>1.0661454032670199</v>
      </c>
      <c r="AA408" s="9">
        <f t="shared" si="51"/>
        <v>0.20238482613887049</v>
      </c>
      <c r="AB408" s="9">
        <f t="shared" si="52"/>
        <v>0.30532709135377667</v>
      </c>
      <c r="AC408" s="9">
        <f t="shared" si="53"/>
        <v>0.24072179766081028</v>
      </c>
      <c r="AD408" s="9">
        <f t="shared" si="54"/>
        <v>0.25156628484654259</v>
      </c>
      <c r="AE408" s="9"/>
      <c r="AF408" s="9">
        <f t="shared" si="55"/>
        <v>0.46519665132809906</v>
      </c>
      <c r="AG408" s="9">
        <f t="shared" si="56"/>
        <v>0.16512155615487331</v>
      </c>
      <c r="AH408" s="9">
        <f t="shared" si="57"/>
        <v>0.47651108393114183</v>
      </c>
      <c r="AI408" s="9">
        <f t="shared" si="58"/>
        <v>0.35608482778075456</v>
      </c>
    </row>
    <row r="409" spans="16:35" x14ac:dyDescent="0.3">
      <c r="P409" s="9">
        <v>0.15933666454352868</v>
      </c>
      <c r="Q409" s="9">
        <v>0.30056721948522103</v>
      </c>
      <c r="R409" s="9">
        <v>0.309239896272619</v>
      </c>
      <c r="S409" s="9">
        <v>0.23085621969863143</v>
      </c>
      <c r="U409" s="9">
        <f t="array" ref="U409">MMULT(TRANSPOSE($B$3:$B$6),TRANSPOSE(P409:S409))</f>
        <v>9.6031318265009255E-2</v>
      </c>
      <c r="V409" s="9">
        <f>INT(200*U409)/200</f>
        <v>9.5000000000000001E-2</v>
      </c>
      <c r="W409" s="9">
        <f t="array" ref="W409">SQRT(MMULT(MMULT(P409:S409,$K$3:$N$6),TRANSPOSE(P409:S409)))</f>
        <v>9.0122916495695371E-2</v>
      </c>
      <c r="Y409" s="31">
        <f>U409/W409</f>
        <v>1.0655593715677865</v>
      </c>
      <c r="AA409" s="9">
        <f t="shared" si="51"/>
        <v>0.19303627971016998</v>
      </c>
      <c r="AB409" s="9">
        <f t="shared" si="52"/>
        <v>0.30910881560345854</v>
      </c>
      <c r="AC409" s="9">
        <f t="shared" si="53"/>
        <v>0.23878432463672969</v>
      </c>
      <c r="AD409" s="9">
        <f t="shared" si="54"/>
        <v>0.25907058004964184</v>
      </c>
      <c r="AE409" s="9"/>
      <c r="AF409" s="9">
        <f t="shared" si="55"/>
        <v>0.45922703686887217</v>
      </c>
      <c r="AG409" s="9">
        <f t="shared" si="56"/>
        <v>0.15191856553030803</v>
      </c>
      <c r="AH409" s="9">
        <f t="shared" si="57"/>
        <v>0.47508493590572742</v>
      </c>
      <c r="AI409" s="9">
        <f t="shared" si="58"/>
        <v>0.31755768496165632</v>
      </c>
    </row>
    <row r="410" spans="16:35" x14ac:dyDescent="0.3">
      <c r="P410" s="9">
        <v>0.18511270936623928</v>
      </c>
      <c r="Q410" s="9">
        <v>0.31003170530799007</v>
      </c>
      <c r="R410" s="9">
        <v>0.20582179348442523</v>
      </c>
      <c r="S410" s="9">
        <v>0.29903379184134549</v>
      </c>
      <c r="U410" s="9">
        <f t="array" ref="U410">MMULT(TRANSPOSE($B$3:$B$6),TRANSPOSE(P410:S410))</f>
        <v>9.5486274981119945E-2</v>
      </c>
      <c r="V410" s="9">
        <f>INT(200*U410)/200</f>
        <v>9.5000000000000001E-2</v>
      </c>
      <c r="W410" s="9">
        <f t="array" ref="W410">SQRT(MMULT(MMULT(P410:S410,$K$3:$N$6),TRANSPOSE(P410:S410)))</f>
        <v>8.9639185254527048E-2</v>
      </c>
      <c r="Y410" s="31">
        <f>U410/W410</f>
        <v>1.0652291708139727</v>
      </c>
      <c r="AA410" s="9">
        <f t="shared" si="51"/>
        <v>0.19031574810342372</v>
      </c>
      <c r="AB410" s="9">
        <f t="shared" si="52"/>
        <v>0.31287827470559787</v>
      </c>
      <c r="AC410" s="9">
        <f t="shared" si="53"/>
        <v>0.22858153602477743</v>
      </c>
      <c r="AD410" s="9">
        <f t="shared" si="54"/>
        <v>0.26822444116620098</v>
      </c>
      <c r="AE410" s="9"/>
      <c r="AF410" s="9">
        <f t="shared" si="55"/>
        <v>0.48808915404428416</v>
      </c>
      <c r="AG410" s="9">
        <f t="shared" si="56"/>
        <v>0.16689358900555268</v>
      </c>
      <c r="AH410" s="9">
        <f t="shared" si="57"/>
        <v>0.47009764135438559</v>
      </c>
      <c r="AI410" s="9">
        <f t="shared" si="58"/>
        <v>0.30985698868030404</v>
      </c>
    </row>
    <row r="411" spans="16:35" x14ac:dyDescent="0.3">
      <c r="P411" s="9">
        <v>0.11878433774490131</v>
      </c>
      <c r="Q411" s="9">
        <v>0.38555554045189089</v>
      </c>
      <c r="R411" s="9">
        <v>0.12973163992208761</v>
      </c>
      <c r="S411" s="9">
        <v>0.36592848188112026</v>
      </c>
      <c r="U411" s="9">
        <f t="array" ref="U411">MMULT(TRANSPOSE($B$3:$B$6),TRANSPOSE(P411:S411))</f>
        <v>0.10086062171826282</v>
      </c>
      <c r="V411" s="9">
        <f>INT(200*U411)/200</f>
        <v>0.1</v>
      </c>
      <c r="W411" s="9">
        <f t="array" ref="W411">SQRT(MMULT(MMULT(P411:S411,$K$3:$N$6),TRANSPOSE(P411:S411)))</f>
        <v>9.4704264492413134E-2</v>
      </c>
      <c r="Y411" s="31">
        <f>U411/W411</f>
        <v>1.0650061246855771</v>
      </c>
      <c r="AA411" s="9">
        <f t="shared" si="51"/>
        <v>0.20023298690195665</v>
      </c>
      <c r="AB411" s="9">
        <f t="shared" si="52"/>
        <v>0.3079191661769361</v>
      </c>
      <c r="AC411" s="9">
        <f t="shared" si="53"/>
        <v>0.23597326067896146</v>
      </c>
      <c r="AD411" s="9">
        <f t="shared" si="54"/>
        <v>0.25587458624214582</v>
      </c>
      <c r="AE411" s="9"/>
      <c r="AF411" s="9">
        <f t="shared" si="55"/>
        <v>0.48212025395794317</v>
      </c>
      <c r="AG411" s="9">
        <f t="shared" si="56"/>
        <v>0.17638934351630553</v>
      </c>
      <c r="AH411" s="9">
        <f t="shared" si="57"/>
        <v>0.47962043736682691</v>
      </c>
      <c r="AI411" s="9">
        <f t="shared" si="58"/>
        <v>0.37730504422002775</v>
      </c>
    </row>
    <row r="412" spans="16:35" x14ac:dyDescent="0.3">
      <c r="P412" s="9">
        <v>0.29331023221538077</v>
      </c>
      <c r="Q412" s="9">
        <v>0.2564916922615279</v>
      </c>
      <c r="R412" s="9">
        <v>0.1792500603966129</v>
      </c>
      <c r="S412" s="9">
        <v>0.27094801512647826</v>
      </c>
      <c r="U412" s="9">
        <f t="array" ref="U412">MMULT(TRANSPOSE($B$3:$B$6),TRANSPOSE(P412:S412))</f>
        <v>8.9168820201177335E-2</v>
      </c>
      <c r="V412" s="9">
        <f>INT(200*U412)/200</f>
        <v>8.5000000000000006E-2</v>
      </c>
      <c r="W412" s="9">
        <f t="array" ref="W412">SQRT(MMULT(MMULT(P412:S412,$K$3:$N$6),TRANSPOSE(P412:S412)))</f>
        <v>8.3772735353391317E-2</v>
      </c>
      <c r="Y412" s="31">
        <f>U412/W412</f>
        <v>1.064413377753787</v>
      </c>
      <c r="AA412" s="9">
        <f t="shared" si="51"/>
        <v>0.18368257094394572</v>
      </c>
      <c r="AB412" s="9">
        <f t="shared" si="52"/>
        <v>0.3148068524401228</v>
      </c>
      <c r="AC412" s="9">
        <f t="shared" si="53"/>
        <v>0.24525492766748352</v>
      </c>
      <c r="AD412" s="9">
        <f t="shared" si="54"/>
        <v>0.25625564894844793</v>
      </c>
      <c r="AE412" s="9"/>
      <c r="AF412" s="9">
        <f t="shared" si="55"/>
        <v>0.50845486680049912</v>
      </c>
      <c r="AG412" s="9">
        <f t="shared" si="56"/>
        <v>0.1599961122998107</v>
      </c>
      <c r="AH412" s="9">
        <f t="shared" si="57"/>
        <v>0.48588731102653554</v>
      </c>
      <c r="AI412" s="9">
        <f t="shared" si="58"/>
        <v>0.3757723378767327</v>
      </c>
    </row>
    <row r="413" spans="16:35" x14ac:dyDescent="0.3">
      <c r="P413" s="9">
        <v>0.13853253265835619</v>
      </c>
      <c r="Q413" s="9">
        <v>0.35846403850318775</v>
      </c>
      <c r="R413" s="9">
        <v>0.15600272755829131</v>
      </c>
      <c r="S413" s="9">
        <v>0.34700070128016475</v>
      </c>
      <c r="U413" s="9">
        <f t="array" ref="U413">MMULT(TRANSPOSE($B$3:$B$6),TRANSPOSE(P413:S413))</f>
        <v>9.9121684162540399E-2</v>
      </c>
      <c r="V413" s="9">
        <f>INT(200*U413)/200</f>
        <v>9.5000000000000001E-2</v>
      </c>
      <c r="W413" s="9">
        <f t="array" ref="W413">SQRT(MMULT(MMULT(P413:S413,$K$3:$N$6),TRANSPOSE(P413:S413)))</f>
        <v>9.3156956548558822E-2</v>
      </c>
      <c r="Y413" s="31">
        <f>U413/W413</f>
        <v>1.0640287943592535</v>
      </c>
      <c r="AA413" s="9">
        <f t="shared" si="51"/>
        <v>0.2037102244386329</v>
      </c>
      <c r="AB413" s="9">
        <f t="shared" si="52"/>
        <v>0.30706979754324865</v>
      </c>
      <c r="AC413" s="9">
        <f t="shared" si="53"/>
        <v>0.24134095455406726</v>
      </c>
      <c r="AD413" s="9">
        <f t="shared" si="54"/>
        <v>0.24787902346405125</v>
      </c>
      <c r="AE413" s="9"/>
      <c r="AF413" s="9">
        <f t="shared" si="55"/>
        <v>0.64008577074306738</v>
      </c>
      <c r="AG413" s="9">
        <f t="shared" si="56"/>
        <v>0.19542828440493301</v>
      </c>
      <c r="AH413" s="9">
        <f t="shared" si="57"/>
        <v>0.50903405083585196</v>
      </c>
      <c r="AI413" s="9">
        <f t="shared" si="58"/>
        <v>0.39680774184317141</v>
      </c>
    </row>
    <row r="414" spans="16:35" x14ac:dyDescent="0.3">
      <c r="P414" s="9">
        <v>0.13399174120406396</v>
      </c>
      <c r="Q414" s="9">
        <v>0.36845260135637375</v>
      </c>
      <c r="R414" s="9">
        <v>0.14050802559854583</v>
      </c>
      <c r="S414" s="9">
        <v>0.35704763184101646</v>
      </c>
      <c r="U414" s="9">
        <f t="array" ref="U414">MMULT(TRANSPOSE($B$3:$B$6),TRANSPOSE(P414:S414))</f>
        <v>9.9658531735757117E-2</v>
      </c>
      <c r="V414" s="9">
        <f>INT(200*U414)/200</f>
        <v>9.5000000000000001E-2</v>
      </c>
      <c r="W414" s="9">
        <f t="array" ref="W414">SQRT(MMULT(MMULT(P414:S414,$K$3:$N$6),TRANSPOSE(P414:S414)))</f>
        <v>9.370520325325897E-2</v>
      </c>
      <c r="Y414" s="31">
        <f>U414/W414</f>
        <v>1.0635325283528596</v>
      </c>
      <c r="AA414" s="9">
        <f t="shared" si="51"/>
        <v>0.1963458050567175</v>
      </c>
      <c r="AB414" s="9">
        <f t="shared" si="52"/>
        <v>0.31433095855021775</v>
      </c>
      <c r="AC414" s="9">
        <f t="shared" si="53"/>
        <v>0.23422344794703159</v>
      </c>
      <c r="AD414" s="9">
        <f t="shared" si="54"/>
        <v>0.25509978844603315</v>
      </c>
      <c r="AE414" s="9"/>
      <c r="AF414" s="9">
        <f t="shared" si="55"/>
        <v>0.64885128942427539</v>
      </c>
      <c r="AG414" s="9">
        <f t="shared" si="56"/>
        <v>0.19193360888291414</v>
      </c>
      <c r="AH414" s="9">
        <f t="shared" si="57"/>
        <v>0.55302962019270896</v>
      </c>
      <c r="AI414" s="9">
        <f t="shared" si="58"/>
        <v>0.40341614580400265</v>
      </c>
    </row>
    <row r="415" spans="16:35" x14ac:dyDescent="0.3">
      <c r="P415" s="9">
        <v>0.25906075149861557</v>
      </c>
      <c r="Q415" s="9">
        <v>0.25941765001841749</v>
      </c>
      <c r="R415" s="9">
        <v>0.23195352631296506</v>
      </c>
      <c r="S415" s="9">
        <v>0.24956807217000179</v>
      </c>
      <c r="U415" s="9">
        <f t="array" ref="U415">MMULT(TRANSPOSE($B$3:$B$6),TRANSPOSE(P415:S415))</f>
        <v>9.0624652854464111E-2</v>
      </c>
      <c r="V415" s="9">
        <f>INT(200*U415)/200</f>
        <v>0.09</v>
      </c>
      <c r="W415" s="9">
        <f t="array" ref="W415">SQRT(MMULT(MMULT(P415:S415,$K$3:$N$6),TRANSPOSE(P415:S415)))</f>
        <v>8.5250367584048151E-2</v>
      </c>
      <c r="Y415" s="31">
        <f>U415/W415</f>
        <v>1.0630411976243677</v>
      </c>
      <c r="AA415" s="9">
        <f t="shared" si="51"/>
        <v>0.18999912102927566</v>
      </c>
      <c r="AB415" s="9">
        <f t="shared" si="52"/>
        <v>0.32105682510951788</v>
      </c>
      <c r="AC415" s="9">
        <f t="shared" si="53"/>
        <v>0.21827150134469908</v>
      </c>
      <c r="AD415" s="9">
        <f t="shared" si="54"/>
        <v>0.27067255251650735</v>
      </c>
      <c r="AE415" s="9"/>
      <c r="AF415" s="9">
        <f t="shared" si="55"/>
        <v>0.69294603953667555</v>
      </c>
      <c r="AG415" s="9">
        <f t="shared" si="56"/>
        <v>0.20704049663550811</v>
      </c>
      <c r="AH415" s="9">
        <f t="shared" si="57"/>
        <v>0.56058143010125461</v>
      </c>
      <c r="AI415" s="9">
        <f t="shared" si="58"/>
        <v>0.36445777281509434</v>
      </c>
    </row>
    <row r="416" spans="16:35" x14ac:dyDescent="0.3">
      <c r="P416" s="9">
        <v>0.21483313967141035</v>
      </c>
      <c r="Q416" s="9">
        <v>0.342077260520673</v>
      </c>
      <c r="R416" s="9">
        <v>8.6496367689728543E-2</v>
      </c>
      <c r="S416" s="9">
        <v>0.35659323211818811</v>
      </c>
      <c r="U416" s="9">
        <f t="array" ref="U416">MMULT(TRANSPOSE($B$3:$B$6),TRANSPOSE(P416:S416))</f>
        <v>9.5434597998531309E-2</v>
      </c>
      <c r="V416" s="9">
        <f>INT(200*U416)/200</f>
        <v>9.5000000000000001E-2</v>
      </c>
      <c r="W416" s="9">
        <f t="array" ref="W416">SQRT(MMULT(MMULT(P416:S416,$K$3:$N$6),TRANSPOSE(P416:S416)))</f>
        <v>8.97967590021852E-2</v>
      </c>
      <c r="Y416" s="31">
        <f>U416/W416</f>
        <v>1.0627844374228352</v>
      </c>
      <c r="AA416" s="9">
        <f t="shared" si="51"/>
        <v>0.18838518714710026</v>
      </c>
      <c r="AB416" s="9">
        <f t="shared" si="52"/>
        <v>0.32251904796911673</v>
      </c>
      <c r="AC416" s="9">
        <f t="shared" si="53"/>
        <v>0.21665505769828286</v>
      </c>
      <c r="AD416" s="9">
        <f t="shared" si="54"/>
        <v>0.27244070718550023</v>
      </c>
      <c r="AE416" s="9"/>
      <c r="AF416" s="9">
        <f t="shared" si="55"/>
        <v>0.69824367080545557</v>
      </c>
      <c r="AG416" s="9">
        <f t="shared" si="56"/>
        <v>0.20643175085426055</v>
      </c>
      <c r="AH416" s="9">
        <f t="shared" si="57"/>
        <v>0.56973876934406942</v>
      </c>
      <c r="AI416" s="9">
        <f t="shared" si="58"/>
        <v>0.36649275088115602</v>
      </c>
    </row>
    <row r="417" spans="16:35" x14ac:dyDescent="0.3">
      <c r="P417" s="9">
        <v>0.12191352113113987</v>
      </c>
      <c r="Q417" s="9">
        <v>0.31263257567447733</v>
      </c>
      <c r="R417" s="9">
        <v>0.40689199726919478</v>
      </c>
      <c r="S417" s="9">
        <v>0.15856190592518804</v>
      </c>
      <c r="U417" s="9">
        <f t="array" ref="U417">MMULT(TRANSPOSE($B$3:$B$6),TRANSPOSE(P417:S417))</f>
        <v>9.7717942378806988E-2</v>
      </c>
      <c r="V417" s="9">
        <f>INT(200*U417)/200</f>
        <v>9.5000000000000001E-2</v>
      </c>
      <c r="W417" s="9">
        <f t="array" ref="W417">SQRT(MMULT(MMULT(P417:S417,$K$3:$N$6),TRANSPOSE(P417:S417)))</f>
        <v>9.2010789248509417E-2</v>
      </c>
      <c r="Y417" s="31">
        <f>U417/W417</f>
        <v>1.0620269989738189</v>
      </c>
      <c r="AA417" s="9">
        <f t="shared" si="51"/>
        <v>0.18620392660161486</v>
      </c>
      <c r="AB417" s="9">
        <f t="shared" si="52"/>
        <v>0.32320203092785427</v>
      </c>
      <c r="AC417" s="9">
        <f t="shared" si="53"/>
        <v>0.21753811030622458</v>
      </c>
      <c r="AD417" s="9">
        <f t="shared" si="54"/>
        <v>0.27305593216430624</v>
      </c>
      <c r="AE417" s="9"/>
      <c r="AF417" s="9">
        <f t="shared" si="55"/>
        <v>0.70320217812607433</v>
      </c>
      <c r="AG417" s="9">
        <f t="shared" si="56"/>
        <v>0.20459252972972689</v>
      </c>
      <c r="AH417" s="9">
        <f t="shared" si="57"/>
        <v>0.56769602857741708</v>
      </c>
      <c r="AI417" s="9">
        <f t="shared" si="58"/>
        <v>0.36566147217784611</v>
      </c>
    </row>
    <row r="418" spans="16:35" x14ac:dyDescent="0.3">
      <c r="P418" s="9">
        <v>2.1268260991141007E-3</v>
      </c>
      <c r="Q418" s="9">
        <v>0.37536981058808755</v>
      </c>
      <c r="R418" s="9">
        <v>0.4125777540581837</v>
      </c>
      <c r="S418" s="9">
        <v>0.20992560925461459</v>
      </c>
      <c r="U418" s="9">
        <f t="array" ref="U418">MMULT(TRANSPOSE($B$3:$B$6),TRANSPOSE(P418:S418))</f>
        <v>0.10489301623199444</v>
      </c>
      <c r="V418" s="9">
        <f>INT(200*U418)/200</f>
        <v>0.1</v>
      </c>
      <c r="W418" s="9">
        <f t="array" ref="W418">SQRT(MMULT(MMULT(P418:S418,$K$3:$N$6),TRANSPOSE(P418:S418)))</f>
        <v>9.8798188797864561E-2</v>
      </c>
      <c r="Y418" s="31">
        <f>U418/W418</f>
        <v>1.0616896676780132</v>
      </c>
      <c r="AA418" s="9">
        <f t="shared" si="51"/>
        <v>0.1824209878236985</v>
      </c>
      <c r="AB418" s="9">
        <f t="shared" si="52"/>
        <v>0.32473890596623978</v>
      </c>
      <c r="AC418" s="9">
        <f t="shared" si="53"/>
        <v>0.21369252622505527</v>
      </c>
      <c r="AD418" s="9">
        <f t="shared" si="54"/>
        <v>0.27914757998500639</v>
      </c>
      <c r="AE418" s="9"/>
      <c r="AF418" s="9">
        <f t="shared" si="55"/>
        <v>0.71189109635878911</v>
      </c>
      <c r="AG418" s="9">
        <f t="shared" si="56"/>
        <v>0.1996142969659786</v>
      </c>
      <c r="AH418" s="9">
        <f t="shared" si="57"/>
        <v>0.56086465351595094</v>
      </c>
      <c r="AI418" s="9">
        <f t="shared" si="58"/>
        <v>0.33584861206140415</v>
      </c>
    </row>
    <row r="419" spans="16:35" x14ac:dyDescent="0.3">
      <c r="P419" s="9">
        <v>0.15077397587668653</v>
      </c>
      <c r="Q419" s="9">
        <v>0.30454184638798382</v>
      </c>
      <c r="R419" s="9">
        <v>0.29027466152089915</v>
      </c>
      <c r="S419" s="9">
        <v>0.25440951621443048</v>
      </c>
      <c r="U419" s="9">
        <f t="array" ref="U419">MMULT(TRANSPOSE($B$3:$B$6),TRANSPOSE(P419:S419))</f>
        <v>9.6600904435313634E-2</v>
      </c>
      <c r="V419" s="9">
        <f>INT(200*U419)/200</f>
        <v>9.5000000000000001E-2</v>
      </c>
      <c r="W419" s="9">
        <f t="array" ref="W419">SQRT(MMULT(MMULT(P419:S419,$K$3:$N$6),TRANSPOSE(P419:S419)))</f>
        <v>9.1044864938589751E-2</v>
      </c>
      <c r="Y419" s="31">
        <f>U419/W419</f>
        <v>1.0610252923157331</v>
      </c>
      <c r="AA419" s="9">
        <f t="shared" si="51"/>
        <v>0.17599254916510346</v>
      </c>
      <c r="AB419" s="9">
        <f t="shared" si="52"/>
        <v>0.32353091252508193</v>
      </c>
      <c r="AC419" s="9">
        <f t="shared" si="53"/>
        <v>0.2297942089669355</v>
      </c>
      <c r="AD419" s="9">
        <f t="shared" si="54"/>
        <v>0.27068232934287911</v>
      </c>
      <c r="AE419" s="9"/>
      <c r="AF419" s="9">
        <f t="shared" si="55"/>
        <v>0.72815093411629028</v>
      </c>
      <c r="AG419" s="9">
        <f t="shared" si="56"/>
        <v>0.20117941723397254</v>
      </c>
      <c r="AH419" s="9">
        <f t="shared" si="57"/>
        <v>0.52088049689090299</v>
      </c>
      <c r="AI419" s="9">
        <f t="shared" si="58"/>
        <v>0.35262636861241209</v>
      </c>
    </row>
    <row r="420" spans="16:35" x14ac:dyDescent="0.3">
      <c r="P420" s="9">
        <v>2.8267712939345616E-2</v>
      </c>
      <c r="Q420" s="9">
        <v>0.41644973621033665</v>
      </c>
      <c r="R420" s="9">
        <v>0.18828103972370702</v>
      </c>
      <c r="S420" s="9">
        <v>0.36700151112661072</v>
      </c>
      <c r="U420" s="9">
        <f t="array" ref="U420">MMULT(TRANSPOSE($B$3:$B$6),TRANSPOSE(P420:S420))</f>
        <v>0.10563426324834302</v>
      </c>
      <c r="V420" s="9">
        <f>INT(200*U420)/200</f>
        <v>0.105</v>
      </c>
      <c r="W420" s="9">
        <f t="array" ref="W420">SQRT(MMULT(MMULT(P420:S420,$K$3:$N$6),TRANSPOSE(P420:S420)))</f>
        <v>9.9616237682557368E-2</v>
      </c>
      <c r="Y420" s="31">
        <f>U420/W420</f>
        <v>1.0604120945117705</v>
      </c>
      <c r="AA420" s="9">
        <f t="shared" si="51"/>
        <v>0.17588189365614548</v>
      </c>
      <c r="AB420" s="9">
        <f t="shared" si="52"/>
        <v>0.32565735362445458</v>
      </c>
      <c r="AC420" s="9">
        <f t="shared" si="53"/>
        <v>0.22210496027562768</v>
      </c>
      <c r="AD420" s="9">
        <f t="shared" si="54"/>
        <v>0.27635579244377223</v>
      </c>
      <c r="AE420" s="9"/>
      <c r="AF420" s="9">
        <f t="shared" si="55"/>
        <v>0.72870060681541748</v>
      </c>
      <c r="AG420" s="9">
        <f t="shared" si="56"/>
        <v>0.19968670017826529</v>
      </c>
      <c r="AH420" s="9">
        <f t="shared" si="57"/>
        <v>0.53813736793171274</v>
      </c>
      <c r="AI420" s="9">
        <f t="shared" si="58"/>
        <v>0.34918478795207608</v>
      </c>
    </row>
    <row r="421" spans="16:35" x14ac:dyDescent="0.3">
      <c r="P421" s="9">
        <v>0.3325619128473023</v>
      </c>
      <c r="Q421" s="9">
        <v>0.23688422751053723</v>
      </c>
      <c r="R421" s="9">
        <v>0.39122045578614995</v>
      </c>
      <c r="S421" s="9">
        <v>3.9333403856010404E-2</v>
      </c>
      <c r="U421" s="9">
        <f t="array" ref="U421">MMULT(TRANSPOSE($B$3:$B$6),TRANSPOSE(P421:S421))</f>
        <v>8.6064254490151926E-2</v>
      </c>
      <c r="V421" s="9">
        <f>INT(200*U421)/200</f>
        <v>8.5000000000000006E-2</v>
      </c>
      <c r="W421" s="9">
        <f t="array" ref="W421">SQRT(MMULT(MMULT(P421:S421,$K$3:$N$6),TRANSPOSE(P421:S421)))</f>
        <v>8.1184122624132646E-2</v>
      </c>
      <c r="Y421" s="31">
        <f>U421/W421</f>
        <v>1.0601119000646639</v>
      </c>
      <c r="AA421" s="9">
        <f t="shared" si="51"/>
        <v>0.17610807420387845</v>
      </c>
      <c r="AB421" s="9">
        <f t="shared" si="52"/>
        <v>0.32406531116224152</v>
      </c>
      <c r="AC421" s="9">
        <f t="shared" si="53"/>
        <v>0.23054373708588616</v>
      </c>
      <c r="AD421" s="9">
        <f t="shared" si="54"/>
        <v>0.26928287754799385</v>
      </c>
      <c r="AE421" s="9"/>
      <c r="AF421" s="9">
        <f t="shared" si="55"/>
        <v>0.72788563055458622</v>
      </c>
      <c r="AG421" s="9">
        <f t="shared" si="56"/>
        <v>0.20315463665390099</v>
      </c>
      <c r="AH421" s="9">
        <f t="shared" si="57"/>
        <v>0.53989533452895599</v>
      </c>
      <c r="AI421" s="9">
        <f t="shared" si="58"/>
        <v>0.37183567303787352</v>
      </c>
    </row>
    <row r="422" spans="16:35" x14ac:dyDescent="0.3">
      <c r="P422" s="9">
        <v>3.5348966265706383E-2</v>
      </c>
      <c r="Q422" s="9">
        <v>0.35512681489832987</v>
      </c>
      <c r="R422" s="9">
        <v>0.40945799853195369</v>
      </c>
      <c r="S422" s="9">
        <v>0.20006622030401008</v>
      </c>
      <c r="U422" s="9">
        <f t="array" ref="U422">MMULT(TRANSPOSE($B$3:$B$6),TRANSPOSE(P422:S422))</f>
        <v>0.10283111617658451</v>
      </c>
      <c r="V422" s="9">
        <f>INT(200*U422)/200</f>
        <v>0.1</v>
      </c>
      <c r="W422" s="9">
        <f t="array" ref="W422">SQRT(MMULT(MMULT(P422:S422,$K$3:$N$6),TRANSPOSE(P422:S422)))</f>
        <v>9.701714534355288E-2</v>
      </c>
      <c r="Y422" s="31">
        <f>U422/W422</f>
        <v>1.059927251131163</v>
      </c>
      <c r="AA422" s="9">
        <f t="shared" si="51"/>
        <v>0.18622267012473773</v>
      </c>
      <c r="AB422" s="9">
        <f t="shared" si="52"/>
        <v>0.31639403707098507</v>
      </c>
      <c r="AC422" s="9">
        <f t="shared" si="53"/>
        <v>0.23436225984290232</v>
      </c>
      <c r="AD422" s="9">
        <f t="shared" si="54"/>
        <v>0.26302103296137486</v>
      </c>
      <c r="AE422" s="9"/>
      <c r="AF422" s="9">
        <f t="shared" si="55"/>
        <v>0.70757884463905529</v>
      </c>
      <c r="AG422" s="9">
        <f t="shared" si="56"/>
        <v>0.21388580476717473</v>
      </c>
      <c r="AH422" s="9">
        <f t="shared" si="57"/>
        <v>0.52241992240865553</v>
      </c>
      <c r="AI422" s="9">
        <f t="shared" si="58"/>
        <v>0.37209607970547004</v>
      </c>
    </row>
    <row r="423" spans="16:35" x14ac:dyDescent="0.3">
      <c r="P423" s="9">
        <v>0.60084749602919418</v>
      </c>
      <c r="Q423" s="9">
        <v>0.16419552703819112</v>
      </c>
      <c r="R423" s="9">
        <v>9.371162677808241E-2</v>
      </c>
      <c r="S423" s="9">
        <v>0.14124535015453232</v>
      </c>
      <c r="U423" s="9">
        <f t="array" ref="U423">MMULT(TRANSPOSE($B$3:$B$6),TRANSPOSE(P423:S423))</f>
        <v>7.2882337923701759E-2</v>
      </c>
      <c r="V423" s="9">
        <f>INT(200*U423)/200</f>
        <v>7.0000000000000007E-2</v>
      </c>
      <c r="W423" s="9">
        <f t="array" ref="W423">SQRT(MMULT(MMULT(P423:S423,$K$3:$N$6),TRANSPOSE(P423:S423)))</f>
        <v>6.8773257900692511E-2</v>
      </c>
      <c r="Y423" s="31">
        <f>U423/W423</f>
        <v>1.0597482240690517</v>
      </c>
      <c r="AA423" s="9">
        <f t="shared" si="51"/>
        <v>0.17741244188184704</v>
      </c>
      <c r="AB423" s="9">
        <f t="shared" si="52"/>
        <v>0.32371200466627464</v>
      </c>
      <c r="AC423" s="9">
        <f t="shared" si="53"/>
        <v>0.22997401145421706</v>
      </c>
      <c r="AD423" s="9">
        <f t="shared" si="54"/>
        <v>0.26890154199766114</v>
      </c>
      <c r="AE423" s="9"/>
      <c r="AF423" s="9">
        <f t="shared" si="55"/>
        <v>0.73516572714302886</v>
      </c>
      <c r="AG423" s="9">
        <f t="shared" si="56"/>
        <v>0.21365702652904009</v>
      </c>
      <c r="AH423" s="9">
        <f t="shared" si="57"/>
        <v>0.54834890959212057</v>
      </c>
      <c r="AI423" s="9">
        <f t="shared" si="58"/>
        <v>0.37929253164605792</v>
      </c>
    </row>
    <row r="424" spans="16:35" x14ac:dyDescent="0.3">
      <c r="P424" s="9">
        <v>0.17258847467912364</v>
      </c>
      <c r="Q424" s="9">
        <v>0.38947236394406715</v>
      </c>
      <c r="R424" s="9">
        <v>5.0223988815577512E-2</v>
      </c>
      <c r="S424" s="9">
        <v>0.38771517256123156</v>
      </c>
      <c r="U424" s="9">
        <f t="array" ref="U424">MMULT(TRANSPOSE($B$3:$B$6),TRANSPOSE(P424:S424))</f>
        <v>9.879383872557071E-2</v>
      </c>
      <c r="V424" s="9">
        <f>INT(200*U424)/200</f>
        <v>9.5000000000000001E-2</v>
      </c>
      <c r="W424" s="9">
        <f t="array" ref="W424">SQRT(MMULT(MMULT(P424:S424,$K$3:$N$6),TRANSPOSE(P424:S424)))</f>
        <v>9.3237259666563238E-2</v>
      </c>
      <c r="Y424" s="31">
        <f>U424/W424</f>
        <v>1.0595961215385246</v>
      </c>
      <c r="AA424" s="9">
        <f t="shared" si="51"/>
        <v>0.17719214831842445</v>
      </c>
      <c r="AB424" s="9">
        <f t="shared" si="52"/>
        <v>0.32525552893011234</v>
      </c>
      <c r="AC424" s="9">
        <f t="shared" si="53"/>
        <v>0.22673270170940776</v>
      </c>
      <c r="AD424" s="9">
        <f t="shared" si="54"/>
        <v>0.27081962104205543</v>
      </c>
      <c r="AE424" s="9"/>
      <c r="AF424" s="9">
        <f t="shared" si="55"/>
        <v>0.73649079028890396</v>
      </c>
      <c r="AG424" s="9">
        <f t="shared" si="56"/>
        <v>0.21622860034234812</v>
      </c>
      <c r="AH424" s="9">
        <f t="shared" si="57"/>
        <v>0.56871003129425624</v>
      </c>
      <c r="AI424" s="9">
        <f t="shared" si="58"/>
        <v>0.38363365148822531</v>
      </c>
    </row>
    <row r="425" spans="16:35" x14ac:dyDescent="0.3">
      <c r="P425" s="9">
        <v>4.3731994188824008E-2</v>
      </c>
      <c r="Q425" s="9">
        <v>0.44344771041853143</v>
      </c>
      <c r="R425" s="9">
        <v>0.11269251817511865</v>
      </c>
      <c r="S425" s="9">
        <v>0.40012777721752596</v>
      </c>
      <c r="U425" s="9">
        <f t="array" ref="U425">MMULT(TRANSPOSE($B$3:$B$6),TRANSPOSE(P425:S425))</f>
        <v>0.1059382014412204</v>
      </c>
      <c r="V425" s="9">
        <f>INT(200*U425)/200</f>
        <v>0.105</v>
      </c>
      <c r="W425" s="9">
        <f t="array" ref="W425">SQRT(MMULT(MMULT(P425:S425,$K$3:$N$6),TRANSPOSE(P425:S425)))</f>
        <v>0.10003137513640947</v>
      </c>
      <c r="Y425" s="31">
        <f>U425/W425</f>
        <v>1.0590497361128544</v>
      </c>
      <c r="AA425" s="9">
        <f t="shared" si="51"/>
        <v>0.18750132195298813</v>
      </c>
      <c r="AB425" s="9">
        <f t="shared" si="52"/>
        <v>0.31959828415227964</v>
      </c>
      <c r="AC425" s="9">
        <f t="shared" si="53"/>
        <v>0.22480526565369305</v>
      </c>
      <c r="AD425" s="9">
        <f t="shared" si="54"/>
        <v>0.26809512824103915</v>
      </c>
      <c r="AE425" s="9"/>
      <c r="AF425" s="9">
        <f t="shared" si="55"/>
        <v>0.72200600333157827</v>
      </c>
      <c r="AG425" s="9">
        <f t="shared" si="56"/>
        <v>0.22356288888931111</v>
      </c>
      <c r="AH425" s="9">
        <f t="shared" si="57"/>
        <v>0.5809049131258095</v>
      </c>
      <c r="AI425" s="9">
        <f t="shared" si="58"/>
        <v>0.38142636747358011</v>
      </c>
    </row>
    <row r="426" spans="16:35" x14ac:dyDescent="0.3">
      <c r="P426" s="9">
        <v>0.18159364986360396</v>
      </c>
      <c r="Q426" s="9">
        <v>0.34175182909230922</v>
      </c>
      <c r="R426" s="9">
        <v>0.12244527815155026</v>
      </c>
      <c r="S426" s="9">
        <v>0.35420924289253658</v>
      </c>
      <c r="U426" s="9">
        <f t="array" ref="U426">MMULT(TRANSPOSE($B$3:$B$6),TRANSPOSE(P426:S426))</f>
        <v>9.6816560320967443E-2</v>
      </c>
      <c r="V426" s="9">
        <f>INT(200*U426)/200</f>
        <v>9.5000000000000001E-2</v>
      </c>
      <c r="W426" s="9">
        <f t="array" ref="W426">SQRT(MMULT(MMULT(P426:S426,$K$3:$N$6),TRANSPOSE(P426:S426)))</f>
        <v>9.1438126007184123E-2</v>
      </c>
      <c r="Y426" s="31">
        <f>U426/W426</f>
        <v>1.0588204783785786</v>
      </c>
      <c r="AA426" s="9">
        <f t="shared" si="51"/>
        <v>0.18266968449280491</v>
      </c>
      <c r="AB426" s="9">
        <f t="shared" si="52"/>
        <v>0.32428421376151212</v>
      </c>
      <c r="AC426" s="9">
        <f t="shared" si="53"/>
        <v>0.21935024701041178</v>
      </c>
      <c r="AD426" s="9">
        <f t="shared" si="54"/>
        <v>0.27369585473527114</v>
      </c>
      <c r="AE426" s="9"/>
      <c r="AF426" s="9">
        <f t="shared" si="55"/>
        <v>0.73631940064459622</v>
      </c>
      <c r="AG426" s="9">
        <f t="shared" si="56"/>
        <v>0.21748518869648628</v>
      </c>
      <c r="AH426" s="9">
        <f t="shared" si="57"/>
        <v>0.60475548894539366</v>
      </c>
      <c r="AI426" s="9">
        <f t="shared" si="58"/>
        <v>0.38141513502218893</v>
      </c>
    </row>
    <row r="427" spans="16:35" x14ac:dyDescent="0.3">
      <c r="P427" s="9">
        <v>0.19875832114307176</v>
      </c>
      <c r="Q427" s="9">
        <v>0.28807710039855289</v>
      </c>
      <c r="R427" s="9">
        <v>0.23418980283063145</v>
      </c>
      <c r="S427" s="9">
        <v>0.27897477562774387</v>
      </c>
      <c r="U427" s="9">
        <f t="array" ref="U427">MMULT(TRANSPOSE($B$3:$B$6),TRANSPOSE(P427:S427))</f>
        <v>9.4159227957156394E-2</v>
      </c>
      <c r="V427" s="9">
        <f>INT(200*U427)/200</f>
        <v>0.09</v>
      </c>
      <c r="W427" s="9">
        <f t="array" ref="W427">SQRT(MMULT(MMULT(P427:S427,$K$3:$N$6),TRANSPOSE(P427:S427)))</f>
        <v>8.8950137102392926E-2</v>
      </c>
      <c r="Y427" s="31">
        <f>U427/W427</f>
        <v>1.0585619204697474</v>
      </c>
      <c r="AA427" s="9">
        <f t="shared" si="51"/>
        <v>0.18514701147398321</v>
      </c>
      <c r="AB427" s="9">
        <f t="shared" si="52"/>
        <v>0.32056405451756981</v>
      </c>
      <c r="AC427" s="9">
        <f t="shared" si="53"/>
        <v>0.2237961741079772</v>
      </c>
      <c r="AD427" s="9">
        <f t="shared" si="54"/>
        <v>0.27049275990046978</v>
      </c>
      <c r="AE427" s="9"/>
      <c r="AF427" s="9">
        <f t="shared" si="55"/>
        <v>0.73239030524975635</v>
      </c>
      <c r="AG427" s="9">
        <f t="shared" si="56"/>
        <v>0.22333724909029531</v>
      </c>
      <c r="AH427" s="9">
        <f t="shared" si="57"/>
        <v>0.5786747814460258</v>
      </c>
      <c r="AI427" s="9">
        <f t="shared" si="58"/>
        <v>0.37982487499044765</v>
      </c>
    </row>
    <row r="428" spans="16:35" x14ac:dyDescent="0.3">
      <c r="P428" s="9">
        <v>0.17988753232553203</v>
      </c>
      <c r="Q428" s="9">
        <v>0.2872736202473139</v>
      </c>
      <c r="R428" s="9">
        <v>0.28501030333165089</v>
      </c>
      <c r="S428" s="9">
        <v>0.24782854409550314</v>
      </c>
      <c r="U428" s="9">
        <f t="array" ref="U428">MMULT(TRANSPOSE($B$3:$B$6),TRANSPOSE(P428:S428))</f>
        <v>9.4816079225023581E-2</v>
      </c>
      <c r="V428" s="9">
        <f>INT(200*U428)/200</f>
        <v>0.09</v>
      </c>
      <c r="W428" s="9">
        <f t="array" ref="W428">SQRT(MMULT(MMULT(P428:S428,$K$3:$N$6),TRANSPOSE(P428:S428)))</f>
        <v>8.9575794003998468E-2</v>
      </c>
      <c r="Y428" s="31">
        <f>U428/W428</f>
        <v>1.0585011305709575</v>
      </c>
      <c r="AA428" s="9">
        <f t="shared" si="51"/>
        <v>0.18347521615993376</v>
      </c>
      <c r="AB428" s="9">
        <f t="shared" si="52"/>
        <v>0.32121905820991409</v>
      </c>
      <c r="AC428" s="9">
        <f t="shared" si="53"/>
        <v>0.22137922063718682</v>
      </c>
      <c r="AD428" s="9">
        <f t="shared" si="54"/>
        <v>0.27392650499296528</v>
      </c>
      <c r="AE428" s="9"/>
      <c r="AF428" s="9">
        <f t="shared" si="55"/>
        <v>0.74468343366890211</v>
      </c>
      <c r="AG428" s="9">
        <f t="shared" si="56"/>
        <v>0.2228405210089931</v>
      </c>
      <c r="AH428" s="9">
        <f t="shared" si="57"/>
        <v>0.57075133679493906</v>
      </c>
      <c r="AI428" s="9">
        <f t="shared" si="58"/>
        <v>0.36498780469690123</v>
      </c>
    </row>
    <row r="429" spans="16:35" x14ac:dyDescent="0.3">
      <c r="P429" s="9">
        <v>0.14448104017603181</v>
      </c>
      <c r="Q429" s="9">
        <v>0.29786829271272053</v>
      </c>
      <c r="R429" s="9">
        <v>0.38969692609767148</v>
      </c>
      <c r="S429" s="9">
        <v>0.16795374101357616</v>
      </c>
      <c r="U429" s="9">
        <f t="array" ref="U429">MMULT(TRANSPOSE($B$3:$B$6),TRANSPOSE(P429:S429))</f>
        <v>9.6344614310740678E-2</v>
      </c>
      <c r="V429" s="9">
        <f>INT(200*U429)/200</f>
        <v>9.5000000000000001E-2</v>
      </c>
      <c r="W429" s="9">
        <f t="array" ref="W429">SQRT(MMULT(MMULT(P429:S429,$K$3:$N$6),TRANSPOSE(P429:S429)))</f>
        <v>9.1023901848933608E-2</v>
      </c>
      <c r="Y429" s="31">
        <f>U429/W429</f>
        <v>1.0584540143163441</v>
      </c>
      <c r="AA429" s="9">
        <f t="shared" si="51"/>
        <v>0.19630633771229947</v>
      </c>
      <c r="AB429" s="9">
        <f t="shared" si="52"/>
        <v>0.31659605709945932</v>
      </c>
      <c r="AC429" s="9">
        <f t="shared" si="53"/>
        <v>0.20807394327610271</v>
      </c>
      <c r="AD429" s="9">
        <f t="shared" si="54"/>
        <v>0.27902366191213845</v>
      </c>
      <c r="AE429" s="9"/>
      <c r="AF429" s="9">
        <f t="shared" si="55"/>
        <v>0.66883748678779431</v>
      </c>
      <c r="AG429" s="9">
        <f t="shared" si="56"/>
        <v>0.22439147573031407</v>
      </c>
      <c r="AH429" s="9">
        <f t="shared" si="57"/>
        <v>0.57552123079973283</v>
      </c>
      <c r="AI429" s="9">
        <f t="shared" si="58"/>
        <v>0.35581180084076364</v>
      </c>
    </row>
    <row r="430" spans="16:35" x14ac:dyDescent="0.3">
      <c r="P430" s="9">
        <v>0.15701289885541125</v>
      </c>
      <c r="Q430" s="9">
        <v>0.34522248257204685</v>
      </c>
      <c r="R430" s="9">
        <v>0.14776567375515443</v>
      </c>
      <c r="S430" s="9">
        <v>0.34999894481738753</v>
      </c>
      <c r="U430" s="9">
        <f t="array" ref="U430">MMULT(TRANSPOSE($B$3:$B$6),TRANSPOSE(P430:S430))</f>
        <v>9.7944374127421907E-2</v>
      </c>
      <c r="V430" s="9">
        <f>INT(200*U430)/200</f>
        <v>9.5000000000000001E-2</v>
      </c>
      <c r="W430" s="9">
        <f t="array" ref="W430">SQRT(MMULT(MMULT(P430:S430,$K$3:$N$6),TRANSPOSE(P430:S430)))</f>
        <v>9.2553221191152377E-2</v>
      </c>
      <c r="Y430" s="31">
        <f>U430/W430</f>
        <v>1.0582492199286619</v>
      </c>
      <c r="AA430" s="9">
        <f t="shared" si="51"/>
        <v>0.20757743364575093</v>
      </c>
      <c r="AB430" s="9">
        <f t="shared" si="52"/>
        <v>0.31175134927081072</v>
      </c>
      <c r="AC430" s="9">
        <f t="shared" si="53"/>
        <v>0.20986981951732736</v>
      </c>
      <c r="AD430" s="9">
        <f t="shared" si="54"/>
        <v>0.27080139756611099</v>
      </c>
      <c r="AE430" s="9"/>
      <c r="AF430" s="9">
        <f t="shared" si="55"/>
        <v>0.66104844524844841</v>
      </c>
      <c r="AG430" s="9">
        <f t="shared" si="56"/>
        <v>0.24137526639233772</v>
      </c>
      <c r="AH430" s="9">
        <f t="shared" si="57"/>
        <v>0.57806258927866738</v>
      </c>
      <c r="AI430" s="9">
        <f t="shared" si="58"/>
        <v>0.39945215975916293</v>
      </c>
    </row>
    <row r="431" spans="16:35" x14ac:dyDescent="0.3">
      <c r="P431" s="9">
        <v>0.18986250086863185</v>
      </c>
      <c r="Q431" s="9">
        <v>0.27659881360151517</v>
      </c>
      <c r="R431" s="9">
        <v>0.3830361064998527</v>
      </c>
      <c r="S431" s="9">
        <v>0.15050257903000008</v>
      </c>
      <c r="U431" s="9">
        <f t="array" ref="U431">MMULT(TRANSPOSE($B$3:$B$6),TRANSPOSE(P431:S431))</f>
        <v>9.3710907398126139E-2</v>
      </c>
      <c r="V431" s="9">
        <f>INT(200*U431)/200</f>
        <v>0.09</v>
      </c>
      <c r="W431" s="9">
        <f t="array" ref="W431">SQRT(MMULT(MMULT(P431:S431,$K$3:$N$6),TRANSPOSE(P431:S431)))</f>
        <v>8.8589299536249638E-2</v>
      </c>
      <c r="Y431" s="31">
        <f>U431/W431</f>
        <v>1.0578129400355041</v>
      </c>
      <c r="AA431" s="9">
        <f t="shared" si="51"/>
        <v>0.21251193255741693</v>
      </c>
      <c r="AB431" s="9">
        <f t="shared" si="52"/>
        <v>0.3066606730853228</v>
      </c>
      <c r="AC431" s="9">
        <f t="shared" si="53"/>
        <v>0.21472606299293528</v>
      </c>
      <c r="AD431" s="9">
        <f t="shared" si="54"/>
        <v>0.26610133136432501</v>
      </c>
      <c r="AE431" s="9"/>
      <c r="AF431" s="9">
        <f t="shared" si="55"/>
        <v>0.62217863205056767</v>
      </c>
      <c r="AG431" s="9">
        <f t="shared" si="56"/>
        <v>0.23258860695996356</v>
      </c>
      <c r="AH431" s="9">
        <f t="shared" si="57"/>
        <v>0.5702445166945318</v>
      </c>
      <c r="AI431" s="9">
        <f t="shared" si="58"/>
        <v>0.39798306995348298</v>
      </c>
    </row>
    <row r="432" spans="16:35" x14ac:dyDescent="0.3">
      <c r="P432" s="9">
        <v>0.33119085208294563</v>
      </c>
      <c r="Q432" s="9">
        <v>0.22445878453550644</v>
      </c>
      <c r="R432" s="9">
        <v>0.20992061781942675</v>
      </c>
      <c r="S432" s="9">
        <v>0.23442974556212118</v>
      </c>
      <c r="U432" s="9">
        <f t="array" ref="U432">MMULT(TRANSPOSE($B$3:$B$6),TRANSPOSE(P432:S432))</f>
        <v>8.6448863660521194E-2</v>
      </c>
      <c r="V432" s="9">
        <f>INT(200*U432)/200</f>
        <v>8.5000000000000006E-2</v>
      </c>
      <c r="W432" s="9">
        <f t="array" ref="W432">SQRT(MMULT(MMULT(P432:S432,$K$3:$N$6),TRANSPOSE(P432:S432)))</f>
        <v>8.1744584710073662E-2</v>
      </c>
      <c r="Y432" s="31">
        <f>U432/W432</f>
        <v>1.0575485087744021</v>
      </c>
      <c r="AA432" s="9">
        <f t="shared" si="51"/>
        <v>0.20731075282609945</v>
      </c>
      <c r="AB432" s="9">
        <f t="shared" si="52"/>
        <v>0.30927659752709474</v>
      </c>
      <c r="AC432" s="9">
        <f t="shared" si="53"/>
        <v>0.20403759171077815</v>
      </c>
      <c r="AD432" s="9">
        <f t="shared" si="54"/>
        <v>0.27937505793602774</v>
      </c>
      <c r="AE432" s="9"/>
      <c r="AF432" s="9">
        <f t="shared" si="55"/>
        <v>0.62408539529443041</v>
      </c>
      <c r="AG432" s="9">
        <f t="shared" si="56"/>
        <v>0.22512483892118887</v>
      </c>
      <c r="AH432" s="9">
        <f t="shared" si="57"/>
        <v>0.56798726619178819</v>
      </c>
      <c r="AI432" s="9">
        <f t="shared" si="58"/>
        <v>0.33183598532564584</v>
      </c>
    </row>
    <row r="433" spans="16:35" x14ac:dyDescent="0.3">
      <c r="P433" s="9">
        <v>0.10829543911467684</v>
      </c>
      <c r="Q433" s="9">
        <v>0.41016901176260973</v>
      </c>
      <c r="R433" s="9">
        <v>8.7096844234223134E-2</v>
      </c>
      <c r="S433" s="9">
        <v>0.39443870488849042</v>
      </c>
      <c r="U433" s="9">
        <f t="array" ref="U433">MMULT(TRANSPOSE($B$3:$B$6),TRANSPOSE(P433:S433))</f>
        <v>0.10216766792503848</v>
      </c>
      <c r="V433" s="9">
        <f>INT(200*U433)/200</f>
        <v>0.1</v>
      </c>
      <c r="W433" s="9">
        <f t="array" ref="W433">SQRT(MMULT(MMULT(P433:S433,$K$3:$N$6),TRANSPOSE(P433:S433)))</f>
        <v>9.6620801000374609E-2</v>
      </c>
      <c r="Y433" s="31">
        <f>U433/W433</f>
        <v>1.0574086207859359</v>
      </c>
      <c r="AA433" s="9">
        <f t="shared" si="51"/>
        <v>0.21781663664045908</v>
      </c>
      <c r="AB433" s="9">
        <f t="shared" si="52"/>
        <v>0.30418074005418511</v>
      </c>
      <c r="AC433" s="9">
        <f t="shared" si="53"/>
        <v>0.19685278859520461</v>
      </c>
      <c r="AD433" s="9">
        <f t="shared" si="54"/>
        <v>0.2811498347101512</v>
      </c>
      <c r="AE433" s="9"/>
      <c r="AF433" s="9">
        <f t="shared" si="55"/>
        <v>0.56719132780128645</v>
      </c>
      <c r="AG433" s="9">
        <f t="shared" si="56"/>
        <v>0.23018325850874019</v>
      </c>
      <c r="AH433" s="9">
        <f t="shared" si="57"/>
        <v>0.54275318921434701</v>
      </c>
      <c r="AI433" s="9">
        <f t="shared" si="58"/>
        <v>0.3253100811392019</v>
      </c>
    </row>
    <row r="434" spans="16:35" x14ac:dyDescent="0.3">
      <c r="P434" s="9">
        <v>0.13390636782648166</v>
      </c>
      <c r="Q434" s="9">
        <v>0.39087804804377807</v>
      </c>
      <c r="R434" s="9">
        <v>8.7935222917296038E-2</v>
      </c>
      <c r="S434" s="9">
        <v>0.3872803612124443</v>
      </c>
      <c r="U434" s="9">
        <f t="array" ref="U434">MMULT(TRANSPOSE($B$3:$B$6),TRANSPOSE(P434:S434))</f>
        <v>0.10046578948689716</v>
      </c>
      <c r="V434" s="9">
        <f>INT(200*U434)/200</f>
        <v>0.1</v>
      </c>
      <c r="W434" s="9">
        <f t="array" ref="W434">SQRT(MMULT(MMULT(P434:S434,$K$3:$N$6),TRANSPOSE(P434:S434)))</f>
        <v>9.5081386031140802E-2</v>
      </c>
      <c r="Y434" s="31">
        <f>U434/W434</f>
        <v>1.0566294169711923</v>
      </c>
      <c r="AA434" s="9">
        <f t="shared" si="51"/>
        <v>0.20349441693705486</v>
      </c>
      <c r="AB434" s="9">
        <f t="shared" si="52"/>
        <v>0.30779613732396521</v>
      </c>
      <c r="AC434" s="9">
        <f t="shared" si="53"/>
        <v>0.20162571431578022</v>
      </c>
      <c r="AD434" s="9">
        <f t="shared" si="54"/>
        <v>0.28708373142319971</v>
      </c>
      <c r="AE434" s="9"/>
      <c r="AF434" s="9">
        <f t="shared" si="55"/>
        <v>0.4409164793987852</v>
      </c>
      <c r="AG434" s="9">
        <f t="shared" si="56"/>
        <v>0.20838881374145959</v>
      </c>
      <c r="AH434" s="9">
        <f t="shared" si="57"/>
        <v>0.51685327158216543</v>
      </c>
      <c r="AI434" s="9">
        <f t="shared" si="58"/>
        <v>0.29885756527920265</v>
      </c>
    </row>
    <row r="435" spans="16:35" x14ac:dyDescent="0.3">
      <c r="P435" s="9">
        <v>0.35048438752990185</v>
      </c>
      <c r="Q435" s="9">
        <v>0.24965046102188709</v>
      </c>
      <c r="R435" s="9">
        <v>0.10003186842853651</v>
      </c>
      <c r="S435" s="9">
        <v>0.2998332830196746</v>
      </c>
      <c r="U435" s="9">
        <f t="array" ref="U435">MMULT(TRANSPOSE($B$3:$B$6),TRANSPOSE(P435:S435))</f>
        <v>8.665322118953836E-2</v>
      </c>
      <c r="V435" s="9">
        <f>INT(200*U435)/200</f>
        <v>8.5000000000000006E-2</v>
      </c>
      <c r="W435" s="9">
        <f t="array" ref="W435">SQRT(MMULT(MMULT(P435:S435,$K$3:$N$6),TRANSPOSE(P435:S435)))</f>
        <v>8.2011004602997789E-2</v>
      </c>
      <c r="Y435" s="31">
        <f>U435/W435</f>
        <v>1.0566048008924267</v>
      </c>
      <c r="AA435" s="9">
        <f t="shared" si="51"/>
        <v>0.21986235707122512</v>
      </c>
      <c r="AB435" s="9">
        <f t="shared" si="52"/>
        <v>0.29693689075313534</v>
      </c>
      <c r="AC435" s="9">
        <f t="shared" si="53"/>
        <v>0.20769691361861592</v>
      </c>
      <c r="AD435" s="9">
        <f t="shared" si="54"/>
        <v>0.27550383855702365</v>
      </c>
      <c r="AE435" s="9"/>
      <c r="AF435" s="9">
        <f t="shared" si="55"/>
        <v>0.5108326839466264</v>
      </c>
      <c r="AG435" s="9">
        <f t="shared" si="56"/>
        <v>0.23156372769133096</v>
      </c>
      <c r="AH435" s="9">
        <f t="shared" si="57"/>
        <v>0.4742832833195782</v>
      </c>
      <c r="AI435" s="9">
        <f t="shared" si="58"/>
        <v>0.31912571565436204</v>
      </c>
    </row>
    <row r="436" spans="16:35" x14ac:dyDescent="0.3">
      <c r="P436" s="9">
        <v>0.15759636483476794</v>
      </c>
      <c r="Q436" s="9">
        <v>0.35782217181230092</v>
      </c>
      <c r="R436" s="9">
        <v>0.11739813480405788</v>
      </c>
      <c r="S436" s="9">
        <v>0.36718332854887337</v>
      </c>
      <c r="U436" s="9">
        <f t="array" ref="U436">MMULT(TRANSPOSE($B$3:$B$6),TRANSPOSE(P436:S436))</f>
        <v>9.8372043881400001E-2</v>
      </c>
      <c r="V436" s="9">
        <f>INT(200*U436)/200</f>
        <v>9.5000000000000001E-2</v>
      </c>
      <c r="W436" s="9">
        <f t="array" ref="W436">SQRT(MMULT(MMULT(P436:S436,$K$3:$N$6),TRANSPOSE(P436:S436)))</f>
        <v>9.3159080617678539E-2</v>
      </c>
      <c r="Y436" s="31">
        <f>U436/W436</f>
        <v>1.0559576503885357</v>
      </c>
      <c r="AA436" s="9">
        <f t="shared" si="51"/>
        <v>0.22639352635176846</v>
      </c>
      <c r="AB436" s="9">
        <f t="shared" si="52"/>
        <v>0.28917310789260808</v>
      </c>
      <c r="AC436" s="9">
        <f t="shared" si="53"/>
        <v>0.21621333857456571</v>
      </c>
      <c r="AD436" s="9">
        <f t="shared" si="54"/>
        <v>0.26822002718105775</v>
      </c>
      <c r="AE436" s="9"/>
      <c r="AF436" s="9">
        <f t="shared" si="55"/>
        <v>0.46524857171405498</v>
      </c>
      <c r="AG436" s="9">
        <f t="shared" si="56"/>
        <v>0.20763251601323401</v>
      </c>
      <c r="AH436" s="9">
        <f t="shared" si="57"/>
        <v>0.45145143490173262</v>
      </c>
      <c r="AI436" s="9">
        <f t="shared" si="58"/>
        <v>0.31054317225034817</v>
      </c>
    </row>
    <row r="437" spans="16:35" x14ac:dyDescent="0.3">
      <c r="P437" s="9">
        <v>0.26685700627615494</v>
      </c>
      <c r="Q437" s="9">
        <v>0.26395391639788246</v>
      </c>
      <c r="R437" s="9">
        <v>0.17986083673860334</v>
      </c>
      <c r="S437" s="9">
        <v>0.28932824058735923</v>
      </c>
      <c r="U437" s="9">
        <f t="array" ref="U437">MMULT(TRANSPOSE($B$3:$B$6),TRANSPOSE(P437:S437))</f>
        <v>9.058130897773542E-2</v>
      </c>
      <c r="V437" s="9">
        <f>INT(200*U437)/200</f>
        <v>0.09</v>
      </c>
      <c r="W437" s="9">
        <f t="array" ref="W437">SQRT(MMULT(MMULT(P437:S437,$K$3:$N$6),TRANSPOSE(P437:S437)))</f>
        <v>8.5786751208665593E-2</v>
      </c>
      <c r="Y437" s="31">
        <f>U437/W437</f>
        <v>1.0558892568085212</v>
      </c>
      <c r="AA437" s="9">
        <f t="shared" si="51"/>
        <v>0.2332653325793615</v>
      </c>
      <c r="AB437" s="9">
        <f t="shared" si="52"/>
        <v>0.28453501748130361</v>
      </c>
      <c r="AC437" s="9">
        <f t="shared" si="53"/>
        <v>0.21689640127136148</v>
      </c>
      <c r="AD437" s="9">
        <f t="shared" si="54"/>
        <v>0.26530324866797339</v>
      </c>
      <c r="AE437" s="9"/>
      <c r="AF437" s="9">
        <f t="shared" si="55"/>
        <v>0.45851300580028198</v>
      </c>
      <c r="AG437" s="9">
        <f t="shared" si="56"/>
        <v>0.20924282811053432</v>
      </c>
      <c r="AH437" s="9">
        <f t="shared" si="57"/>
        <v>0.44707482410518984</v>
      </c>
      <c r="AI437" s="9">
        <f t="shared" si="58"/>
        <v>0.30598102824965134</v>
      </c>
    </row>
    <row r="438" spans="16:35" x14ac:dyDescent="0.3">
      <c r="P438" s="9">
        <v>8.6805819536101295E-2</v>
      </c>
      <c r="Q438" s="9">
        <v>0.32638765321370955</v>
      </c>
      <c r="R438" s="9">
        <v>0.35613597438259575</v>
      </c>
      <c r="S438" s="9">
        <v>0.23067055286759339</v>
      </c>
      <c r="U438" s="9">
        <f t="array" ref="U438">MMULT(TRANSPOSE($B$3:$B$6),TRANSPOSE(P438:S438))</f>
        <v>9.9885552167793948E-2</v>
      </c>
      <c r="V438" s="9">
        <f>INT(200*U438)/200</f>
        <v>9.5000000000000001E-2</v>
      </c>
      <c r="W438" s="9">
        <f t="array" ref="W438">SQRT(MMULT(MMULT(P438:S438,$K$3:$N$6),TRANSPOSE(P438:S438)))</f>
        <v>9.4600470542413814E-2</v>
      </c>
      <c r="Y438" s="31">
        <f>U438/W438</f>
        <v>1.0558673925729638</v>
      </c>
      <c r="AA438" s="9">
        <f t="shared" si="51"/>
        <v>0.23784349721108414</v>
      </c>
      <c r="AB438" s="9">
        <f t="shared" si="52"/>
        <v>0.28158928251135873</v>
      </c>
      <c r="AC438" s="9">
        <f t="shared" si="53"/>
        <v>0.22140938796926543</v>
      </c>
      <c r="AD438" s="9">
        <f t="shared" si="54"/>
        <v>0.25915783230829176</v>
      </c>
      <c r="AE438" s="9"/>
      <c r="AF438" s="9">
        <f t="shared" si="55"/>
        <v>0.45181277097544137</v>
      </c>
      <c r="AG438" s="9">
        <f t="shared" si="56"/>
        <v>0.21616006117771777</v>
      </c>
      <c r="AH438" s="9">
        <f t="shared" si="57"/>
        <v>0.45152947846992675</v>
      </c>
      <c r="AI438" s="9">
        <f t="shared" si="58"/>
        <v>0.32756485875118052</v>
      </c>
    </row>
    <row r="439" spans="16:35" x14ac:dyDescent="0.3">
      <c r="P439" s="9">
        <v>0.27158037869879381</v>
      </c>
      <c r="Q439" s="9">
        <v>0.27828678726853712</v>
      </c>
      <c r="R439" s="9">
        <v>0.13316692947541722</v>
      </c>
      <c r="S439" s="9">
        <v>0.31696590455725182</v>
      </c>
      <c r="U439" s="9">
        <f t="array" ref="U439">MMULT(TRANSPOSE($B$3:$B$6),TRANSPOSE(P439:S439))</f>
        <v>9.0926217742976406E-2</v>
      </c>
      <c r="V439" s="9">
        <f>INT(200*U439)/200</f>
        <v>0.09</v>
      </c>
      <c r="W439" s="9">
        <f t="array" ref="W439">SQRT(MMULT(MMULT(P439:S439,$K$3:$N$6),TRANSPOSE(P439:S439)))</f>
        <v>8.6168008280905636E-2</v>
      </c>
      <c r="Y439" s="31">
        <f>U439/W439</f>
        <v>1.0552201397827268</v>
      </c>
      <c r="AA439" s="9">
        <f t="shared" si="51"/>
        <v>0.26109066113716739</v>
      </c>
      <c r="AB439" s="9">
        <f t="shared" si="52"/>
        <v>0.2755540163186711</v>
      </c>
      <c r="AC439" s="9">
        <f t="shared" si="53"/>
        <v>0.21292668287440936</v>
      </c>
      <c r="AD439" s="9">
        <f t="shared" si="54"/>
        <v>0.25042863966975226</v>
      </c>
      <c r="AE439" s="9"/>
      <c r="AF439" s="9">
        <f t="shared" si="55"/>
        <v>0.54256935853757915</v>
      </c>
      <c r="AG439" s="9">
        <f t="shared" si="56"/>
        <v>0.24066464533974408</v>
      </c>
      <c r="AH439" s="9">
        <f t="shared" si="57"/>
        <v>0.47831676052558497</v>
      </c>
      <c r="AI439" s="9">
        <f t="shared" si="58"/>
        <v>0.37912542056253173</v>
      </c>
    </row>
    <row r="440" spans="16:35" x14ac:dyDescent="0.3">
      <c r="P440" s="9">
        <v>0.38746699047916705</v>
      </c>
      <c r="Q440" s="9">
        <v>0.20280298198636201</v>
      </c>
      <c r="R440" s="9">
        <v>0.32798806258661678</v>
      </c>
      <c r="S440" s="9">
        <v>8.1741964947854101E-2</v>
      </c>
      <c r="U440" s="9">
        <f t="array" ref="U440">MMULT(TRANSPOSE($B$3:$B$6),TRANSPOSE(P440:S440))</f>
        <v>8.2851209713537932E-2</v>
      </c>
      <c r="V440" s="9">
        <f>INT(200*U440)/200</f>
        <v>0.08</v>
      </c>
      <c r="W440" s="9">
        <f t="array" ref="W440">SQRT(MMULT(MMULT(P440:S440,$K$3:$N$6),TRANSPOSE(P440:S440)))</f>
        <v>7.8523441579656669E-2</v>
      </c>
      <c r="Y440" s="31">
        <f>U440/W440</f>
        <v>1.0551143460706705</v>
      </c>
      <c r="AA440" s="9">
        <f t="shared" si="51"/>
        <v>0.26939194315336767</v>
      </c>
      <c r="AB440" s="9">
        <f t="shared" si="52"/>
        <v>0.272895859705654</v>
      </c>
      <c r="AC440" s="9">
        <f t="shared" si="53"/>
        <v>0.20165209255416863</v>
      </c>
      <c r="AD440" s="9">
        <f t="shared" si="54"/>
        <v>0.25606010458680972</v>
      </c>
      <c r="AE440" s="9"/>
      <c r="AF440" s="9">
        <f t="shared" si="55"/>
        <v>0.518119687481294</v>
      </c>
      <c r="AG440" s="9">
        <f t="shared" si="56"/>
        <v>0.2436660847266901</v>
      </c>
      <c r="AH440" s="9">
        <f t="shared" si="57"/>
        <v>0.46669794328768976</v>
      </c>
      <c r="AI440" s="9">
        <f t="shared" si="58"/>
        <v>0.36436912785713788</v>
      </c>
    </row>
    <row r="441" spans="16:35" x14ac:dyDescent="0.3">
      <c r="P441" s="9">
        <v>0.13189219008433065</v>
      </c>
      <c r="Q441" s="9">
        <v>0.30954553631509063</v>
      </c>
      <c r="R441" s="9">
        <v>0.29026215271147388</v>
      </c>
      <c r="S441" s="9">
        <v>0.26830012088910488</v>
      </c>
      <c r="U441" s="9">
        <f t="array" ref="U441">MMULT(TRANSPOSE($B$3:$B$6),TRANSPOSE(P441:S441))</f>
        <v>9.7601942582039622E-2</v>
      </c>
      <c r="V441" s="9">
        <f>INT(200*U441)/200</f>
        <v>9.5000000000000001E-2</v>
      </c>
      <c r="W441" s="9">
        <f t="array" ref="W441">SQRT(MMULT(MMULT(P441:S441,$K$3:$N$6),TRANSPOSE(P441:S441)))</f>
        <v>9.2581679345485127E-2</v>
      </c>
      <c r="Y441" s="31">
        <f>U441/W441</f>
        <v>1.0542252341072846</v>
      </c>
      <c r="AA441" s="9">
        <f t="shared" si="51"/>
        <v>0.26247003249972145</v>
      </c>
      <c r="AB441" s="9">
        <f t="shared" si="52"/>
        <v>0.27787428086517008</v>
      </c>
      <c r="AC441" s="9">
        <f t="shared" si="53"/>
        <v>0.2008562652618944</v>
      </c>
      <c r="AD441" s="9">
        <f t="shared" si="54"/>
        <v>0.25879942137321416</v>
      </c>
      <c r="AE441" s="9"/>
      <c r="AF441" s="9">
        <f t="shared" si="55"/>
        <v>0.56666687585156739</v>
      </c>
      <c r="AG441" s="9">
        <f t="shared" si="56"/>
        <v>0.27165858496605455</v>
      </c>
      <c r="AH441" s="9">
        <f t="shared" si="57"/>
        <v>0.47127307617506131</v>
      </c>
      <c r="AI441" s="9">
        <f t="shared" si="58"/>
        <v>0.37468680694597367</v>
      </c>
    </row>
    <row r="442" spans="16:35" x14ac:dyDescent="0.3">
      <c r="P442" s="9">
        <v>0.22333713848963549</v>
      </c>
      <c r="Q442" s="9">
        <v>0.29181864078774772</v>
      </c>
      <c r="R442" s="9">
        <v>0.16676255886085001</v>
      </c>
      <c r="S442" s="9">
        <v>0.31808166186176684</v>
      </c>
      <c r="U442" s="9">
        <f t="array" ref="U442">MMULT(TRANSPOSE($B$3:$B$6),TRANSPOSE(P442:S442))</f>
        <v>9.3381708939787852E-2</v>
      </c>
      <c r="V442" s="9">
        <f>INT(200*U442)/200</f>
        <v>0.09</v>
      </c>
      <c r="W442" s="9">
        <f t="array" ref="W442">SQRT(MMULT(MMULT(P442:S442,$K$3:$N$6),TRANSPOSE(P442:S442)))</f>
        <v>8.8629862124219402E-2</v>
      </c>
      <c r="Y442" s="31">
        <f>U442/W442</f>
        <v>1.0536145121032512</v>
      </c>
      <c r="AA442" s="9">
        <f t="shared" si="51"/>
        <v>0.25494961085137868</v>
      </c>
      <c r="AB442" s="9">
        <f t="shared" si="52"/>
        <v>0.28368826486449561</v>
      </c>
      <c r="AC442" s="9">
        <f t="shared" si="53"/>
        <v>0.19234737703030974</v>
      </c>
      <c r="AD442" s="9">
        <f t="shared" si="54"/>
        <v>0.26901474725381602</v>
      </c>
      <c r="AE442" s="9"/>
      <c r="AF442" s="9">
        <f t="shared" si="55"/>
        <v>0.61339111564547666</v>
      </c>
      <c r="AG442" s="9">
        <f t="shared" si="56"/>
        <v>0.28183561357547249</v>
      </c>
      <c r="AH442" s="9">
        <f t="shared" si="57"/>
        <v>0.44191735544318028</v>
      </c>
      <c r="AI442" s="9">
        <f t="shared" si="58"/>
        <v>0.35792374147390482</v>
      </c>
    </row>
    <row r="443" spans="16:35" x14ac:dyDescent="0.3">
      <c r="P443" s="9">
        <v>0.25597252636725937</v>
      </c>
      <c r="Q443" s="9">
        <v>0.24811380796722732</v>
      </c>
      <c r="R443" s="9">
        <v>0.25857713310490943</v>
      </c>
      <c r="S443" s="9">
        <v>0.23733653256060397</v>
      </c>
      <c r="U443" s="9">
        <f t="array" ref="U443">MMULT(TRANSPOSE($B$3:$B$6),TRANSPOSE(P443:S443))</f>
        <v>9.0360657496170949E-2</v>
      </c>
      <c r="V443" s="9">
        <f>INT(200*U443)/200</f>
        <v>0.09</v>
      </c>
      <c r="W443" s="9">
        <f t="array" ref="W443">SQRT(MMULT(MMULT(P443:S443,$K$3:$N$6),TRANSPOSE(P443:S443)))</f>
        <v>8.5780477173479988E-2</v>
      </c>
      <c r="Y443" s="31">
        <f>U443/W443</f>
        <v>1.053394204294622</v>
      </c>
      <c r="AA443" s="9">
        <f t="shared" si="51"/>
        <v>0.24452697057582148</v>
      </c>
      <c r="AB443" s="9">
        <f t="shared" si="52"/>
        <v>0.29148389511880374</v>
      </c>
      <c r="AC443" s="9">
        <f t="shared" si="53"/>
        <v>0.18761604522617992</v>
      </c>
      <c r="AD443" s="9">
        <f t="shared" si="54"/>
        <v>0.276373089079195</v>
      </c>
      <c r="AE443" s="9"/>
      <c r="AF443" s="9">
        <f t="shared" si="55"/>
        <v>0.64749553707796503</v>
      </c>
      <c r="AG443" s="9">
        <f t="shared" si="56"/>
        <v>0.28079837806969077</v>
      </c>
      <c r="AH443" s="9">
        <f t="shared" si="57"/>
        <v>0.46223327050732921</v>
      </c>
      <c r="AI443" s="9">
        <f t="shared" si="58"/>
        <v>0.3595386938914345</v>
      </c>
    </row>
    <row r="444" spans="16:35" x14ac:dyDescent="0.3">
      <c r="P444" s="9">
        <v>0.30008088225770496</v>
      </c>
      <c r="Q444" s="9">
        <v>0.24011886970357402</v>
      </c>
      <c r="R444" s="9">
        <v>0.19394306691017041</v>
      </c>
      <c r="S444" s="9">
        <v>0.26585718112855061</v>
      </c>
      <c r="U444" s="9">
        <f t="array" ref="U444">MMULT(TRANSPOSE($B$3:$B$6),TRANSPOSE(P444:S444))</f>
        <v>8.8358646844375555E-2</v>
      </c>
      <c r="V444" s="9">
        <f>INT(200*U444)/200</f>
        <v>8.5000000000000006E-2</v>
      </c>
      <c r="W444" s="9">
        <f t="array" ref="W444">SQRT(MMULT(MMULT(P444:S444,$K$3:$N$6),TRANSPOSE(P444:S444)))</f>
        <v>8.3882845996606337E-2</v>
      </c>
      <c r="Y444" s="31">
        <f>U444/W444</f>
        <v>1.0533577609890621</v>
      </c>
      <c r="AA444" s="9">
        <f t="shared" si="51"/>
        <v>0.24837078754979486</v>
      </c>
      <c r="AB444" s="9">
        <f t="shared" si="52"/>
        <v>0.28658337375880177</v>
      </c>
      <c r="AC444" s="9">
        <f t="shared" si="53"/>
        <v>0.19176482066781383</v>
      </c>
      <c r="AD444" s="9">
        <f t="shared" si="54"/>
        <v>0.27328101802358956</v>
      </c>
      <c r="AE444" s="9"/>
      <c r="AF444" s="9">
        <f t="shared" si="55"/>
        <v>0.62735768633867872</v>
      </c>
      <c r="AG444" s="9">
        <f t="shared" si="56"/>
        <v>0.26988198090907828</v>
      </c>
      <c r="AH444" s="9">
        <f t="shared" si="57"/>
        <v>0.43649623009611022</v>
      </c>
      <c r="AI444" s="9">
        <f t="shared" si="58"/>
        <v>0.35303392900813729</v>
      </c>
    </row>
    <row r="445" spans="16:35" x14ac:dyDescent="0.3">
      <c r="P445" s="9">
        <v>0.51631521749669917</v>
      </c>
      <c r="Q445" s="9">
        <v>0.16142818595663894</v>
      </c>
      <c r="R445" s="9">
        <v>0.17771917417512734</v>
      </c>
      <c r="S445" s="9">
        <v>0.1445374223715345</v>
      </c>
      <c r="U445" s="9">
        <f t="array" ref="U445">MMULT(TRANSPOSE($B$3:$B$6),TRANSPOSE(P445:S445))</f>
        <v>7.6370957872913439E-2</v>
      </c>
      <c r="V445" s="9">
        <f>INT(200*U445)/200</f>
        <v>7.4999999999999997E-2</v>
      </c>
      <c r="W445" s="9">
        <f t="array" ref="W445">SQRT(MMULT(MMULT(P445:S445,$K$3:$N$6),TRANSPOSE(P445:S445)))</f>
        <v>7.2554102894918024E-2</v>
      </c>
      <c r="Y445" s="31">
        <f>U445/W445</f>
        <v>1.0526070177385207</v>
      </c>
      <c r="AA445" s="9">
        <f t="shared" si="51"/>
        <v>0.26104518686418604</v>
      </c>
      <c r="AB445" s="9">
        <f t="shared" si="52"/>
        <v>0.27780709684065552</v>
      </c>
      <c r="AC445" s="9">
        <f t="shared" si="53"/>
        <v>0.20461591942601923</v>
      </c>
      <c r="AD445" s="9">
        <f t="shared" si="54"/>
        <v>0.25653179686913924</v>
      </c>
      <c r="AE445" s="9"/>
      <c r="AF445" s="9">
        <f t="shared" si="55"/>
        <v>0.60090208169489945</v>
      </c>
      <c r="AG445" s="9">
        <f t="shared" si="56"/>
        <v>0.27122510545792233</v>
      </c>
      <c r="AH445" s="9">
        <f t="shared" si="57"/>
        <v>0.42808536830123839</v>
      </c>
      <c r="AI445" s="9">
        <f t="shared" si="58"/>
        <v>0.41234688103410755</v>
      </c>
    </row>
    <row r="446" spans="16:35" x14ac:dyDescent="0.3">
      <c r="P446" s="9">
        <v>0.18088654908023363</v>
      </c>
      <c r="Q446" s="9">
        <v>0.28040827034745958</v>
      </c>
      <c r="R446" s="9">
        <v>0.29153744225006395</v>
      </c>
      <c r="S446" s="9">
        <v>0.24716773832224279</v>
      </c>
      <c r="U446" s="9">
        <f t="array" ref="U446">MMULT(TRANSPOSE($B$3:$B$6),TRANSPOSE(P446:S446))</f>
        <v>9.4559272306613165E-2</v>
      </c>
      <c r="V446" s="9">
        <f>INT(200*U446)/200</f>
        <v>0.09</v>
      </c>
      <c r="W446" s="9">
        <f t="array" ref="W446">SQRT(MMULT(MMULT(P446:S446,$K$3:$N$6),TRANSPOSE(P446:S446)))</f>
        <v>8.9864668534469172E-2</v>
      </c>
      <c r="Y446" s="31">
        <f>U446/W446</f>
        <v>1.0522408177619138</v>
      </c>
      <c r="AA446" s="9">
        <f t="shared" si="51"/>
        <v>0.25512050973326544</v>
      </c>
      <c r="AB446" s="9">
        <f t="shared" si="52"/>
        <v>0.28031133613816683</v>
      </c>
      <c r="AC446" s="9">
        <f t="shared" si="53"/>
        <v>0.20612790186838634</v>
      </c>
      <c r="AD446" s="9">
        <f t="shared" si="54"/>
        <v>0.2584402522601813</v>
      </c>
      <c r="AE446" s="9"/>
      <c r="AF446" s="9">
        <f t="shared" si="55"/>
        <v>0.61014541466237215</v>
      </c>
      <c r="AG446" s="9">
        <f t="shared" si="56"/>
        <v>0.268414053454616</v>
      </c>
      <c r="AH446" s="9">
        <f t="shared" si="57"/>
        <v>0.41700464888368638</v>
      </c>
      <c r="AI446" s="9">
        <f t="shared" si="58"/>
        <v>0.4138495671705148</v>
      </c>
    </row>
    <row r="447" spans="16:35" x14ac:dyDescent="0.3">
      <c r="P447" s="9">
        <v>0.32590158064305841</v>
      </c>
      <c r="Q447" s="9">
        <v>0.24435193045491421</v>
      </c>
      <c r="R447" s="9">
        <v>0.13678959478426217</v>
      </c>
      <c r="S447" s="9">
        <v>0.29295689411776527</v>
      </c>
      <c r="U447" s="9">
        <f t="array" ref="U447">MMULT(TRANSPOSE($B$3:$B$6),TRANSPOSE(P447:S447))</f>
        <v>8.7500231689266489E-2</v>
      </c>
      <c r="V447" s="9">
        <f>INT(200*U447)/200</f>
        <v>8.5000000000000006E-2</v>
      </c>
      <c r="W447" s="9">
        <f t="array" ref="W447">SQRT(MMULT(MMULT(P447:S447,$K$3:$N$6),TRANSPOSE(P447:S447)))</f>
        <v>8.3159765862468871E-2</v>
      </c>
      <c r="Y447" s="31">
        <f>U447/W447</f>
        <v>1.0521943007147947</v>
      </c>
      <c r="AA447" s="9">
        <f t="shared" si="51"/>
        <v>0.27442758568586967</v>
      </c>
      <c r="AB447" s="9">
        <f t="shared" si="52"/>
        <v>0.27057217666398659</v>
      </c>
      <c r="AC447" s="9">
        <f t="shared" si="53"/>
        <v>0.20849931880329636</v>
      </c>
      <c r="AD447" s="9">
        <f t="shared" si="54"/>
        <v>0.24650091884684724</v>
      </c>
      <c r="AE447" s="9"/>
      <c r="AF447" s="9">
        <f t="shared" si="55"/>
        <v>0.6108821810225411</v>
      </c>
      <c r="AG447" s="9">
        <f t="shared" si="56"/>
        <v>0.28788890528784289</v>
      </c>
      <c r="AH447" s="9">
        <f t="shared" si="57"/>
        <v>0.4031275472956346</v>
      </c>
      <c r="AI447" s="9">
        <f t="shared" si="58"/>
        <v>0.43892943121870542</v>
      </c>
    </row>
    <row r="448" spans="16:35" x14ac:dyDescent="0.3">
      <c r="P448" s="9">
        <v>0.29489977840924725</v>
      </c>
      <c r="Q448" s="9">
        <v>0.22621666602971002</v>
      </c>
      <c r="R448" s="9">
        <v>0.32896252348661353</v>
      </c>
      <c r="S448" s="9">
        <v>0.14992103207442931</v>
      </c>
      <c r="U448" s="9">
        <f t="array" ref="U448">MMULT(TRANSPOSE($B$3:$B$6),TRANSPOSE(P448:S448))</f>
        <v>8.7724522376297492E-2</v>
      </c>
      <c r="V448" s="9">
        <f>INT(200*U448)/200</f>
        <v>8.5000000000000006E-2</v>
      </c>
      <c r="W448" s="9">
        <f t="array" ref="W448">SQRT(MMULT(MMULT(P448:S448,$K$3:$N$6),TRANSPOSE(P448:S448)))</f>
        <v>8.3385722695618239E-2</v>
      </c>
      <c r="Y448" s="31">
        <f>U448/W448</f>
        <v>1.0520328845324891</v>
      </c>
      <c r="AA448" s="9">
        <f t="shared" si="51"/>
        <v>0.2629287848879121</v>
      </c>
      <c r="AB448" s="9">
        <f t="shared" si="52"/>
        <v>0.27952658922570783</v>
      </c>
      <c r="AC448" s="9">
        <f t="shared" si="53"/>
        <v>0.20502795385874911</v>
      </c>
      <c r="AD448" s="9">
        <f t="shared" si="54"/>
        <v>0.25251667202763095</v>
      </c>
      <c r="AE448" s="9"/>
      <c r="AF448" s="9">
        <f t="shared" si="55"/>
        <v>0.6703289437286164</v>
      </c>
      <c r="AG448" s="9">
        <f t="shared" si="56"/>
        <v>0.31242968181883168</v>
      </c>
      <c r="AH448" s="9">
        <f t="shared" si="57"/>
        <v>0.423140425700263</v>
      </c>
      <c r="AI448" s="9">
        <f t="shared" si="58"/>
        <v>0.45165504686919777</v>
      </c>
    </row>
    <row r="449" spans="16:35" x14ac:dyDescent="0.3">
      <c r="P449" s="9">
        <v>0.66807797477328024</v>
      </c>
      <c r="Q449" s="9">
        <v>0.1605330302008737</v>
      </c>
      <c r="R449" s="9">
        <v>0.10687349633967366</v>
      </c>
      <c r="S449" s="9">
        <v>6.4515498686172304E-2</v>
      </c>
      <c r="U449" s="9">
        <f t="array" ref="U449">MMULT(TRANSPOSE($B$3:$B$6),TRANSPOSE(P449:S449))</f>
        <v>6.9656325559966939E-2</v>
      </c>
      <c r="V449" s="9">
        <f>INT(200*U449)/200</f>
        <v>6.5000000000000002E-2</v>
      </c>
      <c r="W449" s="9">
        <f t="array" ref="W449">SQRT(MMULT(MMULT(P449:S449,$K$3:$N$6),TRANSPOSE(P449:S449)))</f>
        <v>6.6215753696104718E-2</v>
      </c>
      <c r="Y449" s="31">
        <f>U449/W449</f>
        <v>1.0519600196601646</v>
      </c>
      <c r="AA449" s="9">
        <f t="shared" si="51"/>
        <v>0.27044706107174221</v>
      </c>
      <c r="AB449" s="9">
        <f t="shared" si="52"/>
        <v>0.27648440256907342</v>
      </c>
      <c r="AC449" s="9">
        <f t="shared" si="53"/>
        <v>0.19795537712259717</v>
      </c>
      <c r="AD449" s="9">
        <f t="shared" si="54"/>
        <v>0.25511315923658717</v>
      </c>
      <c r="AE449" s="9"/>
      <c r="AF449" s="9">
        <f t="shared" si="55"/>
        <v>0.63475688533055341</v>
      </c>
      <c r="AG449" s="9">
        <f t="shared" si="56"/>
        <v>0.31368508762928859</v>
      </c>
      <c r="AH449" s="9">
        <f t="shared" si="57"/>
        <v>0.40199995842119157</v>
      </c>
      <c r="AI449" s="9">
        <f t="shared" si="58"/>
        <v>0.44744396447574536</v>
      </c>
    </row>
    <row r="450" spans="16:35" x14ac:dyDescent="0.3">
      <c r="P450" s="9">
        <v>0.31880796251623783</v>
      </c>
      <c r="Q450" s="9">
        <v>0.24204700383936206</v>
      </c>
      <c r="R450" s="9">
        <v>0.15293052937261614</v>
      </c>
      <c r="S450" s="9">
        <v>0.28621450427178385</v>
      </c>
      <c r="U450" s="9">
        <f t="array" ref="U450">MMULT(TRANSPOSE($B$3:$B$6),TRANSPOSE(P450:S450))</f>
        <v>8.7703307145352835E-2</v>
      </c>
      <c r="V450" s="9">
        <f>INT(200*U450)/200</f>
        <v>8.5000000000000006E-2</v>
      </c>
      <c r="W450" s="9">
        <f t="array" ref="W450">SQRT(MMULT(MMULT(P450:S450,$K$3:$N$6),TRANSPOSE(P450:S450)))</f>
        <v>8.3373419473043525E-2</v>
      </c>
      <c r="Y450" s="31">
        <f>U450/W450</f>
        <v>1.0519336702233888</v>
      </c>
      <c r="AA450" s="9">
        <f t="shared" si="51"/>
        <v>0.26397017014299784</v>
      </c>
      <c r="AB450" s="9">
        <f t="shared" si="52"/>
        <v>0.27791345272980073</v>
      </c>
      <c r="AC450" s="9">
        <f t="shared" si="53"/>
        <v>0.20432922373976839</v>
      </c>
      <c r="AD450" s="9">
        <f t="shared" si="54"/>
        <v>0.25378715338743307</v>
      </c>
      <c r="AE450" s="9"/>
      <c r="AF450" s="9">
        <f t="shared" si="55"/>
        <v>0.65981263185589778</v>
      </c>
      <c r="AG450" s="9">
        <f t="shared" si="56"/>
        <v>0.31307233031712461</v>
      </c>
      <c r="AH450" s="9">
        <f t="shared" si="57"/>
        <v>0.38902756591858401</v>
      </c>
      <c r="AI450" s="9">
        <f t="shared" si="58"/>
        <v>0.44744029055303014</v>
      </c>
    </row>
    <row r="451" spans="16:35" x14ac:dyDescent="0.3">
      <c r="P451" s="9">
        <v>1.1652775128839983E-2</v>
      </c>
      <c r="Q451" s="9">
        <v>0.44976932692188298</v>
      </c>
      <c r="R451" s="9">
        <v>0.13105330061739648</v>
      </c>
      <c r="S451" s="9">
        <v>0.40752459733188057</v>
      </c>
      <c r="U451" s="9">
        <f t="array" ref="U451">MMULT(TRANSPOSE($B$3:$B$6),TRANSPOSE(P451:S451))</f>
        <v>0.10751246725567168</v>
      </c>
      <c r="V451" s="9">
        <f>INT(200*U451)/200</f>
        <v>0.105</v>
      </c>
      <c r="W451" s="9">
        <f t="array" ref="W451">SQRT(MMULT(MMULT(P451:S451,$K$3:$N$6),TRANSPOSE(P451:S451)))</f>
        <v>0.10224099933127391</v>
      </c>
      <c r="Y451" s="31">
        <f>U451/W451</f>
        <v>1.0515592370856777</v>
      </c>
      <c r="AA451" s="9">
        <f t="shared" si="51"/>
        <v>0.24657297558834204</v>
      </c>
      <c r="AB451" s="9">
        <f t="shared" si="52"/>
        <v>0.28590847222501431</v>
      </c>
      <c r="AC451" s="9">
        <f t="shared" si="53"/>
        <v>0.2149997418159679</v>
      </c>
      <c r="AD451" s="9">
        <f t="shared" si="54"/>
        <v>0.25251881037067575</v>
      </c>
      <c r="AE451" s="9"/>
      <c r="AF451" s="9">
        <f t="shared" si="55"/>
        <v>0.72751927598268995</v>
      </c>
      <c r="AG451" s="9">
        <f t="shared" si="56"/>
        <v>0.30594658631385196</v>
      </c>
      <c r="AH451" s="9">
        <f t="shared" si="57"/>
        <v>0.49836199584247703</v>
      </c>
      <c r="AI451" s="9">
        <f t="shared" si="58"/>
        <v>0.45818685607271575</v>
      </c>
    </row>
    <row r="452" spans="16:35" x14ac:dyDescent="0.3">
      <c r="P452" s="9">
        <v>3.1933646253433465E-2</v>
      </c>
      <c r="Q452" s="9">
        <v>0.39869247758735327</v>
      </c>
      <c r="R452" s="9">
        <v>0.20434945363657453</v>
      </c>
      <c r="S452" s="9">
        <v>0.36502442252263878</v>
      </c>
      <c r="U452" s="9">
        <f t="array" ref="U452">MMULT(TRANSPOSE($B$3:$B$6),TRANSPOSE(P452:S452))</f>
        <v>0.10492346014816833</v>
      </c>
      <c r="V452" s="9">
        <f>INT(200*U452)/200</f>
        <v>0.1</v>
      </c>
      <c r="W452" s="9">
        <f t="array" ref="W452">SQRT(MMULT(MMULT(P452:S452,$K$3:$N$6),TRANSPOSE(P452:S452)))</f>
        <v>9.9789670843073275E-2</v>
      </c>
      <c r="Y452" s="31">
        <f>U452/W452</f>
        <v>1.0514460991976646</v>
      </c>
      <c r="AA452" s="9">
        <f t="shared" si="51"/>
        <v>0.24682915751987608</v>
      </c>
      <c r="AB452" s="9">
        <f t="shared" si="52"/>
        <v>0.28659418640755446</v>
      </c>
      <c r="AC452" s="9">
        <f t="shared" si="53"/>
        <v>0.21113029651562931</v>
      </c>
      <c r="AD452" s="9">
        <f t="shared" si="54"/>
        <v>0.25544635955694017</v>
      </c>
      <c r="AE452" s="9"/>
      <c r="AF452" s="9">
        <f t="shared" si="55"/>
        <v>0.72608273961831549</v>
      </c>
      <c r="AG452" s="9">
        <f t="shared" si="56"/>
        <v>0.30608912569738006</v>
      </c>
      <c r="AH452" s="9">
        <f t="shared" si="57"/>
        <v>0.50088498455815056</v>
      </c>
      <c r="AI452" s="9">
        <f t="shared" si="58"/>
        <v>0.45759796739184366</v>
      </c>
    </row>
    <row r="453" spans="16:35" x14ac:dyDescent="0.3">
      <c r="P453" s="9">
        <v>0.11231540629624465</v>
      </c>
      <c r="Q453" s="9">
        <v>0.38816701987597602</v>
      </c>
      <c r="R453" s="9">
        <v>0.11056264993270017</v>
      </c>
      <c r="S453" s="9">
        <v>0.38895492389507919</v>
      </c>
      <c r="U453" s="9">
        <f t="array" ref="U453">MMULT(TRANSPOSE($B$3:$B$6),TRANSPOSE(P453:S453))</f>
        <v>0.10129790343549674</v>
      </c>
      <c r="V453" s="9">
        <f>INT(200*U453)/200</f>
        <v>0.1</v>
      </c>
      <c r="W453" s="9">
        <f t="array" ref="W453">SQRT(MMULT(MMULT(P453:S453,$K$3:$N$6),TRANSPOSE(P453:S453)))</f>
        <v>9.6388656958903099E-2</v>
      </c>
      <c r="Y453" s="31">
        <f>U453/W453</f>
        <v>1.0509317862856704</v>
      </c>
      <c r="AA453" s="9">
        <f t="shared" si="51"/>
        <v>0.24434929621256521</v>
      </c>
      <c r="AB453" s="9">
        <f t="shared" si="52"/>
        <v>0.28932547822714333</v>
      </c>
      <c r="AC453" s="9">
        <f t="shared" si="53"/>
        <v>0.20810175989396901</v>
      </c>
      <c r="AD453" s="9">
        <f t="shared" si="54"/>
        <v>0.25822346566632259</v>
      </c>
      <c r="AE453" s="9"/>
      <c r="AF453" s="9">
        <f t="shared" si="55"/>
        <v>0.73631738538803859</v>
      </c>
      <c r="AG453" s="9">
        <f t="shared" si="56"/>
        <v>0.30685408591084906</v>
      </c>
      <c r="AH453" s="9">
        <f t="shared" si="57"/>
        <v>0.51884944157019963</v>
      </c>
      <c r="AI453" s="9">
        <f t="shared" si="58"/>
        <v>0.46132775063073511</v>
      </c>
    </row>
    <row r="454" spans="16:35" x14ac:dyDescent="0.3">
      <c r="P454" s="9">
        <v>0.18901559556811803</v>
      </c>
      <c r="Q454" s="9">
        <v>0.3072580632025691</v>
      </c>
      <c r="R454" s="9">
        <v>0.1742211285085358</v>
      </c>
      <c r="S454" s="9">
        <v>0.32950521272077699</v>
      </c>
      <c r="U454" s="9">
        <f t="array" ref="U454">MMULT(TRANSPOSE($B$3:$B$6),TRANSPOSE(P454:S454))</f>
        <v>9.5347096101655496E-2</v>
      </c>
      <c r="V454" s="9">
        <f>INT(200*U454)/200</f>
        <v>9.5000000000000001E-2</v>
      </c>
      <c r="W454" s="9">
        <f t="array" ref="W454">SQRT(MMULT(MMULT(P454:S454,$K$3:$N$6),TRANSPOSE(P454:S454)))</f>
        <v>9.0753408229242036E-2</v>
      </c>
      <c r="Y454" s="31">
        <f>U454/W454</f>
        <v>1.0506172491154255</v>
      </c>
      <c r="AA454" s="9">
        <f t="shared" si="51"/>
        <v>0.24391681003074406</v>
      </c>
      <c r="AB454" s="9">
        <f t="shared" si="52"/>
        <v>0.28973462918504156</v>
      </c>
      <c r="AC454" s="9">
        <f t="shared" si="53"/>
        <v>0.20610647762142456</v>
      </c>
      <c r="AD454" s="9">
        <f t="shared" si="54"/>
        <v>0.26024208316278996</v>
      </c>
      <c r="AE454" s="9"/>
      <c r="AF454" s="9">
        <f t="shared" si="55"/>
        <v>0.73754741638866483</v>
      </c>
      <c r="AG454" s="9">
        <f t="shared" si="56"/>
        <v>0.30580017107191948</v>
      </c>
      <c r="AH454" s="9">
        <f t="shared" si="57"/>
        <v>0.5209909483013424</v>
      </c>
      <c r="AI454" s="9">
        <f t="shared" si="58"/>
        <v>0.45770146090797609</v>
      </c>
    </row>
    <row r="455" spans="16:35" x14ac:dyDescent="0.3">
      <c r="P455" s="9">
        <v>0.40006875342869674</v>
      </c>
      <c r="Q455" s="9">
        <v>0.20657623276270734</v>
      </c>
      <c r="R455" s="9">
        <v>0.35780829683960919</v>
      </c>
      <c r="S455" s="9">
        <v>3.5546716968986689E-2</v>
      </c>
      <c r="U455" s="9">
        <f t="array" ref="U455">MMULT(TRANSPOSE($B$3:$B$6),TRANSPOSE(P455:S455))</f>
        <v>8.2268483898647729E-2</v>
      </c>
      <c r="V455" s="9">
        <f>INT(200*U455)/200</f>
        <v>0.08</v>
      </c>
      <c r="W455" s="9">
        <f t="array" ref="W455">SQRT(MMULT(MMULT(P455:S455,$K$3:$N$6),TRANSPOSE(P455:S455)))</f>
        <v>7.8311687532488766E-2</v>
      </c>
      <c r="Y455" s="31">
        <f>U455/W455</f>
        <v>1.0505262559246655</v>
      </c>
      <c r="AA455" s="9">
        <f t="shared" si="51"/>
        <v>0.24738257640884051</v>
      </c>
      <c r="AB455" s="9">
        <f t="shared" si="52"/>
        <v>0.28752179364981628</v>
      </c>
      <c r="AC455" s="9">
        <f t="shared" si="53"/>
        <v>0.21115600279668795</v>
      </c>
      <c r="AD455" s="9">
        <f t="shared" si="54"/>
        <v>0.25393962714465534</v>
      </c>
      <c r="AE455" s="9"/>
      <c r="AF455" s="9">
        <f t="shared" si="55"/>
        <v>0.73460341664541429</v>
      </c>
      <c r="AG455" s="9">
        <f t="shared" si="56"/>
        <v>0.31462922874388893</v>
      </c>
      <c r="AH455" s="9">
        <f t="shared" si="57"/>
        <v>0.51741791560384842</v>
      </c>
      <c r="AI455" s="9">
        <f t="shared" si="58"/>
        <v>0.48145729791996478</v>
      </c>
    </row>
    <row r="456" spans="16:35" x14ac:dyDescent="0.3">
      <c r="P456" s="9">
        <v>0.22606616778056959</v>
      </c>
      <c r="Q456" s="9">
        <v>0.3022394862696256</v>
      </c>
      <c r="R456" s="9">
        <v>0.13178349971824535</v>
      </c>
      <c r="S456" s="9">
        <v>0.33991084623155948</v>
      </c>
      <c r="U456" s="9">
        <f t="array" ref="U456">MMULT(TRANSPOSE($B$3:$B$6),TRANSPOSE(P456:S456))</f>
        <v>9.3668516215859837E-2</v>
      </c>
      <c r="V456" s="9">
        <f>INT(200*U456)/200</f>
        <v>0.09</v>
      </c>
      <c r="W456" s="9">
        <f t="array" ref="W456">SQRT(MMULT(MMULT(P456:S456,$K$3:$N$6),TRANSPOSE(P456:S456)))</f>
        <v>8.9174723786922552E-2</v>
      </c>
      <c r="Y456" s="31">
        <f>U456/W456</f>
        <v>1.0503931185665898</v>
      </c>
      <c r="AA456" s="9">
        <f t="shared" si="51"/>
        <v>0.22311165863715643</v>
      </c>
      <c r="AB456" s="9">
        <f t="shared" si="52"/>
        <v>0.29689557811052586</v>
      </c>
      <c r="AC456" s="9">
        <f t="shared" si="53"/>
        <v>0.22176599946677716</v>
      </c>
      <c r="AD456" s="9">
        <f t="shared" si="54"/>
        <v>0.25822676378554055</v>
      </c>
      <c r="AE456" s="9"/>
      <c r="AF456" s="9">
        <f t="shared" si="55"/>
        <v>0.79786365404773951</v>
      </c>
      <c r="AG456" s="9">
        <f t="shared" si="56"/>
        <v>0.29259818897082451</v>
      </c>
      <c r="AH456" s="9">
        <f t="shared" si="57"/>
        <v>0.52501117569236189</v>
      </c>
      <c r="AI456" s="9">
        <f t="shared" si="58"/>
        <v>0.46388090319235342</v>
      </c>
    </row>
    <row r="457" spans="16:35" x14ac:dyDescent="0.3">
      <c r="P457" s="9">
        <v>0.56304495983945713</v>
      </c>
      <c r="Q457" s="9">
        <v>0.1532998228545151</v>
      </c>
      <c r="R457" s="9">
        <v>0.16719789043716879</v>
      </c>
      <c r="S457" s="9">
        <v>0.116457326868859</v>
      </c>
      <c r="U457" s="9">
        <f t="array" ref="U457">MMULT(TRANSPOSE($B$3:$B$6),TRANSPOSE(P457:S457))</f>
        <v>7.4048062638187181E-2</v>
      </c>
      <c r="V457" s="9">
        <f>INT(200*U457)/200</f>
        <v>7.0000000000000007E-2</v>
      </c>
      <c r="W457" s="9">
        <f t="array" ref="W457">SQRT(MMULT(MMULT(P457:S457,$K$3:$N$6),TRANSPOSE(P457:S457)))</f>
        <v>7.0507799858459314E-2</v>
      </c>
      <c r="Y457" s="31">
        <f>U457/W457</f>
        <v>1.0502109381775457</v>
      </c>
      <c r="AA457" s="9">
        <f t="shared" si="51"/>
        <v>0.2157407795620935</v>
      </c>
      <c r="AB457" s="9">
        <f t="shared" si="52"/>
        <v>0.30233672770347819</v>
      </c>
      <c r="AC457" s="9">
        <f t="shared" si="53"/>
        <v>0.21789262366558218</v>
      </c>
      <c r="AD457" s="9">
        <f t="shared" si="54"/>
        <v>0.26402986906884618</v>
      </c>
      <c r="AE457" s="9"/>
      <c r="AF457" s="9">
        <f t="shared" si="55"/>
        <v>0.84816468669490253</v>
      </c>
      <c r="AG457" s="9">
        <f t="shared" si="56"/>
        <v>0.29546670572942146</v>
      </c>
      <c r="AH457" s="9">
        <f t="shared" si="57"/>
        <v>0.52934487768803806</v>
      </c>
      <c r="AI457" s="9">
        <f t="shared" si="58"/>
        <v>0.46264635533035214</v>
      </c>
    </row>
    <row r="458" spans="16:35" x14ac:dyDescent="0.3">
      <c r="P458" s="9">
        <v>2.5382189519045507E-2</v>
      </c>
      <c r="Q458" s="9">
        <v>0.45199658019402783</v>
      </c>
      <c r="R458" s="9">
        <v>0.10696217290311011</v>
      </c>
      <c r="S458" s="9">
        <v>0.41565905738381659</v>
      </c>
      <c r="U458" s="9">
        <f t="array" ref="U458">MMULT(TRANSPOSE($B$3:$B$6),TRANSPOSE(P458:S458))</f>
        <v>0.10703243059205267</v>
      </c>
      <c r="V458" s="9">
        <f>INT(200*U458)/200</f>
        <v>0.105</v>
      </c>
      <c r="W458" s="9">
        <f t="array" ref="W458">SQRT(MMULT(MMULT(P458:S458,$K$3:$N$6),TRANSPOSE(P458:S458)))</f>
        <v>0.10194741303621248</v>
      </c>
      <c r="Y458" s="31">
        <f>U458/W458</f>
        <v>1.0498788287451095</v>
      </c>
      <c r="AA458" s="9">
        <f t="shared" si="51"/>
        <v>0.21015944429087011</v>
      </c>
      <c r="AB458" s="9">
        <f t="shared" si="52"/>
        <v>0.30287487068239605</v>
      </c>
      <c r="AC458" s="9">
        <f t="shared" si="53"/>
        <v>0.22767283983114353</v>
      </c>
      <c r="AD458" s="9">
        <f t="shared" si="54"/>
        <v>0.25929284519559032</v>
      </c>
      <c r="AE458" s="9"/>
      <c r="AF458" s="9">
        <f t="shared" si="55"/>
        <v>0.86236796367504587</v>
      </c>
      <c r="AG458" s="9">
        <f t="shared" si="56"/>
        <v>0.29384107625713712</v>
      </c>
      <c r="AH458" s="9">
        <f t="shared" si="57"/>
        <v>0.51309447305290712</v>
      </c>
      <c r="AI458" s="9">
        <f t="shared" si="58"/>
        <v>0.47398586597780262</v>
      </c>
    </row>
    <row r="459" spans="16:35" x14ac:dyDescent="0.3">
      <c r="P459" s="9">
        <v>0.2446896193965338</v>
      </c>
      <c r="Q459" s="9">
        <v>0.2625017334243871</v>
      </c>
      <c r="R459" s="9">
        <v>0.20761186292340525</v>
      </c>
      <c r="S459" s="9">
        <v>0.28519678425567385</v>
      </c>
      <c r="U459" s="9">
        <f t="array" ref="U459">MMULT(TRANSPOSE($B$3:$B$6),TRANSPOSE(P459:S459))</f>
        <v>9.1455480039118298E-2</v>
      </c>
      <c r="V459" s="9">
        <f>INT(200*U459)/200</f>
        <v>0.09</v>
      </c>
      <c r="W459" s="9">
        <f t="array" ref="W459">SQRT(MMULT(MMULT(P459:S459,$K$3:$N$6),TRANSPOSE(P459:S459)))</f>
        <v>8.7143861009452969E-2</v>
      </c>
      <c r="Y459" s="31">
        <f>U459/W459</f>
        <v>1.0494770254579107</v>
      </c>
      <c r="AA459" s="9">
        <f t="shared" si="51"/>
        <v>0.21313797874187199</v>
      </c>
      <c r="AB459" s="9">
        <f t="shared" si="52"/>
        <v>0.30241432837682758</v>
      </c>
      <c r="AC459" s="9">
        <f t="shared" si="53"/>
        <v>0.21926505328274329</v>
      </c>
      <c r="AD459" s="9">
        <f t="shared" si="54"/>
        <v>0.26518263959855709</v>
      </c>
      <c r="AE459" s="9"/>
      <c r="AF459" s="9">
        <f t="shared" si="55"/>
        <v>0.85953904332454922</v>
      </c>
      <c r="AG459" s="9">
        <f t="shared" si="56"/>
        <v>0.29574503924012807</v>
      </c>
      <c r="AH459" s="9">
        <f t="shared" si="57"/>
        <v>0.52680358578066733</v>
      </c>
      <c r="AI459" s="9">
        <f t="shared" si="58"/>
        <v>0.45377985797946901</v>
      </c>
    </row>
    <row r="460" spans="16:35" x14ac:dyDescent="0.3">
      <c r="P460" s="9">
        <v>0.13556566919516141</v>
      </c>
      <c r="Q460" s="9">
        <v>0.30829684064380997</v>
      </c>
      <c r="R460" s="9">
        <v>0.26701770843601291</v>
      </c>
      <c r="S460" s="9">
        <v>0.28911978172501568</v>
      </c>
      <c r="U460" s="9">
        <f t="array" ref="U460">MMULT(TRANSPOSE($B$3:$B$6),TRANSPOSE(P460:S460))</f>
        <v>9.7484409584237069E-2</v>
      </c>
      <c r="V460" s="9">
        <f>INT(200*U460)/200</f>
        <v>9.5000000000000001E-2</v>
      </c>
      <c r="W460" s="9">
        <f t="array" ref="W460">SQRT(MMULT(MMULT(P460:S460,$K$3:$N$6),TRANSPOSE(P460:S460)))</f>
        <v>9.2927307519662772E-2</v>
      </c>
      <c r="Y460" s="31">
        <f>U460/W460</f>
        <v>1.049039428626618</v>
      </c>
      <c r="AA460" s="9">
        <f t="shared" si="51"/>
        <v>0.18528294836431611</v>
      </c>
      <c r="AB460" s="9">
        <f t="shared" si="52"/>
        <v>0.30979875233499204</v>
      </c>
      <c r="AC460" s="9">
        <f t="shared" si="53"/>
        <v>0.23210466420771991</v>
      </c>
      <c r="AD460" s="9">
        <f t="shared" si="54"/>
        <v>0.27281363509297196</v>
      </c>
      <c r="AE460" s="9"/>
      <c r="AF460" s="9">
        <f t="shared" si="55"/>
        <v>0.8228553655740567</v>
      </c>
      <c r="AG460" s="9">
        <f t="shared" si="56"/>
        <v>0.26898327404278138</v>
      </c>
      <c r="AH460" s="9">
        <f t="shared" si="57"/>
        <v>0.50564562320233619</v>
      </c>
      <c r="AI460" s="9">
        <f t="shared" si="58"/>
        <v>0.40961215380101068</v>
      </c>
    </row>
    <row r="461" spans="16:35" x14ac:dyDescent="0.3">
      <c r="P461" s="9">
        <v>2.2125904831395159E-2</v>
      </c>
      <c r="Q461" s="9">
        <v>0.37069839138584793</v>
      </c>
      <c r="R461" s="9">
        <v>0.55206894218680636</v>
      </c>
      <c r="S461" s="9">
        <v>5.5106761595950571E-2</v>
      </c>
      <c r="U461" s="9">
        <f t="array" ref="U461">MMULT(TRANSPOSE($B$3:$B$6),TRANSPOSE(P461:S461))</f>
        <v>0.10334152786192269</v>
      </c>
      <c r="V461" s="9">
        <f>INT(200*U461)/200</f>
        <v>0.1</v>
      </c>
      <c r="W461" s="9">
        <f t="array" ref="W461">SQRT(MMULT(MMULT(P461:S461,$K$3:$N$6),TRANSPOSE(P461:S461)))</f>
        <v>9.8570822526580032E-2</v>
      </c>
      <c r="Y461" s="31">
        <f>U461/W461</f>
        <v>1.0483987574929308</v>
      </c>
      <c r="AA461" s="9">
        <f t="shared" si="51"/>
        <v>0.18633678487061328</v>
      </c>
      <c r="AB461" s="9">
        <f t="shared" si="52"/>
        <v>0.31106938960818314</v>
      </c>
      <c r="AC461" s="9">
        <f t="shared" si="53"/>
        <v>0.22716638826101296</v>
      </c>
      <c r="AD461" s="9">
        <f t="shared" si="54"/>
        <v>0.27542743726019053</v>
      </c>
      <c r="AE461" s="9"/>
      <c r="AF461" s="9">
        <f t="shared" si="55"/>
        <v>0.82379379455772717</v>
      </c>
      <c r="AG461" s="9">
        <f t="shared" si="56"/>
        <v>0.26503625564335836</v>
      </c>
      <c r="AH461" s="9">
        <f t="shared" si="57"/>
        <v>0.54106290106095145</v>
      </c>
      <c r="AI461" s="9">
        <f t="shared" si="58"/>
        <v>0.40923541347805442</v>
      </c>
    </row>
    <row r="462" spans="16:35" x14ac:dyDescent="0.3">
      <c r="P462" s="9">
        <v>0.13727201064654532</v>
      </c>
      <c r="Q462" s="9">
        <v>0.32394553414843419</v>
      </c>
      <c r="R462" s="9">
        <v>0.20900380140436331</v>
      </c>
      <c r="S462" s="9">
        <v>0.32977865380065713</v>
      </c>
      <c r="U462" s="9">
        <f t="array" ref="U462">MMULT(TRANSPOSE($B$3:$B$6),TRANSPOSE(P462:S462))</f>
        <v>9.804460446176512E-2</v>
      </c>
      <c r="V462" s="9">
        <f>INT(200*U462)/200</f>
        <v>9.5000000000000001E-2</v>
      </c>
      <c r="W462" s="9">
        <f t="array" ref="W462">SQRT(MMULT(MMULT(P462:S462,$K$3:$N$6),TRANSPOSE(P462:S462)))</f>
        <v>9.3573339239220565E-2</v>
      </c>
      <c r="Y462" s="31">
        <f>U462/W462</f>
        <v>1.0477835381199099</v>
      </c>
      <c r="AA462" s="9">
        <f t="shared" ref="AA462:AA525" si="59">AVERAGE(P452:P472)</f>
        <v>0.19351397115313329</v>
      </c>
      <c r="AB462" s="9">
        <f t="shared" ref="AB462:AB525" si="60">AVERAGE(Q452:Q472)</f>
        <v>0.3073900133933985</v>
      </c>
      <c r="AC462" s="9">
        <f t="shared" ref="AC462:AC525" si="61">AVERAGE(R452:R472)</f>
        <v>0.2239824960716407</v>
      </c>
      <c r="AD462" s="9">
        <f t="shared" ref="AD462:AD525" si="62">AVERAGE(S452:S472)</f>
        <v>0.27511351938182743</v>
      </c>
      <c r="AE462" s="9"/>
      <c r="AF462" s="9">
        <f t="shared" ref="AF462:AF525" si="63">STDEV(P452:P472)/AA462</f>
        <v>0.76668749276077353</v>
      </c>
      <c r="AG462" s="9">
        <f t="shared" ref="AG462:AG525" si="64">STDEV(Q452:Q472)/AB462</f>
        <v>0.25219563546755314</v>
      </c>
      <c r="AH462" s="9">
        <f t="shared" ref="AH462:AH525" si="65">STDEV(R452:R472)/AC462</f>
        <v>0.56407788333463793</v>
      </c>
      <c r="AI462" s="9">
        <f t="shared" ref="AI462:AI525" si="66">STDEV(S452:S472)/AD462</f>
        <v>0.40832931073629569</v>
      </c>
    </row>
    <row r="463" spans="16:35" x14ac:dyDescent="0.3">
      <c r="P463" s="9">
        <v>0.171260051036107</v>
      </c>
      <c r="Q463" s="9">
        <v>0.34917576899911262</v>
      </c>
      <c r="R463" s="9">
        <v>0.10316328980598315</v>
      </c>
      <c r="S463" s="9">
        <v>0.37640089015879724</v>
      </c>
      <c r="U463" s="9">
        <f t="array" ref="U463">MMULT(TRANSPOSE($B$3:$B$6),TRANSPOSE(P463:S463))</f>
        <v>9.7562474389675385E-2</v>
      </c>
      <c r="V463" s="9">
        <f>INT(200*U463)/200</f>
        <v>9.5000000000000001E-2</v>
      </c>
      <c r="W463" s="9">
        <f t="array" ref="W463">SQRT(MMULT(MMULT(P463:S463,$K$3:$N$6),TRANSPOSE(P463:S463)))</f>
        <v>9.3128235352719232E-2</v>
      </c>
      <c r="Y463" s="31">
        <f>U463/W463</f>
        <v>1.0476143354393184</v>
      </c>
      <c r="AA463" s="9">
        <f t="shared" si="59"/>
        <v>0.19400284981382093</v>
      </c>
      <c r="AB463" s="9">
        <f t="shared" si="60"/>
        <v>0.30456536589162286</v>
      </c>
      <c r="AC463" s="9">
        <f t="shared" si="61"/>
        <v>0.23783871298593479</v>
      </c>
      <c r="AD463" s="9">
        <f t="shared" si="62"/>
        <v>0.26359307130862136</v>
      </c>
      <c r="AE463" s="9"/>
      <c r="AF463" s="9">
        <f t="shared" si="63"/>
        <v>0.76195589473377778</v>
      </c>
      <c r="AG463" s="9">
        <f t="shared" si="64"/>
        <v>0.24648649675404571</v>
      </c>
      <c r="AH463" s="9">
        <f t="shared" si="65"/>
        <v>0.58597490087816617</v>
      </c>
      <c r="AI463" s="9">
        <f t="shared" si="66"/>
        <v>0.43638587520899497</v>
      </c>
    </row>
    <row r="464" spans="16:35" x14ac:dyDescent="0.3">
      <c r="P464" s="9">
        <v>0.24689031654901497</v>
      </c>
      <c r="Q464" s="9">
        <v>0.25670597808309037</v>
      </c>
      <c r="R464" s="9">
        <v>0.21667620538147667</v>
      </c>
      <c r="S464" s="9">
        <v>0.27972749998641799</v>
      </c>
      <c r="U464" s="9">
        <f t="array" ref="U464">MMULT(TRANSPOSE($B$3:$B$6),TRANSPOSE(P464:S464))</f>
        <v>9.1163584192605993E-2</v>
      </c>
      <c r="V464" s="9">
        <f>INT(200*U464)/200</f>
        <v>0.09</v>
      </c>
      <c r="W464" s="9">
        <f t="array" ref="W464">SQRT(MMULT(MMULT(P464:S464,$K$3:$N$6),TRANSPOSE(P464:S464)))</f>
        <v>8.7081841874787916E-2</v>
      </c>
      <c r="Y464" s="31">
        <f>U464/W464</f>
        <v>1.0468724848940043</v>
      </c>
      <c r="AA464" s="9">
        <f t="shared" si="59"/>
        <v>0.19741120562904318</v>
      </c>
      <c r="AB464" s="9">
        <f t="shared" si="60"/>
        <v>0.29951584482650973</v>
      </c>
      <c r="AC464" s="9">
        <f t="shared" si="61"/>
        <v>0.25524874387573099</v>
      </c>
      <c r="AD464" s="9">
        <f t="shared" si="62"/>
        <v>0.24782420566871599</v>
      </c>
      <c r="AE464" s="9"/>
      <c r="AF464" s="9">
        <f t="shared" si="63"/>
        <v>0.74293955311246429</v>
      </c>
      <c r="AG464" s="9">
        <f t="shared" si="64"/>
        <v>0.24270994684246569</v>
      </c>
      <c r="AH464" s="9">
        <f t="shared" si="65"/>
        <v>0.56956077148258233</v>
      </c>
      <c r="AI464" s="9">
        <f t="shared" si="66"/>
        <v>0.4825636816268784</v>
      </c>
    </row>
    <row r="465" spans="16:35" x14ac:dyDescent="0.3">
      <c r="P465" s="9">
        <v>0.37286197619773059</v>
      </c>
      <c r="Q465" s="9">
        <v>0.19364932346384417</v>
      </c>
      <c r="R465" s="9">
        <v>0.29998309559070169</v>
      </c>
      <c r="S465" s="9">
        <v>0.13350560474772347</v>
      </c>
      <c r="U465" s="9">
        <f t="array" ref="U465">MMULT(TRANSPOSE($B$3:$B$6),TRANSPOSE(P465:S465))</f>
        <v>8.3372267463012753E-2</v>
      </c>
      <c r="V465" s="9">
        <f>INT(200*U465)/200</f>
        <v>0.08</v>
      </c>
      <c r="W465" s="9">
        <f t="array" ref="W465">SQRT(MMULT(MMULT(P465:S465,$K$3:$N$6),TRANSPOSE(P465:S465)))</f>
        <v>7.970744909461501E-2</v>
      </c>
      <c r="Y465" s="31">
        <f>U465/W465</f>
        <v>1.0459783672671232</v>
      </c>
      <c r="AA465" s="9">
        <f t="shared" si="59"/>
        <v>0.19688062363234562</v>
      </c>
      <c r="AB465" s="9">
        <f t="shared" si="60"/>
        <v>0.29754209607146076</v>
      </c>
      <c r="AC465" s="9">
        <f t="shared" si="61"/>
        <v>0.26373130750260126</v>
      </c>
      <c r="AD465" s="9">
        <f t="shared" si="62"/>
        <v>0.2418459727935923</v>
      </c>
      <c r="AE465" s="9"/>
      <c r="AF465" s="9">
        <f t="shared" si="63"/>
        <v>0.74520603582179268</v>
      </c>
      <c r="AG465" s="9">
        <f t="shared" si="64"/>
        <v>0.24546658055176068</v>
      </c>
      <c r="AH465" s="9">
        <f t="shared" si="65"/>
        <v>0.55212319257827225</v>
      </c>
      <c r="AI465" s="9">
        <f t="shared" si="66"/>
        <v>0.48971646901150284</v>
      </c>
    </row>
    <row r="466" spans="16:35" x14ac:dyDescent="0.3">
      <c r="P466" s="9">
        <v>6.6259442913345276E-3</v>
      </c>
      <c r="Q466" s="9">
        <v>0.35827765963153985</v>
      </c>
      <c r="R466" s="9">
        <v>0.40052910424700067</v>
      </c>
      <c r="S466" s="9">
        <v>0.23456729183012504</v>
      </c>
      <c r="U466" s="9">
        <f t="array" ref="U466">MMULT(TRANSPOSE($B$3:$B$6),TRANSPOSE(P466:S466))</f>
        <v>0.10426468769123365</v>
      </c>
      <c r="V466" s="9">
        <f>INT(200*U466)/200</f>
        <v>0.1</v>
      </c>
      <c r="W466" s="9">
        <f t="array" ref="W466">SQRT(MMULT(MMULT(P466:S466,$K$3:$N$6),TRANSPOSE(P466:S466)))</f>
        <v>9.9719844387112538E-2</v>
      </c>
      <c r="Y466" s="31">
        <f>U466/W466</f>
        <v>1.0455761170913787</v>
      </c>
      <c r="AA466" s="9">
        <f t="shared" si="59"/>
        <v>0.18467330239444077</v>
      </c>
      <c r="AB466" s="9">
        <f t="shared" si="60"/>
        <v>0.30572827227897154</v>
      </c>
      <c r="AC466" s="9">
        <f t="shared" si="61"/>
        <v>0.2501621581550057</v>
      </c>
      <c r="AD466" s="9">
        <f t="shared" si="62"/>
        <v>0.25943626717158202</v>
      </c>
      <c r="AE466" s="9"/>
      <c r="AF466" s="9">
        <f t="shared" si="63"/>
        <v>0.75511834690211932</v>
      </c>
      <c r="AG466" s="9">
        <f t="shared" si="64"/>
        <v>0.23536334048350779</v>
      </c>
      <c r="AH466" s="9">
        <f t="shared" si="65"/>
        <v>0.5981264454480828</v>
      </c>
      <c r="AI466" s="9">
        <f t="shared" si="66"/>
        <v>0.43786038505610797</v>
      </c>
    </row>
    <row r="467" spans="16:35" x14ac:dyDescent="0.3">
      <c r="P467" s="9">
        <v>2.6098088503911258E-2</v>
      </c>
      <c r="Q467" s="9">
        <v>0.39467241179945839</v>
      </c>
      <c r="R467" s="9">
        <v>0.21019655042496921</v>
      </c>
      <c r="S467" s="9">
        <v>0.36903294927166119</v>
      </c>
      <c r="U467" s="9">
        <f t="array" ref="U467">MMULT(TRANSPOSE($B$3:$B$6),TRANSPOSE(P467:S467))</f>
        <v>0.10505966689501228</v>
      </c>
      <c r="V467" s="9">
        <f>INT(200*U467)/200</f>
        <v>0.105</v>
      </c>
      <c r="W467" s="9">
        <f t="array" ref="W467">SQRT(MMULT(MMULT(P467:S467,$K$3:$N$6),TRANSPOSE(P467:S467)))</f>
        <v>0.10051217938781672</v>
      </c>
      <c r="Y467" s="31">
        <f>U467/W467</f>
        <v>1.0452431489884377</v>
      </c>
      <c r="AA467" s="9">
        <f t="shared" si="59"/>
        <v>0.17485930805352229</v>
      </c>
      <c r="AB467" s="9">
        <f t="shared" si="60"/>
        <v>0.31056370026278163</v>
      </c>
      <c r="AC467" s="9">
        <f t="shared" si="61"/>
        <v>0.25283672515446848</v>
      </c>
      <c r="AD467" s="9">
        <f t="shared" si="62"/>
        <v>0.26174026652922761</v>
      </c>
      <c r="AE467" s="9"/>
      <c r="AF467" s="9">
        <f t="shared" si="63"/>
        <v>0.82113050915533181</v>
      </c>
      <c r="AG467" s="9">
        <f t="shared" si="64"/>
        <v>0.2416771295752515</v>
      </c>
      <c r="AH467" s="9">
        <f t="shared" si="65"/>
        <v>0.58495772440365945</v>
      </c>
      <c r="AI467" s="9">
        <f t="shared" si="66"/>
        <v>0.44234830052878688</v>
      </c>
    </row>
    <row r="468" spans="16:35" x14ac:dyDescent="0.3">
      <c r="P468" s="9">
        <v>0.20869353994736758</v>
      </c>
      <c r="Q468" s="9">
        <v>0.25565293301219078</v>
      </c>
      <c r="R468" s="9">
        <v>0.34217413426105064</v>
      </c>
      <c r="S468" s="9">
        <v>0.19347939277939111</v>
      </c>
      <c r="U468" s="9">
        <f t="array" ref="U468">MMULT(TRANSPOSE($B$3:$B$6),TRANSPOSE(P468:S468))</f>
        <v>9.2426286443688235E-2</v>
      </c>
      <c r="V468" s="9">
        <f>INT(200*U468)/200</f>
        <v>0.09</v>
      </c>
      <c r="W468" s="9">
        <f t="array" ref="W468">SQRT(MMULT(MMULT(P468:S468,$K$3:$N$6),TRANSPOSE(P468:S468)))</f>
        <v>8.8464136067289478E-2</v>
      </c>
      <c r="Y468" s="31">
        <f>U468/W468</f>
        <v>1.0447882108223494</v>
      </c>
      <c r="AA468" s="9">
        <f t="shared" si="59"/>
        <v>0.15833889398032627</v>
      </c>
      <c r="AB468" s="9">
        <f t="shared" si="60"/>
        <v>0.31516010775461134</v>
      </c>
      <c r="AC468" s="9">
        <f t="shared" si="61"/>
        <v>0.26334444303664728</v>
      </c>
      <c r="AD468" s="9">
        <f t="shared" si="62"/>
        <v>0.26315655522841513</v>
      </c>
      <c r="AE468" s="9"/>
      <c r="AF468" s="9">
        <f t="shared" si="63"/>
        <v>0.71675466351669848</v>
      </c>
      <c r="AG468" s="9">
        <f t="shared" si="64"/>
        <v>0.21424402220748562</v>
      </c>
      <c r="AH468" s="9">
        <f t="shared" si="65"/>
        <v>0.56709697406763182</v>
      </c>
      <c r="AI468" s="9">
        <f t="shared" si="66"/>
        <v>0.43352065897159636</v>
      </c>
    </row>
    <row r="469" spans="16:35" x14ac:dyDescent="0.3">
      <c r="P469" s="9">
        <v>0.35744900188028805</v>
      </c>
      <c r="Q469" s="9">
        <v>0.21654527761276973</v>
      </c>
      <c r="R469" s="9">
        <v>0.15239900597020989</v>
      </c>
      <c r="S469" s="9">
        <v>0.2736067145367323</v>
      </c>
      <c r="U469" s="9">
        <f t="array" ref="U469">MMULT(TRANSPOSE($B$3:$B$6),TRANSPOSE(P469:S469))</f>
        <v>8.5240419406153067E-2</v>
      </c>
      <c r="V469" s="9">
        <f>INT(200*U469)/200</f>
        <v>8.5000000000000006E-2</v>
      </c>
      <c r="W469" s="9">
        <f t="array" ref="W469">SQRT(MMULT(MMULT(P469:S469,$K$3:$N$6),TRANSPOSE(P469:S469)))</f>
        <v>8.1663921651625282E-2</v>
      </c>
      <c r="Y469" s="31">
        <f>U469/W469</f>
        <v>1.0437953221226011</v>
      </c>
      <c r="AA469" s="9">
        <f t="shared" si="59"/>
        <v>0.16326412307166677</v>
      </c>
      <c r="AB469" s="9">
        <f t="shared" si="60"/>
        <v>0.30812434824768331</v>
      </c>
      <c r="AC469" s="9">
        <f t="shared" si="61"/>
        <v>0.27093188124557155</v>
      </c>
      <c r="AD469" s="9">
        <f t="shared" si="62"/>
        <v>0.25767964743507832</v>
      </c>
      <c r="AE469" s="9"/>
      <c r="AF469" s="9">
        <f t="shared" si="63"/>
        <v>0.67136350981277304</v>
      </c>
      <c r="AG469" s="9">
        <f t="shared" si="64"/>
        <v>0.19410018885925201</v>
      </c>
      <c r="AH469" s="9">
        <f t="shared" si="65"/>
        <v>0.53512880767403981</v>
      </c>
      <c r="AI469" s="9">
        <f t="shared" si="66"/>
        <v>0.4231844163505919</v>
      </c>
    </row>
    <row r="470" spans="16:35" x14ac:dyDescent="0.3">
      <c r="P470" s="9">
        <v>8.3122336844605363E-2</v>
      </c>
      <c r="Q470" s="9">
        <v>0.31560593332232756</v>
      </c>
      <c r="R470" s="9">
        <v>0.37650532576418222</v>
      </c>
      <c r="S470" s="9">
        <v>0.22476640406888496</v>
      </c>
      <c r="U470" s="9">
        <f t="array" ref="U470">MMULT(TRANSPOSE($B$3:$B$6),TRANSPOSE(P470:S470))</f>
        <v>9.9685848286366535E-2</v>
      </c>
      <c r="V470" s="9">
        <f>INT(200*U470)/200</f>
        <v>9.5000000000000001E-2</v>
      </c>
      <c r="W470" s="9">
        <f t="array" ref="W470">SQRT(MMULT(MMULT(P470:S470,$K$3:$N$6),TRANSPOSE(P470:S470)))</f>
        <v>9.5521369544126322E-2</v>
      </c>
      <c r="Y470" s="31">
        <f>U470/W470</f>
        <v>1.0435973516932924</v>
      </c>
      <c r="AA470" s="9">
        <f t="shared" si="59"/>
        <v>0.16890065148782971</v>
      </c>
      <c r="AB470" s="9">
        <f t="shared" si="60"/>
        <v>0.30484926502199639</v>
      </c>
      <c r="AC470" s="9">
        <f t="shared" si="61"/>
        <v>0.2717660475855383</v>
      </c>
      <c r="AD470" s="9">
        <f t="shared" si="62"/>
        <v>0.2544840359046357</v>
      </c>
      <c r="AE470" s="9"/>
      <c r="AF470" s="9">
        <f t="shared" si="63"/>
        <v>0.6916070268511193</v>
      </c>
      <c r="AG470" s="9">
        <f t="shared" si="64"/>
        <v>0.210449281185947</v>
      </c>
      <c r="AH470" s="9">
        <f t="shared" si="65"/>
        <v>0.53226272772845662</v>
      </c>
      <c r="AI470" s="9">
        <f t="shared" si="66"/>
        <v>0.42903482976362323</v>
      </c>
    </row>
    <row r="471" spans="16:35" x14ac:dyDescent="0.3">
      <c r="P471" s="9">
        <v>0.3409385291484785</v>
      </c>
      <c r="Q471" s="9">
        <v>0.26873038657637616</v>
      </c>
      <c r="R471" s="9">
        <v>4.922673449177082E-2</v>
      </c>
      <c r="S471" s="9">
        <v>0.34110434978337456</v>
      </c>
      <c r="U471" s="9">
        <f t="array" ref="U471">MMULT(TRANSPOSE($B$3:$B$6),TRANSPOSE(P471:S471))</f>
        <v>8.7795921217262152E-2</v>
      </c>
      <c r="V471" s="9">
        <f>INT(200*U471)/200</f>
        <v>8.5000000000000006E-2</v>
      </c>
      <c r="W471" s="9">
        <f t="array" ref="W471">SQRT(MMULT(MMULT(P471:S471,$K$3:$N$6),TRANSPOSE(P471:S471)))</f>
        <v>8.425435131447509E-2</v>
      </c>
      <c r="Y471" s="31">
        <f>U471/W471</f>
        <v>1.0420342670441831</v>
      </c>
      <c r="AA471" s="9">
        <f t="shared" si="59"/>
        <v>0.17044901754562428</v>
      </c>
      <c r="AB471" s="9">
        <f t="shared" si="60"/>
        <v>0.30835473982011574</v>
      </c>
      <c r="AC471" s="9">
        <f t="shared" si="61"/>
        <v>0.26091882112258602</v>
      </c>
      <c r="AD471" s="9">
        <f t="shared" si="62"/>
        <v>0.26027742151167399</v>
      </c>
      <c r="AE471" s="9"/>
      <c r="AF471" s="9">
        <f t="shared" si="63"/>
        <v>0.68386525336179882</v>
      </c>
      <c r="AG471" s="9">
        <f t="shared" si="64"/>
        <v>0.21510130987955692</v>
      </c>
      <c r="AH471" s="9">
        <f t="shared" si="65"/>
        <v>0.58756501208980172</v>
      </c>
      <c r="AI471" s="9">
        <f t="shared" si="66"/>
        <v>0.43885332533997062</v>
      </c>
    </row>
    <row r="472" spans="16:35" x14ac:dyDescent="0.3">
      <c r="P472" s="9">
        <v>0.1623736870617607</v>
      </c>
      <c r="Q472" s="9">
        <v>0.37250242641140535</v>
      </c>
      <c r="R472" s="9">
        <v>6.4191564640579207E-2</v>
      </c>
      <c r="S472" s="9">
        <v>0.40093232188625483</v>
      </c>
      <c r="U472" s="9">
        <f t="array" ref="U472">MMULT(TRANSPOSE($B$3:$B$6),TRANSPOSE(P472:S472))</f>
        <v>9.8747695490229589E-2</v>
      </c>
      <c r="V472" s="9">
        <f>INT(200*U472)/200</f>
        <v>9.5000000000000001E-2</v>
      </c>
      <c r="W472" s="9">
        <f t="array" ref="W472">SQRT(MMULT(MMULT(P472:S472,$K$3:$N$6),TRANSPOSE(P472:S472)))</f>
        <v>9.4784449086910028E-2</v>
      </c>
      <c r="Y472" s="31">
        <f>U472/W472</f>
        <v>1.0418132556711446</v>
      </c>
      <c r="AA472" s="9">
        <f t="shared" si="59"/>
        <v>0.2045137013487586</v>
      </c>
      <c r="AB472" s="9">
        <f t="shared" si="60"/>
        <v>0.29903836214837792</v>
      </c>
      <c r="AC472" s="9">
        <f t="shared" si="61"/>
        <v>0.23738489712136557</v>
      </c>
      <c r="AD472" s="9">
        <f t="shared" si="62"/>
        <v>0.25906303938149805</v>
      </c>
      <c r="AE472" s="9"/>
      <c r="AF472" s="9">
        <f t="shared" si="63"/>
        <v>0.80857158798045403</v>
      </c>
      <c r="AG472" s="9">
        <f t="shared" si="64"/>
        <v>0.23651496821463114</v>
      </c>
      <c r="AH472" s="9">
        <f t="shared" si="65"/>
        <v>0.60673735449514976</v>
      </c>
      <c r="AI472" s="9">
        <f t="shared" si="66"/>
        <v>0.45017733633472123</v>
      </c>
    </row>
    <row r="473" spans="16:35" x14ac:dyDescent="0.3">
      <c r="P473" s="9">
        <v>4.2200098127873627E-2</v>
      </c>
      <c r="Q473" s="9">
        <v>0.33937488005006511</v>
      </c>
      <c r="R473" s="9">
        <v>0.49533000883674982</v>
      </c>
      <c r="S473" s="9">
        <v>0.12309501298531147</v>
      </c>
      <c r="U473" s="9">
        <f t="array" ref="U473">MMULT(TRANSPOSE($B$3:$B$6),TRANSPOSE(P473:S473))</f>
        <v>0.10177476825912414</v>
      </c>
      <c r="V473" s="9">
        <f>INT(200*U473)/200</f>
        <v>0.1</v>
      </c>
      <c r="W473" s="9">
        <f t="array" ref="W473">SQRT(MMULT(MMULT(P473:S473,$K$3:$N$6),TRANSPOSE(P473:S473)))</f>
        <v>9.7783675315099725E-2</v>
      </c>
      <c r="Y473" s="31">
        <f>U473/W473</f>
        <v>1.0408155341999925</v>
      </c>
      <c r="AA473" s="9">
        <f t="shared" si="59"/>
        <v>0.20458084073100408</v>
      </c>
      <c r="AB473" s="9">
        <f t="shared" si="60"/>
        <v>0.30196401280263208</v>
      </c>
      <c r="AC473" s="9">
        <f t="shared" si="61"/>
        <v>0.23046240549838598</v>
      </c>
      <c r="AD473" s="9">
        <f t="shared" si="62"/>
        <v>0.26299274096797792</v>
      </c>
      <c r="AE473" s="9"/>
      <c r="AF473" s="9">
        <f t="shared" si="63"/>
        <v>0.80816749817976952</v>
      </c>
      <c r="AG473" s="9">
        <f t="shared" si="64"/>
        <v>0.24188875533093621</v>
      </c>
      <c r="AH473" s="9">
        <f t="shared" si="65"/>
        <v>0.64598211418509155</v>
      </c>
      <c r="AI473" s="9">
        <f t="shared" si="66"/>
        <v>0.4580115151216213</v>
      </c>
    </row>
    <row r="474" spans="16:35" x14ac:dyDescent="0.3">
      <c r="P474" s="9">
        <v>0.18389087841591312</v>
      </c>
      <c r="Q474" s="9">
        <v>0.28212707750860067</v>
      </c>
      <c r="R474" s="9">
        <v>0.47617329861842089</v>
      </c>
      <c r="S474" s="9">
        <v>5.780874545706538E-2</v>
      </c>
      <c r="U474" s="9">
        <f t="array" ref="U474">MMULT(TRANSPOSE($B$3:$B$6),TRANSPOSE(P474:S474))</f>
        <v>9.3795662656837114E-2</v>
      </c>
      <c r="V474" s="9">
        <f>INT(200*U474)/200</f>
        <v>0.09</v>
      </c>
      <c r="W474" s="9">
        <f t="array" ref="W474">SQRT(MMULT(MMULT(P474:S474,$K$3:$N$6),TRANSPOSE(P474:S474)))</f>
        <v>9.0132811809909369E-2</v>
      </c>
      <c r="Y474" s="31">
        <f>U474/W474</f>
        <v>1.0406383732336313</v>
      </c>
      <c r="AA474" s="9">
        <f t="shared" si="59"/>
        <v>0.20422318360816227</v>
      </c>
      <c r="AB474" s="9">
        <f t="shared" si="60"/>
        <v>0.29923955934810648</v>
      </c>
      <c r="AC474" s="9">
        <f t="shared" si="61"/>
        <v>0.23649362037895041</v>
      </c>
      <c r="AD474" s="9">
        <f t="shared" si="62"/>
        <v>0.26004363666478086</v>
      </c>
      <c r="AE474" s="9"/>
      <c r="AF474" s="9">
        <f t="shared" si="63"/>
        <v>0.80999311641218796</v>
      </c>
      <c r="AG474" s="9">
        <f t="shared" si="64"/>
        <v>0.24146356838429495</v>
      </c>
      <c r="AH474" s="9">
        <f t="shared" si="65"/>
        <v>0.61734147052243982</v>
      </c>
      <c r="AI474" s="9">
        <f t="shared" si="66"/>
        <v>0.45483418417797722</v>
      </c>
    </row>
    <row r="475" spans="16:35" x14ac:dyDescent="0.3">
      <c r="P475" s="9">
        <v>0.1778733736374693</v>
      </c>
      <c r="Q475" s="9">
        <v>0.26580933934654011</v>
      </c>
      <c r="R475" s="9">
        <v>0.35235496467281086</v>
      </c>
      <c r="S475" s="9">
        <v>0.20396232234317971</v>
      </c>
      <c r="U475" s="9">
        <f t="array" ref="U475">MMULT(TRANSPOSE($B$3:$B$6),TRANSPOSE(P475:S475))</f>
        <v>9.4077328311851602E-2</v>
      </c>
      <c r="V475" s="9">
        <f>INT(200*U475)/200</f>
        <v>0.09</v>
      </c>
      <c r="W475" s="9">
        <f t="array" ref="W475">SQRT(MMULT(MMULT(P475:S475,$K$3:$N$6),TRANSPOSE(P475:S475)))</f>
        <v>9.0433787984457573E-2</v>
      </c>
      <c r="Y475" s="31">
        <f>U475/W475</f>
        <v>1.0402895909659367</v>
      </c>
      <c r="AA475" s="9">
        <f t="shared" si="59"/>
        <v>0.2056439479482394</v>
      </c>
      <c r="AB475" s="9">
        <f t="shared" si="60"/>
        <v>0.29755320290899473</v>
      </c>
      <c r="AC475" s="9">
        <f t="shared" si="61"/>
        <v>0.23987776252787021</v>
      </c>
      <c r="AD475" s="9">
        <f t="shared" si="62"/>
        <v>0.25692508661489577</v>
      </c>
      <c r="AE475" s="9"/>
      <c r="AF475" s="9">
        <f t="shared" si="63"/>
        <v>0.80688732151151843</v>
      </c>
      <c r="AG475" s="9">
        <f t="shared" si="64"/>
        <v>0.24767554130037811</v>
      </c>
      <c r="AH475" s="9">
        <f t="shared" si="65"/>
        <v>0.61005339734480313</v>
      </c>
      <c r="AI475" s="9">
        <f t="shared" si="66"/>
        <v>0.46159264126258548</v>
      </c>
    </row>
    <row r="476" spans="16:35" x14ac:dyDescent="0.3">
      <c r="P476" s="9">
        <v>0.14371500743269375</v>
      </c>
      <c r="Q476" s="9">
        <v>0.37848593312043394</v>
      </c>
      <c r="R476" s="9">
        <v>7.2856160540101481E-2</v>
      </c>
      <c r="S476" s="9">
        <v>0.40494289890677093</v>
      </c>
      <c r="U476" s="9">
        <f t="array" ref="U476">MMULT(TRANSPOSE($B$3:$B$6),TRANSPOSE(P476:S476))</f>
        <v>9.973362135386199E-2</v>
      </c>
      <c r="V476" s="9">
        <f>INT(200*U476)/200</f>
        <v>9.5000000000000001E-2</v>
      </c>
      <c r="W476" s="9">
        <f t="array" ref="W476">SQRT(MMULT(MMULT(P476:S476,$K$3:$N$6),TRANSPOSE(P476:S476)))</f>
        <v>9.5903146651480392E-2</v>
      </c>
      <c r="Y476" s="31">
        <f>U476/W476</f>
        <v>1.03994107426216</v>
      </c>
      <c r="AA476" s="9">
        <f t="shared" si="59"/>
        <v>0.20627126124940093</v>
      </c>
      <c r="AB476" s="9">
        <f t="shared" si="60"/>
        <v>0.30073559001895867</v>
      </c>
      <c r="AC476" s="9">
        <f t="shared" si="61"/>
        <v>0.22618237101172461</v>
      </c>
      <c r="AD476" s="9">
        <f t="shared" si="62"/>
        <v>0.26681077771991585</v>
      </c>
      <c r="AE476" s="9"/>
      <c r="AF476" s="9">
        <f t="shared" si="63"/>
        <v>0.80776525899827079</v>
      </c>
      <c r="AG476" s="9">
        <f t="shared" si="64"/>
        <v>0.23393497951723807</v>
      </c>
      <c r="AH476" s="9">
        <f t="shared" si="65"/>
        <v>0.67956001087654849</v>
      </c>
      <c r="AI476" s="9">
        <f t="shared" si="66"/>
        <v>0.4363581189254605</v>
      </c>
    </row>
    <row r="477" spans="16:35" x14ac:dyDescent="0.3">
      <c r="P477" s="9">
        <v>1.997228662128147E-2</v>
      </c>
      <c r="Q477" s="9">
        <v>0.40378347392963732</v>
      </c>
      <c r="R477" s="9">
        <v>0.18794940670696408</v>
      </c>
      <c r="S477" s="9">
        <v>0.38829483274211712</v>
      </c>
      <c r="U477" s="9">
        <f t="array" ref="U477">MMULT(TRANSPOSE($B$3:$B$6),TRANSPOSE(P477:S477))</f>
        <v>0.10566975745885937</v>
      </c>
      <c r="V477" s="9">
        <f>INT(200*U477)/200</f>
        <v>0.105</v>
      </c>
      <c r="W477" s="9">
        <f t="array" ref="W477">SQRT(MMULT(MMULT(P477:S477,$K$3:$N$6),TRANSPOSE(P477:S477)))</f>
        <v>0.1016298907096045</v>
      </c>
      <c r="Y477" s="31">
        <f>U477/W477</f>
        <v>1.0397507733310303</v>
      </c>
      <c r="AA477" s="9">
        <f t="shared" si="59"/>
        <v>0.22117451380711348</v>
      </c>
      <c r="AB477" s="9">
        <f t="shared" si="60"/>
        <v>0.29468817419628507</v>
      </c>
      <c r="AC477" s="9">
        <f t="shared" si="61"/>
        <v>0.21414795109026205</v>
      </c>
      <c r="AD477" s="9">
        <f t="shared" si="62"/>
        <v>0.2699893609063394</v>
      </c>
      <c r="AE477" s="9"/>
      <c r="AF477" s="9">
        <f t="shared" si="63"/>
        <v>0.73152877728476928</v>
      </c>
      <c r="AG477" s="9">
        <f t="shared" si="64"/>
        <v>0.23963200715396832</v>
      </c>
      <c r="AH477" s="9">
        <f t="shared" si="65"/>
        <v>0.69670932864613566</v>
      </c>
      <c r="AI477" s="9">
        <f t="shared" si="66"/>
        <v>0.43117228231499377</v>
      </c>
    </row>
    <row r="478" spans="16:35" x14ac:dyDescent="0.3">
      <c r="P478" s="9">
        <v>0.2161162643023409</v>
      </c>
      <c r="Q478" s="9">
        <v>0.24982438018293876</v>
      </c>
      <c r="R478" s="9">
        <v>0.38785996596292305</v>
      </c>
      <c r="S478" s="9">
        <v>0.14619938955179732</v>
      </c>
      <c r="U478" s="9">
        <f t="array" ref="U478">MMULT(TRANSPOSE($B$3:$B$6),TRANSPOSE(P478:S478))</f>
        <v>9.1760931875089366E-2</v>
      </c>
      <c r="V478" s="9">
        <f>INT(200*U478)/200</f>
        <v>0.09</v>
      </c>
      <c r="W478" s="9">
        <f t="array" ref="W478">SQRT(MMULT(MMULT(P478:S478,$K$3:$N$6),TRANSPOSE(P478:S478)))</f>
        <v>8.8283549618298235E-2</v>
      </c>
      <c r="Y478" s="31">
        <f>U478/W478</f>
        <v>1.0393887906844015</v>
      </c>
      <c r="AA478" s="9">
        <f t="shared" si="59"/>
        <v>0.22260307618997457</v>
      </c>
      <c r="AB478" s="9">
        <f t="shared" si="60"/>
        <v>0.29493200259168406</v>
      </c>
      <c r="AC478" s="9">
        <f t="shared" si="61"/>
        <v>0.21070168642076417</v>
      </c>
      <c r="AD478" s="9">
        <f t="shared" si="62"/>
        <v>0.27176323479757719</v>
      </c>
      <c r="AE478" s="9"/>
      <c r="AF478" s="9">
        <f t="shared" si="63"/>
        <v>0.71926524007544379</v>
      </c>
      <c r="AG478" s="9">
        <f t="shared" si="64"/>
        <v>0.24068964404543089</v>
      </c>
      <c r="AH478" s="9">
        <f t="shared" si="65"/>
        <v>0.71251283092133755</v>
      </c>
      <c r="AI478" s="9">
        <f t="shared" si="66"/>
        <v>0.43517903940757274</v>
      </c>
    </row>
    <row r="479" spans="16:35" x14ac:dyDescent="0.3">
      <c r="P479" s="9">
        <v>0.12881200043719554</v>
      </c>
      <c r="Q479" s="9">
        <v>0.30424563054854065</v>
      </c>
      <c r="R479" s="9">
        <v>0.2662983752905197</v>
      </c>
      <c r="S479" s="9">
        <v>0.30064399372374412</v>
      </c>
      <c r="U479" s="9">
        <f t="array" ref="U479">MMULT(TRANSPOSE($B$3:$B$6),TRANSPOSE(P479:S479))</f>
        <v>9.7685734994579471E-2</v>
      </c>
      <c r="V479" s="9">
        <f>INT(200*U479)/200</f>
        <v>9.5000000000000001E-2</v>
      </c>
      <c r="W479" s="9">
        <f t="array" ref="W479">SQRT(MMULT(MMULT(P479:S479,$K$3:$N$6),TRANSPOSE(P479:S479)))</f>
        <v>9.398528707177764E-2</v>
      </c>
      <c r="Y479" s="31">
        <f>U479/W479</f>
        <v>1.0393726298880777</v>
      </c>
      <c r="AA479" s="9">
        <f t="shared" si="59"/>
        <v>0.22517830267778458</v>
      </c>
      <c r="AB479" s="9">
        <f t="shared" si="60"/>
        <v>0.29462683907697818</v>
      </c>
      <c r="AC479" s="9">
        <f t="shared" si="61"/>
        <v>0.20312762203928164</v>
      </c>
      <c r="AD479" s="9">
        <f t="shared" si="62"/>
        <v>0.27706723620595541</v>
      </c>
      <c r="AE479" s="9"/>
      <c r="AF479" s="9">
        <f t="shared" si="63"/>
        <v>0.71192708738160615</v>
      </c>
      <c r="AG479" s="9">
        <f t="shared" si="64"/>
        <v>0.24158659457812665</v>
      </c>
      <c r="AH479" s="9">
        <f t="shared" si="65"/>
        <v>0.72440044342947441</v>
      </c>
      <c r="AI479" s="9">
        <f t="shared" si="66"/>
        <v>0.42253599816707949</v>
      </c>
    </row>
    <row r="480" spans="16:35" x14ac:dyDescent="0.3">
      <c r="P480" s="9">
        <v>0.36305671613595525</v>
      </c>
      <c r="Q480" s="9">
        <v>0.19372498568496055</v>
      </c>
      <c r="R480" s="9">
        <v>0.22512935606270781</v>
      </c>
      <c r="S480" s="9">
        <v>0.21808894211637636</v>
      </c>
      <c r="U480" s="9">
        <f t="array" ref="U480">MMULT(TRANSPOSE($B$3:$B$6),TRANSPOSE(P480:S480))</f>
        <v>8.4096083219686174E-2</v>
      </c>
      <c r="V480" s="9">
        <f>INT(200*U480)/200</f>
        <v>0.08</v>
      </c>
      <c r="W480" s="9">
        <f t="array" ref="W480">SQRT(MMULT(MMULT(P480:S480,$K$3:$N$6),TRANSPOSE(P480:S480)))</f>
        <v>8.092280576409186E-2</v>
      </c>
      <c r="Y480" s="31">
        <f>U480/W480</f>
        <v>1.0392136360773887</v>
      </c>
      <c r="AA480" s="9">
        <f t="shared" si="59"/>
        <v>0.21768896575794838</v>
      </c>
      <c r="AB480" s="9">
        <f t="shared" si="60"/>
        <v>0.29677373799474149</v>
      </c>
      <c r="AC480" s="9">
        <f t="shared" si="61"/>
        <v>0.21686362286869945</v>
      </c>
      <c r="AD480" s="9">
        <f t="shared" si="62"/>
        <v>0.26867367337861064</v>
      </c>
      <c r="AE480" s="9"/>
      <c r="AF480" s="9">
        <f t="shared" si="63"/>
        <v>0.72337529238754139</v>
      </c>
      <c r="AG480" s="9">
        <f t="shared" si="64"/>
        <v>0.23371937784735736</v>
      </c>
      <c r="AH480" s="9">
        <f t="shared" si="65"/>
        <v>0.7166037582933581</v>
      </c>
      <c r="AI480" s="9">
        <f t="shared" si="66"/>
        <v>0.45957241586517594</v>
      </c>
    </row>
    <row r="481" spans="16:35" x14ac:dyDescent="0.3">
      <c r="P481" s="9">
        <v>0.16808135640884739</v>
      </c>
      <c r="Q481" s="9">
        <v>0.3819118114043189</v>
      </c>
      <c r="R481" s="9">
        <v>3.9225952714014141E-2</v>
      </c>
      <c r="S481" s="9">
        <v>0.41078087947281966</v>
      </c>
      <c r="U481" s="9">
        <f t="array" ref="U481">MMULT(TRANSPOSE($B$3:$B$6),TRANSPOSE(P481:S481))</f>
        <v>9.8834038972162724E-2</v>
      </c>
      <c r="V481" s="9">
        <f>INT(200*U481)/200</f>
        <v>9.5000000000000001E-2</v>
      </c>
      <c r="W481" s="9">
        <f t="array" ref="W481">SQRT(MMULT(MMULT(P481:S481,$K$3:$N$6),TRANSPOSE(P481:S481)))</f>
        <v>9.5114471119824837E-2</v>
      </c>
      <c r="Y481" s="31">
        <f>U481/W481</f>
        <v>1.0391062244109206</v>
      </c>
      <c r="AA481" s="9">
        <f t="shared" si="59"/>
        <v>0.22027107638563462</v>
      </c>
      <c r="AB481" s="9">
        <f t="shared" si="60"/>
        <v>0.29549753413048341</v>
      </c>
      <c r="AC481" s="9">
        <f t="shared" si="61"/>
        <v>0.21317042363779026</v>
      </c>
      <c r="AD481" s="9">
        <f t="shared" si="62"/>
        <v>0.27106096584609168</v>
      </c>
      <c r="AE481" s="9"/>
      <c r="AF481" s="9">
        <f t="shared" si="63"/>
        <v>0.70634445878171692</v>
      </c>
      <c r="AG481" s="9">
        <f t="shared" si="64"/>
        <v>0.23433157818965072</v>
      </c>
      <c r="AH481" s="9">
        <f t="shared" si="65"/>
        <v>0.7145105284752663</v>
      </c>
      <c r="AI481" s="9">
        <f t="shared" si="66"/>
        <v>0.45402192437648398</v>
      </c>
    </row>
    <row r="482" spans="16:35" x14ac:dyDescent="0.3">
      <c r="P482" s="9">
        <v>0.73748426469721551</v>
      </c>
      <c r="Q482" s="9">
        <v>0.17505446027935176</v>
      </c>
      <c r="R482" s="9">
        <v>5.785653816117714E-2</v>
      </c>
      <c r="S482" s="9">
        <v>2.9604736862255798E-2</v>
      </c>
      <c r="U482" s="9">
        <f t="array" ref="U482">MMULT(TRANSPOSE($B$3:$B$6),TRANSPOSE(P482:S482))</f>
        <v>6.7053351225585867E-2</v>
      </c>
      <c r="V482" s="9">
        <f>INT(200*U482)/200</f>
        <v>6.5000000000000002E-2</v>
      </c>
      <c r="W482" s="9">
        <f t="array" ref="W482">SQRT(MMULT(MMULT(P482:S482,$K$3:$N$6),TRANSPOSE(P482:S482)))</f>
        <v>6.4533064932606923E-2</v>
      </c>
      <c r="Y482" s="31">
        <f>U482/W482</f>
        <v>1.0390541855653521</v>
      </c>
      <c r="AA482" s="9">
        <f t="shared" si="59"/>
        <v>0.21120514574853355</v>
      </c>
      <c r="AB482" s="9">
        <f t="shared" si="60"/>
        <v>0.29737833107186223</v>
      </c>
      <c r="AC482" s="9">
        <f t="shared" si="61"/>
        <v>0.23610373774525287</v>
      </c>
      <c r="AD482" s="9">
        <f t="shared" si="62"/>
        <v>0.25531278543435137</v>
      </c>
      <c r="AE482" s="9"/>
      <c r="AF482" s="9">
        <f t="shared" si="63"/>
        <v>0.72791936995026341</v>
      </c>
      <c r="AG482" s="9">
        <f t="shared" si="64"/>
        <v>0.23208495316914662</v>
      </c>
      <c r="AH482" s="9">
        <f t="shared" si="65"/>
        <v>0.68750057224627148</v>
      </c>
      <c r="AI482" s="9">
        <f t="shared" si="66"/>
        <v>0.52603370798431781</v>
      </c>
    </row>
    <row r="483" spans="16:35" x14ac:dyDescent="0.3">
      <c r="P483" s="9">
        <v>0.13868193767370157</v>
      </c>
      <c r="Q483" s="9">
        <v>0.38538419788777162</v>
      </c>
      <c r="R483" s="9">
        <v>6.3631477321792002E-2</v>
      </c>
      <c r="S483" s="9">
        <v>0.41230238711673467</v>
      </c>
      <c r="U483" s="9">
        <f t="array" ref="U483">MMULT(TRANSPOSE($B$3:$B$6),TRANSPOSE(P483:S483))</f>
        <v>0.10018585616517781</v>
      </c>
      <c r="V483" s="9">
        <f>INT(200*U483)/200</f>
        <v>0.1</v>
      </c>
      <c r="W483" s="9">
        <f t="array" ref="W483">SQRT(MMULT(MMULT(P483:S483,$K$3:$N$6),TRANSPOSE(P483:S483)))</f>
        <v>9.6571598296628869E-2</v>
      </c>
      <c r="Y483" s="31">
        <f>U483/W483</f>
        <v>1.037425681383541</v>
      </c>
      <c r="AA483" s="9">
        <f t="shared" si="59"/>
        <v>0.22012181630685457</v>
      </c>
      <c r="AB483" s="9">
        <f t="shared" si="60"/>
        <v>0.29076701449024472</v>
      </c>
      <c r="AC483" s="9">
        <f t="shared" si="61"/>
        <v>0.2377692635031162</v>
      </c>
      <c r="AD483" s="9">
        <f t="shared" si="62"/>
        <v>0.25134190569978443</v>
      </c>
      <c r="AE483" s="9"/>
      <c r="AF483" s="9">
        <f t="shared" si="63"/>
        <v>0.70950415835346026</v>
      </c>
      <c r="AG483" s="9">
        <f t="shared" si="64"/>
        <v>0.23422418427088434</v>
      </c>
      <c r="AH483" s="9">
        <f t="shared" si="65"/>
        <v>0.67561321110078054</v>
      </c>
      <c r="AI483" s="9">
        <f t="shared" si="66"/>
        <v>0.52109846483596634</v>
      </c>
    </row>
    <row r="484" spans="16:35" x14ac:dyDescent="0.3">
      <c r="P484" s="9">
        <v>0.16374925145642871</v>
      </c>
      <c r="Q484" s="9">
        <v>0.29196224645407576</v>
      </c>
      <c r="R484" s="9">
        <v>0.22981880229783597</v>
      </c>
      <c r="S484" s="9">
        <v>0.31446969979165967</v>
      </c>
      <c r="U484" s="9">
        <f t="array" ref="U484">MMULT(TRANSPOSE($B$3:$B$6),TRANSPOSE(P484:S484))</f>
        <v>9.5884023397967921E-2</v>
      </c>
      <c r="V484" s="9">
        <f>INT(200*U484)/200</f>
        <v>9.5000000000000001E-2</v>
      </c>
      <c r="W484" s="9">
        <f t="array" ref="W484">SQRT(MMULT(MMULT(P484:S484,$K$3:$N$6),TRANSPOSE(P484:S484)))</f>
        <v>9.2452673850095327E-2</v>
      </c>
      <c r="Y484" s="31">
        <f>U484/W484</f>
        <v>1.0371146599116889</v>
      </c>
      <c r="AA484" s="9">
        <f t="shared" si="59"/>
        <v>0.22925333874816087</v>
      </c>
      <c r="AB484" s="9">
        <f t="shared" si="60"/>
        <v>0.28580659063352654</v>
      </c>
      <c r="AC484" s="9">
        <f t="shared" si="61"/>
        <v>0.23080539039473294</v>
      </c>
      <c r="AD484" s="9">
        <f t="shared" si="62"/>
        <v>0.2541346802235796</v>
      </c>
      <c r="AE484" s="9"/>
      <c r="AF484" s="9">
        <f t="shared" si="63"/>
        <v>0.65764206673746062</v>
      </c>
      <c r="AG484" s="9">
        <f t="shared" si="64"/>
        <v>0.23855581403309103</v>
      </c>
      <c r="AH484" s="9">
        <f t="shared" si="65"/>
        <v>0.65789372300959059</v>
      </c>
      <c r="AI484" s="9">
        <f t="shared" si="66"/>
        <v>0.50645669169139329</v>
      </c>
    </row>
    <row r="485" spans="16:35" x14ac:dyDescent="0.3">
      <c r="P485" s="9">
        <v>0.27672636769063436</v>
      </c>
      <c r="Q485" s="9">
        <v>0.22129249286174363</v>
      </c>
      <c r="R485" s="9">
        <v>0.28774319050879166</v>
      </c>
      <c r="S485" s="9">
        <v>0.21423794893883027</v>
      </c>
      <c r="U485" s="9">
        <f t="array" ref="U485">MMULT(TRANSPOSE($B$3:$B$6),TRANSPOSE(P485:S485))</f>
        <v>8.8572495651865826E-2</v>
      </c>
      <c r="V485" s="9">
        <f>INT(200*U485)/200</f>
        <v>8.5000000000000006E-2</v>
      </c>
      <c r="W485" s="9">
        <f t="array" ref="W485">SQRT(MMULT(MMULT(P485:S485,$K$3:$N$6),TRANSPOSE(P485:S485)))</f>
        <v>8.5427726939998241E-2</v>
      </c>
      <c r="Y485" s="31">
        <f>U485/W485</f>
        <v>1.036812037783428</v>
      </c>
      <c r="AA485" s="9">
        <f t="shared" si="59"/>
        <v>0.2282624218959674</v>
      </c>
      <c r="AB485" s="9">
        <f t="shared" si="60"/>
        <v>0.28504390511336669</v>
      </c>
      <c r="AC485" s="9">
        <f t="shared" si="61"/>
        <v>0.22502959778285639</v>
      </c>
      <c r="AD485" s="9">
        <f t="shared" si="62"/>
        <v>0.26166407520780954</v>
      </c>
      <c r="AE485" s="9"/>
      <c r="AF485" s="9">
        <f t="shared" si="63"/>
        <v>0.66216591659975155</v>
      </c>
      <c r="AG485" s="9">
        <f t="shared" si="64"/>
        <v>0.23965955015902199</v>
      </c>
      <c r="AH485" s="9">
        <f t="shared" si="65"/>
        <v>0.64061717398694107</v>
      </c>
      <c r="AI485" s="9">
        <f t="shared" si="66"/>
        <v>0.4625998764881662</v>
      </c>
    </row>
    <row r="486" spans="16:35" x14ac:dyDescent="0.3">
      <c r="P486" s="9">
        <v>0.38603555552212332</v>
      </c>
      <c r="Q486" s="9">
        <v>0.26047945277308665</v>
      </c>
      <c r="R486" s="9">
        <v>1.2379873751644175E-2</v>
      </c>
      <c r="S486" s="9">
        <v>0.34110511795314585</v>
      </c>
      <c r="U486" s="9">
        <f t="array" ref="U486">MMULT(TRANSPOSE($B$3:$B$6),TRANSPOSE(P486:S486))</f>
        <v>8.5640385019662535E-2</v>
      </c>
      <c r="V486" s="9">
        <f>INT(200*U486)/200</f>
        <v>8.5000000000000006E-2</v>
      </c>
      <c r="W486" s="9">
        <f t="array" ref="W486">SQRT(MMULT(MMULT(P486:S486,$K$3:$N$6),TRANSPOSE(P486:S486)))</f>
        <v>8.2614879810307601E-2</v>
      </c>
      <c r="Y486" s="31">
        <f>U486/W486</f>
        <v>1.0366217952056798</v>
      </c>
      <c r="AA486" s="9">
        <f t="shared" si="59"/>
        <v>0.22390384519678536</v>
      </c>
      <c r="AB486" s="9">
        <f t="shared" si="60"/>
        <v>0.28704607465699761</v>
      </c>
      <c r="AC486" s="9">
        <f t="shared" si="61"/>
        <v>0.22444707977588829</v>
      </c>
      <c r="AD486" s="9">
        <f t="shared" si="62"/>
        <v>0.26460300037032874</v>
      </c>
      <c r="AE486" s="9"/>
      <c r="AF486" s="9">
        <f t="shared" si="63"/>
        <v>0.68764657146579322</v>
      </c>
      <c r="AG486" s="9">
        <f t="shared" si="64"/>
        <v>0.23807227803203518</v>
      </c>
      <c r="AH486" s="9">
        <f t="shared" si="65"/>
        <v>0.63997887499423101</v>
      </c>
      <c r="AI486" s="9">
        <f t="shared" si="66"/>
        <v>0.45472583889387996</v>
      </c>
    </row>
    <row r="487" spans="16:35" x14ac:dyDescent="0.3">
      <c r="P487" s="9">
        <v>0.31959424800329694</v>
      </c>
      <c r="Q487" s="9">
        <v>0.23128192735539471</v>
      </c>
      <c r="R487" s="9">
        <v>0.14780628589628814</v>
      </c>
      <c r="S487" s="9">
        <v>0.30131753874502021</v>
      </c>
      <c r="U487" s="9">
        <f t="array" ref="U487">MMULT(TRANSPOSE($B$3:$B$6),TRANSPOSE(P487:S487))</f>
        <v>8.739232660918092E-2</v>
      </c>
      <c r="V487" s="9">
        <f>INT(200*U487)/200</f>
        <v>8.5000000000000006E-2</v>
      </c>
      <c r="W487" s="9">
        <f t="array" ref="W487">SQRT(MMULT(MMULT(P487:S487,$K$3:$N$6),TRANSPOSE(P487:S487)))</f>
        <v>8.4337679345040426E-2</v>
      </c>
      <c r="Y487" s="31">
        <f>U487/W487</f>
        <v>1.036219247290922</v>
      </c>
      <c r="AA487" s="9">
        <f t="shared" si="59"/>
        <v>0.2301761927877046</v>
      </c>
      <c r="AB487" s="9">
        <f t="shared" si="60"/>
        <v>0.28012529923450863</v>
      </c>
      <c r="AC487" s="9">
        <f t="shared" si="61"/>
        <v>0.23074529490464735</v>
      </c>
      <c r="AD487" s="9">
        <f t="shared" si="62"/>
        <v>0.25895321307313945</v>
      </c>
      <c r="AE487" s="9"/>
      <c r="AF487" s="9">
        <f t="shared" si="63"/>
        <v>0.66565444060910473</v>
      </c>
      <c r="AG487" s="9">
        <f t="shared" si="64"/>
        <v>0.23536342918470593</v>
      </c>
      <c r="AH487" s="9">
        <f t="shared" si="65"/>
        <v>0.60457260011029712</v>
      </c>
      <c r="AI487" s="9">
        <f t="shared" si="66"/>
        <v>0.44839978967726846</v>
      </c>
    </row>
    <row r="488" spans="16:35" x14ac:dyDescent="0.3">
      <c r="P488" s="9">
        <v>5.6097898543996376E-2</v>
      </c>
      <c r="Q488" s="9">
        <v>0.39979280810283635</v>
      </c>
      <c r="R488" s="9">
        <v>0.13782499236551338</v>
      </c>
      <c r="S488" s="9">
        <v>0.40628430098765383</v>
      </c>
      <c r="U488" s="9">
        <f t="array" ref="U488">MMULT(TRANSPOSE($B$3:$B$6),TRANSPOSE(P488:S488))</f>
        <v>0.10408958282471276</v>
      </c>
      <c r="V488" s="9">
        <f>INT(200*U488)/200</f>
        <v>0.1</v>
      </c>
      <c r="W488" s="9">
        <f t="array" ref="W488">SQRT(MMULT(MMULT(P488:S488,$K$3:$N$6),TRANSPOSE(P488:S488)))</f>
        <v>0.10046117980893556</v>
      </c>
      <c r="Y488" s="31">
        <f>U488/W488</f>
        <v>1.0361174637076527</v>
      </c>
      <c r="AA488" s="9">
        <f t="shared" si="59"/>
        <v>0.23961856998970879</v>
      </c>
      <c r="AB488" s="9">
        <f t="shared" si="60"/>
        <v>0.27790205218793601</v>
      </c>
      <c r="AC488" s="9">
        <f t="shared" si="61"/>
        <v>0.22256186409703066</v>
      </c>
      <c r="AD488" s="9">
        <f t="shared" si="62"/>
        <v>0.25991751372532451</v>
      </c>
      <c r="AE488" s="9"/>
      <c r="AF488" s="9">
        <f t="shared" si="63"/>
        <v>0.60735330937044751</v>
      </c>
      <c r="AG488" s="9">
        <f t="shared" si="64"/>
        <v>0.22395148723333733</v>
      </c>
      <c r="AH488" s="9">
        <f t="shared" si="65"/>
        <v>0.66039395602102513</v>
      </c>
      <c r="AI488" s="9">
        <f t="shared" si="66"/>
        <v>0.45137492626578712</v>
      </c>
    </row>
    <row r="489" spans="16:35" x14ac:dyDescent="0.3">
      <c r="P489" s="9">
        <v>0.26277329619137718</v>
      </c>
      <c r="Q489" s="9">
        <v>0.24924449920336866</v>
      </c>
      <c r="R489" s="9">
        <v>0.18311878224991895</v>
      </c>
      <c r="S489" s="9">
        <v>0.30486342235533509</v>
      </c>
      <c r="U489" s="9">
        <f t="array" ref="U489">MMULT(TRANSPOSE($B$3:$B$6),TRANSPOSE(P489:S489))</f>
        <v>9.0355153137809549E-2</v>
      </c>
      <c r="V489" s="9">
        <f>INT(200*U489)/200</f>
        <v>0.09</v>
      </c>
      <c r="W489" s="9">
        <f t="array" ref="W489">SQRT(MMULT(MMULT(P489:S489,$K$3:$N$6),TRANSPOSE(P489:S489)))</f>
        <v>8.7232893977674239E-2</v>
      </c>
      <c r="Y489" s="31">
        <f>U489/W489</f>
        <v>1.0357922226096774</v>
      </c>
      <c r="AA489" s="9">
        <f t="shared" si="59"/>
        <v>0.23353925989163918</v>
      </c>
      <c r="AB489" s="9">
        <f t="shared" si="60"/>
        <v>0.28036911811856496</v>
      </c>
      <c r="AC489" s="9">
        <f t="shared" si="61"/>
        <v>0.22234575978203344</v>
      </c>
      <c r="AD489" s="9">
        <f t="shared" si="62"/>
        <v>0.26374586220776236</v>
      </c>
      <c r="AE489" s="9"/>
      <c r="AF489" s="9">
        <f t="shared" si="63"/>
        <v>0.63879893505476348</v>
      </c>
      <c r="AG489" s="9">
        <f t="shared" si="64"/>
        <v>0.22147449492216673</v>
      </c>
      <c r="AH489" s="9">
        <f t="shared" si="65"/>
        <v>0.65990211969767021</v>
      </c>
      <c r="AI489" s="9">
        <f t="shared" si="66"/>
        <v>0.43491299087817581</v>
      </c>
    </row>
    <row r="490" spans="16:35" x14ac:dyDescent="0.3">
      <c r="P490" s="9">
        <v>0.20017292656372807</v>
      </c>
      <c r="Q490" s="9">
        <v>0.26163015488579766</v>
      </c>
      <c r="R490" s="9">
        <v>0.44085502338798288</v>
      </c>
      <c r="S490" s="9">
        <v>9.7341895162491462E-2</v>
      </c>
      <c r="U490" s="9">
        <f t="array" ref="U490">MMULT(TRANSPOSE($B$3:$B$6),TRANSPOSE(P490:S490))</f>
        <v>9.2619788527235458E-2</v>
      </c>
      <c r="V490" s="9">
        <f>INT(200*U490)/200</f>
        <v>0.09</v>
      </c>
      <c r="W490" s="9">
        <f t="array" ref="W490">SQRT(MMULT(MMULT(P490:S490,$K$3:$N$6),TRANSPOSE(P490:S490)))</f>
        <v>8.9419741144179804E-2</v>
      </c>
      <c r="Y490" s="31">
        <f>U490/W490</f>
        <v>1.0357868110789532</v>
      </c>
      <c r="AA490" s="9">
        <f t="shared" si="59"/>
        <v>0.23508775148183764</v>
      </c>
      <c r="AB490" s="9">
        <f t="shared" si="60"/>
        <v>0.2788849434529741</v>
      </c>
      <c r="AC490" s="9">
        <f t="shared" si="61"/>
        <v>0.22366712597556446</v>
      </c>
      <c r="AD490" s="9">
        <f t="shared" si="62"/>
        <v>0.26236017908962384</v>
      </c>
      <c r="AE490" s="9"/>
      <c r="AF490" s="9">
        <f t="shared" si="63"/>
        <v>0.63044039538831309</v>
      </c>
      <c r="AG490" s="9">
        <f t="shared" si="64"/>
        <v>0.22183861115723583</v>
      </c>
      <c r="AH490" s="9">
        <f t="shared" si="65"/>
        <v>0.65841596344948938</v>
      </c>
      <c r="AI490" s="9">
        <f t="shared" si="66"/>
        <v>0.43609463524751169</v>
      </c>
    </row>
    <row r="491" spans="16:35" x14ac:dyDescent="0.3">
      <c r="P491" s="9">
        <v>0.13734666002601495</v>
      </c>
      <c r="Q491" s="9">
        <v>0.28880565217290782</v>
      </c>
      <c r="R491" s="9">
        <v>0.29894814191508984</v>
      </c>
      <c r="S491" s="9">
        <v>0.27489954588598747</v>
      </c>
      <c r="U491" s="9">
        <f t="array" ref="U491">MMULT(TRANSPOSE($B$3:$B$6),TRANSPOSE(P491:S491))</f>
        <v>9.6754796434015841E-2</v>
      </c>
      <c r="V491" s="9">
        <f>INT(200*U491)/200</f>
        <v>9.5000000000000001E-2</v>
      </c>
      <c r="W491" s="9">
        <f t="array" ref="W491">SQRT(MMULT(MMULT(P491:S491,$K$3:$N$6),TRANSPOSE(P491:S491)))</f>
        <v>9.3427549900953588E-2</v>
      </c>
      <c r="Y491" s="31">
        <f>U491/W491</f>
        <v>1.0356131198622849</v>
      </c>
      <c r="AA491" s="9">
        <f t="shared" si="59"/>
        <v>0.22991179129470632</v>
      </c>
      <c r="AB491" s="9">
        <f t="shared" si="60"/>
        <v>0.28424375696349624</v>
      </c>
      <c r="AC491" s="9">
        <f t="shared" si="61"/>
        <v>0.21574994821973648</v>
      </c>
      <c r="AD491" s="9">
        <f t="shared" si="62"/>
        <v>0.27009450352206094</v>
      </c>
      <c r="AE491" s="9"/>
      <c r="AF491" s="9">
        <f t="shared" si="63"/>
        <v>0.63236161908690425</v>
      </c>
      <c r="AG491" s="9">
        <f t="shared" si="64"/>
        <v>0.20730839938088905</v>
      </c>
      <c r="AH491" s="9">
        <f t="shared" si="65"/>
        <v>0.70261516614669195</v>
      </c>
      <c r="AI491" s="9">
        <f t="shared" si="66"/>
        <v>0.43221058047891736</v>
      </c>
    </row>
    <row r="492" spans="16:35" x14ac:dyDescent="0.3">
      <c r="P492" s="9">
        <v>0.15055398576935622</v>
      </c>
      <c r="Q492" s="9">
        <v>0.30822712234533112</v>
      </c>
      <c r="R492" s="9">
        <v>0.53082633074848562</v>
      </c>
      <c r="S492" s="9">
        <v>1.0392561136827107E-2</v>
      </c>
      <c r="U492" s="9">
        <f t="array" ref="U492">MMULT(TRANSPOSE($B$3:$B$6),TRANSPOSE(P492:S492))</f>
        <v>9.5834765391495699E-2</v>
      </c>
      <c r="V492" s="9">
        <f>INT(200*U492)/200</f>
        <v>9.5000000000000001E-2</v>
      </c>
      <c r="W492" s="9">
        <f t="array" ref="W492">SQRT(MMULT(MMULT(P492:S492,$K$3:$N$6),TRANSPOSE(P492:S492)))</f>
        <v>9.2569137146497296E-2</v>
      </c>
      <c r="Y492" s="31">
        <f>U492/W492</f>
        <v>1.0352777215567033</v>
      </c>
      <c r="AA492" s="9">
        <f t="shared" si="59"/>
        <v>0.23358445532427202</v>
      </c>
      <c r="AB492" s="9">
        <f t="shared" si="60"/>
        <v>0.27694645329387735</v>
      </c>
      <c r="AC492" s="9">
        <f t="shared" si="61"/>
        <v>0.22876686556182091</v>
      </c>
      <c r="AD492" s="9">
        <f t="shared" si="62"/>
        <v>0.26070222582002972</v>
      </c>
      <c r="AE492" s="9"/>
      <c r="AF492" s="9">
        <f t="shared" si="63"/>
        <v>0.61956177808434088</v>
      </c>
      <c r="AG492" s="9">
        <f t="shared" si="64"/>
        <v>0.20084175303785803</v>
      </c>
      <c r="AH492" s="9">
        <f t="shared" si="65"/>
        <v>0.64410737405659535</v>
      </c>
      <c r="AI492" s="9">
        <f t="shared" si="66"/>
        <v>0.43236281779287972</v>
      </c>
    </row>
    <row r="493" spans="16:35" x14ac:dyDescent="0.3">
      <c r="P493" s="9">
        <v>0.34962376878650209</v>
      </c>
      <c r="Q493" s="9">
        <v>0.23366477819743908</v>
      </c>
      <c r="R493" s="9">
        <v>9.9167605555709276E-2</v>
      </c>
      <c r="S493" s="9">
        <v>0.31754384746034942</v>
      </c>
      <c r="U493" s="9">
        <f t="array" ref="U493">MMULT(TRANSPOSE($B$3:$B$6),TRANSPOSE(P493:S493))</f>
        <v>8.625970621492203E-2</v>
      </c>
      <c r="V493" s="9">
        <f>INT(200*U493)/200</f>
        <v>8.5000000000000006E-2</v>
      </c>
      <c r="W493" s="9">
        <f t="array" ref="W493">SQRT(MMULT(MMULT(P493:S493,$K$3:$N$6),TRANSPOSE(P493:S493)))</f>
        <v>8.3366262549626632E-2</v>
      </c>
      <c r="Y493" s="31">
        <f>U493/W493</f>
        <v>1.0347076092510801</v>
      </c>
      <c r="AA493" s="9">
        <f t="shared" si="59"/>
        <v>0.20817050724327407</v>
      </c>
      <c r="AB493" s="9">
        <f t="shared" si="60"/>
        <v>0.28061218202916127</v>
      </c>
      <c r="AC493" s="9">
        <f t="shared" si="61"/>
        <v>0.23939182785223923</v>
      </c>
      <c r="AD493" s="9">
        <f t="shared" si="62"/>
        <v>0.27182548287532537</v>
      </c>
      <c r="AE493" s="9"/>
      <c r="AF493" s="9">
        <f t="shared" si="63"/>
        <v>0.4191766945399984</v>
      </c>
      <c r="AG493" s="9">
        <f t="shared" si="64"/>
        <v>0.18141937028641239</v>
      </c>
      <c r="AH493" s="9">
        <f t="shared" si="65"/>
        <v>0.59471821843575501</v>
      </c>
      <c r="AI493" s="9">
        <f t="shared" si="66"/>
        <v>0.36613943863653958</v>
      </c>
    </row>
    <row r="494" spans="16:35" x14ac:dyDescent="0.3">
      <c r="P494" s="9">
        <v>0.23396206939530523</v>
      </c>
      <c r="Q494" s="9">
        <v>0.23520597905898294</v>
      </c>
      <c r="R494" s="9">
        <v>0.3490886735607015</v>
      </c>
      <c r="S494" s="9">
        <v>0.18174327798501028</v>
      </c>
      <c r="U494" s="9">
        <f t="array" ref="U494">MMULT(TRANSPOSE($B$3:$B$6),TRANSPOSE(P494:S494))</f>
        <v>9.0686404970433621E-2</v>
      </c>
      <c r="V494" s="9">
        <f>INT(200*U494)/200</f>
        <v>0.09</v>
      </c>
      <c r="W494" s="9">
        <f t="array" ref="W494">SQRT(MMULT(MMULT(P494:S494,$K$3:$N$6),TRANSPOSE(P494:S494)))</f>
        <v>8.7716843730976019E-2</v>
      </c>
      <c r="Y494" s="31">
        <f>U494/W494</f>
        <v>1.0338539454128688</v>
      </c>
      <c r="AA494" s="9">
        <f t="shared" si="59"/>
        <v>0.21237715095815157</v>
      </c>
      <c r="AB494" s="9">
        <f t="shared" si="60"/>
        <v>0.27389975657884641</v>
      </c>
      <c r="AC494" s="9">
        <f t="shared" si="61"/>
        <v>0.24855137551458578</v>
      </c>
      <c r="AD494" s="9">
        <f t="shared" si="62"/>
        <v>0.26517171694841607</v>
      </c>
      <c r="AE494" s="9"/>
      <c r="AF494" s="9">
        <f t="shared" si="63"/>
        <v>0.40428520700974369</v>
      </c>
      <c r="AG494" s="9">
        <f t="shared" si="64"/>
        <v>0.16574713669429442</v>
      </c>
      <c r="AH494" s="9">
        <f t="shared" si="65"/>
        <v>0.54945105871904687</v>
      </c>
      <c r="AI494" s="9">
        <f t="shared" si="66"/>
        <v>0.35521436784055094</v>
      </c>
    </row>
    <row r="495" spans="16:35" x14ac:dyDescent="0.3">
      <c r="P495" s="9">
        <v>0.16308162451985039</v>
      </c>
      <c r="Q495" s="9">
        <v>0.26611068158524337</v>
      </c>
      <c r="R495" s="9">
        <v>0.35488165376901204</v>
      </c>
      <c r="S495" s="9">
        <v>0.2159260401258942</v>
      </c>
      <c r="U495" s="9">
        <f t="array" ref="U495">MMULT(TRANSPOSE($B$3:$B$6),TRANSPOSE(P495:S495))</f>
        <v>9.4753576563011629E-2</v>
      </c>
      <c r="V495" s="9">
        <f>INT(200*U495)/200</f>
        <v>0.09</v>
      </c>
      <c r="W495" s="9">
        <f t="array" ref="W495">SQRT(MMULT(MMULT(P495:S495,$K$3:$N$6),TRANSPOSE(P495:S495)))</f>
        <v>9.1757271224794282E-2</v>
      </c>
      <c r="Y495" s="31">
        <f>U495/W495</f>
        <v>1.0326546909931178</v>
      </c>
      <c r="AA495" s="9">
        <f t="shared" si="59"/>
        <v>0.21955019574767382</v>
      </c>
      <c r="AB495" s="9">
        <f t="shared" si="60"/>
        <v>0.26958912163203641</v>
      </c>
      <c r="AC495" s="9">
        <f t="shared" si="61"/>
        <v>0.25040521669450361</v>
      </c>
      <c r="AD495" s="9">
        <f t="shared" si="62"/>
        <v>0.26045546592578617</v>
      </c>
      <c r="AE495" s="9"/>
      <c r="AF495" s="9">
        <f t="shared" si="63"/>
        <v>0.40020060746285291</v>
      </c>
      <c r="AG495" s="9">
        <f t="shared" si="64"/>
        <v>0.17741751708053294</v>
      </c>
      <c r="AH495" s="9">
        <f t="shared" si="65"/>
        <v>0.54537222007029307</v>
      </c>
      <c r="AI495" s="9">
        <f t="shared" si="66"/>
        <v>0.3612151766543254</v>
      </c>
    </row>
    <row r="496" spans="16:35" x14ac:dyDescent="0.3">
      <c r="P496" s="9">
        <v>8.6343262954646977E-2</v>
      </c>
      <c r="Q496" s="9">
        <v>0.30785489976278951</v>
      </c>
      <c r="R496" s="9">
        <v>0.34012208652648068</v>
      </c>
      <c r="S496" s="9">
        <v>0.26567975075608263</v>
      </c>
      <c r="U496" s="9">
        <f t="array" ref="U496">MMULT(TRANSPOSE($B$3:$B$6),TRANSPOSE(P496:S496))</f>
        <v>9.9459547261340625E-2</v>
      </c>
      <c r="V496" s="9">
        <f>INT(200*U496)/200</f>
        <v>9.5000000000000001E-2</v>
      </c>
      <c r="W496" s="9">
        <f t="array" ref="W496">SQRT(MMULT(MMULT(P496:S496,$K$3:$N$6),TRANSPOSE(P496:S496)))</f>
        <v>9.6319910080126386E-2</v>
      </c>
      <c r="Y496" s="31">
        <f>U496/W496</f>
        <v>1.0325959313978017</v>
      </c>
      <c r="AA496" s="9">
        <f t="shared" si="59"/>
        <v>0.20863573009990147</v>
      </c>
      <c r="AB496" s="9">
        <f t="shared" si="60"/>
        <v>0.27537462947704983</v>
      </c>
      <c r="AC496" s="9">
        <f t="shared" si="61"/>
        <v>0.24991150107539267</v>
      </c>
      <c r="AD496" s="9">
        <f t="shared" si="62"/>
        <v>0.26607813934765601</v>
      </c>
      <c r="AE496" s="9"/>
      <c r="AF496" s="9">
        <f t="shared" si="63"/>
        <v>0.45246023123427614</v>
      </c>
      <c r="AG496" s="9">
        <f t="shared" si="64"/>
        <v>0.17804402311168957</v>
      </c>
      <c r="AH496" s="9">
        <f t="shared" si="65"/>
        <v>0.54595726249213639</v>
      </c>
      <c r="AI496" s="9">
        <f t="shared" si="66"/>
        <v>0.35593487821558717</v>
      </c>
    </row>
    <row r="497" spans="16:35" x14ac:dyDescent="0.3">
      <c r="P497" s="9">
        <v>0.27543430684199771</v>
      </c>
      <c r="Q497" s="9">
        <v>0.23314964924816431</v>
      </c>
      <c r="R497" s="9">
        <v>0.20511867824404176</v>
      </c>
      <c r="S497" s="9">
        <v>0.28629736566579611</v>
      </c>
      <c r="U497" s="9">
        <f t="array" ref="U497">MMULT(TRANSPOSE($B$3:$B$6),TRANSPOSE(P497:S497))</f>
        <v>8.9256242118781415E-2</v>
      </c>
      <c r="V497" s="9">
        <f>INT(200*U497)/200</f>
        <v>8.5000000000000006E-2</v>
      </c>
      <c r="W497" s="9">
        <f t="array" ref="W497">SQRT(MMULT(MMULT(P497:S497,$K$3:$N$6),TRANSPOSE(P497:S497)))</f>
        <v>8.6463726668899787E-2</v>
      </c>
      <c r="Y497" s="31">
        <f>U497/W497</f>
        <v>1.0322969591696545</v>
      </c>
      <c r="AA497" s="9">
        <f t="shared" si="59"/>
        <v>0.20765680148289811</v>
      </c>
      <c r="AB497" s="9">
        <f t="shared" si="60"/>
        <v>0.27169541182879359</v>
      </c>
      <c r="AC497" s="9">
        <f t="shared" si="61"/>
        <v>0.2644405384966923</v>
      </c>
      <c r="AD497" s="9">
        <f t="shared" si="62"/>
        <v>0.256207248191616</v>
      </c>
      <c r="AE497" s="9"/>
      <c r="AF497" s="9">
        <f t="shared" si="63"/>
        <v>0.44571782805603066</v>
      </c>
      <c r="AG497" s="9">
        <f t="shared" si="64"/>
        <v>0.19486915392020265</v>
      </c>
      <c r="AH497" s="9">
        <f t="shared" si="65"/>
        <v>0.47536248871342657</v>
      </c>
      <c r="AI497" s="9">
        <f t="shared" si="66"/>
        <v>0.37962882745440707</v>
      </c>
    </row>
    <row r="498" spans="16:35" x14ac:dyDescent="0.3">
      <c r="P498" s="9">
        <v>0.21826220786336981</v>
      </c>
      <c r="Q498" s="9">
        <v>0.35709528595161316</v>
      </c>
      <c r="R498" s="9">
        <v>1.60973597470143E-2</v>
      </c>
      <c r="S498" s="9">
        <v>0.40854514643800272</v>
      </c>
      <c r="U498" s="9">
        <f t="array" ref="U498">MMULT(TRANSPOSE($B$3:$B$6),TRANSPOSE(P498:S498))</f>
        <v>9.5943854492517577E-2</v>
      </c>
      <c r="V498" s="9">
        <f>INT(200*U498)/200</f>
        <v>9.5000000000000001E-2</v>
      </c>
      <c r="W498" s="9">
        <f t="array" ref="W498">SQRT(MMULT(MMULT(P498:S498,$K$3:$N$6),TRANSPOSE(P498:S498)))</f>
        <v>9.2943619408207417E-2</v>
      </c>
      <c r="Y498" s="31">
        <f>U498/W498</f>
        <v>1.032280161924114</v>
      </c>
      <c r="AA498" s="9">
        <f t="shared" si="59"/>
        <v>0.19915296224260762</v>
      </c>
      <c r="AB498" s="9">
        <f t="shared" si="60"/>
        <v>0.27412876258689484</v>
      </c>
      <c r="AC498" s="9">
        <f t="shared" si="61"/>
        <v>0.27119042419609118</v>
      </c>
      <c r="AD498" s="9">
        <f t="shared" si="62"/>
        <v>0.25552785097440633</v>
      </c>
      <c r="AE498" s="9"/>
      <c r="AF498" s="9">
        <f t="shared" si="63"/>
        <v>0.45153190697658468</v>
      </c>
      <c r="AG498" s="9">
        <f t="shared" si="64"/>
        <v>0.19028757424874498</v>
      </c>
      <c r="AH498" s="9">
        <f t="shared" si="65"/>
        <v>0.45320033747755339</v>
      </c>
      <c r="AI498" s="9">
        <f t="shared" si="66"/>
        <v>0.37953680528959044</v>
      </c>
    </row>
    <row r="499" spans="16:35" x14ac:dyDescent="0.3">
      <c r="P499" s="9">
        <v>8.8450752242879571E-2</v>
      </c>
      <c r="Q499" s="9">
        <v>0.30163276472614642</v>
      </c>
      <c r="R499" s="9">
        <v>0.38332177534798084</v>
      </c>
      <c r="S499" s="9">
        <v>0.2265947076829932</v>
      </c>
      <c r="U499" s="9">
        <f t="array" ref="U499">MMULT(TRANSPOSE($B$3:$B$6),TRANSPOSE(P499:S499))</f>
        <v>9.9035874462684456E-2</v>
      </c>
      <c r="V499" s="9">
        <f>INT(200*U499)/200</f>
        <v>9.5000000000000001E-2</v>
      </c>
      <c r="W499" s="9">
        <f t="array" ref="W499">SQRT(MMULT(MMULT(P499:S499,$K$3:$N$6),TRANSPOSE(P499:S499)))</f>
        <v>9.5978976252310361E-2</v>
      </c>
      <c r="Y499" s="31">
        <f>U499/W499</f>
        <v>1.0318496646842543</v>
      </c>
      <c r="AA499" s="9">
        <f t="shared" si="59"/>
        <v>0.20700256351041876</v>
      </c>
      <c r="AB499" s="9">
        <f t="shared" si="60"/>
        <v>0.26757533219974111</v>
      </c>
      <c r="AC499" s="9">
        <f t="shared" si="61"/>
        <v>0.27397516577068554</v>
      </c>
      <c r="AD499" s="9">
        <f t="shared" si="62"/>
        <v>0.25144693851915462</v>
      </c>
      <c r="AE499" s="9"/>
      <c r="AF499" s="9">
        <f t="shared" si="63"/>
        <v>0.40481636133863963</v>
      </c>
      <c r="AG499" s="9">
        <f t="shared" si="64"/>
        <v>0.16262437615077893</v>
      </c>
      <c r="AH499" s="9">
        <f t="shared" si="65"/>
        <v>0.43933564204967579</v>
      </c>
      <c r="AI499" s="9">
        <f t="shared" si="66"/>
        <v>0.36586750192158046</v>
      </c>
    </row>
    <row r="500" spans="16:35" x14ac:dyDescent="0.3">
      <c r="P500" s="9">
        <v>0.16133032383136292</v>
      </c>
      <c r="Q500" s="9">
        <v>0.27307796257113148</v>
      </c>
      <c r="R500" s="9">
        <v>0.29404706535467062</v>
      </c>
      <c r="S500" s="9">
        <v>0.27154464824283508</v>
      </c>
      <c r="U500" s="9">
        <f t="array" ref="U500">MMULT(TRANSPOSE($B$3:$B$6),TRANSPOSE(P500:S500))</f>
        <v>9.5245542000855873E-2</v>
      </c>
      <c r="V500" s="9">
        <f>INT(200*U500)/200</f>
        <v>9.5000000000000001E-2</v>
      </c>
      <c r="W500" s="9">
        <f t="array" ref="W500">SQRT(MMULT(MMULT(P500:S500,$K$3:$N$6),TRANSPOSE(P500:S500)))</f>
        <v>9.2327294187723577E-2</v>
      </c>
      <c r="Y500" s="31">
        <f>U500/W500</f>
        <v>1.0316076393097668</v>
      </c>
      <c r="AA500" s="9">
        <f t="shared" si="59"/>
        <v>0.21050565164176946</v>
      </c>
      <c r="AB500" s="9">
        <f t="shared" si="60"/>
        <v>0.26863696465796993</v>
      </c>
      <c r="AC500" s="9">
        <f t="shared" si="61"/>
        <v>0.26663220665608944</v>
      </c>
      <c r="AD500" s="9">
        <f t="shared" si="62"/>
        <v>0.25422517704417114</v>
      </c>
      <c r="AE500" s="9"/>
      <c r="AF500" s="9">
        <f t="shared" si="63"/>
        <v>0.41658338135221795</v>
      </c>
      <c r="AG500" s="9">
        <f t="shared" si="64"/>
        <v>0.16124436396060521</v>
      </c>
      <c r="AH500" s="9">
        <f t="shared" si="65"/>
        <v>0.48931325760189426</v>
      </c>
      <c r="AI500" s="9">
        <f t="shared" si="66"/>
        <v>0.37185922673018496</v>
      </c>
    </row>
    <row r="501" spans="16:35" x14ac:dyDescent="0.3">
      <c r="P501" s="9">
        <v>0.25436155220619655</v>
      </c>
      <c r="Q501" s="9">
        <v>0.30626006940592831</v>
      </c>
      <c r="R501" s="9">
        <v>5.8868623190320025E-2</v>
      </c>
      <c r="S501" s="9">
        <v>0.38050975519755531</v>
      </c>
      <c r="U501" s="9">
        <f t="array" ref="U501">MMULT(TRANSPOSE($B$3:$B$6),TRANSPOSE(P501:S501))</f>
        <v>9.2748447703110831E-2</v>
      </c>
      <c r="V501" s="9">
        <f>INT(200*U501)/200</f>
        <v>0.09</v>
      </c>
      <c r="W501" s="9">
        <f t="array" ref="W501">SQRT(MMULT(MMULT(P501:S501,$K$3:$N$6),TRANSPOSE(P501:S501)))</f>
        <v>8.9954199117664363E-2</v>
      </c>
      <c r="Y501" s="31">
        <f>U501/W501</f>
        <v>1.0310630144323942</v>
      </c>
      <c r="AA501" s="9">
        <f t="shared" si="59"/>
        <v>0.21372445062694323</v>
      </c>
      <c r="AB501" s="9">
        <f t="shared" si="60"/>
        <v>0.26645144161905104</v>
      </c>
      <c r="AC501" s="9">
        <f t="shared" si="61"/>
        <v>0.26211879757058598</v>
      </c>
      <c r="AD501" s="9">
        <f t="shared" si="62"/>
        <v>0.25770531018341974</v>
      </c>
      <c r="AE501" s="9"/>
      <c r="AF501" s="9">
        <f t="shared" si="63"/>
        <v>0.4142317925193657</v>
      </c>
      <c r="AG501" s="9">
        <f t="shared" si="64"/>
        <v>0.16820764908032382</v>
      </c>
      <c r="AH501" s="9">
        <f t="shared" si="65"/>
        <v>0.47951620936290679</v>
      </c>
      <c r="AI501" s="9">
        <f t="shared" si="66"/>
        <v>0.34804499561968993</v>
      </c>
    </row>
    <row r="502" spans="16:35" x14ac:dyDescent="0.3">
      <c r="P502" s="9">
        <v>0.24520730102972765</v>
      </c>
      <c r="Q502" s="9">
        <v>0.2286684343423212</v>
      </c>
      <c r="R502" s="9">
        <v>0.31258121689778784</v>
      </c>
      <c r="S502" s="9">
        <v>0.21354304773016336</v>
      </c>
      <c r="U502" s="9">
        <f t="array" ref="U502">MMULT(TRANSPOSE($B$3:$B$6),TRANSPOSE(P502:S502))</f>
        <v>9.0126267928744619E-2</v>
      </c>
      <c r="V502" s="9">
        <f>INT(200*U502)/200</f>
        <v>0.09</v>
      </c>
      <c r="W502" s="9">
        <f t="array" ref="W502">SQRT(MMULT(MMULT(P502:S502,$K$3:$N$6),TRANSPOSE(P502:S502)))</f>
        <v>8.7413097021459246E-2</v>
      </c>
      <c r="Y502" s="31">
        <f>U502/W502</f>
        <v>1.0310384942272359</v>
      </c>
      <c r="AA502" s="9">
        <f t="shared" si="59"/>
        <v>0.22190186035274015</v>
      </c>
      <c r="AB502" s="9">
        <f t="shared" si="60"/>
        <v>0.26242493270878203</v>
      </c>
      <c r="AC502" s="9">
        <f t="shared" si="61"/>
        <v>0.26539492148531102</v>
      </c>
      <c r="AD502" s="9">
        <f t="shared" si="62"/>
        <v>0.25027828545316677</v>
      </c>
      <c r="AE502" s="9"/>
      <c r="AF502" s="9">
        <f t="shared" si="63"/>
        <v>0.40131835080343475</v>
      </c>
      <c r="AG502" s="9">
        <f t="shared" si="64"/>
        <v>0.17710977874622438</v>
      </c>
      <c r="AH502" s="9">
        <f t="shared" si="65"/>
        <v>0.4807197272856954</v>
      </c>
      <c r="AI502" s="9">
        <f t="shared" si="66"/>
        <v>0.37768100152666001</v>
      </c>
    </row>
    <row r="503" spans="16:35" x14ac:dyDescent="0.3">
      <c r="P503" s="9">
        <v>0.20379135499625925</v>
      </c>
      <c r="Q503" s="9">
        <v>0.25203476372031342</v>
      </c>
      <c r="R503" s="9">
        <v>0.28098074625996183</v>
      </c>
      <c r="S503" s="9">
        <v>0.26319313502346547</v>
      </c>
      <c r="U503" s="9">
        <f t="array" ref="U503">MMULT(TRANSPOSE($B$3:$B$6),TRANSPOSE(P503:S503))</f>
        <v>9.2775065134223483E-2</v>
      </c>
      <c r="V503" s="9">
        <f>INT(200*U503)/200</f>
        <v>0.09</v>
      </c>
      <c r="W503" s="9">
        <f t="array" ref="W503">SQRT(MMULT(MMULT(P503:S503,$K$3:$N$6),TRANSPOSE(P503:S503)))</f>
        <v>9.0020173628585914E-2</v>
      </c>
      <c r="Y503" s="31">
        <f>U503/W503</f>
        <v>1.0306030459017328</v>
      </c>
      <c r="AA503" s="9">
        <f t="shared" si="59"/>
        <v>0.23075546593666699</v>
      </c>
      <c r="AB503" s="9">
        <f t="shared" si="60"/>
        <v>0.25674973459297268</v>
      </c>
      <c r="AC503" s="9">
        <f t="shared" si="61"/>
        <v>0.25464027538284945</v>
      </c>
      <c r="AD503" s="9">
        <f t="shared" si="62"/>
        <v>0.25785452408751081</v>
      </c>
      <c r="AE503" s="9"/>
      <c r="AF503" s="9">
        <f t="shared" si="63"/>
        <v>0.39361947267703307</v>
      </c>
      <c r="AG503" s="9">
        <f t="shared" si="64"/>
        <v>0.18641231414137699</v>
      </c>
      <c r="AH503" s="9">
        <f t="shared" si="65"/>
        <v>0.44275444609728454</v>
      </c>
      <c r="AI503" s="9">
        <f t="shared" si="66"/>
        <v>0.30840053037136428</v>
      </c>
    </row>
    <row r="504" spans="16:35" x14ac:dyDescent="0.3">
      <c r="P504" s="9">
        <v>0.22702145568612953</v>
      </c>
      <c r="Q504" s="9">
        <v>0.2444232634311605</v>
      </c>
      <c r="R504" s="9">
        <v>0.25598197823107072</v>
      </c>
      <c r="S504" s="9">
        <v>0.2725733026516392</v>
      </c>
      <c r="U504" s="9">
        <f t="array" ref="U504">MMULT(TRANSPOSE($B$3:$B$6),TRANSPOSE(P504:S504))</f>
        <v>9.1594961521951346E-2</v>
      </c>
      <c r="V504" s="9">
        <f>INT(200*U504)/200</f>
        <v>0.09</v>
      </c>
      <c r="W504" s="9">
        <f t="array" ref="W504">SQRT(MMULT(MMULT(P504:S504,$K$3:$N$6),TRANSPOSE(P504:S504)))</f>
        <v>8.8907200212677423E-2</v>
      </c>
      <c r="Y504" s="31">
        <f>U504/W504</f>
        <v>1.0302310870530671</v>
      </c>
      <c r="AA504" s="9">
        <f t="shared" si="59"/>
        <v>0.2283878776045441</v>
      </c>
      <c r="AB504" s="9">
        <f t="shared" si="60"/>
        <v>0.2565972586693282</v>
      </c>
      <c r="AC504" s="9">
        <f t="shared" si="61"/>
        <v>0.25740299482222578</v>
      </c>
      <c r="AD504" s="9">
        <f t="shared" si="62"/>
        <v>0.25761186890390181</v>
      </c>
      <c r="AE504" s="9"/>
      <c r="AF504" s="9">
        <f t="shared" si="63"/>
        <v>0.38612380981167405</v>
      </c>
      <c r="AG504" s="9">
        <f t="shared" si="64"/>
        <v>0.18684362849428543</v>
      </c>
      <c r="AH504" s="9">
        <f t="shared" si="65"/>
        <v>0.42503094450898382</v>
      </c>
      <c r="AI504" s="9">
        <f t="shared" si="66"/>
        <v>0.30797801263647512</v>
      </c>
    </row>
    <row r="505" spans="16:35" x14ac:dyDescent="0.3">
      <c r="P505" s="9">
        <v>0.31438319203639498</v>
      </c>
      <c r="Q505" s="9">
        <v>0.20143891257106455</v>
      </c>
      <c r="R505" s="9">
        <v>0.26874946707610869</v>
      </c>
      <c r="S505" s="9">
        <v>0.21542842831643194</v>
      </c>
      <c r="U505" s="9">
        <f t="array" ref="U505">MMULT(TRANSPOSE($B$3:$B$6),TRANSPOSE(P505:S505))</f>
        <v>8.6376033245448805E-2</v>
      </c>
      <c r="V505" s="9">
        <f>INT(200*U505)/200</f>
        <v>8.5000000000000006E-2</v>
      </c>
      <c r="W505" s="9">
        <f t="array" ref="W505">SQRT(MMULT(MMULT(P505:S505,$K$3:$N$6),TRANSPOSE(P505:S505)))</f>
        <v>8.384522954932308E-2</v>
      </c>
      <c r="Y505" s="31">
        <f>U505/W505</f>
        <v>1.0301842300358537</v>
      </c>
      <c r="AA505" s="9">
        <f t="shared" si="59"/>
        <v>0.22175205326376504</v>
      </c>
      <c r="AB505" s="9">
        <f t="shared" si="60"/>
        <v>0.2597290510797009</v>
      </c>
      <c r="AC505" s="9">
        <f t="shared" si="61"/>
        <v>0.2558539457706499</v>
      </c>
      <c r="AD505" s="9">
        <f t="shared" si="62"/>
        <v>0.26266494988588412</v>
      </c>
      <c r="AE505" s="9"/>
      <c r="AF505" s="9">
        <f t="shared" si="63"/>
        <v>0.4187761488131474</v>
      </c>
      <c r="AG505" s="9">
        <f t="shared" si="64"/>
        <v>0.18719373265145775</v>
      </c>
      <c r="AH505" s="9">
        <f t="shared" si="65"/>
        <v>0.42315363033901426</v>
      </c>
      <c r="AI505" s="9">
        <f t="shared" si="66"/>
        <v>0.29553182055242277</v>
      </c>
    </row>
    <row r="506" spans="16:35" x14ac:dyDescent="0.3">
      <c r="P506" s="9">
        <v>4.7522589087415468E-2</v>
      </c>
      <c r="Q506" s="9">
        <v>0.34278815760702597</v>
      </c>
      <c r="R506" s="9">
        <v>0.27737516250746297</v>
      </c>
      <c r="S506" s="9">
        <v>0.33231409079809554</v>
      </c>
      <c r="U506" s="9">
        <f t="array" ref="U506">MMULT(TRANSPOSE($B$3:$B$6),TRANSPOSE(P506:S506))</f>
        <v>0.10241857067645496</v>
      </c>
      <c r="V506" s="9">
        <f>INT(200*U506)/200</f>
        <v>0.1</v>
      </c>
      <c r="W506" s="9">
        <f t="array" ref="W506">SQRT(MMULT(MMULT(P506:S506,$K$3:$N$6),TRANSPOSE(P506:S506)))</f>
        <v>9.943197786023511E-2</v>
      </c>
      <c r="Y506" s="31">
        <f>U506/W506</f>
        <v>1.0300365423728963</v>
      </c>
      <c r="AA506" s="9">
        <f t="shared" si="59"/>
        <v>0.22064216250797827</v>
      </c>
      <c r="AB506" s="9">
        <f t="shared" si="60"/>
        <v>0.26276112671141255</v>
      </c>
      <c r="AC506" s="9">
        <f t="shared" si="61"/>
        <v>0.24588336569558331</v>
      </c>
      <c r="AD506" s="9">
        <f t="shared" si="62"/>
        <v>0.27071334508502581</v>
      </c>
      <c r="AE506" s="9"/>
      <c r="AF506" s="9">
        <f t="shared" si="63"/>
        <v>0.42483239811260443</v>
      </c>
      <c r="AG506" s="9">
        <f t="shared" si="64"/>
        <v>0.19396453118673898</v>
      </c>
      <c r="AH506" s="9">
        <f t="shared" si="65"/>
        <v>0.44057911912882597</v>
      </c>
      <c r="AI506" s="9">
        <f t="shared" si="66"/>
        <v>0.30000920048322155</v>
      </c>
    </row>
    <row r="507" spans="16:35" x14ac:dyDescent="0.3">
      <c r="P507" s="9">
        <v>0.36547805456505239</v>
      </c>
      <c r="Q507" s="9">
        <v>0.18321588215970511</v>
      </c>
      <c r="R507" s="9">
        <v>0.31748965959893521</v>
      </c>
      <c r="S507" s="9">
        <v>0.13381640367630743</v>
      </c>
      <c r="U507" s="9">
        <f t="array" ref="U507">MMULT(TRANSPOSE($B$3:$B$6),TRANSPOSE(P507:S507))</f>
        <v>8.3361921992177165E-2</v>
      </c>
      <c r="V507" s="9">
        <f>INT(200*U507)/200</f>
        <v>0.08</v>
      </c>
      <c r="W507" s="9">
        <f t="array" ref="W507">SQRT(MMULT(MMULT(P507:S507,$K$3:$N$6),TRANSPOSE(P507:S507)))</f>
        <v>8.1002359598862747E-2</v>
      </c>
      <c r="Y507" s="31">
        <f>U507/W507</f>
        <v>1.0291295513488665</v>
      </c>
      <c r="AA507" s="9">
        <f t="shared" si="59"/>
        <v>0.23965206590998769</v>
      </c>
      <c r="AB507" s="9">
        <f t="shared" si="60"/>
        <v>0.25593063612392647</v>
      </c>
      <c r="AC507" s="9">
        <f t="shared" si="61"/>
        <v>0.24487775582273819</v>
      </c>
      <c r="AD507" s="9">
        <f t="shared" si="62"/>
        <v>0.25953954214334768</v>
      </c>
      <c r="AE507" s="9"/>
      <c r="AF507" s="9">
        <f t="shared" si="63"/>
        <v>0.43791679111011694</v>
      </c>
      <c r="AG507" s="9">
        <f t="shared" si="64"/>
        <v>0.21151893177999889</v>
      </c>
      <c r="AH507" s="9">
        <f t="shared" si="65"/>
        <v>0.43902487988128264</v>
      </c>
      <c r="AI507" s="9">
        <f t="shared" si="66"/>
        <v>0.37228941590348841</v>
      </c>
    </row>
    <row r="508" spans="16:35" x14ac:dyDescent="0.3">
      <c r="P508" s="9">
        <v>0.14101362395719674</v>
      </c>
      <c r="Q508" s="9">
        <v>0.28238229327552111</v>
      </c>
      <c r="R508" s="9">
        <v>0.28955388558366596</v>
      </c>
      <c r="S508" s="9">
        <v>0.2870501971836163</v>
      </c>
      <c r="U508" s="9">
        <f t="array" ref="U508">MMULT(TRANSPOSE($B$3:$B$6),TRANSPOSE(P508:S508))</f>
        <v>9.6445923893104454E-2</v>
      </c>
      <c r="V508" s="9">
        <f>INT(200*U508)/200</f>
        <v>9.5000000000000001E-2</v>
      </c>
      <c r="W508" s="9">
        <f t="array" ref="W508">SQRT(MMULT(MMULT(P508:S508,$K$3:$N$6),TRANSPOSE(P508:S508)))</f>
        <v>9.3785331269571517E-2</v>
      </c>
      <c r="Y508" s="31">
        <f>U508/W508</f>
        <v>1.0283689633284492</v>
      </c>
      <c r="AA508" s="9">
        <f t="shared" si="59"/>
        <v>0.23142461145179671</v>
      </c>
      <c r="AB508" s="9">
        <f t="shared" si="60"/>
        <v>0.25949456900338042</v>
      </c>
      <c r="AC508" s="9">
        <f t="shared" si="61"/>
        <v>0.24763673418579171</v>
      </c>
      <c r="AD508" s="9">
        <f t="shared" si="62"/>
        <v>0.26144408535903108</v>
      </c>
      <c r="AE508" s="9"/>
      <c r="AF508" s="9">
        <f t="shared" si="63"/>
        <v>0.46973119703572658</v>
      </c>
      <c r="AG508" s="9">
        <f t="shared" si="64"/>
        <v>0.21201157630142414</v>
      </c>
      <c r="AH508" s="9">
        <f t="shared" si="65"/>
        <v>0.43280738869085389</v>
      </c>
      <c r="AI508" s="9">
        <f t="shared" si="66"/>
        <v>0.37318566299149253</v>
      </c>
    </row>
    <row r="509" spans="16:35" x14ac:dyDescent="0.3">
      <c r="P509" s="9">
        <v>0.2209395251680307</v>
      </c>
      <c r="Q509" s="9">
        <v>0.26217076997260808</v>
      </c>
      <c r="R509" s="9">
        <v>0.19630456543199393</v>
      </c>
      <c r="S509" s="9">
        <v>0.32058513942736738</v>
      </c>
      <c r="U509" s="9">
        <f t="array" ref="U509">MMULT(TRANSPOSE($B$3:$B$6),TRANSPOSE(P509:S509))</f>
        <v>9.2575056598008729E-2</v>
      </c>
      <c r="V509" s="9">
        <f>INT(200*U509)/200</f>
        <v>0.09</v>
      </c>
      <c r="W509" s="9">
        <f t="array" ref="W509">SQRT(MMULT(MMULT(P509:S509,$K$3:$N$6),TRANSPOSE(P509:S509)))</f>
        <v>9.0029782092619332E-2</v>
      </c>
      <c r="Y509" s="31">
        <f>U509/W509</f>
        <v>1.0282714724641999</v>
      </c>
      <c r="AA509" s="9">
        <f t="shared" si="59"/>
        <v>0.23171964182837035</v>
      </c>
      <c r="AB509" s="9">
        <f t="shared" si="60"/>
        <v>0.25351193118339116</v>
      </c>
      <c r="AC509" s="9">
        <f t="shared" si="61"/>
        <v>0.26252417353841007</v>
      </c>
      <c r="AD509" s="9">
        <f t="shared" si="62"/>
        <v>0.25224425344982843</v>
      </c>
      <c r="AE509" s="9"/>
      <c r="AF509" s="9">
        <f t="shared" si="63"/>
        <v>0.46900752013934355</v>
      </c>
      <c r="AG509" s="9">
        <f t="shared" si="64"/>
        <v>0.19927643282636995</v>
      </c>
      <c r="AH509" s="9">
        <f t="shared" si="65"/>
        <v>0.35941587348563103</v>
      </c>
      <c r="AI509" s="9">
        <f t="shared" si="66"/>
        <v>0.36452735953272247</v>
      </c>
    </row>
    <row r="510" spans="16:35" x14ac:dyDescent="0.3">
      <c r="P510" s="9">
        <v>0.33633814694974179</v>
      </c>
      <c r="Q510" s="9">
        <v>0.27153878082617372</v>
      </c>
      <c r="R510" s="9">
        <v>2.891664084340104E-2</v>
      </c>
      <c r="S510" s="9">
        <v>0.36320643138068348</v>
      </c>
      <c r="U510" s="9">
        <f t="array" ref="U510">MMULT(TRANSPOSE($B$3:$B$6),TRANSPOSE(P510:S510))</f>
        <v>8.8157182370543902E-2</v>
      </c>
      <c r="V510" s="9">
        <f>INT(200*U510)/200</f>
        <v>8.5000000000000006E-2</v>
      </c>
      <c r="W510" s="9">
        <f t="array" ref="W510">SQRT(MMULT(MMULT(P510:S510,$K$3:$N$6),TRANSPOSE(P510:S510)))</f>
        <v>8.57796139259899E-2</v>
      </c>
      <c r="Y510" s="31">
        <f>U510/W510</f>
        <v>1.0277171735303607</v>
      </c>
      <c r="AA510" s="9">
        <f t="shared" si="59"/>
        <v>0.23503705721481041</v>
      </c>
      <c r="AB510" s="9">
        <f t="shared" si="60"/>
        <v>0.25257810539534825</v>
      </c>
      <c r="AC510" s="9">
        <f t="shared" si="61"/>
        <v>0.25559873104057335</v>
      </c>
      <c r="AD510" s="9">
        <f t="shared" si="62"/>
        <v>0.25678610634926796</v>
      </c>
      <c r="AE510" s="9"/>
      <c r="AF510" s="9">
        <f t="shared" si="63"/>
        <v>0.44712243983823341</v>
      </c>
      <c r="AG510" s="9">
        <f t="shared" si="64"/>
        <v>0.19701047870181235</v>
      </c>
      <c r="AH510" s="9">
        <f t="shared" si="65"/>
        <v>0.35327142530696815</v>
      </c>
      <c r="AI510" s="9">
        <f t="shared" si="66"/>
        <v>0.36205069498918802</v>
      </c>
    </row>
    <row r="511" spans="16:35" x14ac:dyDescent="0.3">
      <c r="P511" s="9">
        <v>0.26776770525237625</v>
      </c>
      <c r="Q511" s="9">
        <v>0.21573417106850074</v>
      </c>
      <c r="R511" s="9">
        <v>0.34607343259241069</v>
      </c>
      <c r="S511" s="9">
        <v>0.17042469108671229</v>
      </c>
      <c r="U511" s="9">
        <f t="array" ref="U511">MMULT(TRANSPOSE($B$3:$B$6),TRANSPOSE(P511:S511))</f>
        <v>8.8618445740834342E-2</v>
      </c>
      <c r="V511" s="9">
        <f>INT(200*U511)/200</f>
        <v>8.5000000000000006E-2</v>
      </c>
      <c r="W511" s="9">
        <f t="array" ref="W511">SQRT(MMULT(MMULT(P511:S511,$K$3:$N$6),TRANSPOSE(P511:S511)))</f>
        <v>8.6287465383103543E-2</v>
      </c>
      <c r="Y511" s="31">
        <f>U511/W511</f>
        <v>1.0270141247906819</v>
      </c>
      <c r="AA511" s="9">
        <f t="shared" si="59"/>
        <v>0.23483592059654296</v>
      </c>
      <c r="AB511" s="9">
        <f t="shared" si="60"/>
        <v>0.25278888236473085</v>
      </c>
      <c r="AC511" s="9">
        <f t="shared" si="61"/>
        <v>0.25377162821646965</v>
      </c>
      <c r="AD511" s="9">
        <f t="shared" si="62"/>
        <v>0.25860356882225649</v>
      </c>
      <c r="AE511" s="9"/>
      <c r="AF511" s="9">
        <f t="shared" si="63"/>
        <v>0.44815289799903196</v>
      </c>
      <c r="AG511" s="9">
        <f t="shared" si="64"/>
        <v>0.19724357209993174</v>
      </c>
      <c r="AH511" s="9">
        <f t="shared" si="65"/>
        <v>0.35412158282144618</v>
      </c>
      <c r="AI511" s="9">
        <f t="shared" si="66"/>
        <v>0.36211081589924399</v>
      </c>
    </row>
    <row r="512" spans="16:35" x14ac:dyDescent="0.3">
      <c r="P512" s="9">
        <v>0.30907226426775036</v>
      </c>
      <c r="Q512" s="9">
        <v>0.20424896505725909</v>
      </c>
      <c r="R512" s="9">
        <v>0.36774674412431663</v>
      </c>
      <c r="S512" s="9">
        <v>0.11893202655067393</v>
      </c>
      <c r="U512" s="9">
        <f t="array" ref="U512">MMULT(TRANSPOSE($B$3:$B$6),TRANSPOSE(P512:S512))</f>
        <v>8.6335031239243354E-2</v>
      </c>
      <c r="V512" s="9">
        <f>INT(200*U512)/200</f>
        <v>8.5000000000000006E-2</v>
      </c>
      <c r="W512" s="9">
        <f t="array" ref="W512">SQRT(MMULT(MMULT(P512:S512,$K$3:$N$6),TRANSPOSE(P512:S512)))</f>
        <v>8.4091974848231874E-2</v>
      </c>
      <c r="Y512" s="31">
        <f>U512/W512</f>
        <v>1.0266738460484455</v>
      </c>
      <c r="AA512" s="9">
        <f t="shared" si="59"/>
        <v>0.23323020836581462</v>
      </c>
      <c r="AB512" s="9">
        <f t="shared" si="60"/>
        <v>0.24931343091334585</v>
      </c>
      <c r="AC512" s="9">
        <f t="shared" si="61"/>
        <v>0.26629129665492302</v>
      </c>
      <c r="AD512" s="9">
        <f t="shared" si="62"/>
        <v>0.2511650640659166</v>
      </c>
      <c r="AE512" s="9"/>
      <c r="AF512" s="9">
        <f t="shared" si="63"/>
        <v>0.45099997306998019</v>
      </c>
      <c r="AG512" s="9">
        <f t="shared" si="64"/>
        <v>0.19442111277668961</v>
      </c>
      <c r="AH512" s="9">
        <f t="shared" si="65"/>
        <v>0.29672059337209417</v>
      </c>
      <c r="AI512" s="9">
        <f t="shared" si="66"/>
        <v>0.35670548003359598</v>
      </c>
    </row>
    <row r="513" spans="16:35" x14ac:dyDescent="0.3">
      <c r="P513" s="9">
        <v>0.33647970303182012</v>
      </c>
      <c r="Q513" s="9">
        <v>0.18904796191333537</v>
      </c>
      <c r="R513" s="9">
        <v>0.30497876259679191</v>
      </c>
      <c r="S513" s="9">
        <v>0.16949357245805255</v>
      </c>
      <c r="U513" s="9">
        <f t="array" ref="U513">MMULT(TRANSPOSE($B$3:$B$6),TRANSPOSE(P513:S513))</f>
        <v>8.4894295299240002E-2</v>
      </c>
      <c r="V513" s="9">
        <f>INT(200*U513)/200</f>
        <v>0.08</v>
      </c>
      <c r="W513" s="9">
        <f t="array" ref="W513">SQRT(MMULT(MMULT(P513:S513,$K$3:$N$6),TRANSPOSE(P513:S513)))</f>
        <v>8.2689140614214451E-2</v>
      </c>
      <c r="Y513" s="31">
        <f>U513/W513</f>
        <v>1.0266680082613711</v>
      </c>
      <c r="AA513" s="9">
        <f t="shared" si="59"/>
        <v>0.23214783051396934</v>
      </c>
      <c r="AB513" s="9">
        <f t="shared" si="60"/>
        <v>0.25015765639825066</v>
      </c>
      <c r="AC513" s="9">
        <f t="shared" si="61"/>
        <v>0.26257350369527266</v>
      </c>
      <c r="AD513" s="9">
        <f t="shared" si="62"/>
        <v>0.25512100939250743</v>
      </c>
      <c r="AE513" s="9"/>
      <c r="AF513" s="9">
        <f t="shared" si="63"/>
        <v>0.45304905790015093</v>
      </c>
      <c r="AG513" s="9">
        <f t="shared" si="64"/>
        <v>0.19287084561769441</v>
      </c>
      <c r="AH513" s="9">
        <f t="shared" si="65"/>
        <v>0.29920248567006891</v>
      </c>
      <c r="AI513" s="9">
        <f t="shared" si="66"/>
        <v>0.35152626263027459</v>
      </c>
    </row>
    <row r="514" spans="16:35" x14ac:dyDescent="0.3">
      <c r="P514" s="9">
        <v>0.29990441381192096</v>
      </c>
      <c r="Q514" s="9">
        <v>0.23046278380090554</v>
      </c>
      <c r="R514" s="9">
        <v>0.15718471378261281</v>
      </c>
      <c r="S514" s="9">
        <v>0.31244808860456064</v>
      </c>
      <c r="U514" s="9">
        <f t="array" ref="U514">MMULT(TRANSPOSE($B$3:$B$6),TRANSPOSE(P514:S514))</f>
        <v>8.8237294686544926E-2</v>
      </c>
      <c r="V514" s="9">
        <f>INT(200*U514)/200</f>
        <v>8.5000000000000006E-2</v>
      </c>
      <c r="W514" s="9">
        <f t="array" ref="W514">SQRT(MMULT(MMULT(P514:S514,$K$3:$N$6),TRANSPOSE(P514:S514)))</f>
        <v>8.5986328681992463E-2</v>
      </c>
      <c r="Y514" s="31">
        <f>U514/W514</f>
        <v>1.0261781848237448</v>
      </c>
      <c r="AA514" s="9">
        <f t="shared" si="59"/>
        <v>0.23627467261380369</v>
      </c>
      <c r="AB514" s="9">
        <f t="shared" si="60"/>
        <v>0.24781975732428124</v>
      </c>
      <c r="AC514" s="9">
        <f t="shared" si="61"/>
        <v>0.26481907486911205</v>
      </c>
      <c r="AD514" s="9">
        <f t="shared" si="62"/>
        <v>0.25108649519280302</v>
      </c>
      <c r="AE514" s="9"/>
      <c r="AF514" s="9">
        <f t="shared" si="63"/>
        <v>0.44738180519639398</v>
      </c>
      <c r="AG514" s="9">
        <f t="shared" si="64"/>
        <v>0.19905585694021996</v>
      </c>
      <c r="AH514" s="9">
        <f t="shared" si="65"/>
        <v>0.3012608238572837</v>
      </c>
      <c r="AI514" s="9">
        <f t="shared" si="66"/>
        <v>0.3631953761226599</v>
      </c>
    </row>
    <row r="515" spans="16:35" x14ac:dyDescent="0.3">
      <c r="P515" s="9">
        <v>9.4609758238945157E-2</v>
      </c>
      <c r="Q515" s="9">
        <v>0.30097361967680913</v>
      </c>
      <c r="R515" s="9">
        <v>0.31655864347760748</v>
      </c>
      <c r="S515" s="9">
        <v>0.28785797860663831</v>
      </c>
      <c r="U515" s="9">
        <f t="array" ref="U515">MMULT(TRANSPOSE($B$3:$B$6),TRANSPOSE(P515:S515))</f>
        <v>9.8979237229185668E-2</v>
      </c>
      <c r="V515" s="9">
        <f>INT(200*U515)/200</f>
        <v>9.5000000000000001E-2</v>
      </c>
      <c r="W515" s="9">
        <f t="array" ref="W515">SQRT(MMULT(MMULT(P515:S515,$K$3:$N$6),TRANSPOSE(P515:S515)))</f>
        <v>9.6501894130537696E-2</v>
      </c>
      <c r="Y515" s="31">
        <f>U515/W515</f>
        <v>1.0256714453220668</v>
      </c>
      <c r="AA515" s="9">
        <f t="shared" si="59"/>
        <v>0.23312804008777852</v>
      </c>
      <c r="AB515" s="9">
        <f t="shared" si="60"/>
        <v>0.24878436005349083</v>
      </c>
      <c r="AC515" s="9">
        <f t="shared" si="61"/>
        <v>0.26675579090633916</v>
      </c>
      <c r="AD515" s="9">
        <f t="shared" si="62"/>
        <v>0.25133180895239154</v>
      </c>
      <c r="AE515" s="9"/>
      <c r="AF515" s="9">
        <f t="shared" si="63"/>
        <v>0.45884727971997213</v>
      </c>
      <c r="AG515" s="9">
        <f t="shared" si="64"/>
        <v>0.19879916017869292</v>
      </c>
      <c r="AH515" s="9">
        <f t="shared" si="65"/>
        <v>0.30007809652448986</v>
      </c>
      <c r="AI515" s="9">
        <f t="shared" si="66"/>
        <v>0.36310982160770955</v>
      </c>
    </row>
    <row r="516" spans="16:35" x14ac:dyDescent="0.3">
      <c r="P516" s="9">
        <v>0.13977391864832842</v>
      </c>
      <c r="Q516" s="9">
        <v>0.32978426985118792</v>
      </c>
      <c r="R516" s="9">
        <v>0.14549947219261333</v>
      </c>
      <c r="S516" s="9">
        <v>0.38494233930787042</v>
      </c>
      <c r="U516" s="9">
        <f t="array" ref="U516">MMULT(TRANSPOSE($B$3:$B$6),TRANSPOSE(P516:S516))</f>
        <v>9.8320782855923189E-2</v>
      </c>
      <c r="V516" s="9">
        <f>INT(200*U516)/200</f>
        <v>9.5000000000000001E-2</v>
      </c>
      <c r="W516" s="9">
        <f t="array" ref="W516">SQRT(MMULT(MMULT(P516:S516,$K$3:$N$6),TRANSPOSE(P516:S516)))</f>
        <v>9.5883160027389738E-2</v>
      </c>
      <c r="Y516" s="31">
        <f>U516/W516</f>
        <v>1.0254228461790071</v>
      </c>
      <c r="AA516" s="9">
        <f t="shared" si="59"/>
        <v>0.22367632439683849</v>
      </c>
      <c r="AB516" s="9">
        <f t="shared" si="60"/>
        <v>0.25670364745245305</v>
      </c>
      <c r="AC516" s="9">
        <f t="shared" si="61"/>
        <v>0.25857898080679764</v>
      </c>
      <c r="AD516" s="9">
        <f t="shared" si="62"/>
        <v>0.2610410473439107</v>
      </c>
      <c r="AE516" s="9"/>
      <c r="AF516" s="9">
        <f t="shared" si="63"/>
        <v>0.48370596102373437</v>
      </c>
      <c r="AG516" s="9">
        <f t="shared" si="64"/>
        <v>0.21250335169425366</v>
      </c>
      <c r="AH516" s="9">
        <f t="shared" si="65"/>
        <v>0.34105563608329542</v>
      </c>
      <c r="AI516" s="9">
        <f t="shared" si="66"/>
        <v>0.37487586778772031</v>
      </c>
    </row>
    <row r="517" spans="16:35" x14ac:dyDescent="0.3">
      <c r="P517" s="9">
        <v>0.48555123439684417</v>
      </c>
      <c r="Q517" s="9">
        <v>0.16441459742558193</v>
      </c>
      <c r="R517" s="9">
        <v>0.31900427919673319</v>
      </c>
      <c r="S517" s="9">
        <v>3.1029888980840643E-2</v>
      </c>
      <c r="U517" s="9">
        <f t="array" ref="U517">MMULT(TRANSPOSE($B$3:$B$6),TRANSPOSE(P517:S517))</f>
        <v>7.7346002617316278E-2</v>
      </c>
      <c r="V517" s="9">
        <f>INT(200*U517)/200</f>
        <v>7.4999999999999997E-2</v>
      </c>
      <c r="W517" s="9">
        <f t="array" ref="W517">SQRT(MMULT(MMULT(P517:S517,$K$3:$N$6),TRANSPOSE(P517:S517)))</f>
        <v>7.5482507325777465E-2</v>
      </c>
      <c r="Y517" s="31">
        <f>U517/W517</f>
        <v>1.0246877767784806</v>
      </c>
      <c r="AA517" s="9">
        <f t="shared" si="59"/>
        <v>0.22273660266298087</v>
      </c>
      <c r="AB517" s="9">
        <f t="shared" si="60"/>
        <v>0.2557421275691259</v>
      </c>
      <c r="AC517" s="9">
        <f t="shared" si="61"/>
        <v>0.267021851980075</v>
      </c>
      <c r="AD517" s="9">
        <f t="shared" si="62"/>
        <v>0.25449941778781815</v>
      </c>
      <c r="AE517" s="9"/>
      <c r="AF517" s="9">
        <f t="shared" si="63"/>
        <v>0.49328549690590529</v>
      </c>
      <c r="AG517" s="9">
        <f t="shared" si="64"/>
        <v>0.20769465132132692</v>
      </c>
      <c r="AH517" s="9">
        <f t="shared" si="65"/>
        <v>0.36708040959523697</v>
      </c>
      <c r="AI517" s="9">
        <f t="shared" si="66"/>
        <v>0.38289295211209051</v>
      </c>
    </row>
    <row r="518" spans="16:35" x14ac:dyDescent="0.3">
      <c r="P518" s="9">
        <v>0.10265776321998822</v>
      </c>
      <c r="Q518" s="9">
        <v>0.30799223971669787</v>
      </c>
      <c r="R518" s="9">
        <v>0.26305722386816599</v>
      </c>
      <c r="S518" s="9">
        <v>0.32629277319514788</v>
      </c>
      <c r="U518" s="9">
        <f t="array" ref="U518">MMULT(TRANSPOSE($B$3:$B$6),TRANSPOSE(P518:S518))</f>
        <v>9.8997216745724037E-2</v>
      </c>
      <c r="V518" s="9">
        <f>INT(200*U518)/200</f>
        <v>9.5000000000000001E-2</v>
      </c>
      <c r="W518" s="9">
        <f t="array" ref="W518">SQRT(MMULT(MMULT(P518:S518,$K$3:$N$6),TRANSPOSE(P518:S518)))</f>
        <v>9.6623085132560724E-2</v>
      </c>
      <c r="Y518" s="31">
        <f>U518/W518</f>
        <v>1.0245710599067102</v>
      </c>
      <c r="AA518" s="9">
        <f t="shared" si="59"/>
        <v>0.20776456413152902</v>
      </c>
      <c r="AB518" s="9">
        <f t="shared" si="60"/>
        <v>0.26285938863258596</v>
      </c>
      <c r="AC518" s="9">
        <f t="shared" si="61"/>
        <v>0.2651712217908716</v>
      </c>
      <c r="AD518" s="9">
        <f t="shared" si="62"/>
        <v>0.26420482544501334</v>
      </c>
      <c r="AE518" s="9"/>
      <c r="AF518" s="9">
        <f t="shared" si="63"/>
        <v>0.53361740666783153</v>
      </c>
      <c r="AG518" s="9">
        <f t="shared" si="64"/>
        <v>0.20134522022713644</v>
      </c>
      <c r="AH518" s="9">
        <f t="shared" si="65"/>
        <v>0.36724501961769385</v>
      </c>
      <c r="AI518" s="9">
        <f t="shared" si="66"/>
        <v>0.35935309965804985</v>
      </c>
    </row>
    <row r="519" spans="16:35" x14ac:dyDescent="0.3">
      <c r="P519" s="9">
        <v>0.22445784577141659</v>
      </c>
      <c r="Q519" s="9">
        <v>0.23145989173183742</v>
      </c>
      <c r="R519" s="9">
        <v>0.3287335861519991</v>
      </c>
      <c r="S519" s="9">
        <v>0.21534867634474683</v>
      </c>
      <c r="U519" s="9">
        <f t="array" ref="U519">MMULT(TRANSPOSE($B$3:$B$6),TRANSPOSE(P519:S519))</f>
        <v>9.1093553890686629E-2</v>
      </c>
      <c r="V519" s="9">
        <f>INT(200*U519)/200</f>
        <v>0.09</v>
      </c>
      <c r="W519" s="9">
        <f t="array" ref="W519">SQRT(MMULT(MMULT(P519:S519,$K$3:$N$6),TRANSPOSE(P519:S519)))</f>
        <v>8.8923326228803182E-2</v>
      </c>
      <c r="Y519" s="31">
        <f>U519/W519</f>
        <v>1.0244056059745152</v>
      </c>
      <c r="AA519" s="9">
        <f t="shared" si="59"/>
        <v>0.21647061044334159</v>
      </c>
      <c r="AB519" s="9">
        <f t="shared" si="60"/>
        <v>0.26225820638017594</v>
      </c>
      <c r="AC519" s="9">
        <f t="shared" si="61"/>
        <v>0.25309452856404679</v>
      </c>
      <c r="AD519" s="9">
        <f t="shared" si="62"/>
        <v>0.26817665461243556</v>
      </c>
      <c r="AE519" s="9"/>
      <c r="AF519" s="9">
        <f t="shared" si="63"/>
        <v>0.51983462497268174</v>
      </c>
      <c r="AG519" s="9">
        <f t="shared" si="64"/>
        <v>0.20119137427551478</v>
      </c>
      <c r="AH519" s="9">
        <f t="shared" si="65"/>
        <v>0.43151684738174767</v>
      </c>
      <c r="AI519" s="9">
        <f t="shared" si="66"/>
        <v>0.36413426044428138</v>
      </c>
    </row>
    <row r="520" spans="16:35" x14ac:dyDescent="0.3">
      <c r="P520" s="9">
        <v>0.15811647535812046</v>
      </c>
      <c r="Q520" s="9">
        <v>0.28202242317724602</v>
      </c>
      <c r="R520" s="9">
        <v>0.23788748289341</v>
      </c>
      <c r="S520" s="9">
        <v>0.32197361857122353</v>
      </c>
      <c r="U520" s="9">
        <f t="array" ref="U520">MMULT(TRANSPOSE($B$3:$B$6),TRANSPOSE(P520:S520))</f>
        <v>9.584136567926245E-2</v>
      </c>
      <c r="V520" s="9">
        <f>INT(200*U520)/200</f>
        <v>9.5000000000000001E-2</v>
      </c>
      <c r="W520" s="9">
        <f t="array" ref="W520">SQRT(MMULT(MMULT(P520:S520,$K$3:$N$6),TRANSPOSE(P520:S520)))</f>
        <v>9.3574818764633638E-2</v>
      </c>
      <c r="Y520" s="31">
        <f>U520/W520</f>
        <v>1.0242217612019084</v>
      </c>
      <c r="AA520" s="9">
        <f t="shared" si="59"/>
        <v>0.22427894922996419</v>
      </c>
      <c r="AB520" s="9">
        <f t="shared" si="60"/>
        <v>0.25851988460410602</v>
      </c>
      <c r="AC520" s="9">
        <f t="shared" si="61"/>
        <v>0.25139244127356519</v>
      </c>
      <c r="AD520" s="9">
        <f t="shared" si="62"/>
        <v>0.26580872489236446</v>
      </c>
      <c r="AE520" s="9"/>
      <c r="AF520" s="9">
        <f t="shared" si="63"/>
        <v>0.52787352546346356</v>
      </c>
      <c r="AG520" s="9">
        <f t="shared" si="64"/>
        <v>0.21461263059954672</v>
      </c>
      <c r="AH520" s="9">
        <f t="shared" si="65"/>
        <v>0.43921682794656591</v>
      </c>
      <c r="AI520" s="9">
        <f t="shared" si="66"/>
        <v>0.36461584716776463</v>
      </c>
    </row>
    <row r="521" spans="16:35" x14ac:dyDescent="0.3">
      <c r="P521" s="9">
        <v>0.15710645484774668</v>
      </c>
      <c r="Q521" s="9">
        <v>0.27750427892816659</v>
      </c>
      <c r="R521" s="9">
        <v>0.25567790604849239</v>
      </c>
      <c r="S521" s="9">
        <v>0.30971136017559431</v>
      </c>
      <c r="U521" s="9">
        <f t="array" ref="U521">MMULT(TRANSPOSE($B$3:$B$6),TRANSPOSE(P521:S521))</f>
        <v>9.5699519371724592E-2</v>
      </c>
      <c r="V521" s="9">
        <f>INT(200*U521)/200</f>
        <v>9.5000000000000001E-2</v>
      </c>
      <c r="W521" s="9">
        <f t="array" ref="W521">SQRT(MMULT(MMULT(P521:S521,$K$3:$N$6),TRANSPOSE(P521:S521)))</f>
        <v>9.3453419270611085E-2</v>
      </c>
      <c r="Y521" s="31">
        <f>U521/W521</f>
        <v>1.0240344346803354</v>
      </c>
      <c r="AA521" s="9">
        <f t="shared" si="59"/>
        <v>0.22610547858931723</v>
      </c>
      <c r="AB521" s="9">
        <f t="shared" si="60"/>
        <v>0.25581178743203564</v>
      </c>
      <c r="AC521" s="9">
        <f t="shared" si="61"/>
        <v>0.25420735679355649</v>
      </c>
      <c r="AD521" s="9">
        <f t="shared" si="62"/>
        <v>0.26387537718509052</v>
      </c>
      <c r="AE521" s="9"/>
      <c r="AF521" s="9">
        <f t="shared" si="63"/>
        <v>0.53286456047160069</v>
      </c>
      <c r="AG521" s="9">
        <f t="shared" si="64"/>
        <v>0.21968381795277619</v>
      </c>
      <c r="AH521" s="9">
        <f t="shared" si="65"/>
        <v>0.41338416334795647</v>
      </c>
      <c r="AI521" s="9">
        <f t="shared" si="66"/>
        <v>0.36103760505608079</v>
      </c>
    </row>
    <row r="522" spans="16:35" x14ac:dyDescent="0.3">
      <c r="P522" s="9">
        <v>0.22064159536090114</v>
      </c>
      <c r="Q522" s="9">
        <v>0.23327558892684197</v>
      </c>
      <c r="R522" s="9">
        <v>0.32178166039784029</v>
      </c>
      <c r="S522" s="9">
        <v>0.22430115531441666</v>
      </c>
      <c r="U522" s="9">
        <f t="array" ref="U522">MMULT(TRANSPOSE($B$3:$B$6),TRANSPOSE(P522:S522))</f>
        <v>9.1343147653171655E-2</v>
      </c>
      <c r="V522" s="9">
        <f>INT(200*U522)/200</f>
        <v>0.09</v>
      </c>
      <c r="W522" s="9">
        <f t="array" ref="W522">SQRT(MMULT(MMULT(P522:S522,$K$3:$N$6),TRANSPOSE(P522:S522)))</f>
        <v>8.9200349941033472E-2</v>
      </c>
      <c r="Y522" s="31">
        <f>U522/W522</f>
        <v>1.0240223016339587</v>
      </c>
      <c r="AA522" s="9">
        <f t="shared" si="59"/>
        <v>0.22316391726081961</v>
      </c>
      <c r="AB522" s="9">
        <f t="shared" si="60"/>
        <v>0.25710536085337227</v>
      </c>
      <c r="AC522" s="9">
        <f t="shared" si="61"/>
        <v>0.25096461753158</v>
      </c>
      <c r="AD522" s="9">
        <f t="shared" si="62"/>
        <v>0.2687661043542281</v>
      </c>
      <c r="AE522" s="9"/>
      <c r="AF522" s="9">
        <f t="shared" si="63"/>
        <v>0.53847970408079127</v>
      </c>
      <c r="AG522" s="9">
        <f t="shared" si="64"/>
        <v>0.21601198460368473</v>
      </c>
      <c r="AH522" s="9">
        <f t="shared" si="65"/>
        <v>0.41098000530045675</v>
      </c>
      <c r="AI522" s="9">
        <f t="shared" si="66"/>
        <v>0.34541883876114327</v>
      </c>
    </row>
    <row r="523" spans="16:35" x14ac:dyDescent="0.3">
      <c r="P523" s="9">
        <v>0.22247736614097588</v>
      </c>
      <c r="Q523" s="9">
        <v>0.24639716952532276</v>
      </c>
      <c r="R523" s="9">
        <v>0.2345075647451309</v>
      </c>
      <c r="S523" s="9">
        <v>0.29661789958857043</v>
      </c>
      <c r="U523" s="9">
        <f t="array" ref="U523">MMULT(TRANSPOSE($B$3:$B$6),TRANSPOSE(P523:S523))</f>
        <v>9.1935125205235363E-2</v>
      </c>
      <c r="V523" s="9">
        <f>INT(200*U523)/200</f>
        <v>0.09</v>
      </c>
      <c r="W523" s="9">
        <f t="array" ref="W523">SQRT(MMULT(MMULT(P523:S523,$K$3:$N$6),TRANSPOSE(P523:S523)))</f>
        <v>8.9808151424563332E-2</v>
      </c>
      <c r="Y523" s="31">
        <f>U523/W523</f>
        <v>1.0236835270176854</v>
      </c>
      <c r="AA523" s="9">
        <f t="shared" si="59"/>
        <v>0.22442515868090407</v>
      </c>
      <c r="AB523" s="9">
        <f t="shared" si="60"/>
        <v>0.26068191832051929</v>
      </c>
      <c r="AC523" s="9">
        <f t="shared" si="61"/>
        <v>0.2337502204019648</v>
      </c>
      <c r="AD523" s="9">
        <f t="shared" si="62"/>
        <v>0.28114270259661173</v>
      </c>
      <c r="AE523" s="9"/>
      <c r="AF523" s="9">
        <f t="shared" si="63"/>
        <v>0.54026968363530425</v>
      </c>
      <c r="AG523" s="9">
        <f t="shared" si="64"/>
        <v>0.20856798712051636</v>
      </c>
      <c r="AH523" s="9">
        <f t="shared" si="65"/>
        <v>0.4809643894075985</v>
      </c>
      <c r="AI523" s="9">
        <f t="shared" si="66"/>
        <v>0.31696767650553215</v>
      </c>
    </row>
    <row r="524" spans="16:35" x14ac:dyDescent="0.3">
      <c r="P524" s="9">
        <v>0.29045503909278075</v>
      </c>
      <c r="Q524" s="9">
        <v>0.20293888316695557</v>
      </c>
      <c r="R524" s="9">
        <v>0.32813774091058961</v>
      </c>
      <c r="S524" s="9">
        <v>0.17846833682967406</v>
      </c>
      <c r="U524" s="9">
        <f t="array" ref="U524">MMULT(TRANSPOSE($B$3:$B$6),TRANSPOSE(P524:S524))</f>
        <v>8.7296042895062265E-2</v>
      </c>
      <c r="V524" s="9">
        <f>INT(200*U524)/200</f>
        <v>8.5000000000000006E-2</v>
      </c>
      <c r="W524" s="9">
        <f t="array" ref="W524">SQRT(MMULT(MMULT(P524:S524,$K$3:$N$6),TRANSPOSE(P524:S524)))</f>
        <v>8.534330273715604E-2</v>
      </c>
      <c r="Y524" s="31">
        <f>U524/W524</f>
        <v>1.0228810005621689</v>
      </c>
      <c r="AA524" s="9">
        <f t="shared" si="59"/>
        <v>0.21143374042921254</v>
      </c>
      <c r="AB524" s="9">
        <f t="shared" si="60"/>
        <v>0.26999866639059605</v>
      </c>
      <c r="AC524" s="9">
        <f t="shared" si="61"/>
        <v>0.2253203643235267</v>
      </c>
      <c r="AD524" s="9">
        <f t="shared" si="62"/>
        <v>0.2932472288566646</v>
      </c>
      <c r="AE524" s="9"/>
      <c r="AF524" s="9">
        <f t="shared" si="63"/>
        <v>0.58289179719493001</v>
      </c>
      <c r="AG524" s="9">
        <f t="shared" si="64"/>
        <v>0.21524308516594121</v>
      </c>
      <c r="AH524" s="9">
        <f t="shared" si="65"/>
        <v>0.50350476949115841</v>
      </c>
      <c r="AI524" s="9">
        <f t="shared" si="66"/>
        <v>0.30842011343255982</v>
      </c>
    </row>
    <row r="525" spans="16:35" x14ac:dyDescent="0.3">
      <c r="P525" s="9">
        <v>0.16094217263960117</v>
      </c>
      <c r="Q525" s="9">
        <v>0.26467992074456198</v>
      </c>
      <c r="R525" s="9">
        <v>0.29665301501283936</v>
      </c>
      <c r="S525" s="9">
        <v>0.27772489160299751</v>
      </c>
      <c r="U525" s="9">
        <f t="array" ref="U525">MMULT(TRANSPOSE($B$3:$B$6),TRANSPOSE(P525:S525))</f>
        <v>9.5024728061304131E-2</v>
      </c>
      <c r="V525" s="9">
        <f>INT(200*U525)/200</f>
        <v>9.5000000000000001E-2</v>
      </c>
      <c r="W525" s="9">
        <f t="array" ref="W525">SQRT(MMULT(MMULT(P525:S525,$K$3:$N$6),TRANSPOSE(P525:S525)))</f>
        <v>9.2971157026706483E-2</v>
      </c>
      <c r="Y525" s="31">
        <f>U525/W525</f>
        <v>1.0220882594158502</v>
      </c>
      <c r="AA525" s="9">
        <f t="shared" si="59"/>
        <v>0.20610273052291325</v>
      </c>
      <c r="AB525" s="9">
        <f t="shared" si="60"/>
        <v>0.27137880031937717</v>
      </c>
      <c r="AC525" s="9">
        <f t="shared" si="61"/>
        <v>0.22941919005350953</v>
      </c>
      <c r="AD525" s="9">
        <f t="shared" si="62"/>
        <v>0.29309927910420008</v>
      </c>
      <c r="AE525" s="9"/>
      <c r="AF525" s="9">
        <f t="shared" si="63"/>
        <v>0.59016955032877294</v>
      </c>
      <c r="AG525" s="9">
        <f t="shared" si="64"/>
        <v>0.21177062197159094</v>
      </c>
      <c r="AH525" s="9">
        <f t="shared" si="65"/>
        <v>0.48999960973089679</v>
      </c>
      <c r="AI525" s="9">
        <f t="shared" si="66"/>
        <v>0.30847192864163847</v>
      </c>
    </row>
    <row r="526" spans="16:35" x14ac:dyDescent="0.3">
      <c r="P526" s="9">
        <v>0.11589716252665438</v>
      </c>
      <c r="Q526" s="9">
        <v>0.36774394794927184</v>
      </c>
      <c r="R526" s="9">
        <v>9.7036454985738957E-2</v>
      </c>
      <c r="S526" s="9">
        <v>0.41932243453833479</v>
      </c>
      <c r="U526" s="9">
        <f t="array" ref="U526">MMULT(TRANSPOSE($B$3:$B$6),TRANSPOSE(P526:S526))</f>
        <v>0.10062609823542704</v>
      </c>
      <c r="V526" s="9">
        <f>INT(200*U526)/200</f>
        <v>0.1</v>
      </c>
      <c r="W526" s="9">
        <f t="array" ref="W526">SQRT(MMULT(MMULT(P526:S526,$K$3:$N$6),TRANSPOSE(P526:S526)))</f>
        <v>9.8463017625850802E-2</v>
      </c>
      <c r="Y526" s="31">
        <f>U526/W526</f>
        <v>1.0219684574140895</v>
      </c>
      <c r="AA526" s="9">
        <f t="shared" ref="AA526:AA589" si="67">AVERAGE(P516:P536)</f>
        <v>0.20980738784958244</v>
      </c>
      <c r="AB526" s="9">
        <f t="shared" ref="AB526:AB589" si="68">AVERAGE(Q516:Q536)</f>
        <v>0.27467652129514875</v>
      </c>
      <c r="AC526" s="9">
        <f t="shared" ref="AC526:AC589" si="69">AVERAGE(R516:R536)</f>
        <v>0.21554572806326161</v>
      </c>
      <c r="AD526" s="9">
        <f t="shared" ref="AD526:AD589" si="70">AVERAGE(S516:S536)</f>
        <v>0.29997036279200728</v>
      </c>
      <c r="AE526" s="9"/>
      <c r="AF526" s="9">
        <f t="shared" ref="AF526:AF589" si="71">STDEV(P516:P536)/AA526</f>
        <v>0.56828790948064145</v>
      </c>
      <c r="AG526" s="9">
        <f t="shared" ref="AG526:AG589" si="72">STDEV(Q516:Q536)/AB526</f>
        <v>0.22253051760139603</v>
      </c>
      <c r="AH526" s="9">
        <f t="shared" ref="AH526:AH589" si="73">STDEV(R516:R536)/AC526</f>
        <v>0.55168512941232162</v>
      </c>
      <c r="AI526" s="9">
        <f t="shared" ref="AI526:AI589" si="74">STDEV(S516:S536)/AD526</f>
        <v>0.31784182394415283</v>
      </c>
    </row>
    <row r="527" spans="16:35" x14ac:dyDescent="0.3">
      <c r="P527" s="9">
        <v>2.7788432676405194E-2</v>
      </c>
      <c r="Q527" s="9">
        <v>0.32259624005715654</v>
      </c>
      <c r="R527" s="9">
        <v>0.45467545714628682</v>
      </c>
      <c r="S527" s="9">
        <v>0.19493987012015157</v>
      </c>
      <c r="U527" s="9">
        <f t="array" ref="U527">MMULT(TRANSPOSE($B$3:$B$6),TRANSPOSE(P527:S527))</f>
        <v>0.10212507824839764</v>
      </c>
      <c r="V527" s="9">
        <f>INT(200*U527)/200</f>
        <v>0.1</v>
      </c>
      <c r="W527" s="9">
        <f t="array" ref="W527">SQRT(MMULT(MMULT(P527:S527,$K$3:$N$6),TRANSPOSE(P527:S527)))</f>
        <v>9.995402300083886E-2</v>
      </c>
      <c r="Y527" s="31">
        <f>U527/W527</f>
        <v>1.0217205389275883</v>
      </c>
      <c r="AA527" s="9">
        <f t="shared" si="67"/>
        <v>0.20995531609277351</v>
      </c>
      <c r="AB527" s="9">
        <f t="shared" si="68"/>
        <v>0.27317996999898131</v>
      </c>
      <c r="AC527" s="9">
        <f t="shared" si="69"/>
        <v>0.21821486435708218</v>
      </c>
      <c r="AD527" s="9">
        <f t="shared" si="70"/>
        <v>0.29864984955116308</v>
      </c>
      <c r="AE527" s="9"/>
      <c r="AF527" s="9">
        <f t="shared" si="71"/>
        <v>0.56746198974317763</v>
      </c>
      <c r="AG527" s="9">
        <f t="shared" si="72"/>
        <v>0.21993950130339879</v>
      </c>
      <c r="AH527" s="9">
        <f t="shared" si="73"/>
        <v>0.54023423793013814</v>
      </c>
      <c r="AI527" s="9">
        <f t="shared" si="74"/>
        <v>0.31573320287569823</v>
      </c>
    </row>
    <row r="528" spans="16:35" x14ac:dyDescent="0.3">
      <c r="P528" s="9">
        <v>5.106524540456496E-2</v>
      </c>
      <c r="Q528" s="9">
        <v>0.33267836449236504</v>
      </c>
      <c r="R528" s="9">
        <v>0.27862642562566398</v>
      </c>
      <c r="S528" s="9">
        <v>0.33762996447740595</v>
      </c>
      <c r="U528" s="9">
        <f t="array" ref="U528">MMULT(TRANSPOSE($B$3:$B$6),TRANSPOSE(P528:S528))</f>
        <v>0.10197602868771655</v>
      </c>
      <c r="V528" s="9">
        <f>INT(200*U528)/200</f>
        <v>0.1</v>
      </c>
      <c r="W528" s="9">
        <f t="array" ref="W528">SQRT(MMULT(MMULT(P528:S528,$K$3:$N$6),TRANSPOSE(P528:S528)))</f>
        <v>9.9812566383513074E-2</v>
      </c>
      <c r="Y528" s="31">
        <f>U528/W528</f>
        <v>1.0216752497465171</v>
      </c>
      <c r="AA528" s="9">
        <f t="shared" si="67"/>
        <v>0.19946877398921828</v>
      </c>
      <c r="AB528" s="9">
        <f t="shared" si="68"/>
        <v>0.27600713361343715</v>
      </c>
      <c r="AC528" s="9">
        <f t="shared" si="69"/>
        <v>0.21326428967296918</v>
      </c>
      <c r="AD528" s="9">
        <f t="shared" si="70"/>
        <v>0.31125980272437548</v>
      </c>
      <c r="AE528" s="9"/>
      <c r="AF528" s="9">
        <f t="shared" si="71"/>
        <v>0.51211834480821272</v>
      </c>
      <c r="AG528" s="9">
        <f t="shared" si="72"/>
        <v>0.20276646005520002</v>
      </c>
      <c r="AH528" s="9">
        <f t="shared" si="73"/>
        <v>0.54206792024079697</v>
      </c>
      <c r="AI528" s="9">
        <f t="shared" si="74"/>
        <v>0.23041732393241479</v>
      </c>
    </row>
    <row r="529" spans="16:35" x14ac:dyDescent="0.3">
      <c r="P529" s="9">
        <v>0.32384059650525965</v>
      </c>
      <c r="Q529" s="9">
        <v>0.26975746597491063</v>
      </c>
      <c r="R529" s="9">
        <v>3.5943327820345809E-2</v>
      </c>
      <c r="S529" s="9">
        <v>0.3704586096994838</v>
      </c>
      <c r="U529" s="9">
        <f t="array" ref="U529">MMULT(TRANSPOSE($B$3:$B$6),TRANSPOSE(P529:S529))</f>
        <v>8.8655177923991912E-2</v>
      </c>
      <c r="V529" s="9">
        <f>INT(200*U529)/200</f>
        <v>8.5000000000000006E-2</v>
      </c>
      <c r="W529" s="9">
        <f t="array" ref="W529">SQRT(MMULT(MMULT(P529:S529,$K$3:$N$6),TRANSPOSE(P529:S529)))</f>
        <v>8.6783344375277571E-2</v>
      </c>
      <c r="Y529" s="31">
        <f>U529/W529</f>
        <v>1.0215690414121397</v>
      </c>
      <c r="AA529" s="9">
        <f t="shared" si="67"/>
        <v>0.19812715616258061</v>
      </c>
      <c r="AB529" s="9">
        <f t="shared" si="68"/>
        <v>0.28149933859125481</v>
      </c>
      <c r="AC529" s="9">
        <f t="shared" si="69"/>
        <v>0.20290177899135733</v>
      </c>
      <c r="AD529" s="9">
        <f t="shared" si="70"/>
        <v>0.31747172625480741</v>
      </c>
      <c r="AE529" s="9"/>
      <c r="AF529" s="9">
        <f t="shared" si="71"/>
        <v>0.52320206393911184</v>
      </c>
      <c r="AG529" s="9">
        <f t="shared" si="72"/>
        <v>0.22841820204269039</v>
      </c>
      <c r="AH529" s="9">
        <f t="shared" si="73"/>
        <v>0.59419884914138121</v>
      </c>
      <c r="AI529" s="9">
        <f t="shared" si="74"/>
        <v>0.24702347103960764</v>
      </c>
    </row>
    <row r="530" spans="16:35" x14ac:dyDescent="0.3">
      <c r="P530" s="9">
        <v>0.38491463968710593</v>
      </c>
      <c r="Q530" s="9">
        <v>0.18366601267513977</v>
      </c>
      <c r="R530" s="9">
        <v>0.16056073233188006</v>
      </c>
      <c r="S530" s="9">
        <v>0.27085861530587413</v>
      </c>
      <c r="U530" s="9">
        <f t="array" ref="U530">MMULT(TRANSPOSE($B$3:$B$6),TRANSPOSE(P530:S530))</f>
        <v>8.3056261222259453E-2</v>
      </c>
      <c r="V530" s="9">
        <f>INT(200*U530)/200</f>
        <v>0.08</v>
      </c>
      <c r="W530" s="9">
        <f t="array" ref="W530">SQRT(MMULT(MMULT(P530:S530,$K$3:$N$6),TRANSPOSE(P530:S530)))</f>
        <v>8.1377792844466432E-2</v>
      </c>
      <c r="Y530" s="31">
        <f>U530/W530</f>
        <v>1.0206256316265667</v>
      </c>
      <c r="AA530" s="9">
        <f t="shared" si="67"/>
        <v>0.19794943133098528</v>
      </c>
      <c r="AB530" s="9">
        <f t="shared" si="68"/>
        <v>0.28161699246963867</v>
      </c>
      <c r="AC530" s="9">
        <f t="shared" si="69"/>
        <v>0.1999363802756392</v>
      </c>
      <c r="AD530" s="9">
        <f t="shared" si="70"/>
        <v>0.32049719592373688</v>
      </c>
      <c r="AE530" s="9"/>
      <c r="AF530" s="9">
        <f t="shared" si="71"/>
        <v>0.52344846596169625</v>
      </c>
      <c r="AG530" s="9">
        <f t="shared" si="72"/>
        <v>0.22798917411129821</v>
      </c>
      <c r="AH530" s="9">
        <f t="shared" si="73"/>
        <v>0.59045783046078337</v>
      </c>
      <c r="AI530" s="9">
        <f t="shared" si="74"/>
        <v>0.23543294296685785</v>
      </c>
    </row>
    <row r="531" spans="16:35" x14ac:dyDescent="0.3">
      <c r="P531" s="9">
        <v>0.37469526349615517</v>
      </c>
      <c r="Q531" s="9">
        <v>0.21466874021269516</v>
      </c>
      <c r="R531" s="9">
        <v>8.8029866763218514E-2</v>
      </c>
      <c r="S531" s="9">
        <v>0.32260612952793122</v>
      </c>
      <c r="U531" s="9">
        <f t="array" ref="U531">MMULT(TRANSPOSE($B$3:$B$6),TRANSPOSE(P531:S531))</f>
        <v>8.4634220285560335E-2</v>
      </c>
      <c r="V531" s="9">
        <f>INT(200*U531)/200</f>
        <v>0.08</v>
      </c>
      <c r="W531" s="9">
        <f t="array" ref="W531">SQRT(MMULT(MMULT(P531:S531,$K$3:$N$6),TRANSPOSE(P531:S531)))</f>
        <v>8.2928857990217625E-2</v>
      </c>
      <c r="Y531" s="31">
        <f>U531/W531</f>
        <v>1.0205641598916493</v>
      </c>
      <c r="AA531" s="9">
        <f t="shared" si="67"/>
        <v>0.20299205654013386</v>
      </c>
      <c r="AB531" s="9">
        <f t="shared" si="68"/>
        <v>0.28038583464835509</v>
      </c>
      <c r="AC531" s="9">
        <f t="shared" si="69"/>
        <v>0.19443040686573251</v>
      </c>
      <c r="AD531" s="9">
        <f t="shared" si="70"/>
        <v>0.32219170194577862</v>
      </c>
      <c r="AE531" s="9"/>
      <c r="AF531" s="9">
        <f t="shared" si="71"/>
        <v>0.51310497012373313</v>
      </c>
      <c r="AG531" s="9">
        <f t="shared" si="72"/>
        <v>0.22984362984970738</v>
      </c>
      <c r="AH531" s="9">
        <f t="shared" si="73"/>
        <v>0.61147268611923689</v>
      </c>
      <c r="AI531" s="9">
        <f t="shared" si="74"/>
        <v>0.23553906002198607</v>
      </c>
    </row>
    <row r="532" spans="16:35" x14ac:dyDescent="0.3">
      <c r="P532" s="9">
        <v>0.20599491735392644</v>
      </c>
      <c r="Q532" s="9">
        <v>0.24289921291656932</v>
      </c>
      <c r="R532" s="9">
        <v>0.27797590809090367</v>
      </c>
      <c r="S532" s="9">
        <v>0.27312996163860059</v>
      </c>
      <c r="U532" s="9">
        <f t="array" ref="U532">MMULT(TRANSPOSE($B$3:$B$6),TRANSPOSE(P532:S532))</f>
        <v>9.2435921561805343E-2</v>
      </c>
      <c r="V532" s="9">
        <f>INT(200*U532)/200</f>
        <v>0.09</v>
      </c>
      <c r="W532" s="9">
        <f t="array" ref="W532">SQRT(MMULT(MMULT(P532:S532,$K$3:$N$6),TRANSPOSE(P532:S532)))</f>
        <v>9.0586955221201027E-2</v>
      </c>
      <c r="Y532" s="31">
        <f>U532/W532</f>
        <v>1.0204109558168657</v>
      </c>
      <c r="AA532" s="9">
        <f t="shared" si="67"/>
        <v>0.21040198032592941</v>
      </c>
      <c r="AB532" s="9">
        <f t="shared" si="68"/>
        <v>0.27647404547745336</v>
      </c>
      <c r="AC532" s="9">
        <f t="shared" si="69"/>
        <v>0.19342962046968387</v>
      </c>
      <c r="AD532" s="9">
        <f t="shared" si="70"/>
        <v>0.31969435372693344</v>
      </c>
      <c r="AE532" s="9"/>
      <c r="AF532" s="9">
        <f t="shared" si="71"/>
        <v>0.50495188386201573</v>
      </c>
      <c r="AG532" s="9">
        <f t="shared" si="72"/>
        <v>0.24258452298297148</v>
      </c>
      <c r="AH532" s="9">
        <f t="shared" si="73"/>
        <v>0.61229052757946023</v>
      </c>
      <c r="AI532" s="9">
        <f t="shared" si="74"/>
        <v>0.24139318397861181</v>
      </c>
    </row>
    <row r="533" spans="16:35" x14ac:dyDescent="0.3">
      <c r="P533" s="9">
        <v>0.33555833408952412</v>
      </c>
      <c r="Q533" s="9">
        <v>0.27935667186734636</v>
      </c>
      <c r="R533" s="9">
        <v>6.2444044023986988E-3</v>
      </c>
      <c r="S533" s="9">
        <v>0.37884058964073092</v>
      </c>
      <c r="U533" s="9">
        <f t="array" ref="U533">MMULT(TRANSPOSE($B$3:$B$6),TRANSPOSE(P533:S533))</f>
        <v>8.8488781315129772E-2</v>
      </c>
      <c r="V533" s="9">
        <f>INT(200*U533)/200</f>
        <v>8.5000000000000006E-2</v>
      </c>
      <c r="W533" s="9">
        <f t="array" ref="W533">SQRT(MMULT(MMULT(P533:S533,$K$3:$N$6),TRANSPOSE(P533:S533)))</f>
        <v>8.6772030860739396E-2</v>
      </c>
      <c r="Y533" s="31">
        <f>U533/W533</f>
        <v>1.0197846061381874</v>
      </c>
      <c r="AA533" s="9">
        <f t="shared" si="67"/>
        <v>0.2202083473658262</v>
      </c>
      <c r="AB533" s="9">
        <f t="shared" si="68"/>
        <v>0.27288661087542798</v>
      </c>
      <c r="AC533" s="9">
        <f t="shared" si="69"/>
        <v>0.18678100292641459</v>
      </c>
      <c r="AD533" s="9">
        <f t="shared" si="70"/>
        <v>0.3201240388323312</v>
      </c>
      <c r="AE533" s="9"/>
      <c r="AF533" s="9">
        <f t="shared" si="71"/>
        <v>0.52798367125597567</v>
      </c>
      <c r="AG533" s="9">
        <f t="shared" si="72"/>
        <v>0.26154200311807196</v>
      </c>
      <c r="AH533" s="9">
        <f t="shared" si="73"/>
        <v>0.61425176337503784</v>
      </c>
      <c r="AI533" s="9">
        <f t="shared" si="74"/>
        <v>0.23939974321133251</v>
      </c>
    </row>
    <row r="534" spans="16:35" x14ac:dyDescent="0.3">
      <c r="P534" s="9">
        <v>6.3659919746299254E-2</v>
      </c>
      <c r="Q534" s="9">
        <v>0.38469967138494837</v>
      </c>
      <c r="R534" s="9">
        <v>0.12795178494959139</v>
      </c>
      <c r="S534" s="9">
        <v>0.42368862391916107</v>
      </c>
      <c r="U534" s="9">
        <f t="array" ref="U534">MMULT(TRANSPOSE($B$3:$B$6),TRANSPOSE(P534:S534))</f>
        <v>0.10336762152428666</v>
      </c>
      <c r="V534" s="9">
        <f>INT(200*U534)/200</f>
        <v>0.1</v>
      </c>
      <c r="W534" s="9">
        <f t="array" ref="W534">SQRT(MMULT(MMULT(P534:S534,$K$3:$N$6),TRANSPOSE(P534:S534)))</f>
        <v>0.10138401048977586</v>
      </c>
      <c r="Y534" s="31">
        <f>U534/W534</f>
        <v>1.0195653242057419</v>
      </c>
      <c r="AA534" s="9">
        <f t="shared" si="67"/>
        <v>0.22157267283935639</v>
      </c>
      <c r="AB534" s="9">
        <f t="shared" si="68"/>
        <v>0.27149660999840525</v>
      </c>
      <c r="AC534" s="9">
        <f t="shared" si="69"/>
        <v>0.18854423881467111</v>
      </c>
      <c r="AD534" s="9">
        <f t="shared" si="70"/>
        <v>0.31838647834756723</v>
      </c>
      <c r="AE534" s="9"/>
      <c r="AF534" s="9">
        <f t="shared" si="71"/>
        <v>0.52561673546345722</v>
      </c>
      <c r="AG534" s="9">
        <f t="shared" si="72"/>
        <v>0.26590581203711905</v>
      </c>
      <c r="AH534" s="9">
        <f t="shared" si="73"/>
        <v>0.61407576808631614</v>
      </c>
      <c r="AI534" s="9">
        <f t="shared" si="74"/>
        <v>0.243743840504177</v>
      </c>
    </row>
    <row r="535" spans="16:35" x14ac:dyDescent="0.3">
      <c r="P535" s="9">
        <v>0.18795320577963429</v>
      </c>
      <c r="Q535" s="9">
        <v>0.25944559630530784</v>
      </c>
      <c r="R535" s="9">
        <v>0.24326005411225191</v>
      </c>
      <c r="S535" s="9">
        <v>0.30934114380280597</v>
      </c>
      <c r="U535" s="9">
        <f t="array" ref="U535">MMULT(TRANSPOSE($B$3:$B$6),TRANSPOSE(P535:S535))</f>
        <v>9.3839850016503121E-2</v>
      </c>
      <c r="V535" s="9">
        <f>INT(200*U535)/200</f>
        <v>0.09</v>
      </c>
      <c r="W535" s="9">
        <f t="array" ref="W535">SQRT(MMULT(MMULT(P535:S535,$K$3:$N$6),TRANSPOSE(P535:S535)))</f>
        <v>9.205560986966782E-2</v>
      </c>
      <c r="Y535" s="31">
        <f>U535/W535</f>
        <v>1.0193821989703986</v>
      </c>
      <c r="AA535" s="9">
        <f t="shared" si="67"/>
        <v>0.21993148285316685</v>
      </c>
      <c r="AB535" s="9">
        <f t="shared" si="68"/>
        <v>0.27186979527118726</v>
      </c>
      <c r="AC535" s="9">
        <f t="shared" si="69"/>
        <v>0.18735220198173094</v>
      </c>
      <c r="AD535" s="9">
        <f t="shared" si="70"/>
        <v>0.32084651989391494</v>
      </c>
      <c r="AE535" s="9"/>
      <c r="AF535" s="9">
        <f t="shared" si="71"/>
        <v>0.52599706146251879</v>
      </c>
      <c r="AG535" s="9">
        <f t="shared" si="72"/>
        <v>0.26424342127667899</v>
      </c>
      <c r="AH535" s="9">
        <f t="shared" si="73"/>
        <v>0.61057151683883748</v>
      </c>
      <c r="AI535" s="9">
        <f t="shared" si="74"/>
        <v>0.22960046462628519</v>
      </c>
    </row>
    <row r="536" spans="16:35" x14ac:dyDescent="0.3">
      <c r="P536" s="9">
        <v>0.17240756209899785</v>
      </c>
      <c r="Q536" s="9">
        <v>0.37022576016801284</v>
      </c>
      <c r="R536" s="9">
        <v>2.5215941682399771E-2</v>
      </c>
      <c r="S536" s="9">
        <v>0.43215073605058968</v>
      </c>
      <c r="U536" s="9">
        <f t="array" ref="U536">MMULT(TRANSPOSE($B$3:$B$6),TRANSPOSE(P536:S536))</f>
        <v>9.8368247006840326E-2</v>
      </c>
      <c r="V536" s="9">
        <f>INT(200*U536)/200</f>
        <v>9.5000000000000001E-2</v>
      </c>
      <c r="W536" s="9">
        <f t="array" ref="W536">SQRT(MMULT(MMULT(P536:S536,$K$3:$N$6),TRANSPOSE(P536:S536)))</f>
        <v>9.6549414099881298E-2</v>
      </c>
      <c r="Y536" s="31">
        <f>U536/W536</f>
        <v>1.018838362965905</v>
      </c>
      <c r="AA536" s="9">
        <f t="shared" si="67"/>
        <v>0.22863624924524101</v>
      </c>
      <c r="AB536" s="9">
        <f t="shared" si="68"/>
        <v>0.26765831731189876</v>
      </c>
      <c r="AC536" s="9">
        <f t="shared" si="69"/>
        <v>0.18735211248739381</v>
      </c>
      <c r="AD536" s="9">
        <f t="shared" si="70"/>
        <v>0.31635332095546642</v>
      </c>
      <c r="AE536" s="9"/>
      <c r="AF536" s="9">
        <f t="shared" si="71"/>
        <v>0.51557584891204578</v>
      </c>
      <c r="AG536" s="9">
        <f t="shared" si="72"/>
        <v>0.27951004221900067</v>
      </c>
      <c r="AH536" s="9">
        <f t="shared" si="73"/>
        <v>0.61057132925892965</v>
      </c>
      <c r="AI536" s="9">
        <f t="shared" si="74"/>
        <v>0.25005274867142147</v>
      </c>
    </row>
    <row r="537" spans="16:35" x14ac:dyDescent="0.3">
      <c r="P537" s="9">
        <v>0.14288041175534169</v>
      </c>
      <c r="Q537" s="9">
        <v>0.29835669263167247</v>
      </c>
      <c r="R537" s="9">
        <v>0.20155133436284439</v>
      </c>
      <c r="S537" s="9">
        <v>0.35721156125014147</v>
      </c>
      <c r="U537" s="9">
        <f t="array" ref="U537">MMULT(TRANSPOSE($B$3:$B$6),TRANSPOSE(P537:S537))</f>
        <v>9.7116957454293329E-2</v>
      </c>
      <c r="V537" s="9">
        <f>INT(200*U537)/200</f>
        <v>9.5000000000000001E-2</v>
      </c>
      <c r="W537" s="9">
        <f t="array" ref="W537">SQRT(MMULT(MMULT(P537:S537,$K$3:$N$6),TRANSPOSE(P537:S537)))</f>
        <v>9.5354574729159439E-2</v>
      </c>
      <c r="Y537" s="31">
        <f>U537/W537</f>
        <v>1.0184824139810773</v>
      </c>
      <c r="AA537" s="9">
        <f t="shared" si="67"/>
        <v>0.23132177742011359</v>
      </c>
      <c r="AB537" s="9">
        <f t="shared" si="68"/>
        <v>0.26329814431755089</v>
      </c>
      <c r="AC537" s="9">
        <f t="shared" si="69"/>
        <v>0.19240973452293519</v>
      </c>
      <c r="AD537" s="9">
        <f t="shared" si="70"/>
        <v>0.3129703437394003</v>
      </c>
      <c r="AE537" s="9"/>
      <c r="AF537" s="9">
        <f t="shared" si="71"/>
        <v>0.50063021238250505</v>
      </c>
      <c r="AG537" s="9">
        <f t="shared" si="72"/>
        <v>0.27069274528524212</v>
      </c>
      <c r="AH537" s="9">
        <f t="shared" si="73"/>
        <v>0.58485529176076256</v>
      </c>
      <c r="AI537" s="9">
        <f t="shared" si="74"/>
        <v>0.24263305502497931</v>
      </c>
    </row>
    <row r="538" spans="16:35" x14ac:dyDescent="0.3">
      <c r="P538" s="9">
        <v>0.26533385022218364</v>
      </c>
      <c r="Q538" s="9">
        <v>0.22378503332915528</v>
      </c>
      <c r="R538" s="9">
        <v>0.21504221083036029</v>
      </c>
      <c r="S538" s="9">
        <v>0.29583890561830073</v>
      </c>
      <c r="U538" s="9">
        <f t="array" ref="U538">MMULT(TRANSPOSE($B$3:$B$6),TRANSPOSE(P538:S538))</f>
        <v>8.9427066698831575E-2</v>
      </c>
      <c r="V538" s="9">
        <f>INT(200*U538)/200</f>
        <v>8.5000000000000006E-2</v>
      </c>
      <c r="W538" s="9">
        <f t="array" ref="W538">SQRT(MMULT(MMULT(P538:S538,$K$3:$N$6),TRANSPOSE(P538:S538)))</f>
        <v>8.7897472063592316E-2</v>
      </c>
      <c r="Y538" s="31">
        <f>U538/W538</f>
        <v>1.0174020321555166</v>
      </c>
      <c r="AA538" s="9">
        <f t="shared" si="67"/>
        <v>0.24604079144218402</v>
      </c>
      <c r="AB538" s="9">
        <f t="shared" si="68"/>
        <v>0.26086513568960185</v>
      </c>
      <c r="AC538" s="9">
        <f t="shared" si="69"/>
        <v>0.17122405952917158</v>
      </c>
      <c r="AD538" s="9">
        <f t="shared" si="70"/>
        <v>0.32187001333904258</v>
      </c>
      <c r="AE538" s="9"/>
      <c r="AF538" s="9">
        <f t="shared" si="71"/>
        <v>0.43905734867775781</v>
      </c>
      <c r="AG538" s="9">
        <f t="shared" si="72"/>
        <v>0.26836973882444221</v>
      </c>
      <c r="AH538" s="9">
        <f t="shared" si="73"/>
        <v>0.59618934535107082</v>
      </c>
      <c r="AI538" s="9">
        <f t="shared" si="74"/>
        <v>0.22454982655445163</v>
      </c>
    </row>
    <row r="539" spans="16:35" x14ac:dyDescent="0.3">
      <c r="P539" s="9">
        <v>7.4483788860596728E-2</v>
      </c>
      <c r="Q539" s="9">
        <v>0.42332854425086824</v>
      </c>
      <c r="R539" s="9">
        <v>4.5444499554316543E-2</v>
      </c>
      <c r="S539" s="9">
        <v>0.45674316733421838</v>
      </c>
      <c r="U539" s="9">
        <f t="array" ref="U539">MMULT(TRANSPOSE($B$3:$B$6),TRANSPOSE(P539:S539))</f>
        <v>0.10422651234922267</v>
      </c>
      <c r="V539" s="9">
        <f>INT(200*U539)/200</f>
        <v>0.1</v>
      </c>
      <c r="W539" s="9">
        <f t="array" ref="W539">SQRT(MMULT(MMULT(P539:S539,$K$3:$N$6),TRANSPOSE(P539:S539)))</f>
        <v>0.10255776888991028</v>
      </c>
      <c r="Y539" s="31">
        <f>U539/W539</f>
        <v>1.0162712535322769</v>
      </c>
      <c r="AA539" s="9">
        <f t="shared" si="67"/>
        <v>0.26911350920358651</v>
      </c>
      <c r="AB539" s="9">
        <f t="shared" si="68"/>
        <v>0.25292371488257731</v>
      </c>
      <c r="AC539" s="9">
        <f t="shared" si="69"/>
        <v>0.15931539461316455</v>
      </c>
      <c r="AD539" s="9">
        <f t="shared" si="70"/>
        <v>0.31864738130067155</v>
      </c>
      <c r="AE539" s="9"/>
      <c r="AF539" s="9">
        <f t="shared" si="71"/>
        <v>0.43017723600076563</v>
      </c>
      <c r="AG539" s="9">
        <f t="shared" si="72"/>
        <v>0.28035275485052147</v>
      </c>
      <c r="AH539" s="9">
        <f t="shared" si="73"/>
        <v>0.64967533297773339</v>
      </c>
      <c r="AI539" s="9">
        <f t="shared" si="74"/>
        <v>0.22922736400714736</v>
      </c>
    </row>
    <row r="540" spans="16:35" x14ac:dyDescent="0.3">
      <c r="P540" s="9">
        <v>0.2207256243079152</v>
      </c>
      <c r="Q540" s="9">
        <v>0.23393062317789845</v>
      </c>
      <c r="R540" s="9">
        <v>0.26646021312191936</v>
      </c>
      <c r="S540" s="9">
        <v>0.27888353939226701</v>
      </c>
      <c r="U540" s="9">
        <f t="array" ref="U540">MMULT(TRANSPOSE($B$3:$B$6),TRANSPOSE(P540:S540))</f>
        <v>9.1558799411939479E-2</v>
      </c>
      <c r="V540" s="9">
        <f>INT(200*U540)/200</f>
        <v>0.09</v>
      </c>
      <c r="W540" s="9">
        <f t="array" ref="W540">SQRT(MMULT(MMULT(P540:S540,$K$3:$N$6),TRANSPOSE(P540:S540)))</f>
        <v>9.0104152625079606E-2</v>
      </c>
      <c r="Y540" s="31">
        <f>U540/W540</f>
        <v>1.0161440593411117</v>
      </c>
      <c r="AA540" s="9">
        <f t="shared" si="67"/>
        <v>0.25929786772250207</v>
      </c>
      <c r="AB540" s="9">
        <f t="shared" si="68"/>
        <v>0.2544514749026861</v>
      </c>
      <c r="AC540" s="9">
        <f t="shared" si="69"/>
        <v>0.16824472782902478</v>
      </c>
      <c r="AD540" s="9">
        <f t="shared" si="70"/>
        <v>0.31800592954578699</v>
      </c>
      <c r="AE540" s="9"/>
      <c r="AF540" s="9">
        <f t="shared" si="71"/>
        <v>0.46113152948751895</v>
      </c>
      <c r="AG540" s="9">
        <f t="shared" si="72"/>
        <v>0.28150998729259652</v>
      </c>
      <c r="AH540" s="9">
        <f t="shared" si="73"/>
        <v>0.59656438682952295</v>
      </c>
      <c r="AI540" s="9">
        <f t="shared" si="74"/>
        <v>0.22836961364504638</v>
      </c>
    </row>
    <row r="541" spans="16:35" x14ac:dyDescent="0.3">
      <c r="P541" s="9">
        <v>0.26401160475024016</v>
      </c>
      <c r="Q541" s="9">
        <v>0.25616810893029124</v>
      </c>
      <c r="R541" s="9">
        <v>0.1222620412853699</v>
      </c>
      <c r="S541" s="9">
        <v>0.35755824503409883</v>
      </c>
      <c r="U541" s="9">
        <f t="array" ref="U541">MMULT(TRANSPOSE($B$3:$B$6),TRANSPOSE(P541:S541))</f>
        <v>9.0709129399253741E-2</v>
      </c>
      <c r="V541" s="9">
        <f>INT(200*U541)/200</f>
        <v>0.09</v>
      </c>
      <c r="W541" s="9">
        <f t="array" ref="W541">SQRT(MMULT(MMULT(P541:S541,$K$3:$N$6),TRANSPOSE(P541:S541)))</f>
        <v>8.9278721835517369E-2</v>
      </c>
      <c r="Y541" s="31">
        <f>U541/W541</f>
        <v>1.0160218194697241</v>
      </c>
      <c r="AA541" s="9">
        <f t="shared" si="67"/>
        <v>0.2428186749409442</v>
      </c>
      <c r="AB541" s="9">
        <f t="shared" si="68"/>
        <v>0.26387425478043025</v>
      </c>
      <c r="AC541" s="9">
        <f t="shared" si="69"/>
        <v>0.16802179757475608</v>
      </c>
      <c r="AD541" s="9">
        <f t="shared" si="70"/>
        <v>0.32528527270386942</v>
      </c>
      <c r="AE541" s="9"/>
      <c r="AF541" s="9">
        <f t="shared" si="71"/>
        <v>0.51524506411625381</v>
      </c>
      <c r="AG541" s="9">
        <f t="shared" si="72"/>
        <v>0.28346279143641384</v>
      </c>
      <c r="AH541" s="9">
        <f t="shared" si="73"/>
        <v>0.59749348680694658</v>
      </c>
      <c r="AI541" s="9">
        <f t="shared" si="74"/>
        <v>0.23140819970610427</v>
      </c>
    </row>
    <row r="542" spans="16:35" x14ac:dyDescent="0.3">
      <c r="P542" s="9">
        <v>0.3127148543494534</v>
      </c>
      <c r="Q542" s="9">
        <v>0.1953567063392303</v>
      </c>
      <c r="R542" s="9">
        <v>0.23466139173147113</v>
      </c>
      <c r="S542" s="9">
        <v>0.25726704757984525</v>
      </c>
      <c r="U542" s="9">
        <f t="array" ref="U542">MMULT(TRANSPOSE($B$3:$B$6),TRANSPOSE(P542:S542))</f>
        <v>8.6410744312089824E-2</v>
      </c>
      <c r="V542" s="9">
        <f>INT(200*U542)/200</f>
        <v>8.5000000000000006E-2</v>
      </c>
      <c r="W542" s="9">
        <f t="array" ref="W542">SQRT(MMULT(MMULT(P542:S542,$K$3:$N$6),TRANSPOSE(P542:S542)))</f>
        <v>8.5053778338466737E-2</v>
      </c>
      <c r="Y542" s="31">
        <f>U542/W542</f>
        <v>1.0159542115603979</v>
      </c>
      <c r="AA542" s="9">
        <f t="shared" si="67"/>
        <v>0.22857953425835195</v>
      </c>
      <c r="AB542" s="9">
        <f t="shared" si="68"/>
        <v>0.26898287178130392</v>
      </c>
      <c r="AC542" s="9">
        <f t="shared" si="69"/>
        <v>0.17517881014368492</v>
      </c>
      <c r="AD542" s="9">
        <f t="shared" si="70"/>
        <v>0.32725878381665918</v>
      </c>
      <c r="AE542" s="9"/>
      <c r="AF542" s="9">
        <f t="shared" si="71"/>
        <v>0.55281162526892014</v>
      </c>
      <c r="AG542" s="9">
        <f t="shared" si="72"/>
        <v>0.27858011532451193</v>
      </c>
      <c r="AH542" s="9">
        <f t="shared" si="73"/>
        <v>0.56947253707091428</v>
      </c>
      <c r="AI542" s="9">
        <f t="shared" si="74"/>
        <v>0.23144299386426539</v>
      </c>
    </row>
    <row r="543" spans="16:35" x14ac:dyDescent="0.3">
      <c r="P543" s="9">
        <v>0.42657530319873471</v>
      </c>
      <c r="Q543" s="9">
        <v>0.15793946228430916</v>
      </c>
      <c r="R543" s="9">
        <v>0.182160691989185</v>
      </c>
      <c r="S543" s="9">
        <v>0.23332454252777102</v>
      </c>
      <c r="U543" s="9">
        <f t="array" ref="U543">MMULT(TRANSPOSE($B$3:$B$6),TRANSPOSE(P543:S543))</f>
        <v>8.036832492916135E-2</v>
      </c>
      <c r="V543" s="9">
        <f>INT(200*U543)/200</f>
        <v>0.08</v>
      </c>
      <c r="W543" s="9">
        <f t="array" ref="W543">SQRT(MMULT(MMULT(P543:S543,$K$3:$N$6),TRANSPOSE(P543:S543)))</f>
        <v>7.9127954006499759E-2</v>
      </c>
      <c r="Y543" s="31">
        <f>U543/W543</f>
        <v>1.0156755085890341</v>
      </c>
      <c r="AA543" s="9">
        <f t="shared" si="67"/>
        <v>0.23133140017694243</v>
      </c>
      <c r="AB543" s="9">
        <f t="shared" si="68"/>
        <v>0.26875969601006028</v>
      </c>
      <c r="AC543" s="9">
        <f t="shared" si="69"/>
        <v>0.16953512899240453</v>
      </c>
      <c r="AD543" s="9">
        <f t="shared" si="70"/>
        <v>0.33037377482059282</v>
      </c>
      <c r="AE543" s="9"/>
      <c r="AF543" s="9">
        <f t="shared" si="71"/>
        <v>0.54672300564052545</v>
      </c>
      <c r="AG543" s="9">
        <f t="shared" si="72"/>
        <v>0.27914072489334757</v>
      </c>
      <c r="AH543" s="9">
        <f t="shared" si="73"/>
        <v>0.57195552395314764</v>
      </c>
      <c r="AI543" s="9">
        <f t="shared" si="74"/>
        <v>0.22623730496692396</v>
      </c>
    </row>
    <row r="544" spans="16:35" x14ac:dyDescent="0.3">
      <c r="P544" s="9">
        <v>0.25112820108511003</v>
      </c>
      <c r="Q544" s="9">
        <v>0.21720715110784483</v>
      </c>
      <c r="R544" s="9">
        <v>0.27153551839851842</v>
      </c>
      <c r="S544" s="9">
        <v>0.26012912940852662</v>
      </c>
      <c r="U544" s="9">
        <f t="array" ref="U544">MMULT(TRANSPOSE($B$3:$B$6),TRANSPOSE(P544:S544))</f>
        <v>8.9692131790740093E-2</v>
      </c>
      <c r="V544" s="9">
        <f>INT(200*U544)/200</f>
        <v>8.5000000000000006E-2</v>
      </c>
      <c r="W544" s="9">
        <f t="array" ref="W544">SQRT(MMULT(MMULT(P544:S544,$K$3:$N$6),TRANSPOSE(P544:S544)))</f>
        <v>8.8349768293648878E-2</v>
      </c>
      <c r="Y544" s="31">
        <f>U544/W544</f>
        <v>1.0151937410025751</v>
      </c>
      <c r="AA544" s="9">
        <f t="shared" si="67"/>
        <v>0.2291384795239978</v>
      </c>
      <c r="AB544" s="9">
        <f t="shared" si="68"/>
        <v>0.26469648132599655</v>
      </c>
      <c r="AC544" s="9">
        <f t="shared" si="69"/>
        <v>0.18422109049443852</v>
      </c>
      <c r="AD544" s="9">
        <f t="shared" si="70"/>
        <v>0.32194394865556702</v>
      </c>
      <c r="AE544" s="9"/>
      <c r="AF544" s="9">
        <f t="shared" si="71"/>
        <v>0.54537727267250358</v>
      </c>
      <c r="AG544" s="9">
        <f t="shared" si="72"/>
        <v>0.28980671508465411</v>
      </c>
      <c r="AH544" s="9">
        <f t="shared" si="73"/>
        <v>0.51197928415230554</v>
      </c>
      <c r="AI544" s="9">
        <f t="shared" si="74"/>
        <v>0.24498705241589522</v>
      </c>
    </row>
    <row r="545" spans="16:35" x14ac:dyDescent="0.3">
      <c r="P545" s="9">
        <v>0.25599004938280001</v>
      </c>
      <c r="Q545" s="9">
        <v>0.21077577389537736</v>
      </c>
      <c r="R545" s="9">
        <v>0.30310496741884629</v>
      </c>
      <c r="S545" s="9">
        <v>0.23012920930297634</v>
      </c>
      <c r="U545" s="9">
        <f t="array" ref="U545">MMULT(TRANSPOSE($B$3:$B$6),TRANSPOSE(P545:S545))</f>
        <v>8.9179032235504135E-2</v>
      </c>
      <c r="V545" s="9">
        <f>INT(200*U545)/200</f>
        <v>8.5000000000000006E-2</v>
      </c>
      <c r="W545" s="9">
        <f t="array" ref="W545">SQRT(MMULT(MMULT(P545:S545,$K$3:$N$6),TRANSPOSE(P545:S545)))</f>
        <v>8.788966967012099E-2</v>
      </c>
      <c r="Y545" s="31">
        <f>U545/W545</f>
        <v>1.0146702402025465</v>
      </c>
      <c r="AA545" s="9">
        <f t="shared" si="67"/>
        <v>0.24463402468327342</v>
      </c>
      <c r="AB545" s="9">
        <f t="shared" si="68"/>
        <v>0.25587220537420446</v>
      </c>
      <c r="AC545" s="9">
        <f t="shared" si="69"/>
        <v>0.18246006944300086</v>
      </c>
      <c r="AD545" s="9">
        <f t="shared" si="70"/>
        <v>0.31703370049952123</v>
      </c>
      <c r="AE545" s="9"/>
      <c r="AF545" s="9">
        <f t="shared" si="71"/>
        <v>0.50520056550319514</v>
      </c>
      <c r="AG545" s="9">
        <f t="shared" si="72"/>
        <v>0.28441387565039783</v>
      </c>
      <c r="AH545" s="9">
        <f t="shared" si="73"/>
        <v>0.52479877292180832</v>
      </c>
      <c r="AI545" s="9">
        <f t="shared" si="74"/>
        <v>0.23767952104347695</v>
      </c>
    </row>
    <row r="546" spans="16:35" x14ac:dyDescent="0.3">
      <c r="P546" s="9">
        <v>0.34374226687315879</v>
      </c>
      <c r="Q546" s="9">
        <v>0.17623888359950246</v>
      </c>
      <c r="R546" s="9">
        <v>0.29665113563175893</v>
      </c>
      <c r="S546" s="9">
        <v>0.18336771389557996</v>
      </c>
      <c r="U546" s="9">
        <f t="array" ref="U546">MMULT(TRANSPOSE($B$3:$B$6),TRANSPOSE(P546:S546))</f>
        <v>8.4242717481421314E-2</v>
      </c>
      <c r="V546" s="9">
        <f>INT(200*U546)/200</f>
        <v>0.08</v>
      </c>
      <c r="W546" s="9">
        <f t="array" ref="W546">SQRT(MMULT(MMULT(P546:S546,$K$3:$N$6),TRANSPOSE(P546:S546)))</f>
        <v>8.303740409905061E-2</v>
      </c>
      <c r="Y546" s="31">
        <f>U546/W546</f>
        <v>1.0145153066313701</v>
      </c>
      <c r="AA546" s="9">
        <f t="shared" si="67"/>
        <v>0.24074323837363282</v>
      </c>
      <c r="AB546" s="9">
        <f t="shared" si="68"/>
        <v>0.25905501311141077</v>
      </c>
      <c r="AC546" s="9">
        <f t="shared" si="69"/>
        <v>0.17919853791337748</v>
      </c>
      <c r="AD546" s="9">
        <f t="shared" si="70"/>
        <v>0.32100321060157899</v>
      </c>
      <c r="AE546" s="9"/>
      <c r="AF546" s="9">
        <f t="shared" si="71"/>
        <v>0.52632674338323437</v>
      </c>
      <c r="AG546" s="9">
        <f t="shared" si="72"/>
        <v>0.28712652753462503</v>
      </c>
      <c r="AH546" s="9">
        <f t="shared" si="73"/>
        <v>0.52869545309828003</v>
      </c>
      <c r="AI546" s="9">
        <f t="shared" si="74"/>
        <v>0.24019156822412643</v>
      </c>
    </row>
    <row r="547" spans="16:35" x14ac:dyDescent="0.3">
      <c r="P547" s="9">
        <v>0.17229325419897842</v>
      </c>
      <c r="Q547" s="9">
        <v>0.27618031506796764</v>
      </c>
      <c r="R547" s="9">
        <v>0.20324651773210856</v>
      </c>
      <c r="S547" s="9">
        <v>0.34827991300094535</v>
      </c>
      <c r="U547" s="9">
        <f t="array" ref="U547">MMULT(TRANSPOSE($B$3:$B$6),TRANSPOSE(P547:S547))</f>
        <v>9.5159176143999546E-2</v>
      </c>
      <c r="V547" s="9">
        <f>INT(200*U547)/200</f>
        <v>9.5000000000000001E-2</v>
      </c>
      <c r="W547" s="9">
        <f t="array" ref="W547">SQRT(MMULT(MMULT(P547:S547,$K$3:$N$6),TRANSPOSE(P547:S547)))</f>
        <v>9.3848822895662751E-2</v>
      </c>
      <c r="Y547" s="31">
        <f>U547/W547</f>
        <v>1.0139623834152252</v>
      </c>
      <c r="AA547" s="9">
        <f t="shared" si="67"/>
        <v>0.24778934736605088</v>
      </c>
      <c r="AB547" s="9">
        <f t="shared" si="68"/>
        <v>0.25089834092985414</v>
      </c>
      <c r="AC547" s="9">
        <f t="shared" si="69"/>
        <v>0.18692355525516208</v>
      </c>
      <c r="AD547" s="9">
        <f t="shared" si="70"/>
        <v>0.31438875644893294</v>
      </c>
      <c r="AE547" s="9"/>
      <c r="AF547" s="9">
        <f t="shared" si="71"/>
        <v>0.51186076201331476</v>
      </c>
      <c r="AG547" s="9">
        <f t="shared" si="72"/>
        <v>0.2825485828449652</v>
      </c>
      <c r="AH547" s="9">
        <f t="shared" si="73"/>
        <v>0.4703898778285428</v>
      </c>
      <c r="AI547" s="9">
        <f t="shared" si="74"/>
        <v>0.23199284921028102</v>
      </c>
    </row>
    <row r="548" spans="16:35" x14ac:dyDescent="0.3">
      <c r="P548" s="9">
        <v>0.33688772713988452</v>
      </c>
      <c r="Q548" s="9">
        <v>0.2715030588702258</v>
      </c>
      <c r="R548" s="9">
        <v>9.7762822772498332E-3</v>
      </c>
      <c r="S548" s="9">
        <v>0.38183293171263982</v>
      </c>
      <c r="U548" s="9">
        <f t="array" ref="U548">MMULT(TRANSPOSE($B$3:$B$6),TRANSPOSE(P548:S548))</f>
        <v>8.8200806536052334E-2</v>
      </c>
      <c r="V548" s="9">
        <f>INT(200*U548)/200</f>
        <v>8.5000000000000006E-2</v>
      </c>
      <c r="W548" s="9">
        <f t="array" ref="W548">SQRT(MMULT(MMULT(P548:S548,$K$3:$N$6),TRANSPOSE(P548:S548)))</f>
        <v>8.7000238882422309E-2</v>
      </c>
      <c r="Y548" s="31">
        <f>U548/W548</f>
        <v>1.0137995903120742</v>
      </c>
      <c r="AA548" s="9">
        <f t="shared" si="67"/>
        <v>0.26969789643388992</v>
      </c>
      <c r="AB548" s="9">
        <f t="shared" si="68"/>
        <v>0.24350796057616181</v>
      </c>
      <c r="AC548" s="9">
        <f t="shared" si="69"/>
        <v>0.17880300421940221</v>
      </c>
      <c r="AD548" s="9">
        <f t="shared" si="70"/>
        <v>0.30799113877054607</v>
      </c>
      <c r="AE548" s="9"/>
      <c r="AF548" s="9">
        <f t="shared" si="71"/>
        <v>0.54164862197341324</v>
      </c>
      <c r="AG548" s="9">
        <f t="shared" si="72"/>
        <v>0.30277839004245011</v>
      </c>
      <c r="AH548" s="9">
        <f t="shared" si="73"/>
        <v>0.52662504855914993</v>
      </c>
      <c r="AI548" s="9">
        <f t="shared" si="74"/>
        <v>0.24305520494520011</v>
      </c>
    </row>
    <row r="549" spans="16:35" x14ac:dyDescent="0.3">
      <c r="P549" s="9">
        <v>0.535592318394018</v>
      </c>
      <c r="Q549" s="9">
        <v>0.16590852754485003</v>
      </c>
      <c r="R549" s="9">
        <v>2.8544462389517244E-2</v>
      </c>
      <c r="S549" s="9">
        <v>0.26995469167161473</v>
      </c>
      <c r="U549" s="9">
        <f t="array" ref="U549">MMULT(TRANSPOSE($B$3:$B$6),TRANSPOSE(P549:S549))</f>
        <v>7.6154276008182642E-2</v>
      </c>
      <c r="V549" s="9">
        <f>INT(200*U549)/200</f>
        <v>7.4999999999999997E-2</v>
      </c>
      <c r="W549" s="9">
        <f t="array" ref="W549">SQRT(MMULT(MMULT(P549:S549,$K$3:$N$6),TRANSPOSE(P549:S549)))</f>
        <v>7.5124254001492877E-2</v>
      </c>
      <c r="Y549" s="31">
        <f>U549/W549</f>
        <v>1.0137109116141012</v>
      </c>
      <c r="AA549" s="9">
        <f t="shared" si="67"/>
        <v>0.27862265624331717</v>
      </c>
      <c r="AB549" s="9">
        <f t="shared" si="68"/>
        <v>0.23955436744380787</v>
      </c>
      <c r="AC549" s="9">
        <f t="shared" si="69"/>
        <v>0.17901305787145089</v>
      </c>
      <c r="AD549" s="9">
        <f t="shared" si="70"/>
        <v>0.30280991844142402</v>
      </c>
      <c r="AE549" s="9"/>
      <c r="AF549" s="9">
        <f t="shared" si="71"/>
        <v>0.54349072079034</v>
      </c>
      <c r="AG549" s="9">
        <f t="shared" si="72"/>
        <v>0.32140189723074697</v>
      </c>
      <c r="AH549" s="9">
        <f t="shared" si="73"/>
        <v>0.52650852648236823</v>
      </c>
      <c r="AI549" s="9">
        <f t="shared" si="74"/>
        <v>0.26211619184096147</v>
      </c>
    </row>
    <row r="550" spans="16:35" x14ac:dyDescent="0.3">
      <c r="P550" s="9">
        <v>0.11771212540248614</v>
      </c>
      <c r="Q550" s="9">
        <v>0.3018404263971956</v>
      </c>
      <c r="R550" s="9">
        <v>0.22345932535340993</v>
      </c>
      <c r="S550" s="9">
        <v>0.3569881228469084</v>
      </c>
      <c r="U550" s="9">
        <f t="array" ref="U550">MMULT(TRANSPOSE($B$3:$B$6),TRANSPOSE(P550:S550))</f>
        <v>9.8284465473695903E-2</v>
      </c>
      <c r="V550" s="9">
        <f>INT(200*U550)/200</f>
        <v>9.5000000000000001E-2</v>
      </c>
      <c r="W550" s="9">
        <f t="array" ref="W550">SQRT(MMULT(MMULT(P550:S550,$K$3:$N$6),TRANSPOSE(P550:S550)))</f>
        <v>9.6957911018368426E-2</v>
      </c>
      <c r="Y550" s="31">
        <f>U550/W550</f>
        <v>1.0136817557370452</v>
      </c>
      <c r="AA550" s="9">
        <f t="shared" si="67"/>
        <v>0.27594764974180158</v>
      </c>
      <c r="AB550" s="9">
        <f t="shared" si="68"/>
        <v>0.23504233085997495</v>
      </c>
      <c r="AC550" s="9">
        <f t="shared" si="69"/>
        <v>0.20297539759185892</v>
      </c>
      <c r="AD550" s="9">
        <f t="shared" si="70"/>
        <v>0.28603462180636463</v>
      </c>
      <c r="AE550" s="9"/>
      <c r="AF550" s="9">
        <f t="shared" si="71"/>
        <v>0.56406545044793743</v>
      </c>
      <c r="AG550" s="9">
        <f t="shared" si="72"/>
        <v>0.28900203176307065</v>
      </c>
      <c r="AH550" s="9">
        <f t="shared" si="73"/>
        <v>0.58750208168485984</v>
      </c>
      <c r="AI550" s="9">
        <f t="shared" si="74"/>
        <v>0.28801122447266847</v>
      </c>
    </row>
    <row r="551" spans="16:35" x14ac:dyDescent="0.3">
      <c r="P551" s="9">
        <v>3.8851591274390834E-2</v>
      </c>
      <c r="Q551" s="9">
        <v>0.38154439010776614</v>
      </c>
      <c r="R551" s="9">
        <v>0.15587919699223809</v>
      </c>
      <c r="S551" s="9">
        <v>0.42372482162560487</v>
      </c>
      <c r="U551" s="9">
        <f t="array" ref="U551">MMULT(TRANSPOSE($B$3:$B$6),TRANSPOSE(P551:S551))</f>
        <v>0.10431560639756321</v>
      </c>
      <c r="V551" s="9">
        <f>INT(200*U551)/200</f>
        <v>0.1</v>
      </c>
      <c r="W551" s="9">
        <f t="array" ref="W551">SQRT(MMULT(MMULT(P551:S551,$K$3:$N$6),TRANSPOSE(P551:S551)))</f>
        <v>0.10296998185048288</v>
      </c>
      <c r="Y551" s="31">
        <f>U551/W551</f>
        <v>1.0130681245436581</v>
      </c>
      <c r="AA551" s="9">
        <f t="shared" si="67"/>
        <v>0.27864961381489167</v>
      </c>
      <c r="AB551" s="9">
        <f t="shared" si="68"/>
        <v>0.23341187093170437</v>
      </c>
      <c r="AC551" s="9">
        <f t="shared" si="69"/>
        <v>0.20808043601707732</v>
      </c>
      <c r="AD551" s="9">
        <f t="shared" si="70"/>
        <v>0.27985807923632666</v>
      </c>
      <c r="AE551" s="9"/>
      <c r="AF551" s="9">
        <f t="shared" si="71"/>
        <v>0.55674809565747896</v>
      </c>
      <c r="AG551" s="9">
        <f t="shared" si="72"/>
        <v>0.29289532350363662</v>
      </c>
      <c r="AH551" s="9">
        <f t="shared" si="73"/>
        <v>0.59731857647657771</v>
      </c>
      <c r="AI551" s="9">
        <f t="shared" si="74"/>
        <v>0.31315439678110257</v>
      </c>
    </row>
    <row r="552" spans="16:35" x14ac:dyDescent="0.3">
      <c r="P552" s="9">
        <v>7.567330916171798E-2</v>
      </c>
      <c r="Q552" s="9">
        <v>0.32194969723104216</v>
      </c>
      <c r="R552" s="9">
        <v>0.23832713071072342</v>
      </c>
      <c r="S552" s="9">
        <v>0.36404986289651636</v>
      </c>
      <c r="U552" s="9">
        <f t="array" ref="U552">MMULT(TRANSPOSE($B$3:$B$6),TRANSPOSE(P552:S552))</f>
        <v>0.10070356911148864</v>
      </c>
      <c r="V552" s="9">
        <f>INT(200*U552)/200</f>
        <v>0.1</v>
      </c>
      <c r="W552" s="9">
        <f t="array" ref="W552">SQRT(MMULT(MMULT(P552:S552,$K$3:$N$6),TRANSPOSE(P552:S552)))</f>
        <v>9.9446079868509341E-2</v>
      </c>
      <c r="Y552" s="31">
        <f>U552/W552</f>
        <v>1.012644935271878</v>
      </c>
      <c r="AA552" s="9">
        <f t="shared" si="67"/>
        <v>0.26850231007693282</v>
      </c>
      <c r="AB552" s="9">
        <f t="shared" si="68"/>
        <v>0.23715102903275742</v>
      </c>
      <c r="AC552" s="9">
        <f t="shared" si="69"/>
        <v>0.21367748425654967</v>
      </c>
      <c r="AD552" s="9">
        <f t="shared" si="70"/>
        <v>0.28066917663376012</v>
      </c>
      <c r="AE552" s="9"/>
      <c r="AF552" s="9">
        <f t="shared" si="71"/>
        <v>0.60676187403893533</v>
      </c>
      <c r="AG552" s="9">
        <f t="shared" si="72"/>
        <v>0.3024921835333611</v>
      </c>
      <c r="AH552" s="9">
        <f t="shared" si="73"/>
        <v>0.57502963719959166</v>
      </c>
      <c r="AI552" s="9">
        <f t="shared" si="74"/>
        <v>0.31520650291642455</v>
      </c>
    </row>
    <row r="553" spans="16:35" x14ac:dyDescent="0.3">
      <c r="P553" s="9">
        <v>0.2637841016443252</v>
      </c>
      <c r="Q553" s="9">
        <v>0.23821252172045232</v>
      </c>
      <c r="R553" s="9">
        <v>0.1594586039140157</v>
      </c>
      <c r="S553" s="9">
        <v>0.33854477272120687</v>
      </c>
      <c r="U553" s="9">
        <f t="array" ref="U553">MMULT(TRANSPOSE($B$3:$B$6),TRANSPOSE(P553:S553))</f>
        <v>9.0094170374672905E-2</v>
      </c>
      <c r="V553" s="9">
        <f>INT(200*U553)/200</f>
        <v>0.09</v>
      </c>
      <c r="W553" s="9">
        <f t="array" ref="W553">SQRT(MMULT(MMULT(P553:S553,$K$3:$N$6),TRANSPOSE(P553:S553)))</f>
        <v>8.8993588019913333E-2</v>
      </c>
      <c r="Y553" s="31">
        <f>U553/W553</f>
        <v>1.0123669848496648</v>
      </c>
      <c r="AA553" s="9">
        <f t="shared" si="67"/>
        <v>0.26031111758154346</v>
      </c>
      <c r="AB553" s="9">
        <f t="shared" si="68"/>
        <v>0.24306983972415441</v>
      </c>
      <c r="AC553" s="9">
        <f t="shared" si="69"/>
        <v>0.2090241716463582</v>
      </c>
      <c r="AD553" s="9">
        <f t="shared" si="70"/>
        <v>0.28759487104794401</v>
      </c>
      <c r="AE553" s="9"/>
      <c r="AF553" s="9">
        <f t="shared" si="71"/>
        <v>0.63345427173541502</v>
      </c>
      <c r="AG553" s="9">
        <f t="shared" si="72"/>
        <v>0.30126201585273482</v>
      </c>
      <c r="AH553" s="9">
        <f t="shared" si="73"/>
        <v>0.59267159222223931</v>
      </c>
      <c r="AI553" s="9">
        <f t="shared" si="74"/>
        <v>0.32045388210988218</v>
      </c>
    </row>
    <row r="554" spans="16:35" x14ac:dyDescent="0.3">
      <c r="P554" s="9">
        <v>0.28950700037768806</v>
      </c>
      <c r="Q554" s="9">
        <v>0.19402916350200874</v>
      </c>
      <c r="R554" s="9">
        <v>0.31464959594511344</v>
      </c>
      <c r="S554" s="9">
        <v>0.20181424017518973</v>
      </c>
      <c r="U554" s="9">
        <f t="array" ref="U554">MMULT(TRANSPOSE($B$3:$B$6),TRANSPOSE(P554:S554))</f>
        <v>8.71455636754465E-2</v>
      </c>
      <c r="V554" s="9">
        <f>INT(200*U554)/200</f>
        <v>8.5000000000000006E-2</v>
      </c>
      <c r="W554" s="9">
        <f t="array" ref="W554">SQRT(MMULT(MMULT(P554:S554,$K$3:$N$6),TRANSPOSE(P554:S554)))</f>
        <v>8.6105972478535894E-2</v>
      </c>
      <c r="Y554" s="31">
        <f>U554/W554</f>
        <v>1.0120733924370897</v>
      </c>
      <c r="AA554" s="9">
        <f t="shared" si="67"/>
        <v>0.24769121789016135</v>
      </c>
      <c r="AB554" s="9">
        <f t="shared" si="68"/>
        <v>0.24930830090482922</v>
      </c>
      <c r="AC554" s="9">
        <f t="shared" si="69"/>
        <v>0.20876213580026101</v>
      </c>
      <c r="AD554" s="9">
        <f t="shared" si="70"/>
        <v>0.29423834540474841</v>
      </c>
      <c r="AE554" s="9"/>
      <c r="AF554" s="9">
        <f t="shared" si="71"/>
        <v>0.65260089275266231</v>
      </c>
      <c r="AG554" s="9">
        <f t="shared" si="72"/>
        <v>0.28544564612489159</v>
      </c>
      <c r="AH554" s="9">
        <f t="shared" si="73"/>
        <v>0.59372909302339849</v>
      </c>
      <c r="AI554" s="9">
        <f t="shared" si="74"/>
        <v>0.31633219739182322</v>
      </c>
    </row>
    <row r="555" spans="16:35" x14ac:dyDescent="0.3">
      <c r="P555" s="9">
        <v>0.38906636809108586</v>
      </c>
      <c r="Q555" s="9">
        <v>0.19938987639731487</v>
      </c>
      <c r="R555" s="9">
        <v>9.0970342869400089E-2</v>
      </c>
      <c r="S555" s="9">
        <v>0.32057341264219918</v>
      </c>
      <c r="U555" s="9">
        <f t="array" ref="U555">MMULT(TRANSPOSE($B$3:$B$6),TRANSPOSE(P555:S555))</f>
        <v>8.3548738025555208E-2</v>
      </c>
      <c r="V555" s="9">
        <f>INT(200*U555)/200</f>
        <v>0.08</v>
      </c>
      <c r="W555" s="9">
        <f t="array" ref="W555">SQRT(MMULT(MMULT(P555:S555,$K$3:$N$6),TRANSPOSE(P555:S555)))</f>
        <v>8.2583129733831168E-2</v>
      </c>
      <c r="Y555" s="31">
        <f>U555/W555</f>
        <v>1.0116925611179455</v>
      </c>
      <c r="AA555" s="9">
        <f t="shared" si="67"/>
        <v>0.24940605278388916</v>
      </c>
      <c r="AB555" s="9">
        <f t="shared" si="68"/>
        <v>0.24984857508804531</v>
      </c>
      <c r="AC555" s="9">
        <f t="shared" si="69"/>
        <v>0.20270403789913016</v>
      </c>
      <c r="AD555" s="9">
        <f t="shared" si="70"/>
        <v>0.29804133422893536</v>
      </c>
      <c r="AE555" s="9"/>
      <c r="AF555" s="9">
        <f t="shared" si="71"/>
        <v>0.64903256951810562</v>
      </c>
      <c r="AG555" s="9">
        <f t="shared" si="72"/>
        <v>0.28397529115100717</v>
      </c>
      <c r="AH555" s="9">
        <f t="shared" si="73"/>
        <v>0.61091821285332859</v>
      </c>
      <c r="AI555" s="9">
        <f t="shared" si="74"/>
        <v>0.31285966862280856</v>
      </c>
    </row>
    <row r="556" spans="16:35" x14ac:dyDescent="0.3">
      <c r="P556" s="9">
        <v>0.10624669327718121</v>
      </c>
      <c r="Q556" s="9">
        <v>0.32628455878663992</v>
      </c>
      <c r="R556" s="9">
        <v>0.17476789199016035</v>
      </c>
      <c r="S556" s="9">
        <v>0.3927008559460185</v>
      </c>
      <c r="U556" s="9">
        <f t="array" ref="U556">MMULT(TRANSPOSE($B$3:$B$6),TRANSPOSE(P556:S556))</f>
        <v>9.9653677395345128E-2</v>
      </c>
      <c r="V556" s="9">
        <f>INT(200*U556)/200</f>
        <v>9.5000000000000001E-2</v>
      </c>
      <c r="W556" s="9">
        <f t="array" ref="W556">SQRT(MMULT(MMULT(P556:S556,$K$3:$N$6),TRANSPOSE(P556:S556)))</f>
        <v>9.8510884655334405E-2</v>
      </c>
      <c r="Y556" s="31">
        <f>U556/W556</f>
        <v>1.0116006748290718</v>
      </c>
      <c r="AA556" s="9">
        <f t="shared" si="67"/>
        <v>0.24043043791586965</v>
      </c>
      <c r="AB556" s="9">
        <f t="shared" si="68"/>
        <v>0.25574154166938901</v>
      </c>
      <c r="AC556" s="9">
        <f t="shared" si="69"/>
        <v>0.19818537015505763</v>
      </c>
      <c r="AD556" s="9">
        <f t="shared" si="70"/>
        <v>0.30564265025968379</v>
      </c>
      <c r="AE556" s="9"/>
      <c r="AF556" s="9">
        <f t="shared" si="71"/>
        <v>0.69310975193819979</v>
      </c>
      <c r="AG556" s="9">
        <f t="shared" si="72"/>
        <v>0.28412241577737851</v>
      </c>
      <c r="AH556" s="9">
        <f t="shared" si="73"/>
        <v>0.61408034822420099</v>
      </c>
      <c r="AI556" s="9">
        <f t="shared" si="74"/>
        <v>0.30733920019569683</v>
      </c>
    </row>
    <row r="557" spans="16:35" x14ac:dyDescent="0.3">
      <c r="P557" s="9">
        <v>0.3203758509397775</v>
      </c>
      <c r="Q557" s="9">
        <v>0.19893564435532343</v>
      </c>
      <c r="R557" s="9">
        <v>0.18744130585987692</v>
      </c>
      <c r="S557" s="9">
        <v>0.29324719884502209</v>
      </c>
      <c r="U557" s="9">
        <f t="array" ref="U557">MMULT(TRANSPOSE($B$3:$B$6),TRANSPOSE(P557:S557))</f>
        <v>8.6329719336277741E-2</v>
      </c>
      <c r="V557" s="9">
        <f>INT(200*U557)/200</f>
        <v>8.5000000000000006E-2</v>
      </c>
      <c r="W557" s="9">
        <f t="array" ref="W557">SQRT(MMULT(MMULT(P557:S557,$K$3:$N$6),TRANSPOSE(P557:S557)))</f>
        <v>8.5356687109368931E-2</v>
      </c>
      <c r="Y557" s="31">
        <f>U557/W557</f>
        <v>1.0113996015996034</v>
      </c>
      <c r="AA557" s="9">
        <f t="shared" si="67"/>
        <v>0.23266555308126108</v>
      </c>
      <c r="AB557" s="9">
        <f t="shared" si="68"/>
        <v>0.2594920892640229</v>
      </c>
      <c r="AC557" s="9">
        <f t="shared" si="69"/>
        <v>0.19541749652138632</v>
      </c>
      <c r="AD557" s="9">
        <f t="shared" si="70"/>
        <v>0.31242486113332968</v>
      </c>
      <c r="AE557" s="9"/>
      <c r="AF557" s="9">
        <f t="shared" si="71"/>
        <v>0.710824382288468</v>
      </c>
      <c r="AG557" s="9">
        <f t="shared" si="72"/>
        <v>0.27110252558287362</v>
      </c>
      <c r="AH557" s="9">
        <f t="shared" si="73"/>
        <v>0.61406693884344843</v>
      </c>
      <c r="AI557" s="9">
        <f t="shared" si="74"/>
        <v>0.28715049175244084</v>
      </c>
    </row>
    <row r="558" spans="16:35" x14ac:dyDescent="0.3">
      <c r="P558" s="9">
        <v>0.60295994217996118</v>
      </c>
      <c r="Q558" s="9">
        <v>0.14315870520413429</v>
      </c>
      <c r="R558" s="9">
        <v>3.1019762611887287E-2</v>
      </c>
      <c r="S558" s="9">
        <v>0.22286159000401728</v>
      </c>
      <c r="U558" s="9">
        <f t="array" ref="U558">MMULT(TRANSPOSE($B$3:$B$6),TRANSPOSE(P558:S558))</f>
        <v>7.2440257015294121E-2</v>
      </c>
      <c r="V558" s="9">
        <f>INT(200*U558)/200</f>
        <v>7.0000000000000007E-2</v>
      </c>
      <c r="W558" s="9">
        <f t="array" ref="W558">SQRT(MMULT(MMULT(P558:S558,$K$3:$N$6),TRANSPOSE(P558:S558)))</f>
        <v>7.1653892954597426E-2</v>
      </c>
      <c r="Y558" s="31">
        <f>U558/W558</f>
        <v>1.0109744778444203</v>
      </c>
      <c r="AA558" s="9">
        <f t="shared" si="67"/>
        <v>0.24341760925234018</v>
      </c>
      <c r="AB558" s="9">
        <f t="shared" si="68"/>
        <v>0.25648401134968629</v>
      </c>
      <c r="AC558" s="9">
        <f t="shared" si="69"/>
        <v>0.1878662182866892</v>
      </c>
      <c r="AD558" s="9">
        <f t="shared" si="70"/>
        <v>0.31223216111128438</v>
      </c>
      <c r="AE558" s="9"/>
      <c r="AF558" s="9">
        <f t="shared" si="71"/>
        <v>0.69252227163978475</v>
      </c>
      <c r="AG558" s="9">
        <f t="shared" si="72"/>
        <v>0.27661647434961822</v>
      </c>
      <c r="AH558" s="9">
        <f t="shared" si="73"/>
        <v>0.66212646614200699</v>
      </c>
      <c r="AI558" s="9">
        <f t="shared" si="74"/>
        <v>0.28708253356116842</v>
      </c>
    </row>
    <row r="559" spans="16:35" x14ac:dyDescent="0.3">
      <c r="P559" s="9">
        <v>0.45275380622015565</v>
      </c>
      <c r="Q559" s="9">
        <v>0.14075957754972299</v>
      </c>
      <c r="R559" s="9">
        <v>0.21945333752338275</v>
      </c>
      <c r="S559" s="9">
        <v>0.18703327870673858</v>
      </c>
      <c r="U559" s="9">
        <f t="array" ref="U559">MMULT(TRANSPOSE($B$3:$B$6),TRANSPOSE(P559:S559))</f>
        <v>7.8565182483331483E-2</v>
      </c>
      <c r="V559" s="9">
        <f>INT(200*U559)/200</f>
        <v>7.4999999999999997E-2</v>
      </c>
      <c r="W559" s="9">
        <f t="array" ref="W559">SQRT(MMULT(MMULT(P559:S559,$K$3:$N$6),TRANSPOSE(P559:S559)))</f>
        <v>7.7751515110891276E-2</v>
      </c>
      <c r="Y559" s="31">
        <f>U559/W559</f>
        <v>1.0104649712777909</v>
      </c>
      <c r="AA559" s="9">
        <f t="shared" si="67"/>
        <v>0.24308104734765859</v>
      </c>
      <c r="AB559" s="9">
        <f t="shared" si="68"/>
        <v>0.25196120281143314</v>
      </c>
      <c r="AC559" s="9">
        <f t="shared" si="69"/>
        <v>0.2035401404428295</v>
      </c>
      <c r="AD559" s="9">
        <f t="shared" si="70"/>
        <v>0.30141760939807877</v>
      </c>
      <c r="AE559" s="9"/>
      <c r="AF559" s="9">
        <f t="shared" si="71"/>
        <v>0.69270360228544081</v>
      </c>
      <c r="AG559" s="9">
        <f t="shared" si="72"/>
        <v>0.28949595935037609</v>
      </c>
      <c r="AH559" s="9">
        <f t="shared" si="73"/>
        <v>0.59709872153626853</v>
      </c>
      <c r="AI559" s="9">
        <f t="shared" si="74"/>
        <v>0.31316384586245127</v>
      </c>
    </row>
    <row r="560" spans="16:35" x14ac:dyDescent="0.3">
      <c r="P560" s="9">
        <v>1.8308652328769638E-2</v>
      </c>
      <c r="Q560" s="9">
        <v>0.32857577599037652</v>
      </c>
      <c r="R560" s="9">
        <v>0.548653633682885</v>
      </c>
      <c r="S560" s="9">
        <v>0.10446193799796863</v>
      </c>
      <c r="U560" s="9">
        <f t="array" ref="U560">MMULT(TRANSPOSE($B$3:$B$6),TRANSPOSE(P560:S560))</f>
        <v>0.10237969872726757</v>
      </c>
      <c r="V560" s="9">
        <f>INT(200*U560)/200</f>
        <v>0.1</v>
      </c>
      <c r="W560" s="9">
        <f t="array" ref="W560">SQRT(MMULT(MMULT(P560:S560,$K$3:$N$6),TRANSPOSE(P560:S560)))</f>
        <v>0.10136120250415881</v>
      </c>
      <c r="Y560" s="31">
        <f>U560/W560</f>
        <v>1.0100481860706712</v>
      </c>
      <c r="AA560" s="9">
        <f t="shared" si="67"/>
        <v>0.22784173849740261</v>
      </c>
      <c r="AB560" s="9">
        <f t="shared" si="68"/>
        <v>0.25756184482362526</v>
      </c>
      <c r="AC560" s="9">
        <f t="shared" si="69"/>
        <v>0.20736294237787309</v>
      </c>
      <c r="AD560" s="9">
        <f t="shared" si="70"/>
        <v>0.30723347430109904</v>
      </c>
      <c r="AE560" s="9"/>
      <c r="AF560" s="9">
        <f t="shared" si="71"/>
        <v>0.67808075315456084</v>
      </c>
      <c r="AG560" s="9">
        <f t="shared" si="72"/>
        <v>0.27363431310849518</v>
      </c>
      <c r="AH560" s="9">
        <f t="shared" si="73"/>
        <v>0.56388694080506641</v>
      </c>
      <c r="AI560" s="9">
        <f t="shared" si="74"/>
        <v>0.3128065141603707</v>
      </c>
    </row>
    <row r="561" spans="16:35" x14ac:dyDescent="0.3">
      <c r="P561" s="9">
        <v>0.27746686984280627</v>
      </c>
      <c r="Q561" s="9">
        <v>0.19969096468421629</v>
      </c>
      <c r="R561" s="9">
        <v>0.37366602005150557</v>
      </c>
      <c r="S561" s="9">
        <v>0.14917614542147198</v>
      </c>
      <c r="U561" s="9">
        <f t="array" ref="U561">MMULT(TRANSPOSE($B$3:$B$6),TRANSPOSE(P561:S561))</f>
        <v>8.7636167250934788E-2</v>
      </c>
      <c r="V561" s="9">
        <f>INT(200*U561)/200</f>
        <v>8.5000000000000006E-2</v>
      </c>
      <c r="W561" s="9">
        <f t="array" ref="W561">SQRT(MMULT(MMULT(P561:S561,$K$3:$N$6),TRANSPOSE(P561:S561)))</f>
        <v>8.6776121170965267E-2</v>
      </c>
      <c r="Y561" s="31">
        <f>U561/W561</f>
        <v>1.0099110915349059</v>
      </c>
      <c r="AA561" s="9">
        <f t="shared" si="67"/>
        <v>0.23374108281442987</v>
      </c>
      <c r="AB561" s="9">
        <f t="shared" si="68"/>
        <v>0.25372911285586841</v>
      </c>
      <c r="AC561" s="9">
        <f t="shared" si="69"/>
        <v>0.20805980099253119</v>
      </c>
      <c r="AD561" s="9">
        <f t="shared" si="70"/>
        <v>0.30447000333717045</v>
      </c>
      <c r="AE561" s="9"/>
      <c r="AF561" s="9">
        <f t="shared" si="71"/>
        <v>0.65213637030676364</v>
      </c>
      <c r="AG561" s="9">
        <f t="shared" si="72"/>
        <v>0.27642516038009057</v>
      </c>
      <c r="AH561" s="9">
        <f t="shared" si="73"/>
        <v>0.56269158208784598</v>
      </c>
      <c r="AI561" s="9">
        <f t="shared" si="74"/>
        <v>0.31344446662500114</v>
      </c>
    </row>
    <row r="562" spans="16:35" x14ac:dyDescent="0.3">
      <c r="P562" s="9">
        <v>5.0918226253105041E-2</v>
      </c>
      <c r="Q562" s="9">
        <v>0.33469042905240415</v>
      </c>
      <c r="R562" s="9">
        <v>0.23980005431428961</v>
      </c>
      <c r="S562" s="9">
        <v>0.37459129038020106</v>
      </c>
      <c r="U562" s="9">
        <f t="array" ref="U562">MMULT(TRANSPOSE($B$3:$B$6),TRANSPOSE(P562:S562))</f>
        <v>0.10217915717851284</v>
      </c>
      <c r="V562" s="9">
        <f>INT(200*U562)/200</f>
        <v>0.1</v>
      </c>
      <c r="W562" s="9">
        <f t="array" ref="W562">SQRT(MMULT(MMULT(P562:S562,$K$3:$N$6),TRANSPOSE(P562:S562)))</f>
        <v>0.10117945991163857</v>
      </c>
      <c r="Y562" s="31">
        <f>U562/W562</f>
        <v>1.0098804368766874</v>
      </c>
      <c r="AA562" s="9">
        <f t="shared" si="67"/>
        <v>0.2350146675005757</v>
      </c>
      <c r="AB562" s="9">
        <f t="shared" si="68"/>
        <v>0.25016573048112228</v>
      </c>
      <c r="AC562" s="9">
        <f t="shared" si="69"/>
        <v>0.21444039844818463</v>
      </c>
      <c r="AD562" s="9">
        <f t="shared" si="70"/>
        <v>0.30037920357011738</v>
      </c>
      <c r="AE562" s="9"/>
      <c r="AF562" s="9">
        <f t="shared" si="71"/>
        <v>0.64176666103793734</v>
      </c>
      <c r="AG562" s="9">
        <f t="shared" si="72"/>
        <v>0.25996335193580616</v>
      </c>
      <c r="AH562" s="9">
        <f t="shared" si="73"/>
        <v>0.54904249059723931</v>
      </c>
      <c r="AI562" s="9">
        <f t="shared" si="74"/>
        <v>0.30574856739632861</v>
      </c>
    </row>
    <row r="563" spans="16:35" x14ac:dyDescent="0.3">
      <c r="P563" s="9">
        <v>0.14069981194627659</v>
      </c>
      <c r="Q563" s="9">
        <v>0.31965173085856741</v>
      </c>
      <c r="R563" s="9">
        <v>0.13694182691744972</v>
      </c>
      <c r="S563" s="9">
        <v>0.4027066302777062</v>
      </c>
      <c r="U563" s="9">
        <f t="array" ref="U563">MMULT(TRANSPOSE($B$3:$B$6),TRANSPOSE(P563:S563))</f>
        <v>9.803317893720262E-2</v>
      </c>
      <c r="V563" s="9">
        <f>INT(200*U563)/200</f>
        <v>9.5000000000000001E-2</v>
      </c>
      <c r="W563" s="9">
        <f t="array" ref="W563">SQRT(MMULT(MMULT(P563:S563,$K$3:$N$6),TRANSPOSE(P563:S563)))</f>
        <v>9.7093049487754379E-2</v>
      </c>
      <c r="Y563" s="31">
        <f>U563/W563</f>
        <v>1.0096827677615257</v>
      </c>
      <c r="AA563" s="9">
        <f t="shared" si="67"/>
        <v>0.24249565218142424</v>
      </c>
      <c r="AB563" s="9">
        <f t="shared" si="68"/>
        <v>0.24637232318790192</v>
      </c>
      <c r="AC563" s="9">
        <f t="shared" si="69"/>
        <v>0.22664652412733788</v>
      </c>
      <c r="AD563" s="9">
        <f t="shared" si="70"/>
        <v>0.28448550050333588</v>
      </c>
      <c r="AE563" s="9"/>
      <c r="AF563" s="9">
        <f t="shared" si="71"/>
        <v>0.60354042133270625</v>
      </c>
      <c r="AG563" s="9">
        <f t="shared" si="72"/>
        <v>0.25541263353122273</v>
      </c>
      <c r="AH563" s="9">
        <f t="shared" si="73"/>
        <v>0.58538929839425802</v>
      </c>
      <c r="AI563" s="9">
        <f t="shared" si="74"/>
        <v>0.37882408036436394</v>
      </c>
    </row>
    <row r="564" spans="16:35" x14ac:dyDescent="0.3">
      <c r="P564" s="9">
        <v>0.16155740967971083</v>
      </c>
      <c r="Q564" s="9">
        <v>0.28894714707848035</v>
      </c>
      <c r="R564" s="9">
        <v>0.17665793922114464</v>
      </c>
      <c r="S564" s="9">
        <v>0.37283750402066423</v>
      </c>
      <c r="U564" s="9">
        <f t="array" ref="U564">MMULT(TRANSPOSE($B$3:$B$6),TRANSPOSE(P564:S564))</f>
        <v>9.6095884340095111E-2</v>
      </c>
      <c r="V564" s="9">
        <f>INT(200*U564)/200</f>
        <v>9.5000000000000001E-2</v>
      </c>
      <c r="W564" s="9">
        <f t="array" ref="W564">SQRT(MMULT(MMULT(P564:S564,$K$3:$N$6),TRANSPOSE(P564:S564)))</f>
        <v>9.5180801114621169E-2</v>
      </c>
      <c r="Y564" s="31">
        <f>U564/W564</f>
        <v>1.0096141576321884</v>
      </c>
      <c r="AA564" s="9">
        <f t="shared" si="67"/>
        <v>0.24532751687727994</v>
      </c>
      <c r="AB564" s="9">
        <f t="shared" si="68"/>
        <v>0.24343457501521043</v>
      </c>
      <c r="AC564" s="9">
        <f t="shared" si="69"/>
        <v>0.23240048015037312</v>
      </c>
      <c r="AD564" s="9">
        <f t="shared" si="70"/>
        <v>0.27883742795713645</v>
      </c>
      <c r="AE564" s="9"/>
      <c r="AF564" s="9">
        <f t="shared" si="71"/>
        <v>0.6006677606783335</v>
      </c>
      <c r="AG564" s="9">
        <f t="shared" si="72"/>
        <v>0.26594628863149194</v>
      </c>
      <c r="AH564" s="9">
        <f t="shared" si="73"/>
        <v>0.56900211592060412</v>
      </c>
      <c r="AI564" s="9">
        <f t="shared" si="74"/>
        <v>0.38697504435223401</v>
      </c>
    </row>
    <row r="565" spans="16:35" x14ac:dyDescent="0.3">
      <c r="P565" s="9">
        <v>0.28713973385339397</v>
      </c>
      <c r="Q565" s="9">
        <v>0.22855290895538249</v>
      </c>
      <c r="R565" s="9">
        <v>0.14431546247476978</v>
      </c>
      <c r="S565" s="9">
        <v>0.33999189471645375</v>
      </c>
      <c r="U565" s="9">
        <f t="array" ref="U565">MMULT(TRANSPOSE($B$3:$B$6),TRANSPOSE(P565:S565))</f>
        <v>8.8816528654462407E-2</v>
      </c>
      <c r="V565" s="9">
        <f>INT(200*U565)/200</f>
        <v>8.5000000000000006E-2</v>
      </c>
      <c r="W565" s="9">
        <f t="array" ref="W565">SQRT(MMULT(MMULT(P565:S565,$K$3:$N$6),TRANSPOSE(P565:S565)))</f>
        <v>8.8012234784800858E-2</v>
      </c>
      <c r="Y565" s="31">
        <f>U565/W565</f>
        <v>1.0091384325330237</v>
      </c>
      <c r="AA565" s="9">
        <f t="shared" si="67"/>
        <v>0.25171247358637178</v>
      </c>
      <c r="AB565" s="9">
        <f t="shared" si="68"/>
        <v>0.24275196122706941</v>
      </c>
      <c r="AC565" s="9">
        <f t="shared" si="69"/>
        <v>0.22156335683410197</v>
      </c>
      <c r="AD565" s="9">
        <f t="shared" si="70"/>
        <v>0.28397220835245685</v>
      </c>
      <c r="AE565" s="9"/>
      <c r="AF565" s="9">
        <f t="shared" si="71"/>
        <v>0.60464151003336164</v>
      </c>
      <c r="AG565" s="9">
        <f t="shared" si="72"/>
        <v>0.26924642774751517</v>
      </c>
      <c r="AH565" s="9">
        <f t="shared" si="73"/>
        <v>0.60689365026249142</v>
      </c>
      <c r="AI565" s="9">
        <f t="shared" si="74"/>
        <v>0.37543287895859223</v>
      </c>
    </row>
    <row r="566" spans="16:35" x14ac:dyDescent="0.3">
      <c r="P566" s="9">
        <v>6.7502137154390213E-2</v>
      </c>
      <c r="Q566" s="9">
        <v>0.33452807210359486</v>
      </c>
      <c r="R566" s="9">
        <v>0.20821294479332328</v>
      </c>
      <c r="S566" s="9">
        <v>0.38975684594869153</v>
      </c>
      <c r="U566" s="9">
        <f t="array" ref="U566">MMULT(TRANSPOSE($B$3:$B$6),TRANSPOSE(P566:S566))</f>
        <v>0.10153056327364823</v>
      </c>
      <c r="V566" s="9">
        <f>INT(200*U566)/200</f>
        <v>0.1</v>
      </c>
      <c r="W566" s="9">
        <f t="array" ref="W566">SQRT(MMULT(MMULT(P566:S566,$K$3:$N$6),TRANSPOSE(P566:S566)))</f>
        <v>0.10069176904216059</v>
      </c>
      <c r="Y566" s="31">
        <f>U566/W566</f>
        <v>1.0083303157692705</v>
      </c>
      <c r="AA566" s="9">
        <f t="shared" si="67"/>
        <v>0.2395197081909077</v>
      </c>
      <c r="AB566" s="9">
        <f t="shared" si="68"/>
        <v>0.24838187342967333</v>
      </c>
      <c r="AC566" s="9">
        <f t="shared" si="69"/>
        <v>0.22400394938937471</v>
      </c>
      <c r="AD566" s="9">
        <f t="shared" si="70"/>
        <v>0.28809446899004421</v>
      </c>
      <c r="AE566" s="9"/>
      <c r="AF566" s="9">
        <f t="shared" si="71"/>
        <v>0.62997991964195621</v>
      </c>
      <c r="AG566" s="9">
        <f t="shared" si="72"/>
        <v>0.26781294795506078</v>
      </c>
      <c r="AH566" s="9">
        <f t="shared" si="73"/>
        <v>0.59117812249543378</v>
      </c>
      <c r="AI566" s="9">
        <f t="shared" si="74"/>
        <v>0.38087021111742758</v>
      </c>
    </row>
    <row r="567" spans="16:35" x14ac:dyDescent="0.3">
      <c r="P567" s="9">
        <v>0.1806796853463789</v>
      </c>
      <c r="Q567" s="9">
        <v>0.25500038308681494</v>
      </c>
      <c r="R567" s="9">
        <v>0.2385257893246614</v>
      </c>
      <c r="S567" s="9">
        <v>0.3257941422421447</v>
      </c>
      <c r="U567" s="9">
        <f t="array" ref="U567">MMULT(TRANSPOSE($B$3:$B$6),TRANSPOSE(P567:S567))</f>
        <v>9.4068862097727773E-2</v>
      </c>
      <c r="V567" s="9">
        <f>INT(200*U567)/200</f>
        <v>0.09</v>
      </c>
      <c r="W567" s="9">
        <f t="array" ref="W567">SQRT(MMULT(MMULT(P567:S567,$K$3:$N$6),TRANSPOSE(P567:S567)))</f>
        <v>9.3347327701985866E-2</v>
      </c>
      <c r="Y567" s="31">
        <f>U567/W567</f>
        <v>1.0077295667000283</v>
      </c>
      <c r="AA567" s="9">
        <f t="shared" si="67"/>
        <v>0.25499148835502361</v>
      </c>
      <c r="AB567" s="9">
        <f t="shared" si="68"/>
        <v>0.2405510374909019</v>
      </c>
      <c r="AC567" s="9">
        <f t="shared" si="69"/>
        <v>0.23291038408224066</v>
      </c>
      <c r="AD567" s="9">
        <f t="shared" si="70"/>
        <v>0.2715470900718337</v>
      </c>
      <c r="AE567" s="9"/>
      <c r="AF567" s="9">
        <f t="shared" si="71"/>
        <v>0.60074159262631821</v>
      </c>
      <c r="AG567" s="9">
        <f t="shared" si="72"/>
        <v>0.27673963926266543</v>
      </c>
      <c r="AH567" s="9">
        <f t="shared" si="73"/>
        <v>0.58052199949443584</v>
      </c>
      <c r="AI567" s="9">
        <f t="shared" si="74"/>
        <v>0.43813744873361404</v>
      </c>
    </row>
    <row r="568" spans="16:35" x14ac:dyDescent="0.3">
      <c r="P568" s="9">
        <v>0.39808643379164022</v>
      </c>
      <c r="Q568" s="9">
        <v>0.21301067886689798</v>
      </c>
      <c r="R568" s="9">
        <v>4.4669674803469409E-2</v>
      </c>
      <c r="S568" s="9">
        <v>0.34423321253799238</v>
      </c>
      <c r="U568" s="9">
        <f t="array" ref="U568">MMULT(TRANSPOSE($B$3:$B$6),TRANSPOSE(P568:S568))</f>
        <v>8.3676066082210537E-2</v>
      </c>
      <c r="V568" s="9">
        <f>INT(200*U568)/200</f>
        <v>0.08</v>
      </c>
      <c r="W568" s="9">
        <f t="array" ref="W568">SQRT(MMULT(MMULT(P568:S568,$K$3:$N$6),TRANSPOSE(P568:S568)))</f>
        <v>8.3089925660155606E-2</v>
      </c>
      <c r="Y568" s="31">
        <f>U568/W568</f>
        <v>1.0070542898840984</v>
      </c>
      <c r="AA568" s="9">
        <f t="shared" si="67"/>
        <v>0.25606769148622982</v>
      </c>
      <c r="AB568" s="9">
        <f t="shared" si="68"/>
        <v>0.23916437497427051</v>
      </c>
      <c r="AC568" s="9">
        <f t="shared" si="69"/>
        <v>0.23624700162287388</v>
      </c>
      <c r="AD568" s="9">
        <f t="shared" si="70"/>
        <v>0.26852093191662574</v>
      </c>
      <c r="AE568" s="9"/>
      <c r="AF568" s="9">
        <f t="shared" si="71"/>
        <v>0.6004064210255512</v>
      </c>
      <c r="AG568" s="9">
        <f t="shared" si="72"/>
        <v>0.28337258612772803</v>
      </c>
      <c r="AH568" s="9">
        <f t="shared" si="73"/>
        <v>0.57099406638766248</v>
      </c>
      <c r="AI568" s="9">
        <f t="shared" si="74"/>
        <v>0.44392584411718417</v>
      </c>
    </row>
    <row r="569" spans="16:35" x14ac:dyDescent="0.3">
      <c r="P569" s="9">
        <v>0.3298199271415721</v>
      </c>
      <c r="Q569" s="9">
        <v>0.17652407956690977</v>
      </c>
      <c r="R569" s="9">
        <v>0.33892864755619601</v>
      </c>
      <c r="S569" s="9">
        <v>0.15472734573532212</v>
      </c>
      <c r="U569" s="9">
        <f t="array" ref="U569">MMULT(TRANSPOSE($B$3:$B$6),TRANSPOSE(P569:S569))</f>
        <v>8.4733839404065203E-2</v>
      </c>
      <c r="V569" s="9">
        <f>INT(200*U569)/200</f>
        <v>0.08</v>
      </c>
      <c r="W569" s="9">
        <f t="array" ref="W569">SQRT(MMULT(MMULT(P569:S569,$K$3:$N$6),TRANSPOSE(P569:S569)))</f>
        <v>8.4156832328923792E-2</v>
      </c>
      <c r="Y569" s="31">
        <f>U569/W569</f>
        <v>1.0068563307241198</v>
      </c>
      <c r="AA569" s="9">
        <f t="shared" si="67"/>
        <v>0.24781067012462754</v>
      </c>
      <c r="AB569" s="9">
        <f t="shared" si="68"/>
        <v>0.23904914211101613</v>
      </c>
      <c r="AC569" s="9">
        <f t="shared" si="69"/>
        <v>0.24653903509896097</v>
      </c>
      <c r="AD569" s="9">
        <f t="shared" si="70"/>
        <v>0.2666011526653953</v>
      </c>
      <c r="AE569" s="9"/>
      <c r="AF569" s="9">
        <f t="shared" si="71"/>
        <v>0.55702515587033419</v>
      </c>
      <c r="AG569" s="9">
        <f t="shared" si="72"/>
        <v>0.28423386783972021</v>
      </c>
      <c r="AH569" s="9">
        <f t="shared" si="73"/>
        <v>0.51283706026261666</v>
      </c>
      <c r="AI569" s="9">
        <f t="shared" si="74"/>
        <v>0.45121761843630437</v>
      </c>
    </row>
    <row r="570" spans="16:35" x14ac:dyDescent="0.3">
      <c r="P570" s="9">
        <v>0.2155668325386414</v>
      </c>
      <c r="Q570" s="9">
        <v>0.28352200980088538</v>
      </c>
      <c r="R570" s="9">
        <v>0.10882330302543217</v>
      </c>
      <c r="S570" s="9">
        <v>0.39208785463504109</v>
      </c>
      <c r="U570" s="9">
        <f t="array" ref="U570">MMULT(TRANSPOSE($B$3:$B$6),TRANSPOSE(P570:S570))</f>
        <v>9.3722321351748378E-2</v>
      </c>
      <c r="V570" s="9">
        <f>INT(200*U570)/200</f>
        <v>0.09</v>
      </c>
      <c r="W570" s="9">
        <f t="array" ref="W570">SQRT(MMULT(MMULT(P570:S570,$K$3:$N$6),TRANSPOSE(P570:S570)))</f>
        <v>9.3109711979228418E-2</v>
      </c>
      <c r="Y570" s="31">
        <f>U570/W570</f>
        <v>1.0065794358021065</v>
      </c>
      <c r="AA570" s="9">
        <f t="shared" si="67"/>
        <v>0.23013301806831538</v>
      </c>
      <c r="AB570" s="9">
        <f t="shared" si="68"/>
        <v>0.24563744995592263</v>
      </c>
      <c r="AC570" s="9">
        <f t="shared" si="69"/>
        <v>0.25368034692760699</v>
      </c>
      <c r="AD570" s="9">
        <f t="shared" si="70"/>
        <v>0.27054918504815489</v>
      </c>
      <c r="AE570" s="9"/>
      <c r="AF570" s="9">
        <f t="shared" si="71"/>
        <v>0.58312288482903296</v>
      </c>
      <c r="AG570" s="9">
        <f t="shared" si="72"/>
        <v>0.26283546550297648</v>
      </c>
      <c r="AH570" s="9">
        <f t="shared" si="73"/>
        <v>0.50865777420092528</v>
      </c>
      <c r="AI570" s="9">
        <f t="shared" si="74"/>
        <v>0.43949744123699214</v>
      </c>
    </row>
    <row r="571" spans="16:35" x14ac:dyDescent="0.3">
      <c r="P571" s="9">
        <v>0.24159835606005911</v>
      </c>
      <c r="Q571" s="9">
        <v>0.22135305507430222</v>
      </c>
      <c r="R571" s="9">
        <v>0.2380933562612306</v>
      </c>
      <c r="S571" s="9">
        <v>0.29895523260440809</v>
      </c>
      <c r="U571" s="9">
        <f t="array" ref="U571">MMULT(TRANSPOSE($B$3:$B$6),TRANSPOSE(P571:S571))</f>
        <v>9.0363435397908781E-2</v>
      </c>
      <c r="V571" s="9">
        <f>INT(200*U571)/200</f>
        <v>0.09</v>
      </c>
      <c r="W571" s="9">
        <f t="array" ref="W571">SQRT(MMULT(MMULT(P571:S571,$K$3:$N$6),TRANSPOSE(P571:S571)))</f>
        <v>8.9780233787606786E-2</v>
      </c>
      <c r="Y571" s="31">
        <f>U571/W571</f>
        <v>1.0064958798356627</v>
      </c>
      <c r="AA571" s="9">
        <f t="shared" si="67"/>
        <v>0.23949672584955981</v>
      </c>
      <c r="AB571" s="9">
        <f t="shared" si="68"/>
        <v>0.24272180789619963</v>
      </c>
      <c r="AC571" s="9">
        <f t="shared" si="69"/>
        <v>0.23404418344807695</v>
      </c>
      <c r="AD571" s="9">
        <f t="shared" si="70"/>
        <v>0.28373728280616356</v>
      </c>
      <c r="AE571" s="9"/>
      <c r="AF571" s="9">
        <f t="shared" si="71"/>
        <v>0.52292079366610844</v>
      </c>
      <c r="AG571" s="9">
        <f t="shared" si="72"/>
        <v>0.25526973472527903</v>
      </c>
      <c r="AH571" s="9">
        <f t="shared" si="73"/>
        <v>0.47930580667057987</v>
      </c>
      <c r="AI571" s="9">
        <f t="shared" si="74"/>
        <v>0.40478650078560247</v>
      </c>
    </row>
    <row r="572" spans="16:35" x14ac:dyDescent="0.3">
      <c r="P572" s="9">
        <v>6.5596869683452255E-2</v>
      </c>
      <c r="Q572" s="9">
        <v>0.30671336023809659</v>
      </c>
      <c r="R572" s="9">
        <v>0.28987174356096007</v>
      </c>
      <c r="S572" s="9">
        <v>0.33781802651749121</v>
      </c>
      <c r="U572" s="9">
        <f t="array" ref="U572">MMULT(TRANSPOSE($B$3:$B$6),TRANSPOSE(P572:S572))</f>
        <v>0.10056142461646304</v>
      </c>
      <c r="V572" s="9">
        <f>INT(200*U572)/200</f>
        <v>0.1</v>
      </c>
      <c r="W572" s="9">
        <f t="array" ref="W572">SQRT(MMULT(MMULT(P572:S572,$K$3:$N$6),TRANSPOSE(P572:S572)))</f>
        <v>9.9939325362382744E-2</v>
      </c>
      <c r="Y572" s="31">
        <f>U572/W572</f>
        <v>1.0062247693970772</v>
      </c>
      <c r="AA572" s="9">
        <f t="shared" si="67"/>
        <v>0.23071066333465018</v>
      </c>
      <c r="AB572" s="9">
        <f t="shared" si="68"/>
        <v>0.24907824831842393</v>
      </c>
      <c r="AC572" s="9">
        <f t="shared" si="69"/>
        <v>0.22384611117888864</v>
      </c>
      <c r="AD572" s="9">
        <f t="shared" si="70"/>
        <v>0.29636497716803722</v>
      </c>
      <c r="AE572" s="9"/>
      <c r="AF572" s="9">
        <f t="shared" si="71"/>
        <v>0.55853722631966862</v>
      </c>
      <c r="AG572" s="9">
        <f t="shared" si="72"/>
        <v>0.2574824186191903</v>
      </c>
      <c r="AH572" s="9">
        <f t="shared" si="73"/>
        <v>0.48482529765694665</v>
      </c>
      <c r="AI572" s="9">
        <f t="shared" si="74"/>
        <v>0.38429860439623126</v>
      </c>
    </row>
    <row r="573" spans="16:35" x14ac:dyDescent="0.3">
      <c r="P573" s="9">
        <v>0.23277398745953826</v>
      </c>
      <c r="Q573" s="9">
        <v>0.24228814407341445</v>
      </c>
      <c r="R573" s="9">
        <v>0.49465576997294208</v>
      </c>
      <c r="S573" s="9">
        <v>3.028209849410515E-2</v>
      </c>
      <c r="U573" s="9">
        <f t="array" ref="U573">MMULT(TRANSPOSE($B$3:$B$6),TRANSPOSE(P573:S573))</f>
        <v>9.0403443495311944E-2</v>
      </c>
      <c r="V573" s="9">
        <f>INT(200*U573)/200</f>
        <v>0.09</v>
      </c>
      <c r="W573" s="9">
        <f t="array" ref="W573">SQRT(MMULT(MMULT(P573:S573,$K$3:$N$6),TRANSPOSE(P573:S573)))</f>
        <v>8.9867484951359961E-2</v>
      </c>
      <c r="Y573" s="31">
        <f>U573/W573</f>
        <v>1.0059638760808991</v>
      </c>
      <c r="AA573" s="9">
        <f t="shared" si="67"/>
        <v>0.23154021034258432</v>
      </c>
      <c r="AB573" s="9">
        <f t="shared" si="68"/>
        <v>0.24658738202171904</v>
      </c>
      <c r="AC573" s="9">
        <f t="shared" si="69"/>
        <v>0.23194150963177756</v>
      </c>
      <c r="AD573" s="9">
        <f t="shared" si="70"/>
        <v>0.28993089800391908</v>
      </c>
      <c r="AE573" s="9"/>
      <c r="AF573" s="9">
        <f t="shared" si="71"/>
        <v>0.55150683889356511</v>
      </c>
      <c r="AG573" s="9">
        <f t="shared" si="72"/>
        <v>0.24984251708409944</v>
      </c>
      <c r="AH573" s="9">
        <f t="shared" si="73"/>
        <v>0.49955739903221802</v>
      </c>
      <c r="AI573" s="9">
        <f t="shared" si="74"/>
        <v>0.38997567649117698</v>
      </c>
    </row>
    <row r="574" spans="16:35" x14ac:dyDescent="0.3">
      <c r="P574" s="9">
        <v>0.32325326025729506</v>
      </c>
      <c r="Q574" s="9">
        <v>0.17651981009393108</v>
      </c>
      <c r="R574" s="9">
        <v>0.28029168039775565</v>
      </c>
      <c r="S574" s="9">
        <v>0.21993524925101812</v>
      </c>
      <c r="U574" s="9">
        <f t="array" ref="U574">MMULT(TRANSPOSE($B$3:$B$6),TRANSPOSE(P574:S574))</f>
        <v>8.5248091026229739E-2</v>
      </c>
      <c r="V574" s="9">
        <f>INT(200*U574)/200</f>
        <v>8.5000000000000006E-2</v>
      </c>
      <c r="W574" s="9">
        <f t="array" ref="W574">SQRT(MMULT(MMULT(P574:S574,$K$3:$N$6),TRANSPOSE(P574:S574)))</f>
        <v>8.4807726901604194E-2</v>
      </c>
      <c r="Y574" s="31">
        <f>U574/W574</f>
        <v>1.0051925000317066</v>
      </c>
      <c r="AA574" s="9">
        <f t="shared" si="67"/>
        <v>0.24667320438331314</v>
      </c>
      <c r="AB574" s="9">
        <f t="shared" si="68"/>
        <v>0.23774023582982076</v>
      </c>
      <c r="AC574" s="9">
        <f t="shared" si="69"/>
        <v>0.23478245112724169</v>
      </c>
      <c r="AD574" s="9">
        <f t="shared" si="70"/>
        <v>0.28080410865962435</v>
      </c>
      <c r="AE574" s="9"/>
      <c r="AF574" s="9">
        <f t="shared" si="71"/>
        <v>0.5473366224830637</v>
      </c>
      <c r="AG574" s="9">
        <f t="shared" si="72"/>
        <v>0.26873421273901288</v>
      </c>
      <c r="AH574" s="9">
        <f t="shared" si="73"/>
        <v>0.48615591628383287</v>
      </c>
      <c r="AI574" s="9">
        <f t="shared" si="74"/>
        <v>0.39610575008231264</v>
      </c>
    </row>
    <row r="575" spans="16:35" x14ac:dyDescent="0.3">
      <c r="P575" s="9">
        <v>0.4235910912686161</v>
      </c>
      <c r="Q575" s="9">
        <v>0.17969427395104612</v>
      </c>
      <c r="R575" s="9">
        <v>8.7070006303419545E-2</v>
      </c>
      <c r="S575" s="9">
        <v>0.30964462847691815</v>
      </c>
      <c r="U575" s="9">
        <f t="array" ref="U575">MMULT(TRANSPOSE($B$3:$B$6),TRANSPOSE(P575:S575))</f>
        <v>8.1444976635954222E-2</v>
      </c>
      <c r="V575" s="9">
        <f>INT(200*U575)/200</f>
        <v>0.08</v>
      </c>
      <c r="W575" s="9">
        <f t="array" ref="W575">SQRT(MMULT(MMULT(P575:S575,$K$3:$N$6),TRANSPOSE(P575:S575)))</f>
        <v>8.1027591963063653E-2</v>
      </c>
      <c r="Y575" s="31">
        <f>U575/W575</f>
        <v>1.0051511425031714</v>
      </c>
      <c r="AA575" s="9">
        <f t="shared" si="67"/>
        <v>0.24260100020502784</v>
      </c>
      <c r="AB575" s="9">
        <f t="shared" si="68"/>
        <v>0.23743343898825275</v>
      </c>
      <c r="AC575" s="9">
        <f t="shared" si="69"/>
        <v>0.24347764048733425</v>
      </c>
      <c r="AD575" s="9">
        <f t="shared" si="70"/>
        <v>0.27648792031938513</v>
      </c>
      <c r="AE575" s="9"/>
      <c r="AF575" s="9">
        <f t="shared" si="71"/>
        <v>0.57271556283891456</v>
      </c>
      <c r="AG575" s="9">
        <f t="shared" si="72"/>
        <v>0.2680572267710648</v>
      </c>
      <c r="AH575" s="9">
        <f t="shared" si="73"/>
        <v>0.47817081648564208</v>
      </c>
      <c r="AI575" s="9">
        <f t="shared" si="74"/>
        <v>0.39502159011143312</v>
      </c>
    </row>
    <row r="576" spans="16:35" x14ac:dyDescent="0.3">
      <c r="P576" s="9">
        <v>0.13301829478634089</v>
      </c>
      <c r="Q576" s="9">
        <v>0.31761803265199767</v>
      </c>
      <c r="R576" s="9">
        <v>0.1422227865301279</v>
      </c>
      <c r="S576" s="9">
        <v>0.40714088603153364</v>
      </c>
      <c r="U576" s="9">
        <f t="array" ref="U576">MMULT(TRANSPOSE($B$3:$B$6),TRANSPOSE(P576:S576))</f>
        <v>9.8310151417707548E-2</v>
      </c>
      <c r="V576" s="9">
        <f>INT(200*U576)/200</f>
        <v>9.5000000000000001E-2</v>
      </c>
      <c r="W576" s="9">
        <f t="array" ref="W576">SQRT(MMULT(MMULT(P576:S576,$K$3:$N$6),TRANSPOSE(P576:S576)))</f>
        <v>9.7863579616681476E-2</v>
      </c>
      <c r="Y576" s="31">
        <f>U576/W576</f>
        <v>1.0045632073011761</v>
      </c>
      <c r="AA576" s="9">
        <f t="shared" si="67"/>
        <v>0.23945590935210281</v>
      </c>
      <c r="AB576" s="9">
        <f t="shared" si="68"/>
        <v>0.23676938144818863</v>
      </c>
      <c r="AC576" s="9">
        <f t="shared" si="69"/>
        <v>0.25130754275142636</v>
      </c>
      <c r="AD576" s="9">
        <f t="shared" si="70"/>
        <v>0.27246716644828212</v>
      </c>
      <c r="AE576" s="9"/>
      <c r="AF576" s="9">
        <f t="shared" si="71"/>
        <v>0.57893726469900941</v>
      </c>
      <c r="AG576" s="9">
        <f t="shared" si="72"/>
        <v>0.26952624177596285</v>
      </c>
      <c r="AH576" s="9">
        <f t="shared" si="73"/>
        <v>0.4573726100036275</v>
      </c>
      <c r="AI576" s="9">
        <f t="shared" si="74"/>
        <v>0.39753209358371172</v>
      </c>
    </row>
    <row r="577" spans="16:35" x14ac:dyDescent="0.3">
      <c r="P577" s="9">
        <v>0.43115407672361661</v>
      </c>
      <c r="Q577" s="9">
        <v>0.16183700407244059</v>
      </c>
      <c r="R577" s="9">
        <v>0.36180302054034491</v>
      </c>
      <c r="S577" s="9">
        <v>4.5205898663597782E-2</v>
      </c>
      <c r="U577" s="9">
        <f t="array" ref="U577">MMULT(TRANSPOSE($B$3:$B$6),TRANSPOSE(P577:S577))</f>
        <v>7.9610262628780473E-2</v>
      </c>
      <c r="V577" s="9">
        <f>INT(200*U577)/200</f>
        <v>7.4999999999999997E-2</v>
      </c>
      <c r="W577" s="9">
        <f t="array" ref="W577">SQRT(MMULT(MMULT(P577:S577,$K$3:$N$6),TRANSPOSE(P577:S577)))</f>
        <v>7.9251933992912055E-2</v>
      </c>
      <c r="Y577" s="31">
        <f>U577/W577</f>
        <v>1.0045213866440215</v>
      </c>
      <c r="AA577" s="9">
        <f t="shared" si="67"/>
        <v>0.24328534007672328</v>
      </c>
      <c r="AB577" s="9">
        <f t="shared" si="68"/>
        <v>0.23252974535004847</v>
      </c>
      <c r="AC577" s="9">
        <f t="shared" si="69"/>
        <v>0.2582020321582848</v>
      </c>
      <c r="AD577" s="9">
        <f t="shared" si="70"/>
        <v>0.26598288241494344</v>
      </c>
      <c r="AE577" s="9"/>
      <c r="AF577" s="9">
        <f t="shared" si="71"/>
        <v>0.55366031056586595</v>
      </c>
      <c r="AG577" s="9">
        <f t="shared" si="72"/>
        <v>0.25729657384625754</v>
      </c>
      <c r="AH577" s="9">
        <f t="shared" si="73"/>
        <v>0.45142137802941207</v>
      </c>
      <c r="AI577" s="9">
        <f t="shared" si="74"/>
        <v>0.39463422112246843</v>
      </c>
    </row>
    <row r="578" spans="16:35" x14ac:dyDescent="0.3">
      <c r="P578" s="9">
        <v>0.34297611669510625</v>
      </c>
      <c r="Q578" s="9">
        <v>0.16981573150606424</v>
      </c>
      <c r="R578" s="9">
        <v>0.25751027421317513</v>
      </c>
      <c r="S578" s="9">
        <v>0.22969787758565435</v>
      </c>
      <c r="U578" s="9">
        <f t="array" ref="U578">MMULT(TRANSPOSE($B$3:$B$6),TRANSPOSE(P578:S578))</f>
        <v>8.4245237466459247E-2</v>
      </c>
      <c r="V578" s="9">
        <f>INT(200*U578)/200</f>
        <v>0.08</v>
      </c>
      <c r="W578" s="9">
        <f t="array" ref="W578">SQRT(MMULT(MMULT(P578:S578,$K$3:$N$6),TRANSPOSE(P578:S578)))</f>
        <v>8.3901160927799076E-2</v>
      </c>
      <c r="Y578" s="31">
        <f>U578/W578</f>
        <v>1.0041009747047036</v>
      </c>
      <c r="AA578" s="9">
        <f t="shared" si="67"/>
        <v>0.25376310356418841</v>
      </c>
      <c r="AB578" s="9">
        <f t="shared" si="68"/>
        <v>0.22755273971178561</v>
      </c>
      <c r="AC578" s="9">
        <f t="shared" si="69"/>
        <v>0.26209037381109512</v>
      </c>
      <c r="AD578" s="9">
        <f t="shared" si="70"/>
        <v>0.25659378291293083</v>
      </c>
      <c r="AE578" s="9"/>
      <c r="AF578" s="9">
        <f t="shared" si="71"/>
        <v>0.54420424697436764</v>
      </c>
      <c r="AG578" s="9">
        <f t="shared" si="72"/>
        <v>0.2732021559808725</v>
      </c>
      <c r="AH578" s="9">
        <f t="shared" si="73"/>
        <v>0.44728376900159411</v>
      </c>
      <c r="AI578" s="9">
        <f t="shared" si="74"/>
        <v>0.42136405568622765</v>
      </c>
    </row>
    <row r="579" spans="16:35" x14ac:dyDescent="0.3">
      <c r="P579" s="9">
        <v>0.42956249358631315</v>
      </c>
      <c r="Q579" s="9">
        <v>0.14073881507579264</v>
      </c>
      <c r="R579" s="9">
        <v>0.24715246560971585</v>
      </c>
      <c r="S579" s="9">
        <v>0.18254622572817833</v>
      </c>
      <c r="U579" s="9">
        <f t="array" ref="U579">MMULT(TRANSPOSE($B$3:$B$6),TRANSPOSE(P579:S579))</f>
        <v>7.9525470171520882E-2</v>
      </c>
      <c r="V579" s="9">
        <f>INT(200*U579)/200</f>
        <v>7.4999999999999997E-2</v>
      </c>
      <c r="W579" s="9">
        <f t="array" ref="W579">SQRT(MMULT(MMULT(P579:S579,$K$3:$N$6),TRANSPOSE(P579:S579)))</f>
        <v>7.9234827910951378E-2</v>
      </c>
      <c r="Y579" s="31">
        <f>U579/W579</f>
        <v>1.0036681124731683</v>
      </c>
      <c r="AA579" s="9">
        <f t="shared" si="67"/>
        <v>0.24929364096338419</v>
      </c>
      <c r="AB579" s="9">
        <f t="shared" si="68"/>
        <v>0.225940664269694</v>
      </c>
      <c r="AC579" s="9">
        <f t="shared" si="69"/>
        <v>0.27424175749337254</v>
      </c>
      <c r="AD579" s="9">
        <f t="shared" si="70"/>
        <v>0.25052393727354921</v>
      </c>
      <c r="AE579" s="9"/>
      <c r="AF579" s="9">
        <f t="shared" si="71"/>
        <v>0.54020946505734579</v>
      </c>
      <c r="AG579" s="9">
        <f t="shared" si="72"/>
        <v>0.27882205532624249</v>
      </c>
      <c r="AH579" s="9">
        <f t="shared" si="73"/>
        <v>0.38753790960330836</v>
      </c>
      <c r="AI579" s="9">
        <f t="shared" si="74"/>
        <v>0.42518677029248103</v>
      </c>
    </row>
    <row r="580" spans="16:35" x14ac:dyDescent="0.3">
      <c r="P580" s="9">
        <v>8.1523113037600792E-2</v>
      </c>
      <c r="Q580" s="9">
        <v>0.27911404229275988</v>
      </c>
      <c r="R580" s="9">
        <v>0.36942088592495004</v>
      </c>
      <c r="S580" s="9">
        <v>0.26994195874468935</v>
      </c>
      <c r="U580" s="9">
        <f t="array" ref="U580">MMULT(TRANSPOSE($B$3:$B$6),TRANSPOSE(P580:S580))</f>
        <v>9.8789438780313946E-2</v>
      </c>
      <c r="V580" s="9">
        <f>INT(200*U580)/200</f>
        <v>9.5000000000000001E-2</v>
      </c>
      <c r="W580" s="9">
        <f t="array" ref="W580">SQRT(MMULT(MMULT(P580:S580,$K$3:$N$6),TRANSPOSE(P580:S580)))</f>
        <v>9.8576915608352397E-2</v>
      </c>
      <c r="Y580" s="31">
        <f>U580/W580</f>
        <v>1.002155912169193</v>
      </c>
      <c r="AA580" s="9">
        <f t="shared" si="67"/>
        <v>0.24234779461559755</v>
      </c>
      <c r="AB580" s="9">
        <f t="shared" si="68"/>
        <v>0.22884314218057109</v>
      </c>
      <c r="AC580" s="9">
        <f t="shared" si="69"/>
        <v>0.27128106766201465</v>
      </c>
      <c r="AD580" s="9">
        <f t="shared" si="70"/>
        <v>0.25752799554181666</v>
      </c>
      <c r="AE580" s="9"/>
      <c r="AF580" s="9">
        <f t="shared" si="71"/>
        <v>0.55321346502907975</v>
      </c>
      <c r="AG580" s="9">
        <f t="shared" si="72"/>
        <v>0.27094062462741458</v>
      </c>
      <c r="AH580" s="9">
        <f t="shared" si="73"/>
        <v>0.38796649707548531</v>
      </c>
      <c r="AI580" s="9">
        <f t="shared" si="74"/>
        <v>0.40665922426361895</v>
      </c>
    </row>
    <row r="581" spans="16:35" x14ac:dyDescent="0.3">
      <c r="P581" s="9">
        <v>0.21494651573490314</v>
      </c>
      <c r="Q581" s="9">
        <v>0.26734729273619262</v>
      </c>
      <c r="R581" s="9">
        <v>0.13629420061275352</v>
      </c>
      <c r="S581" s="9">
        <v>0.38141199091615069</v>
      </c>
      <c r="U581" s="9">
        <f t="array" ref="U581">MMULT(TRANSPOSE($B$3:$B$6),TRANSPOSE(P581:S581))</f>
        <v>9.3209374204710205E-2</v>
      </c>
      <c r="V581" s="9">
        <f>INT(200*U581)/200</f>
        <v>0.09</v>
      </c>
      <c r="W581" s="9">
        <f t="array" ref="W581">SQRT(MMULT(MMULT(P581:S581,$K$3:$N$6),TRANSPOSE(P581:S581)))</f>
        <v>9.3014192909385895E-2</v>
      </c>
      <c r="Y581" s="31">
        <f>U581/W581</f>
        <v>1.0020984033642528</v>
      </c>
      <c r="AA581" s="9">
        <f t="shared" si="67"/>
        <v>0.24838543879158945</v>
      </c>
      <c r="AB581" s="9">
        <f t="shared" si="68"/>
        <v>0.22363992084953907</v>
      </c>
      <c r="AC581" s="9">
        <f t="shared" si="69"/>
        <v>0.27596200299191187</v>
      </c>
      <c r="AD581" s="9">
        <f t="shared" si="70"/>
        <v>0.25201263736695956</v>
      </c>
      <c r="AE581" s="9"/>
      <c r="AF581" s="9">
        <f t="shared" si="71"/>
        <v>0.54612432425820501</v>
      </c>
      <c r="AG581" s="9">
        <f t="shared" si="72"/>
        <v>0.27619958732422667</v>
      </c>
      <c r="AH581" s="9">
        <f t="shared" si="73"/>
        <v>0.36128570177754998</v>
      </c>
      <c r="AI581" s="9">
        <f t="shared" si="74"/>
        <v>0.39775391591216785</v>
      </c>
    </row>
    <row r="582" spans="16:35" x14ac:dyDescent="0.3">
      <c r="P582" s="9">
        <v>9.2959557029703543E-2</v>
      </c>
      <c r="Q582" s="9">
        <v>0.33317621355092747</v>
      </c>
      <c r="R582" s="9">
        <v>0.15950650239854941</v>
      </c>
      <c r="S582" s="9">
        <v>0.41435772702081958</v>
      </c>
      <c r="U582" s="9">
        <f t="array" ref="U582">MMULT(TRANSPOSE($B$3:$B$6),TRANSPOSE(P582:S582))</f>
        <v>0.10050564460317202</v>
      </c>
      <c r="V582" s="9">
        <f>INT(200*U582)/200</f>
        <v>0.1</v>
      </c>
      <c r="W582" s="9">
        <f t="array" ref="W582">SQRT(MMULT(MMULT(P582:S582,$K$3:$N$6),TRANSPOSE(P582:S582)))</f>
        <v>0.10031637345884367</v>
      </c>
      <c r="Y582" s="31">
        <f>U582/W582</f>
        <v>1.0018867422914366</v>
      </c>
      <c r="AA582" s="9">
        <f t="shared" si="67"/>
        <v>0.24842001577353884</v>
      </c>
      <c r="AB582" s="9">
        <f t="shared" si="68"/>
        <v>0.22280610849795257</v>
      </c>
      <c r="AC582" s="9">
        <f t="shared" si="69"/>
        <v>0.28322992736700375</v>
      </c>
      <c r="AD582" s="9">
        <f t="shared" si="70"/>
        <v>0.24554394836150484</v>
      </c>
      <c r="AE582" s="9"/>
      <c r="AF582" s="9">
        <f t="shared" si="71"/>
        <v>0.54604137069514502</v>
      </c>
      <c r="AG582" s="9">
        <f t="shared" si="72"/>
        <v>0.27790829994224081</v>
      </c>
      <c r="AH582" s="9">
        <f t="shared" si="73"/>
        <v>0.3612997960025055</v>
      </c>
      <c r="AI582" s="9">
        <f t="shared" si="74"/>
        <v>0.41310009487590355</v>
      </c>
    </row>
    <row r="583" spans="16:35" x14ac:dyDescent="0.3">
      <c r="P583" s="9">
        <v>6.8338713419721656E-2</v>
      </c>
      <c r="Q583" s="9">
        <v>0.28238223682160124</v>
      </c>
      <c r="R583" s="9">
        <v>0.40980342182495699</v>
      </c>
      <c r="S583" s="9">
        <v>0.23947562793372013</v>
      </c>
      <c r="U583" s="9">
        <f t="array" ref="U583">MMULT(TRANSPOSE($B$3:$B$6),TRANSPOSE(P583:S583))</f>
        <v>9.9335053147955238E-2</v>
      </c>
      <c r="V583" s="9">
        <f>INT(200*U583)/200</f>
        <v>9.5000000000000001E-2</v>
      </c>
      <c r="W583" s="9">
        <f t="array" ref="W583">SQRT(MMULT(MMULT(P583:S583,$K$3:$N$6),TRANSPOSE(P583:S583)))</f>
        <v>9.9196641447032066E-2</v>
      </c>
      <c r="Y583" s="31">
        <f>U583/W583</f>
        <v>1.0013953264838817</v>
      </c>
      <c r="AA583" s="9">
        <f t="shared" si="67"/>
        <v>0.26000389020640469</v>
      </c>
      <c r="AB583" s="9">
        <f t="shared" si="68"/>
        <v>0.21839420662360792</v>
      </c>
      <c r="AC583" s="9">
        <f t="shared" si="69"/>
        <v>0.27566183901563912</v>
      </c>
      <c r="AD583" s="9">
        <f t="shared" si="70"/>
        <v>0.24594006415434824</v>
      </c>
      <c r="AE583" s="9"/>
      <c r="AF583" s="9">
        <f t="shared" si="71"/>
        <v>0.49807765748321037</v>
      </c>
      <c r="AG583" s="9">
        <f t="shared" si="72"/>
        <v>0.26954795160472383</v>
      </c>
      <c r="AH583" s="9">
        <f t="shared" si="73"/>
        <v>0.3901831435561352</v>
      </c>
      <c r="AI583" s="9">
        <f t="shared" si="74"/>
        <v>0.41403610971030474</v>
      </c>
    </row>
    <row r="584" spans="16:35" x14ac:dyDescent="0.3">
      <c r="P584" s="9">
        <v>0.45849268680158156</v>
      </c>
      <c r="Q584" s="9">
        <v>0.13386166082870418</v>
      </c>
      <c r="R584" s="9">
        <v>0.19660159832219681</v>
      </c>
      <c r="S584" s="9">
        <v>0.21104405404751744</v>
      </c>
      <c r="U584" s="9">
        <f t="array" ref="U584">MMULT(TRANSPOSE($B$3:$B$6),TRANSPOSE(P584:S584))</f>
        <v>7.8197550973185259E-2</v>
      </c>
      <c r="V584" s="9">
        <f>INT(200*U584)/200</f>
        <v>7.4999999999999997E-2</v>
      </c>
      <c r="W584" s="9">
        <f t="array" ref="W584">SQRT(MMULT(MMULT(P584:S584,$K$3:$N$6),TRANSPOSE(P584:S584)))</f>
        <v>7.8092780957499705E-2</v>
      </c>
      <c r="Y584" s="31">
        <f>U584/W584</f>
        <v>1.0013416094855498</v>
      </c>
      <c r="AA584" s="9">
        <f t="shared" si="67"/>
        <v>0.25787527643378944</v>
      </c>
      <c r="AB584" s="9">
        <f t="shared" si="68"/>
        <v>0.21864454879450021</v>
      </c>
      <c r="AC584" s="9">
        <f t="shared" si="69"/>
        <v>0.26276617131571628</v>
      </c>
      <c r="AD584" s="9">
        <f t="shared" si="70"/>
        <v>0.26071400345599405</v>
      </c>
      <c r="AE584" s="9"/>
      <c r="AF584" s="9">
        <f t="shared" si="71"/>
        <v>0.50542559502361972</v>
      </c>
      <c r="AG584" s="9">
        <f t="shared" si="72"/>
        <v>0.26977788609150277</v>
      </c>
      <c r="AH584" s="9">
        <f t="shared" si="73"/>
        <v>0.36364642751947945</v>
      </c>
      <c r="AI584" s="9">
        <f t="shared" si="74"/>
        <v>0.3486358230922289</v>
      </c>
    </row>
    <row r="585" spans="16:35" x14ac:dyDescent="0.3">
      <c r="P585" s="9">
        <v>7.604112193571913E-2</v>
      </c>
      <c r="Q585" s="9">
        <v>0.28250441340555149</v>
      </c>
      <c r="R585" s="9">
        <v>0.35925691578308877</v>
      </c>
      <c r="S585" s="9">
        <v>0.28219754887564064</v>
      </c>
      <c r="U585" s="9">
        <f t="array" ref="U585">MMULT(TRANSPOSE($B$3:$B$6),TRANSPOSE(P585:S585))</f>
        <v>9.9169960104349184E-2</v>
      </c>
      <c r="V585" s="9">
        <f>INT(200*U585)/200</f>
        <v>9.5000000000000001E-2</v>
      </c>
      <c r="W585" s="9">
        <f t="array" ref="W585">SQRT(MMULT(MMULT(P585:S585,$K$3:$N$6),TRANSPOSE(P585:S585)))</f>
        <v>9.9038413459431152E-2</v>
      </c>
      <c r="Y585" s="31">
        <f>U585/W585</f>
        <v>1.0013282386129088</v>
      </c>
      <c r="AA585" s="9">
        <f t="shared" si="67"/>
        <v>0.266612403453381</v>
      </c>
      <c r="AB585" s="9">
        <f t="shared" si="68"/>
        <v>0.21637786392554442</v>
      </c>
      <c r="AC585" s="9">
        <f t="shared" si="69"/>
        <v>0.26313878799036317</v>
      </c>
      <c r="AD585" s="9">
        <f t="shared" si="70"/>
        <v>0.25387094463071147</v>
      </c>
      <c r="AE585" s="9"/>
      <c r="AF585" s="9">
        <f t="shared" si="71"/>
        <v>0.52765001479506046</v>
      </c>
      <c r="AG585" s="9">
        <f t="shared" si="72"/>
        <v>0.28442953749298028</v>
      </c>
      <c r="AH585" s="9">
        <f t="shared" si="73"/>
        <v>0.36346201938547468</v>
      </c>
      <c r="AI585" s="9">
        <f t="shared" si="74"/>
        <v>0.39056121121273429</v>
      </c>
    </row>
    <row r="586" spans="16:35" x14ac:dyDescent="0.3">
      <c r="P586" s="9">
        <v>0.22109282594196888</v>
      </c>
      <c r="Q586" s="9">
        <v>0.21460770061403572</v>
      </c>
      <c r="R586" s="9">
        <v>0.30874341002070421</v>
      </c>
      <c r="S586" s="9">
        <v>0.25555606342329112</v>
      </c>
      <c r="U586" s="9">
        <f t="array" ref="U586">MMULT(TRANSPOSE($B$3:$B$6),TRANSPOSE(P586:S586))</f>
        <v>9.0860773565862113E-2</v>
      </c>
      <c r="V586" s="9">
        <f>INT(200*U586)/200</f>
        <v>0.09</v>
      </c>
      <c r="W586" s="9">
        <f t="array" ref="W586">SQRT(MMULT(MMULT(P586:S586,$K$3:$N$6),TRANSPOSE(P586:S586)))</f>
        <v>9.0766344733508322E-2</v>
      </c>
      <c r="Y586" s="31">
        <f>U586/W586</f>
        <v>1.0010403507228482</v>
      </c>
      <c r="AA586" s="9">
        <f t="shared" si="67"/>
        <v>0.26185309820687058</v>
      </c>
      <c r="AB586" s="9">
        <f t="shared" si="68"/>
        <v>0.21596736861856777</v>
      </c>
      <c r="AC586" s="9">
        <f t="shared" si="69"/>
        <v>0.27515220202888491</v>
      </c>
      <c r="AD586" s="9">
        <f t="shared" si="70"/>
        <v>0.24702733114567679</v>
      </c>
      <c r="AE586" s="9"/>
      <c r="AF586" s="9">
        <f t="shared" si="71"/>
        <v>0.52219035187032936</v>
      </c>
      <c r="AG586" s="9">
        <f t="shared" si="72"/>
        <v>0.28628980125057207</v>
      </c>
      <c r="AH586" s="9">
        <f t="shared" si="73"/>
        <v>0.31965906596871985</v>
      </c>
      <c r="AI586" s="9">
        <f t="shared" si="74"/>
        <v>0.40507912061147106</v>
      </c>
    </row>
    <row r="587" spans="16:35" x14ac:dyDescent="0.3">
      <c r="P587" s="9">
        <v>0.14792018237142027</v>
      </c>
      <c r="Q587" s="9">
        <v>0.24549571404265155</v>
      </c>
      <c r="R587" s="9">
        <v>0.35299722233734987</v>
      </c>
      <c r="S587" s="9">
        <v>0.25358688124857831</v>
      </c>
      <c r="U587" s="9">
        <f t="array" ref="U587">MMULT(TRANSPOSE($B$3:$B$6),TRANSPOSE(P587:S587))</f>
        <v>9.4892259214252039E-2</v>
      </c>
      <c r="V587" s="9">
        <f>INT(200*U587)/200</f>
        <v>0.09</v>
      </c>
      <c r="W587" s="9">
        <f t="array" ref="W587">SQRT(MMULT(MMULT(P587:S587,$K$3:$N$6),TRANSPOSE(P587:S587)))</f>
        <v>9.4803588411438364E-2</v>
      </c>
      <c r="Y587" s="31">
        <f>U587/W587</f>
        <v>1.000935310617451</v>
      </c>
      <c r="AA587" s="9">
        <f t="shared" si="67"/>
        <v>0.27109131442836504</v>
      </c>
      <c r="AB587" s="9">
        <f t="shared" si="68"/>
        <v>0.20880949930780898</v>
      </c>
      <c r="AC587" s="9">
        <f t="shared" si="69"/>
        <v>0.28308154781714084</v>
      </c>
      <c r="AD587" s="9">
        <f t="shared" si="70"/>
        <v>0.23701763844668505</v>
      </c>
      <c r="AE587" s="9"/>
      <c r="AF587" s="9">
        <f t="shared" si="71"/>
        <v>0.49476423529673375</v>
      </c>
      <c r="AG587" s="9">
        <f t="shared" si="72"/>
        <v>0.27804694029050148</v>
      </c>
      <c r="AH587" s="9">
        <f t="shared" si="73"/>
        <v>0.29221986420375601</v>
      </c>
      <c r="AI587" s="9">
        <f t="shared" si="74"/>
        <v>0.39469532209812586</v>
      </c>
    </row>
    <row r="588" spans="16:35" x14ac:dyDescent="0.3">
      <c r="P588" s="9">
        <v>0.40071271858314639</v>
      </c>
      <c r="Q588" s="9">
        <v>0.15048326468329465</v>
      </c>
      <c r="R588" s="9">
        <v>0.32018096403367896</v>
      </c>
      <c r="S588" s="9">
        <v>0.12862305269987995</v>
      </c>
      <c r="U588" s="9">
        <f t="array" ref="U588">MMULT(TRANSPOSE($B$3:$B$6),TRANSPOSE(P588:S588))</f>
        <v>8.0845999040131483E-2</v>
      </c>
      <c r="V588" s="9">
        <f>INT(200*U588)/200</f>
        <v>0.08</v>
      </c>
      <c r="W588" s="9">
        <f t="array" ref="W588">SQRT(MMULT(MMULT(P588:S588,$K$3:$N$6),TRANSPOSE(P588:S588)))</f>
        <v>8.0785640302281386E-2</v>
      </c>
      <c r="Y588" s="31">
        <f>U588/W588</f>
        <v>1.0007471468645202</v>
      </c>
      <c r="AA588" s="9">
        <f t="shared" si="67"/>
        <v>0.25411367951740549</v>
      </c>
      <c r="AB588" s="9">
        <f t="shared" si="68"/>
        <v>0.21473764082606128</v>
      </c>
      <c r="AC588" s="9">
        <f t="shared" si="69"/>
        <v>0.28097921784234392</v>
      </c>
      <c r="AD588" s="9">
        <f t="shared" si="70"/>
        <v>0.25016946181418931</v>
      </c>
      <c r="AE588" s="9"/>
      <c r="AF588" s="9">
        <f t="shared" si="71"/>
        <v>0.53287627296190732</v>
      </c>
      <c r="AG588" s="9">
        <f t="shared" si="72"/>
        <v>0.2764481725307909</v>
      </c>
      <c r="AH588" s="9">
        <f t="shared" si="73"/>
        <v>0.28887463099215133</v>
      </c>
      <c r="AI588" s="9">
        <f t="shared" si="74"/>
        <v>0.33649304655373585</v>
      </c>
    </row>
    <row r="589" spans="16:35" x14ac:dyDescent="0.3">
      <c r="P589" s="9">
        <v>0.30422771917475194</v>
      </c>
      <c r="Q589" s="9">
        <v>0.17915709458297463</v>
      </c>
      <c r="R589" s="9">
        <v>0.2998487321312952</v>
      </c>
      <c r="S589" s="9">
        <v>0.21676645411097825</v>
      </c>
      <c r="U589" s="9">
        <f t="array" ref="U589">MMULT(TRANSPOSE($B$3:$B$6),TRANSPOSE(P589:S589))</f>
        <v>8.6119833238411492E-2</v>
      </c>
      <c r="V589" s="9">
        <f>INT(200*U589)/200</f>
        <v>8.5000000000000006E-2</v>
      </c>
      <c r="W589" s="9">
        <f t="array" ref="W589">SQRT(MMULT(MMULT(P589:S589,$K$3:$N$6),TRANSPOSE(P589:S589)))</f>
        <v>8.6057394527829817E-2</v>
      </c>
      <c r="Y589" s="31">
        <f>U589/W589</f>
        <v>1.0007255473039156</v>
      </c>
      <c r="AA589" s="9">
        <f t="shared" si="67"/>
        <v>0.25189314863806878</v>
      </c>
      <c r="AB589" s="9">
        <f t="shared" si="68"/>
        <v>0.21896070070486523</v>
      </c>
      <c r="AC589" s="9">
        <f t="shared" si="69"/>
        <v>0.27096790602866533</v>
      </c>
      <c r="AD589" s="9">
        <f t="shared" si="70"/>
        <v>0.25817824462840072</v>
      </c>
      <c r="AE589" s="9"/>
      <c r="AF589" s="9">
        <f t="shared" si="71"/>
        <v>0.53299789749196447</v>
      </c>
      <c r="AG589" s="9">
        <f t="shared" si="72"/>
        <v>0.27019669636283455</v>
      </c>
      <c r="AH589" s="9">
        <f t="shared" si="73"/>
        <v>0.35371543001954647</v>
      </c>
      <c r="AI589" s="9">
        <f t="shared" si="74"/>
        <v>0.34835900542359888</v>
      </c>
    </row>
    <row r="590" spans="16:35" x14ac:dyDescent="0.3">
      <c r="P590" s="9">
        <v>0.18395715383805297</v>
      </c>
      <c r="Q590" s="9">
        <v>0.23747611569532903</v>
      </c>
      <c r="R590" s="9">
        <v>0.27675416109767942</v>
      </c>
      <c r="S590" s="9">
        <v>0.30181256936893869</v>
      </c>
      <c r="U590" s="9">
        <f t="array" ref="U590">MMULT(TRANSPOSE($B$3:$B$6),TRANSPOSE(P590:S590))</f>
        <v>9.3301433884452889E-2</v>
      </c>
      <c r="V590" s="9">
        <f>INT(200*U590)/200</f>
        <v>0.09</v>
      </c>
      <c r="W590" s="9">
        <f t="array" ref="W590">SQRT(MMULT(MMULT(P590:S590,$K$3:$N$6),TRANSPOSE(P590:S590)))</f>
        <v>9.328793766095117E-2</v>
      </c>
      <c r="Y590" s="31">
        <f>U590/W590</f>
        <v>1.0001446727609176</v>
      </c>
      <c r="AA590" s="9">
        <f t="shared" ref="AA590:AA653" si="75">AVERAGE(P580:P600)</f>
        <v>0.23750303819158253</v>
      </c>
      <c r="AB590" s="9">
        <f t="shared" ref="AB590:AB653" si="76">AVERAGE(Q580:Q600)</f>
        <v>0.22646606261412183</v>
      </c>
      <c r="AC590" s="9">
        <f t="shared" ref="AC590:AC653" si="77">AVERAGE(R580:R600)</f>
        <v>0.26747663871747435</v>
      </c>
      <c r="AD590" s="9">
        <f t="shared" ref="AD590:AD653" si="78">AVERAGE(S580:S600)</f>
        <v>0.26855426047682129</v>
      </c>
      <c r="AE590" s="9"/>
      <c r="AF590" s="9">
        <f t="shared" ref="AF590:AF653" si="79">STDEV(P580:P600)/AA590</f>
        <v>0.54905754714861177</v>
      </c>
      <c r="AG590" s="9">
        <f t="shared" ref="AG590:AG653" si="80">STDEV(Q580:Q600)/AB590</f>
        <v>0.25937183670476577</v>
      </c>
      <c r="AH590" s="9">
        <f t="shared" ref="AH590:AH653" si="81">STDEV(R580:R600)/AC590</f>
        <v>0.36663388400360053</v>
      </c>
      <c r="AI590" s="9">
        <f t="shared" ref="AI590:AI653" si="82">STDEV(S580:S600)/AD590</f>
        <v>0.34735564650979517</v>
      </c>
    </row>
    <row r="591" spans="16:35" x14ac:dyDescent="0.3">
      <c r="P591" s="9">
        <v>0.34235736023447061</v>
      </c>
      <c r="Q591" s="9">
        <v>0.1742543618492135</v>
      </c>
      <c r="R591" s="9">
        <v>0.20712294495327355</v>
      </c>
      <c r="S591" s="9">
        <v>0.27626533296304234</v>
      </c>
      <c r="U591" s="9">
        <f t="array" ref="U591">MMULT(TRANSPOSE($B$3:$B$6),TRANSPOSE(P591:S591))</f>
        <v>8.4578294162761136E-2</v>
      </c>
      <c r="V591" s="9">
        <f>INT(200*U591)/200</f>
        <v>0.08</v>
      </c>
      <c r="W591" s="9">
        <f t="array" ref="W591">SQRT(MMULT(MMULT(P591:S591,$K$3:$N$6),TRANSPOSE(P591:S591)))</f>
        <v>8.4643052947859843E-2</v>
      </c>
      <c r="Y591" s="31">
        <f>U591/W591</f>
        <v>0.99923491907671858</v>
      </c>
      <c r="AA591" s="9">
        <f t="shared" si="75"/>
        <v>0.23933441367101824</v>
      </c>
      <c r="AB591" s="9">
        <f t="shared" si="76"/>
        <v>0.23157299509862797</v>
      </c>
      <c r="AC591" s="9">
        <f t="shared" si="77"/>
        <v>0.25091910952707847</v>
      </c>
      <c r="AD591" s="9">
        <f t="shared" si="78"/>
        <v>0.27817348170327538</v>
      </c>
      <c r="AE591" s="9"/>
      <c r="AF591" s="9">
        <f t="shared" si="79"/>
        <v>0.53630704656266215</v>
      </c>
      <c r="AG591" s="9">
        <f t="shared" si="80"/>
        <v>0.29168726489647062</v>
      </c>
      <c r="AH591" s="9">
        <f t="shared" si="81"/>
        <v>0.43345938845392046</v>
      </c>
      <c r="AI591" s="9">
        <f t="shared" si="82"/>
        <v>0.3713881339572418</v>
      </c>
    </row>
    <row r="592" spans="16:35" x14ac:dyDescent="0.3">
      <c r="P592" s="9">
        <v>0.24232447268099686</v>
      </c>
      <c r="Q592" s="9">
        <v>0.20384299569098441</v>
      </c>
      <c r="R592" s="9">
        <v>0.3907197681381599</v>
      </c>
      <c r="S592" s="9">
        <v>0.16311276348985887</v>
      </c>
      <c r="U592" s="9">
        <f t="array" ref="U592">MMULT(TRANSPOSE($B$3:$B$6),TRANSPOSE(P592:S592))</f>
        <v>8.9296260368543642E-2</v>
      </c>
      <c r="V592" s="9">
        <f>INT(200*U592)/200</f>
        <v>8.5000000000000006E-2</v>
      </c>
      <c r="W592" s="9">
        <f t="array" ref="W592">SQRT(MMULT(MMULT(P592:S592,$K$3:$N$6),TRANSPOSE(P592:S592)))</f>
        <v>8.9377911550063416E-2</v>
      </c>
      <c r="Y592" s="31">
        <f>U592/W592</f>
        <v>0.99908645010714936</v>
      </c>
      <c r="AA592" s="9">
        <f t="shared" si="75"/>
        <v>0.23818427351707783</v>
      </c>
      <c r="AB592" s="9">
        <f t="shared" si="76"/>
        <v>0.23021792551752918</v>
      </c>
      <c r="AC592" s="9">
        <f t="shared" si="77"/>
        <v>0.25564596105037424</v>
      </c>
      <c r="AD592" s="9">
        <f t="shared" si="78"/>
        <v>0.27595183991501893</v>
      </c>
      <c r="AE592" s="9"/>
      <c r="AF592" s="9">
        <f t="shared" si="79"/>
        <v>0.5403125610511943</v>
      </c>
      <c r="AG592" s="9">
        <f t="shared" si="80"/>
        <v>0.29136365887468291</v>
      </c>
      <c r="AH592" s="9">
        <f t="shared" si="81"/>
        <v>0.41324675924109722</v>
      </c>
      <c r="AI592" s="9">
        <f t="shared" si="82"/>
        <v>0.36768871722203283</v>
      </c>
    </row>
    <row r="593" spans="16:35" x14ac:dyDescent="0.3">
      <c r="P593" s="9">
        <v>0.30885823277363511</v>
      </c>
      <c r="Q593" s="9">
        <v>0.2140634208768592</v>
      </c>
      <c r="R593" s="9">
        <v>0.13094188818230273</v>
      </c>
      <c r="S593" s="9">
        <v>0.34613645816720306</v>
      </c>
      <c r="U593" s="9">
        <f t="array" ref="U593">MMULT(TRANSPOSE($B$3:$B$6),TRANSPOSE(P593:S593))</f>
        <v>8.7475640589795012E-2</v>
      </c>
      <c r="V593" s="9">
        <f>INT(200*U593)/200</f>
        <v>8.5000000000000006E-2</v>
      </c>
      <c r="W593" s="9">
        <f t="array" ref="W593">SQRT(MMULT(MMULT(P593:S593,$K$3:$N$6),TRANSPOSE(P593:S593)))</f>
        <v>8.7558616145512386E-2</v>
      </c>
      <c r="Y593" s="31">
        <f>U593/W593</f>
        <v>0.99905234276910593</v>
      </c>
      <c r="AA593" s="9">
        <f t="shared" si="75"/>
        <v>0.23781997233154289</v>
      </c>
      <c r="AB593" s="9">
        <f t="shared" si="76"/>
        <v>0.23304027777457201</v>
      </c>
      <c r="AC593" s="9">
        <f t="shared" si="77"/>
        <v>0.2503730086522965</v>
      </c>
      <c r="AD593" s="9">
        <f t="shared" si="78"/>
        <v>0.27876674124158857</v>
      </c>
      <c r="AE593" s="9"/>
      <c r="AF593" s="9">
        <f t="shared" si="79"/>
        <v>0.54299760495668103</v>
      </c>
      <c r="AG593" s="9">
        <f t="shared" si="80"/>
        <v>0.31171402609751853</v>
      </c>
      <c r="AH593" s="9">
        <f t="shared" si="81"/>
        <v>0.45203814114758484</v>
      </c>
      <c r="AI593" s="9">
        <f t="shared" si="82"/>
        <v>0.3809828320925055</v>
      </c>
    </row>
    <row r="594" spans="16:35" x14ac:dyDescent="0.3">
      <c r="P594" s="9">
        <v>0.18807309823461779</v>
      </c>
      <c r="Q594" s="9">
        <v>0.24754532966215195</v>
      </c>
      <c r="R594" s="9">
        <v>0.22384674827456347</v>
      </c>
      <c r="S594" s="9">
        <v>0.34053482382866679</v>
      </c>
      <c r="U594" s="9">
        <f t="array" ref="U594">MMULT(TRANSPOSE($B$3:$B$6),TRANSPOSE(P594:S594))</f>
        <v>9.3580493127704029E-2</v>
      </c>
      <c r="V594" s="9">
        <f>INT(200*U594)/200</f>
        <v>0.09</v>
      </c>
      <c r="W594" s="9">
        <f t="array" ref="W594">SQRT(MMULT(MMULT(P594:S594,$K$3:$N$6),TRANSPOSE(P594:S594)))</f>
        <v>9.3696859685549361E-2</v>
      </c>
      <c r="Y594" s="31">
        <f>U594/W594</f>
        <v>0.99875805274332707</v>
      </c>
      <c r="AA594" s="9">
        <f t="shared" si="75"/>
        <v>0.24023068220844562</v>
      </c>
      <c r="AB594" s="9">
        <f t="shared" si="76"/>
        <v>0.23246482982410649</v>
      </c>
      <c r="AC594" s="9">
        <f t="shared" si="77"/>
        <v>0.24357025356070969</v>
      </c>
      <c r="AD594" s="9">
        <f t="shared" si="78"/>
        <v>0.28373423440673812</v>
      </c>
      <c r="AE594" s="9"/>
      <c r="AF594" s="9">
        <f t="shared" si="79"/>
        <v>0.52555309860203858</v>
      </c>
      <c r="AG594" s="9">
        <f t="shared" si="80"/>
        <v>0.31092214013375735</v>
      </c>
      <c r="AH594" s="9">
        <f t="shared" si="81"/>
        <v>0.44034325720347739</v>
      </c>
      <c r="AI594" s="9">
        <f t="shared" si="82"/>
        <v>0.37610577975448561</v>
      </c>
    </row>
    <row r="595" spans="16:35" x14ac:dyDescent="0.3">
      <c r="P595" s="9">
        <v>0.50673292766871847</v>
      </c>
      <c r="Q595" s="9">
        <v>0.12891942784585889</v>
      </c>
      <c r="R595" s="9">
        <v>0.28811663056533987</v>
      </c>
      <c r="S595" s="9">
        <v>7.6231013920082746E-2</v>
      </c>
      <c r="U595" s="9">
        <f t="array" ref="U595">MMULT(TRANSPOSE($B$3:$B$6),TRANSPOSE(P595:S595))</f>
        <v>7.552051867171633E-2</v>
      </c>
      <c r="V595" s="9">
        <f>INT(200*U595)/200</f>
        <v>7.4999999999999997E-2</v>
      </c>
      <c r="W595" s="9">
        <f t="array" ref="W595">SQRT(MMULT(MMULT(P595:S595,$K$3:$N$6),TRANSPOSE(P595:S595)))</f>
        <v>7.5631999102337186E-2</v>
      </c>
      <c r="Y595" s="31">
        <f>U595/W595</f>
        <v>0.99852601502083782</v>
      </c>
      <c r="AA595" s="9">
        <f t="shared" si="75"/>
        <v>0.23060716106248563</v>
      </c>
      <c r="AB595" s="9">
        <f t="shared" si="76"/>
        <v>0.23566863005998376</v>
      </c>
      <c r="AC595" s="9">
        <f t="shared" si="77"/>
        <v>0.24602462679627565</v>
      </c>
      <c r="AD595" s="9">
        <f t="shared" si="78"/>
        <v>0.28769958208125485</v>
      </c>
      <c r="AE595" s="9"/>
      <c r="AF595" s="9">
        <f t="shared" si="79"/>
        <v>0.50335589067843989</v>
      </c>
      <c r="AG595" s="9">
        <f t="shared" si="80"/>
        <v>0.29325488010586231</v>
      </c>
      <c r="AH595" s="9">
        <f t="shared" si="81"/>
        <v>0.43375469345211226</v>
      </c>
      <c r="AI595" s="9">
        <f t="shared" si="82"/>
        <v>0.36641425235263136</v>
      </c>
    </row>
    <row r="596" spans="16:35" x14ac:dyDescent="0.3">
      <c r="P596" s="9">
        <v>0.32364568109189623</v>
      </c>
      <c r="Q596" s="9">
        <v>0.17107387250453646</v>
      </c>
      <c r="R596" s="9">
        <v>0.3393517011123765</v>
      </c>
      <c r="S596" s="9">
        <v>0.16592874529119078</v>
      </c>
      <c r="U596" s="9">
        <f t="array" ref="U596">MMULT(TRANSPOSE($B$3:$B$6),TRANSPOSE(P596:S596))</f>
        <v>8.4866309622786781E-2</v>
      </c>
      <c r="V596" s="9">
        <f>INT(200*U596)/200</f>
        <v>0.08</v>
      </c>
      <c r="W596" s="9">
        <f t="array" ref="W596">SQRT(MMULT(MMULT(P596:S596,$K$3:$N$6),TRANSPOSE(P596:S596)))</f>
        <v>8.5002502222270487E-2</v>
      </c>
      <c r="Y596" s="31">
        <f>U596/W596</f>
        <v>0.99839778128968981</v>
      </c>
      <c r="AA596" s="9">
        <f t="shared" si="75"/>
        <v>0.23167804666122166</v>
      </c>
      <c r="AB596" s="9">
        <f t="shared" si="76"/>
        <v>0.23525714342582052</v>
      </c>
      <c r="AC596" s="9">
        <f t="shared" si="77"/>
        <v>0.2537446462342583</v>
      </c>
      <c r="AD596" s="9">
        <f t="shared" si="78"/>
        <v>0.27932016367869955</v>
      </c>
      <c r="AE596" s="9"/>
      <c r="AF596" s="9">
        <f t="shared" si="79"/>
        <v>0.49497774591521049</v>
      </c>
      <c r="AG596" s="9">
        <f t="shared" si="80"/>
        <v>0.29263034696863588</v>
      </c>
      <c r="AH596" s="9">
        <f t="shared" si="81"/>
        <v>0.47415041072790687</v>
      </c>
      <c r="AI596" s="9">
        <f t="shared" si="82"/>
        <v>0.40320679429857403</v>
      </c>
    </row>
    <row r="597" spans="16:35" x14ac:dyDescent="0.3">
      <c r="P597" s="9">
        <v>0.32702083543772442</v>
      </c>
      <c r="Q597" s="9">
        <v>0.16730277712606406</v>
      </c>
      <c r="R597" s="9">
        <v>0.30873904808350389</v>
      </c>
      <c r="S597" s="9">
        <v>0.19693733935270763</v>
      </c>
      <c r="U597" s="9">
        <f t="array" ref="U597">MMULT(TRANSPOSE($B$3:$B$6),TRANSPOSE(P597:S597))</f>
        <v>8.4720482617270249E-2</v>
      </c>
      <c r="V597" s="9">
        <f>INT(200*U597)/200</f>
        <v>0.08</v>
      </c>
      <c r="W597" s="9">
        <f t="array" ref="W597">SQRT(MMULT(MMULT(P597:S597,$K$3:$N$6),TRANSPOSE(P597:S597)))</f>
        <v>8.4984021924908351E-2</v>
      </c>
      <c r="Y597" s="31">
        <f>U597/W597</f>
        <v>0.99689895463089562</v>
      </c>
      <c r="AA597" s="9">
        <f t="shared" si="75"/>
        <v>0.24681899723319467</v>
      </c>
      <c r="AB597" s="9">
        <f t="shared" si="76"/>
        <v>0.23034328320887792</v>
      </c>
      <c r="AC597" s="9">
        <f t="shared" si="77"/>
        <v>0.25007917728445606</v>
      </c>
      <c r="AD597" s="9">
        <f t="shared" si="78"/>
        <v>0.27275854227347135</v>
      </c>
      <c r="AE597" s="9"/>
      <c r="AF597" s="9">
        <f t="shared" si="79"/>
        <v>0.53792822947017171</v>
      </c>
      <c r="AG597" s="9">
        <f t="shared" si="80"/>
        <v>0.32077706930703881</v>
      </c>
      <c r="AH597" s="9">
        <f t="shared" si="81"/>
        <v>0.47874787447443867</v>
      </c>
      <c r="AI597" s="9">
        <f t="shared" si="82"/>
        <v>0.4324884960606119</v>
      </c>
    </row>
    <row r="598" spans="16:35" x14ac:dyDescent="0.3">
      <c r="P598" s="9">
        <v>7.4623743593465658E-2</v>
      </c>
      <c r="Q598" s="9">
        <v>0.28632797595573845</v>
      </c>
      <c r="R598" s="9">
        <v>0.31765409106960862</v>
      </c>
      <c r="S598" s="9">
        <v>0.32139418938118725</v>
      </c>
      <c r="U598" s="9">
        <f t="array" ref="U598">MMULT(TRANSPOSE($B$3:$B$6),TRANSPOSE(P598:S598))</f>
        <v>9.9490786343188836E-2</v>
      </c>
      <c r="V598" s="9">
        <f>INT(200*U598)/200</f>
        <v>9.5000000000000001E-2</v>
      </c>
      <c r="W598" s="9">
        <f t="array" ref="W598">SQRT(MMULT(MMULT(P598:S598,$K$3:$N$6),TRANSPOSE(P598:S598)))</f>
        <v>9.9804026520012912E-2</v>
      </c>
      <c r="Y598" s="31">
        <f>U598/W598</f>
        <v>0.99686144750120609</v>
      </c>
      <c r="AA598" s="9">
        <f t="shared" si="75"/>
        <v>0.24204403777436151</v>
      </c>
      <c r="AB598" s="9">
        <f t="shared" si="76"/>
        <v>0.23321742827516431</v>
      </c>
      <c r="AC598" s="9">
        <f t="shared" si="77"/>
        <v>0.24698527961305833</v>
      </c>
      <c r="AD598" s="9">
        <f t="shared" si="78"/>
        <v>0.27775325433741571</v>
      </c>
      <c r="AE598" s="9"/>
      <c r="AF598" s="9">
        <f t="shared" si="79"/>
        <v>0.57096118036145449</v>
      </c>
      <c r="AG598" s="9">
        <f t="shared" si="80"/>
        <v>0.32441988194915999</v>
      </c>
      <c r="AH598" s="9">
        <f t="shared" si="81"/>
        <v>0.4767717842296646</v>
      </c>
      <c r="AI598" s="9">
        <f t="shared" si="82"/>
        <v>0.42960898474634202</v>
      </c>
    </row>
    <row r="599" spans="16:35" x14ac:dyDescent="0.3">
      <c r="P599" s="9">
        <v>0.29634496822903467</v>
      </c>
      <c r="Q599" s="9">
        <v>0.25849998896094706</v>
      </c>
      <c r="R599" s="9">
        <v>4.7272726125924522E-2</v>
      </c>
      <c r="S599" s="9">
        <v>0.39788231668409374</v>
      </c>
      <c r="U599" s="9">
        <f t="array" ref="U599">MMULT(TRANSPOSE($B$3:$B$6),TRANSPOSE(P599:S599))</f>
        <v>8.9565678021298806E-2</v>
      </c>
      <c r="V599" s="9">
        <f>INT(200*U599)/200</f>
        <v>8.5000000000000006E-2</v>
      </c>
      <c r="W599" s="9">
        <f t="array" ref="W599">SQRT(MMULT(MMULT(P599:S599,$K$3:$N$6),TRANSPOSE(P599:S599)))</f>
        <v>8.9929706113733743E-2</v>
      </c>
      <c r="Y599" s="31">
        <f>U599/W599</f>
        <v>0.9959520818184977</v>
      </c>
      <c r="AA599" s="9">
        <f t="shared" si="75"/>
        <v>0.22490555710256532</v>
      </c>
      <c r="AB599" s="9">
        <f t="shared" si="76"/>
        <v>0.2407489884679955</v>
      </c>
      <c r="AC599" s="9">
        <f t="shared" si="77"/>
        <v>0.25906438733327292</v>
      </c>
      <c r="AD599" s="9">
        <f t="shared" si="78"/>
        <v>0.27528106709616623</v>
      </c>
      <c r="AE599" s="9"/>
      <c r="AF599" s="9">
        <f t="shared" si="79"/>
        <v>0.62178888601884963</v>
      </c>
      <c r="AG599" s="9">
        <f t="shared" si="80"/>
        <v>0.31103331731577666</v>
      </c>
      <c r="AH599" s="9">
        <f t="shared" si="81"/>
        <v>0.52908066510541429</v>
      </c>
      <c r="AI599" s="9">
        <f t="shared" si="82"/>
        <v>0.44699462226396558</v>
      </c>
    </row>
    <row r="600" spans="16:35" x14ac:dyDescent="0.3">
      <c r="P600" s="9">
        <v>0.12737017421010322</v>
      </c>
      <c r="Q600" s="9">
        <v>0.29835141517018127</v>
      </c>
      <c r="R600" s="9">
        <v>0.17383585207470575</v>
      </c>
      <c r="S600" s="9">
        <v>0.40044255854500976</v>
      </c>
      <c r="U600" s="9">
        <f t="array" ref="U600">MMULT(TRANSPOSE($B$3:$B$6),TRANSPOSE(P600:S600))</f>
        <v>9.7927961261423307E-2</v>
      </c>
      <c r="V600" s="9">
        <f>INT(200*U600)/200</f>
        <v>9.5000000000000001E-2</v>
      </c>
      <c r="W600" s="9">
        <f t="array" ref="W600">SQRT(MMULT(MMULT(P600:S600,$K$3:$N$6),TRANSPOSE(P600:S600)))</f>
        <v>9.845300599661462E-2</v>
      </c>
      <c r="Y600" s="31">
        <f>U600/W600</f>
        <v>0.99466705226644514</v>
      </c>
      <c r="AA600" s="9">
        <f t="shared" si="75"/>
        <v>0.22853170391516078</v>
      </c>
      <c r="AB600" s="9">
        <f t="shared" si="76"/>
        <v>0.24006837942745926</v>
      </c>
      <c r="AC600" s="9">
        <f t="shared" si="77"/>
        <v>0.25228852826607956</v>
      </c>
      <c r="AD600" s="9">
        <f t="shared" si="78"/>
        <v>0.27911138839130045</v>
      </c>
      <c r="AE600" s="9"/>
      <c r="AF600" s="9">
        <f t="shared" si="79"/>
        <v>0.6255415596414089</v>
      </c>
      <c r="AG600" s="9">
        <f t="shared" si="80"/>
        <v>0.31462245935871819</v>
      </c>
      <c r="AH600" s="9">
        <f t="shared" si="81"/>
        <v>0.54881221213994924</v>
      </c>
      <c r="AI600" s="9">
        <f t="shared" si="82"/>
        <v>0.4384871890575891</v>
      </c>
    </row>
    <row r="601" spans="16:35" x14ac:dyDescent="0.3">
      <c r="P601" s="9">
        <v>0.11998199810574885</v>
      </c>
      <c r="Q601" s="9">
        <v>0.38635962446738992</v>
      </c>
      <c r="R601" s="9">
        <v>2.1712772926636193E-2</v>
      </c>
      <c r="S601" s="9">
        <v>0.47194560450022499</v>
      </c>
      <c r="U601" s="9">
        <f t="array" ref="U601">MMULT(TRANSPOSE($B$3:$B$6),TRANSPOSE(P601:S601))</f>
        <v>0.10122141870609203</v>
      </c>
      <c r="V601" s="9">
        <f>INT(200*U601)/200</f>
        <v>0.1</v>
      </c>
      <c r="W601" s="9">
        <f t="array" ref="W601">SQRT(MMULT(MMULT(P601:S601,$K$3:$N$6),TRANSPOSE(P601:S601)))</f>
        <v>0.10178915974121661</v>
      </c>
      <c r="Y601" s="31">
        <f>U601/W601</f>
        <v>0.99442238214198864</v>
      </c>
      <c r="AA601" s="9">
        <f t="shared" si="75"/>
        <v>0.23278112811532245</v>
      </c>
      <c r="AB601" s="9">
        <f t="shared" si="76"/>
        <v>0.237484552463542</v>
      </c>
      <c r="AC601" s="9">
        <f t="shared" si="77"/>
        <v>0.25453247035276699</v>
      </c>
      <c r="AD601" s="9">
        <f t="shared" si="78"/>
        <v>0.27520184906836853</v>
      </c>
      <c r="AE601" s="9"/>
      <c r="AF601" s="9">
        <f t="shared" si="79"/>
        <v>0.61384329153812334</v>
      </c>
      <c r="AG601" s="9">
        <f t="shared" si="80"/>
        <v>0.32231695362539331</v>
      </c>
      <c r="AH601" s="9">
        <f t="shared" si="81"/>
        <v>0.54710078766581693</v>
      </c>
      <c r="AI601" s="9">
        <f t="shared" si="82"/>
        <v>0.44671001524774051</v>
      </c>
    </row>
    <row r="602" spans="16:35" x14ac:dyDescent="0.3">
      <c r="P602" s="9">
        <v>0.19079357250215473</v>
      </c>
      <c r="Q602" s="9">
        <v>0.23889083153311666</v>
      </c>
      <c r="R602" s="9">
        <v>0.23555808260196448</v>
      </c>
      <c r="S602" s="9">
        <v>0.33475751336276416</v>
      </c>
      <c r="U602" s="9">
        <f t="array" ref="U602">MMULT(TRANSPOSE($B$3:$B$6),TRANSPOSE(P602:S602))</f>
        <v>9.3177169175136645E-2</v>
      </c>
      <c r="V602" s="9">
        <f>INT(200*U602)/200</f>
        <v>0.09</v>
      </c>
      <c r="W602" s="9">
        <f t="array" ref="W602">SQRT(MMULT(MMULT(P602:S602,$K$3:$N$6),TRANSPOSE(P602:S602)))</f>
        <v>9.3706819231929986E-2</v>
      </c>
      <c r="Y602" s="31">
        <f>U602/W602</f>
        <v>0.99434779601810597</v>
      </c>
      <c r="AA602" s="9">
        <f t="shared" si="75"/>
        <v>0.234822294873585</v>
      </c>
      <c r="AB602" s="9">
        <f t="shared" si="76"/>
        <v>0.23651684908044865</v>
      </c>
      <c r="AC602" s="9">
        <f t="shared" si="77"/>
        <v>0.25372012744252093</v>
      </c>
      <c r="AD602" s="9">
        <f t="shared" si="78"/>
        <v>0.27494072860344548</v>
      </c>
      <c r="AE602" s="9"/>
      <c r="AF602" s="9">
        <f t="shared" si="79"/>
        <v>0.6167544716076685</v>
      </c>
      <c r="AG602" s="9">
        <f t="shared" si="80"/>
        <v>0.32770202769615792</v>
      </c>
      <c r="AH602" s="9">
        <f t="shared" si="81"/>
        <v>0.55019146807088148</v>
      </c>
      <c r="AI602" s="9">
        <f t="shared" si="82"/>
        <v>0.44714682532038913</v>
      </c>
    </row>
    <row r="603" spans="16:35" x14ac:dyDescent="0.3">
      <c r="P603" s="9">
        <v>8.5309232133471469E-2</v>
      </c>
      <c r="Q603" s="9">
        <v>0.39244561094882763</v>
      </c>
      <c r="R603" s="9">
        <v>4.8774502038917152E-2</v>
      </c>
      <c r="S603" s="9">
        <v>0.47347065487878376</v>
      </c>
      <c r="U603" s="9">
        <f t="array" ref="U603">MMULT(TRANSPOSE($B$3:$B$6),TRANSPOSE(P603:S603))</f>
        <v>0.10287628942571828</v>
      </c>
      <c r="V603" s="9">
        <f>INT(200*U603)/200</f>
        <v>0.1</v>
      </c>
      <c r="W603" s="9">
        <f t="array" ref="W603">SQRT(MMULT(MMULT(P603:S603,$K$3:$N$6),TRANSPOSE(P603:S603)))</f>
        <v>0.1034907390737851</v>
      </c>
      <c r="Y603" s="31">
        <f>U603/W603</f>
        <v>0.9940627571745454</v>
      </c>
      <c r="AA603" s="9">
        <f t="shared" si="75"/>
        <v>0.23437981039944775</v>
      </c>
      <c r="AB603" s="9">
        <f t="shared" si="76"/>
        <v>0.23653403729602926</v>
      </c>
      <c r="AC603" s="9">
        <f t="shared" si="77"/>
        <v>0.24868120704849325</v>
      </c>
      <c r="AD603" s="9">
        <f t="shared" si="78"/>
        <v>0.28040494525602971</v>
      </c>
      <c r="AE603" s="9"/>
      <c r="AF603" s="9">
        <f t="shared" si="79"/>
        <v>0.6178767177010468</v>
      </c>
      <c r="AG603" s="9">
        <f t="shared" si="80"/>
        <v>0.32764621707072189</v>
      </c>
      <c r="AH603" s="9">
        <f t="shared" si="81"/>
        <v>0.54798044711307536</v>
      </c>
      <c r="AI603" s="9">
        <f t="shared" si="82"/>
        <v>0.42881005146474171</v>
      </c>
    </row>
    <row r="604" spans="16:35" x14ac:dyDescent="0.3">
      <c r="P604" s="9">
        <v>0.11896362083467915</v>
      </c>
      <c r="Q604" s="9">
        <v>0.27029782986182554</v>
      </c>
      <c r="R604" s="9">
        <v>0.26694556490163407</v>
      </c>
      <c r="S604" s="9">
        <v>0.34379298440186118</v>
      </c>
      <c r="U604" s="9">
        <f t="array" ref="U604">MMULT(TRANSPOSE($B$3:$B$6),TRANSPOSE(P604:S604))</f>
        <v>9.7208231200700629E-2</v>
      </c>
      <c r="V604" s="9">
        <f>INT(200*U604)/200</f>
        <v>9.5000000000000001E-2</v>
      </c>
      <c r="W604" s="9">
        <f t="array" ref="W604">SQRT(MMULT(MMULT(P604:S604,$K$3:$N$6),TRANSPOSE(P604:S604)))</f>
        <v>9.7811988387653218E-2</v>
      </c>
      <c r="Y604" s="31">
        <f>U604/W604</f>
        <v>0.99382737027531076</v>
      </c>
      <c r="AA604" s="9">
        <f t="shared" si="75"/>
        <v>0.22423517434333501</v>
      </c>
      <c r="AB604" s="9">
        <f t="shared" si="76"/>
        <v>0.24352270284024419</v>
      </c>
      <c r="AC604" s="9">
        <f t="shared" si="77"/>
        <v>0.24650325964226805</v>
      </c>
      <c r="AD604" s="9">
        <f t="shared" si="78"/>
        <v>0.28573886317415276</v>
      </c>
      <c r="AE604" s="9"/>
      <c r="AF604" s="9">
        <f t="shared" si="79"/>
        <v>0.6546163627094882</v>
      </c>
      <c r="AG604" s="9">
        <f t="shared" si="80"/>
        <v>0.33617437157125307</v>
      </c>
      <c r="AH604" s="9">
        <f t="shared" si="81"/>
        <v>0.56223997762514311</v>
      </c>
      <c r="AI604" s="9">
        <f t="shared" si="82"/>
        <v>0.43978707438543568</v>
      </c>
    </row>
    <row r="605" spans="16:35" x14ac:dyDescent="0.3">
      <c r="P605" s="9">
        <v>0.25639874273642288</v>
      </c>
      <c r="Q605" s="9">
        <v>0.20114146578212591</v>
      </c>
      <c r="R605" s="9">
        <v>0.24814343626908195</v>
      </c>
      <c r="S605" s="9">
        <v>0.29431635521236932</v>
      </c>
      <c r="U605" s="9">
        <f t="array" ref="U605">MMULT(TRANSPOSE($B$3:$B$6),TRANSPOSE(P605:S605))</f>
        <v>8.9097827913746708E-2</v>
      </c>
      <c r="V605" s="9">
        <f>INT(200*U605)/200</f>
        <v>8.5000000000000006E-2</v>
      </c>
      <c r="W605" s="9">
        <f t="array" ref="W605">SQRT(MMULT(MMULT(P605:S605,$K$3:$N$6),TRANSPOSE(P605:S605)))</f>
        <v>8.9663575029884202E-2</v>
      </c>
      <c r="Y605" s="31">
        <f>U605/W605</f>
        <v>0.9936903350558024</v>
      </c>
      <c r="AA605" s="9">
        <f t="shared" si="75"/>
        <v>0.23537817415809015</v>
      </c>
      <c r="AB605" s="9">
        <f t="shared" si="76"/>
        <v>0.23806306650498904</v>
      </c>
      <c r="AC605" s="9">
        <f t="shared" si="77"/>
        <v>0.24844023284246122</v>
      </c>
      <c r="AD605" s="9">
        <f t="shared" si="78"/>
        <v>0.27811852649445962</v>
      </c>
      <c r="AE605" s="9"/>
      <c r="AF605" s="9">
        <f t="shared" si="79"/>
        <v>0.64861417638981911</v>
      </c>
      <c r="AG605" s="9">
        <f t="shared" si="80"/>
        <v>0.35845136305584308</v>
      </c>
      <c r="AH605" s="9">
        <f t="shared" si="81"/>
        <v>0.55766227870042651</v>
      </c>
      <c r="AI605" s="9">
        <f t="shared" si="82"/>
        <v>0.45671178149591718</v>
      </c>
    </row>
    <row r="606" spans="16:35" x14ac:dyDescent="0.3">
      <c r="P606" s="9">
        <v>9.8529719509174593E-2</v>
      </c>
      <c r="Q606" s="9">
        <v>0.27386319408812482</v>
      </c>
      <c r="R606" s="9">
        <v>0.5213773239807229</v>
      </c>
      <c r="S606" s="9">
        <v>0.10622976242197779</v>
      </c>
      <c r="U606" s="9">
        <f t="array" ref="U606">MMULT(TRANSPOSE($B$3:$B$6),TRANSPOSE(P606:S606))</f>
        <v>9.731372186009947E-2</v>
      </c>
      <c r="V606" s="9">
        <f>INT(200*U606)/200</f>
        <v>9.5000000000000001E-2</v>
      </c>
      <c r="W606" s="9">
        <f t="array" ref="W606">SQRT(MMULT(MMULT(P606:S606,$K$3:$N$6),TRANSPOSE(P606:S606)))</f>
        <v>9.7938963939353432E-2</v>
      </c>
      <c r="Y606" s="31">
        <f>U606/W606</f>
        <v>0.99361600272143857</v>
      </c>
      <c r="AA606" s="9">
        <f t="shared" si="75"/>
        <v>0.21322396778655689</v>
      </c>
      <c r="AB606" s="9">
        <f t="shared" si="76"/>
        <v>0.24600059979157424</v>
      </c>
      <c r="AC606" s="9">
        <f t="shared" si="77"/>
        <v>0.25100187601988933</v>
      </c>
      <c r="AD606" s="9">
        <f t="shared" si="78"/>
        <v>0.28977355640197955</v>
      </c>
      <c r="AE606" s="9"/>
      <c r="AF606" s="9">
        <f t="shared" si="79"/>
        <v>0.67947853411424108</v>
      </c>
      <c r="AG606" s="9">
        <f t="shared" si="80"/>
        <v>0.33485823062873021</v>
      </c>
      <c r="AH606" s="9">
        <f t="shared" si="81"/>
        <v>0.55699820416970769</v>
      </c>
      <c r="AI606" s="9">
        <f t="shared" si="82"/>
        <v>0.40898595888916833</v>
      </c>
    </row>
    <row r="607" spans="16:35" x14ac:dyDescent="0.3">
      <c r="P607" s="9">
        <v>0.5390527879534025</v>
      </c>
      <c r="Q607" s="9">
        <v>0.11141663605824206</v>
      </c>
      <c r="R607" s="9">
        <v>0.23176856207485771</v>
      </c>
      <c r="S607" s="9">
        <v>0.11776201391349782</v>
      </c>
      <c r="U607" s="9">
        <f t="array" ref="U607">MMULT(TRANSPOSE($B$3:$B$6),TRANSPOSE(P607:S607))</f>
        <v>7.3768680110417609E-2</v>
      </c>
      <c r="V607" s="9">
        <f>INT(200*U607)/200</f>
        <v>7.0000000000000007E-2</v>
      </c>
      <c r="W607" s="9">
        <f t="array" ref="W607">SQRT(MMULT(MMULT(P607:S607,$K$3:$N$6),TRANSPOSE(P607:S607)))</f>
        <v>7.4262088479810084E-2</v>
      </c>
      <c r="Y607" s="31">
        <f>U607/W607</f>
        <v>0.99335585115510694</v>
      </c>
      <c r="AA607" s="9">
        <f t="shared" si="75"/>
        <v>0.20896207658179375</v>
      </c>
      <c r="AB607" s="9">
        <f t="shared" si="76"/>
        <v>0.24771968882810236</v>
      </c>
      <c r="AC607" s="9">
        <f t="shared" si="77"/>
        <v>0.24738497562089748</v>
      </c>
      <c r="AD607" s="9">
        <f t="shared" si="78"/>
        <v>0.2959332589692063</v>
      </c>
      <c r="AE607" s="9"/>
      <c r="AF607" s="9">
        <f t="shared" si="79"/>
        <v>0.68324122386570718</v>
      </c>
      <c r="AG607" s="9">
        <f t="shared" si="80"/>
        <v>0.32738748521513134</v>
      </c>
      <c r="AH607" s="9">
        <f t="shared" si="81"/>
        <v>0.55938276110351592</v>
      </c>
      <c r="AI607" s="9">
        <f t="shared" si="82"/>
        <v>0.38882449783753248</v>
      </c>
    </row>
    <row r="608" spans="16:35" x14ac:dyDescent="0.3">
      <c r="P608" s="9">
        <v>4.7646033735923993E-2</v>
      </c>
      <c r="Q608" s="9">
        <v>0.30585276043466603</v>
      </c>
      <c r="R608" s="9">
        <v>0.28802537123799837</v>
      </c>
      <c r="S608" s="9">
        <v>0.35847583459141152</v>
      </c>
      <c r="U608" s="9">
        <f t="array" ref="U608">MMULT(TRANSPOSE($B$3:$B$6),TRANSPOSE(P608:S608))</f>
        <v>0.10136655328170781</v>
      </c>
      <c r="V608" s="9">
        <f>INT(200*U608)/200</f>
        <v>0.1</v>
      </c>
      <c r="W608" s="9">
        <f t="array" ref="W608">SQRT(MMULT(MMULT(P608:S608,$K$3:$N$6),TRANSPOSE(P608:S608)))</f>
        <v>0.10209722956600546</v>
      </c>
      <c r="Y608" s="31">
        <f>U608/W608</f>
        <v>0.99284332897764604</v>
      </c>
      <c r="AA608" s="9">
        <f t="shared" si="75"/>
        <v>0.19579269699041055</v>
      </c>
      <c r="AB608" s="9">
        <f t="shared" si="76"/>
        <v>0.25335477089692915</v>
      </c>
      <c r="AC608" s="9">
        <f t="shared" si="77"/>
        <v>0.25026866470975356</v>
      </c>
      <c r="AD608" s="9">
        <f t="shared" si="78"/>
        <v>0.30058386740290682</v>
      </c>
      <c r="AE608" s="9"/>
      <c r="AF608" s="9">
        <f t="shared" si="79"/>
        <v>0.73591124541092279</v>
      </c>
      <c r="AG608" s="9">
        <f t="shared" si="80"/>
        <v>0.31309892819844898</v>
      </c>
      <c r="AH608" s="9">
        <f t="shared" si="81"/>
        <v>0.56076709308273809</v>
      </c>
      <c r="AI608" s="9">
        <f t="shared" si="82"/>
        <v>0.37532474903961222</v>
      </c>
    </row>
    <row r="609" spans="16:35" x14ac:dyDescent="0.3">
      <c r="P609" s="9">
        <v>4.0804624475425884E-2</v>
      </c>
      <c r="Q609" s="9">
        <v>0.30864602873274904</v>
      </c>
      <c r="R609" s="9">
        <v>0.5738422261581847</v>
      </c>
      <c r="S609" s="9">
        <v>7.6707120633640408E-2</v>
      </c>
      <c r="U609" s="9">
        <f t="array" ref="U609">MMULT(TRANSPOSE($B$3:$B$6),TRANSPOSE(P609:S609))</f>
        <v>0.10071426331663015</v>
      </c>
      <c r="V609" s="9">
        <f>INT(200*U609)/200</f>
        <v>0.1</v>
      </c>
      <c r="W609" s="9">
        <f t="array" ref="W609">SQRT(MMULT(MMULT(P609:S609,$K$3:$N$6),TRANSPOSE(P609:S609)))</f>
        <v>0.10145304586375342</v>
      </c>
      <c r="Y609" s="31">
        <f>U609/W609</f>
        <v>0.99271798553869517</v>
      </c>
      <c r="AA609" s="9">
        <f t="shared" si="75"/>
        <v>0.20708133012521582</v>
      </c>
      <c r="AB609" s="9">
        <f t="shared" si="76"/>
        <v>0.24915033396973318</v>
      </c>
      <c r="AC609" s="9">
        <f t="shared" si="77"/>
        <v>0.24241719409284709</v>
      </c>
      <c r="AD609" s="9">
        <f t="shared" si="78"/>
        <v>0.30135114181220385</v>
      </c>
      <c r="AE609" s="9"/>
      <c r="AF609" s="9">
        <f t="shared" si="79"/>
        <v>0.69249636752405308</v>
      </c>
      <c r="AG609" s="9">
        <f t="shared" si="80"/>
        <v>0.32040232388281253</v>
      </c>
      <c r="AH609" s="9">
        <f t="shared" si="81"/>
        <v>0.58161994865769417</v>
      </c>
      <c r="AI609" s="9">
        <f t="shared" si="82"/>
        <v>0.37504348668106396</v>
      </c>
    </row>
    <row r="610" spans="16:35" x14ac:dyDescent="0.3">
      <c r="P610" s="9">
        <v>0.38037680223925646</v>
      </c>
      <c r="Q610" s="9">
        <v>0.16486430473171199</v>
      </c>
      <c r="R610" s="9">
        <v>0.15755569172023479</v>
      </c>
      <c r="S610" s="9">
        <v>0.29720320130879679</v>
      </c>
      <c r="U610" s="9">
        <f t="array" ref="U610">MMULT(TRANSPOSE($B$3:$B$6),TRANSPOSE(P610:S610))</f>
        <v>8.2762092005610369E-2</v>
      </c>
      <c r="V610" s="9">
        <f>INT(200*U610)/200</f>
        <v>0.08</v>
      </c>
      <c r="W610" s="9">
        <f t="array" ref="W610">SQRT(MMULT(MMULT(P610:S610,$K$3:$N$6),TRANSPOSE(P610:S610)))</f>
        <v>8.3373463481852886E-2</v>
      </c>
      <c r="Y610" s="31">
        <f>U610/W610</f>
        <v>0.99266707354222383</v>
      </c>
      <c r="AA610" s="9">
        <f t="shared" si="75"/>
        <v>0.19820471585385965</v>
      </c>
      <c r="AB610" s="9">
        <f t="shared" si="76"/>
        <v>0.24926248185667518</v>
      </c>
      <c r="AC610" s="9">
        <f t="shared" si="77"/>
        <v>0.25538500428947353</v>
      </c>
      <c r="AD610" s="9">
        <f t="shared" si="78"/>
        <v>0.29714779799999158</v>
      </c>
      <c r="AE610" s="9"/>
      <c r="AF610" s="9">
        <f t="shared" si="79"/>
        <v>0.72334671779641391</v>
      </c>
      <c r="AG610" s="9">
        <f t="shared" si="80"/>
        <v>0.3203201297880523</v>
      </c>
      <c r="AH610" s="9">
        <f t="shared" si="81"/>
        <v>0.52674959245576836</v>
      </c>
      <c r="AI610" s="9">
        <f t="shared" si="82"/>
        <v>0.37311796020663351</v>
      </c>
    </row>
    <row r="611" spans="16:35" x14ac:dyDescent="0.3">
      <c r="P611" s="9">
        <v>0.27319506204144878</v>
      </c>
      <c r="Q611" s="9">
        <v>0.18321574945306746</v>
      </c>
      <c r="R611" s="9">
        <v>0.32387694491811531</v>
      </c>
      <c r="S611" s="9">
        <v>0.21971224358736846</v>
      </c>
      <c r="U611" s="9">
        <f t="array" ref="U611">MMULT(TRANSPOSE($B$3:$B$6),TRANSPOSE(P611:S611))</f>
        <v>8.7563795718147749E-2</v>
      </c>
      <c r="V611" s="9">
        <f>INT(200*U611)/200</f>
        <v>8.5000000000000006E-2</v>
      </c>
      <c r="W611" s="9">
        <f t="array" ref="W611">SQRT(MMULT(MMULT(P611:S611,$K$3:$N$6),TRANSPOSE(P611:S611)))</f>
        <v>8.8263948581363966E-2</v>
      </c>
      <c r="Y611" s="31">
        <f>U611/W611</f>
        <v>0.99206751029758433</v>
      </c>
      <c r="AA611" s="9">
        <f t="shared" si="75"/>
        <v>0.2078232504659317</v>
      </c>
      <c r="AB611" s="9">
        <f t="shared" si="76"/>
        <v>0.24475299118204974</v>
      </c>
      <c r="AC611" s="9">
        <f t="shared" si="77"/>
        <v>0.25241117038936367</v>
      </c>
      <c r="AD611" s="9">
        <f t="shared" si="78"/>
        <v>0.29501258796265484</v>
      </c>
      <c r="AE611" s="9"/>
      <c r="AF611" s="9">
        <f t="shared" si="79"/>
        <v>0.69840853369616918</v>
      </c>
      <c r="AG611" s="9">
        <f t="shared" si="80"/>
        <v>0.32525273986476033</v>
      </c>
      <c r="AH611" s="9">
        <f t="shared" si="81"/>
        <v>0.54309315659266644</v>
      </c>
      <c r="AI611" s="9">
        <f t="shared" si="82"/>
        <v>0.37015916846848917</v>
      </c>
    </row>
    <row r="612" spans="16:35" x14ac:dyDescent="0.3">
      <c r="P612" s="9">
        <v>0.3852218621579826</v>
      </c>
      <c r="Q612" s="9">
        <v>0.15393259080425306</v>
      </c>
      <c r="R612" s="9">
        <v>0.19006374383810648</v>
      </c>
      <c r="S612" s="9">
        <v>0.27078180319965789</v>
      </c>
      <c r="U612" s="9">
        <f t="array" ref="U612">MMULT(TRANSPOSE($B$3:$B$6),TRANSPOSE(P612:S612))</f>
        <v>8.2123576956792108E-2</v>
      </c>
      <c r="V612" s="9">
        <f>INT(200*U612)/200</f>
        <v>0.08</v>
      </c>
      <c r="W612" s="9">
        <f t="array" ref="W612">SQRT(MMULT(MMULT(P612:S612,$K$3:$N$6),TRANSPOSE(P612:S612)))</f>
        <v>8.2790005398249891E-2</v>
      </c>
      <c r="Y612" s="31">
        <f>U612/W612</f>
        <v>0.99195037567334343</v>
      </c>
      <c r="AA612" s="9">
        <f t="shared" si="75"/>
        <v>0.21256060507689359</v>
      </c>
      <c r="AB612" s="9">
        <f t="shared" si="76"/>
        <v>0.23622661622252566</v>
      </c>
      <c r="AC612" s="9">
        <f t="shared" si="77"/>
        <v>0.2715926084867516</v>
      </c>
      <c r="AD612" s="9">
        <f t="shared" si="78"/>
        <v>0.27962017021382901</v>
      </c>
      <c r="AE612" s="9"/>
      <c r="AF612" s="9">
        <f t="shared" si="79"/>
        <v>0.67628707537569532</v>
      </c>
      <c r="AG612" s="9">
        <f t="shared" si="80"/>
        <v>0.30900692945079244</v>
      </c>
      <c r="AH612" s="9">
        <f t="shared" si="81"/>
        <v>0.48324427570777512</v>
      </c>
      <c r="AI612" s="9">
        <f t="shared" si="82"/>
        <v>0.3781610043198903</v>
      </c>
    </row>
    <row r="613" spans="16:35" x14ac:dyDescent="0.3">
      <c r="P613" s="9">
        <v>0.23303229872411457</v>
      </c>
      <c r="Q613" s="9">
        <v>0.20420394821817792</v>
      </c>
      <c r="R613" s="9">
        <v>0.28490243986357927</v>
      </c>
      <c r="S613" s="9">
        <v>0.2778613131941281</v>
      </c>
      <c r="U613" s="9">
        <f t="array" ref="U613">MMULT(TRANSPOSE($B$3:$B$6),TRANSPOSE(P613:S613))</f>
        <v>9.0117220178884488E-2</v>
      </c>
      <c r="V613" s="9">
        <f>INT(200*U613)/200</f>
        <v>0.09</v>
      </c>
      <c r="W613" s="9">
        <f t="array" ref="W613">SQRT(MMULT(MMULT(P613:S613,$K$3:$N$6),TRANSPOSE(P613:S613)))</f>
        <v>9.0864649912038714E-2</v>
      </c>
      <c r="Y613" s="31">
        <f>U613/W613</f>
        <v>0.99177425177032241</v>
      </c>
      <c r="AA613" s="9">
        <f t="shared" si="75"/>
        <v>0.21606443175531193</v>
      </c>
      <c r="AB613" s="9">
        <f t="shared" si="76"/>
        <v>0.23461951912560694</v>
      </c>
      <c r="AC613" s="9">
        <f t="shared" si="77"/>
        <v>0.26980930115891516</v>
      </c>
      <c r="AD613" s="9">
        <f t="shared" si="78"/>
        <v>0.27950674796016584</v>
      </c>
      <c r="AE613" s="9"/>
      <c r="AF613" s="9">
        <f t="shared" si="79"/>
        <v>0.66689013414950926</v>
      </c>
      <c r="AG613" s="9">
        <f t="shared" si="80"/>
        <v>0.31244174601401226</v>
      </c>
      <c r="AH613" s="9">
        <f t="shared" si="81"/>
        <v>0.48927839618967722</v>
      </c>
      <c r="AI613" s="9">
        <f t="shared" si="82"/>
        <v>0.37809679228154608</v>
      </c>
    </row>
    <row r="614" spans="16:35" x14ac:dyDescent="0.3">
      <c r="P614" s="9">
        <v>9.5820875595268168E-2</v>
      </c>
      <c r="Q614" s="9">
        <v>0.36082539730537183</v>
      </c>
      <c r="R614" s="9">
        <v>8.5204992651572206E-2</v>
      </c>
      <c r="S614" s="9">
        <v>0.45814873444778781</v>
      </c>
      <c r="U614" s="9">
        <f t="array" ref="U614">MMULT(TRANSPOSE($B$3:$B$6),TRANSPOSE(P614:S614))</f>
        <v>0.10139968010488468</v>
      </c>
      <c r="V614" s="9">
        <f>INT(200*U614)/200</f>
        <v>0.1</v>
      </c>
      <c r="W614" s="9">
        <f t="array" ref="W614">SQRT(MMULT(MMULT(P614:S614,$K$3:$N$6),TRANSPOSE(P614:S614)))</f>
        <v>0.10224116058533864</v>
      </c>
      <c r="Y614" s="31">
        <f>U614/W614</f>
        <v>0.99176965054351474</v>
      </c>
      <c r="AA614" s="9">
        <f t="shared" si="75"/>
        <v>0.22855078907123641</v>
      </c>
      <c r="AB614" s="9">
        <f t="shared" si="76"/>
        <v>0.22442649983587304</v>
      </c>
      <c r="AC614" s="9">
        <f t="shared" si="77"/>
        <v>0.27464903343501978</v>
      </c>
      <c r="AD614" s="9">
        <f t="shared" si="78"/>
        <v>0.27237367765787068</v>
      </c>
      <c r="AE614" s="9"/>
      <c r="AF614" s="9">
        <f t="shared" si="79"/>
        <v>0.62810619066579909</v>
      </c>
      <c r="AG614" s="9">
        <f t="shared" si="80"/>
        <v>0.2879821043027273</v>
      </c>
      <c r="AH614" s="9">
        <f t="shared" si="81"/>
        <v>0.45581817636476335</v>
      </c>
      <c r="AI614" s="9">
        <f t="shared" si="82"/>
        <v>0.35465702040157249</v>
      </c>
    </row>
    <row r="615" spans="16:35" x14ac:dyDescent="0.3">
      <c r="P615" s="9">
        <v>0.42207609434447568</v>
      </c>
      <c r="Q615" s="9">
        <v>0.13289296662179312</v>
      </c>
      <c r="R615" s="9">
        <v>0.26452318547862069</v>
      </c>
      <c r="S615" s="9">
        <v>0.18050775355511064</v>
      </c>
      <c r="U615" s="9">
        <f t="array" ref="U615">MMULT(TRANSPOSE($B$3:$B$6),TRANSPOSE(P615:S615))</f>
        <v>7.9590897826359225E-2</v>
      </c>
      <c r="V615" s="9">
        <f>INT(200*U615)/200</f>
        <v>7.4999999999999997E-2</v>
      </c>
      <c r="W615" s="9">
        <f t="array" ref="W615">SQRT(MMULT(MMULT(P615:S615,$K$3:$N$6),TRANSPOSE(P615:S615)))</f>
        <v>8.0261787905641938E-2</v>
      </c>
      <c r="Y615" s="31">
        <f>U615/W615</f>
        <v>0.99164122683048839</v>
      </c>
      <c r="AA615" s="9">
        <f t="shared" si="75"/>
        <v>0.25586549444010398</v>
      </c>
      <c r="AB615" s="9">
        <f t="shared" si="76"/>
        <v>0.21653730198677837</v>
      </c>
      <c r="AC615" s="9">
        <f t="shared" si="77"/>
        <v>0.26710672699397708</v>
      </c>
      <c r="AD615" s="9">
        <f t="shared" si="78"/>
        <v>0.26049047657914048</v>
      </c>
      <c r="AE615" s="9"/>
      <c r="AF615" s="9">
        <f t="shared" si="79"/>
        <v>0.67682222494096245</v>
      </c>
      <c r="AG615" s="9">
        <f t="shared" si="80"/>
        <v>0.31741809776849994</v>
      </c>
      <c r="AH615" s="9">
        <f t="shared" si="81"/>
        <v>0.48797913270225751</v>
      </c>
      <c r="AI615" s="9">
        <f t="shared" si="82"/>
        <v>0.39364449795700152</v>
      </c>
    </row>
    <row r="616" spans="16:35" x14ac:dyDescent="0.3">
      <c r="P616" s="9">
        <v>4.1494593866519769E-2</v>
      </c>
      <c r="Q616" s="9">
        <v>0.29560762686414782</v>
      </c>
      <c r="R616" s="9">
        <v>0.34191113729133127</v>
      </c>
      <c r="S616" s="9">
        <v>0.3209866419780012</v>
      </c>
      <c r="U616" s="9">
        <f t="array" ref="U616">MMULT(TRANSPOSE($B$3:$B$6),TRANSPOSE(P616:S616))</f>
        <v>0.10117232409926655</v>
      </c>
      <c r="V616" s="9">
        <f>INT(200*U616)/200</f>
        <v>0.1</v>
      </c>
      <c r="W616" s="9">
        <f t="array" ref="W616">SQRT(MMULT(MMULT(P616:S616,$K$3:$N$6),TRANSPOSE(P616:S616)))</f>
        <v>0.10203197611317391</v>
      </c>
      <c r="Y616" s="31">
        <f>U616/W616</f>
        <v>0.99157468034379892</v>
      </c>
      <c r="AA616" s="9">
        <f t="shared" si="75"/>
        <v>0.25998586675846241</v>
      </c>
      <c r="AB616" s="9">
        <f t="shared" si="76"/>
        <v>0.21440329238980785</v>
      </c>
      <c r="AC616" s="9">
        <f t="shared" si="77"/>
        <v>0.26706706040391492</v>
      </c>
      <c r="AD616" s="9">
        <f t="shared" si="78"/>
        <v>0.25854378044781473</v>
      </c>
      <c r="AE616" s="9"/>
      <c r="AF616" s="9">
        <f t="shared" si="79"/>
        <v>0.67009425334195694</v>
      </c>
      <c r="AG616" s="9">
        <f t="shared" si="80"/>
        <v>0.32611534842055412</v>
      </c>
      <c r="AH616" s="9">
        <f t="shared" si="81"/>
        <v>0.48807477400916655</v>
      </c>
      <c r="AI616" s="9">
        <f t="shared" si="82"/>
        <v>0.39549980057725037</v>
      </c>
    </row>
    <row r="617" spans="16:35" x14ac:dyDescent="0.3">
      <c r="P617" s="9">
        <v>0.23414596579187133</v>
      </c>
      <c r="Q617" s="9">
        <v>0.20717474227162744</v>
      </c>
      <c r="R617" s="9">
        <v>0.26339679273354732</v>
      </c>
      <c r="S617" s="9">
        <v>0.2952824992029538</v>
      </c>
      <c r="U617" s="9">
        <f t="array" ref="U617">MMULT(TRANSPOSE($B$3:$B$6),TRANSPOSE(P617:S617))</f>
        <v>9.0225652299545323E-2</v>
      </c>
      <c r="V617" s="9">
        <f>INT(200*U617)/200</f>
        <v>0.09</v>
      </c>
      <c r="W617" s="9">
        <f t="array" ref="W617">SQRT(MMULT(MMULT(P617:S617,$K$3:$N$6),TRANSPOSE(P617:S617)))</f>
        <v>9.0999864925012025E-2</v>
      </c>
      <c r="Y617" s="31">
        <f>U617/W617</f>
        <v>0.99149215632237819</v>
      </c>
      <c r="AA617" s="9">
        <f t="shared" si="75"/>
        <v>0.26424689783736854</v>
      </c>
      <c r="AB617" s="9">
        <f t="shared" si="76"/>
        <v>0.21146437581768898</v>
      </c>
      <c r="AC617" s="9">
        <f t="shared" si="77"/>
        <v>0.25994066272543559</v>
      </c>
      <c r="AD617" s="9">
        <f t="shared" si="78"/>
        <v>0.26434806361950686</v>
      </c>
      <c r="AE617" s="9"/>
      <c r="AF617" s="9">
        <f t="shared" si="79"/>
        <v>0.64763559025085737</v>
      </c>
      <c r="AG617" s="9">
        <f t="shared" si="80"/>
        <v>0.3243109884199033</v>
      </c>
      <c r="AH617" s="9">
        <f t="shared" si="81"/>
        <v>0.45925592879050814</v>
      </c>
      <c r="AI617" s="9">
        <f t="shared" si="82"/>
        <v>0.36494241727076421</v>
      </c>
    </row>
    <row r="618" spans="16:35" x14ac:dyDescent="0.3">
      <c r="P618" s="9">
        <v>5.0463864018676328E-2</v>
      </c>
      <c r="Q618" s="9">
        <v>0.28563950057142606</v>
      </c>
      <c r="R618" s="9">
        <v>0.36929651894948162</v>
      </c>
      <c r="S618" s="9">
        <v>0.29460011646041601</v>
      </c>
      <c r="U618" s="9">
        <f t="array" ref="U618">MMULT(TRANSPOSE($B$3:$B$6),TRANSPOSE(P618:S618))</f>
        <v>0.10038993899554174</v>
      </c>
      <c r="V618" s="9">
        <f>INT(200*U618)/200</f>
        <v>0.1</v>
      </c>
      <c r="W618" s="9">
        <f t="array" ref="W618">SQRT(MMULT(MMULT(P618:S618,$K$3:$N$6),TRANSPOSE(P618:S618)))</f>
        <v>0.1012901523427442</v>
      </c>
      <c r="Y618" s="31">
        <f>U618/W618</f>
        <v>0.99111252845038356</v>
      </c>
      <c r="AA618" s="9">
        <f t="shared" si="75"/>
        <v>0.24011477947255924</v>
      </c>
      <c r="AB618" s="9">
        <f t="shared" si="76"/>
        <v>0.22624219225188891</v>
      </c>
      <c r="AC618" s="9">
        <f t="shared" si="77"/>
        <v>0.25121938527811655</v>
      </c>
      <c r="AD618" s="9">
        <f t="shared" si="78"/>
        <v>0.28242364299743516</v>
      </c>
      <c r="AE618" s="9"/>
      <c r="AF618" s="9">
        <f t="shared" si="79"/>
        <v>0.69176876201574888</v>
      </c>
      <c r="AG618" s="9">
        <f t="shared" si="80"/>
        <v>0.34759871340783832</v>
      </c>
      <c r="AH618" s="9">
        <f t="shared" si="81"/>
        <v>0.50921389224386926</v>
      </c>
      <c r="AI618" s="9">
        <f t="shared" si="82"/>
        <v>0.36461184809628827</v>
      </c>
    </row>
    <row r="619" spans="16:35" x14ac:dyDescent="0.3">
      <c r="P619" s="9">
        <v>0.31168503942437631</v>
      </c>
      <c r="Q619" s="9">
        <v>0.19803480048462385</v>
      </c>
      <c r="R619" s="9">
        <v>0.15277320811457276</v>
      </c>
      <c r="S619" s="9">
        <v>0.33750695197642716</v>
      </c>
      <c r="U619" s="9">
        <f t="array" ref="U619">MMULT(TRANSPOSE($B$3:$B$6),TRANSPOSE(P619:S619))</f>
        <v>8.6829407569418093E-2</v>
      </c>
      <c r="V619" s="9">
        <f>INT(200*U619)/200</f>
        <v>8.5000000000000006E-2</v>
      </c>
      <c r="W619" s="9">
        <f t="array" ref="W619">SQRT(MMULT(MMULT(P619:S619,$K$3:$N$6),TRANSPOSE(P619:S619)))</f>
        <v>8.7612366885381834E-2</v>
      </c>
      <c r="Y619" s="31">
        <f>U619/W619</f>
        <v>0.9910633698894582</v>
      </c>
      <c r="AA619" s="9">
        <f t="shared" si="75"/>
        <v>0.2634022160315686</v>
      </c>
      <c r="AB619" s="9">
        <f t="shared" si="76"/>
        <v>0.2171307479771836</v>
      </c>
      <c r="AC619" s="9">
        <f t="shared" si="77"/>
        <v>0.24262834336482331</v>
      </c>
      <c r="AD619" s="9">
        <f t="shared" si="78"/>
        <v>0.27683869262642447</v>
      </c>
      <c r="AE619" s="9"/>
      <c r="AF619" s="9">
        <f t="shared" si="79"/>
        <v>0.65280044889064337</v>
      </c>
      <c r="AG619" s="9">
        <f t="shared" si="80"/>
        <v>0.36857399100101274</v>
      </c>
      <c r="AH619" s="9">
        <f t="shared" si="81"/>
        <v>0.54132738637511224</v>
      </c>
      <c r="AI619" s="9">
        <f t="shared" si="82"/>
        <v>0.36778821414290708</v>
      </c>
    </row>
    <row r="620" spans="16:35" x14ac:dyDescent="0.3">
      <c r="P620" s="9">
        <v>0.10993606853055532</v>
      </c>
      <c r="Q620" s="9">
        <v>0.26085509458672879</v>
      </c>
      <c r="R620" s="9">
        <v>0.31959674025508045</v>
      </c>
      <c r="S620" s="9">
        <v>0.30961209662763556</v>
      </c>
      <c r="U620" s="9">
        <f t="array" ref="U620">MMULT(TRANSPOSE($B$3:$B$6),TRANSPOSE(P620:S620))</f>
        <v>9.7172072296263123E-2</v>
      </c>
      <c r="V620" s="9">
        <f>INT(200*U620)/200</f>
        <v>9.5000000000000001E-2</v>
      </c>
      <c r="W620" s="9">
        <f t="array" ref="W620">SQRT(MMULT(MMULT(P620:S620,$K$3:$N$6),TRANSPOSE(P620:S620)))</f>
        <v>9.8055608838469102E-2</v>
      </c>
      <c r="Y620" s="31">
        <f>U620/W620</f>
        <v>0.99098943392762506</v>
      </c>
      <c r="AA620" s="9">
        <f t="shared" si="75"/>
        <v>0.26245210148597653</v>
      </c>
      <c r="AB620" s="9">
        <f t="shared" si="76"/>
        <v>0.21623152342213686</v>
      </c>
      <c r="AC620" s="9">
        <f t="shared" si="77"/>
        <v>0.23538040485948036</v>
      </c>
      <c r="AD620" s="9">
        <f t="shared" si="78"/>
        <v>0.2859359702324063</v>
      </c>
      <c r="AE620" s="9"/>
      <c r="AF620" s="9">
        <f t="shared" si="79"/>
        <v>0.66027458177278153</v>
      </c>
      <c r="AG620" s="9">
        <f t="shared" si="80"/>
        <v>0.36557637818761424</v>
      </c>
      <c r="AH620" s="9">
        <f t="shared" si="81"/>
        <v>0.49018335458054835</v>
      </c>
      <c r="AI620" s="9">
        <f t="shared" si="82"/>
        <v>0.3182627976427671</v>
      </c>
    </row>
    <row r="621" spans="16:35" x14ac:dyDescent="0.3">
      <c r="P621" s="9">
        <v>0.32935940106361666</v>
      </c>
      <c r="Q621" s="9">
        <v>0.2036521110030477</v>
      </c>
      <c r="R621" s="9">
        <v>0.11138534017239773</v>
      </c>
      <c r="S621" s="9">
        <v>0.35560314776093793</v>
      </c>
      <c r="U621" s="9">
        <f t="array" ref="U621">MMULT(TRANSPOSE($B$3:$B$6),TRANSPOSE(P621:S621))</f>
        <v>8.6324270172134732E-2</v>
      </c>
      <c r="V621" s="9">
        <f>INT(200*U621)/200</f>
        <v>8.5000000000000006E-2</v>
      </c>
      <c r="W621" s="9">
        <f t="array" ref="W621">SQRT(MMULT(MMULT(P621:S621,$K$3:$N$6),TRANSPOSE(P621:S621)))</f>
        <v>8.7237023158380764E-2</v>
      </c>
      <c r="Y621" s="31">
        <f>U621/W621</f>
        <v>0.98953709155585345</v>
      </c>
      <c r="AA621" s="9">
        <f t="shared" si="75"/>
        <v>0.24685688600914263</v>
      </c>
      <c r="AB621" s="9">
        <f t="shared" si="76"/>
        <v>0.22708669062910999</v>
      </c>
      <c r="AC621" s="9">
        <f t="shared" si="77"/>
        <v>0.23112150480991009</v>
      </c>
      <c r="AD621" s="9">
        <f t="shared" si="78"/>
        <v>0.29493491855183729</v>
      </c>
      <c r="AE621" s="9"/>
      <c r="AF621" s="9">
        <f t="shared" si="79"/>
        <v>0.71639617690927293</v>
      </c>
      <c r="AG621" s="9">
        <f t="shared" si="80"/>
        <v>0.38269159469059921</v>
      </c>
      <c r="AH621" s="9">
        <f t="shared" si="81"/>
        <v>0.51901601594576252</v>
      </c>
      <c r="AI621" s="9">
        <f t="shared" si="82"/>
        <v>0.34234828605024376</v>
      </c>
    </row>
    <row r="622" spans="16:35" x14ac:dyDescent="0.3">
      <c r="P622" s="9">
        <v>0.21946644493594933</v>
      </c>
      <c r="Q622" s="9">
        <v>0.20730575031738435</v>
      </c>
      <c r="R622" s="9">
        <v>0.42452297297178365</v>
      </c>
      <c r="S622" s="9">
        <v>0.14870483177488267</v>
      </c>
      <c r="U622" s="9">
        <f t="array" ref="U622">MMULT(TRANSPOSE($B$3:$B$6),TRANSPOSE(P622:S622))</f>
        <v>9.0314066821722883E-2</v>
      </c>
      <c r="V622" s="9">
        <f>INT(200*U622)/200</f>
        <v>0.09</v>
      </c>
      <c r="W622" s="9">
        <f t="array" ref="W622">SQRT(MMULT(MMULT(P622:S622,$K$3:$N$6),TRANSPOSE(P622:S622)))</f>
        <v>9.128602956385902E-2</v>
      </c>
      <c r="Y622" s="31">
        <f>U622/W622</f>
        <v>0.98935255759528673</v>
      </c>
      <c r="AA622" s="9">
        <f t="shared" si="75"/>
        <v>0.24382362620644507</v>
      </c>
      <c r="AB622" s="9">
        <f t="shared" si="76"/>
        <v>0.22938579852848071</v>
      </c>
      <c r="AC622" s="9">
        <f t="shared" si="77"/>
        <v>0.24033179018336034</v>
      </c>
      <c r="AD622" s="9">
        <f t="shared" si="78"/>
        <v>0.28645878508171385</v>
      </c>
      <c r="AE622" s="9"/>
      <c r="AF622" s="9">
        <f t="shared" si="79"/>
        <v>0.72560339965192411</v>
      </c>
      <c r="AG622" s="9">
        <f t="shared" si="80"/>
        <v>0.37631888941569647</v>
      </c>
      <c r="AH622" s="9">
        <f t="shared" si="81"/>
        <v>0.55769975761143586</v>
      </c>
      <c r="AI622" s="9">
        <f t="shared" si="82"/>
        <v>0.39867786099431124</v>
      </c>
    </row>
    <row r="623" spans="16:35" x14ac:dyDescent="0.3">
      <c r="P623" s="9">
        <v>0.26437393274893933</v>
      </c>
      <c r="Q623" s="9">
        <v>0.20514179249782338</v>
      </c>
      <c r="R623" s="9">
        <v>0.19810862871739895</v>
      </c>
      <c r="S623" s="9">
        <v>0.3323756460358383</v>
      </c>
      <c r="U623" s="9">
        <f t="array" ref="U623">MMULT(TRANSPOSE($B$3:$B$6),TRANSPOSE(P623:S623))</f>
        <v>8.9024171423054341E-2</v>
      </c>
      <c r="V623" s="9">
        <f>INT(200*U623)/200</f>
        <v>8.5000000000000006E-2</v>
      </c>
      <c r="W623" s="9">
        <f t="array" ref="W623">SQRT(MMULT(MMULT(P623:S623,$K$3:$N$6),TRANSPOSE(P623:S623)))</f>
        <v>9.0105441318489798E-2</v>
      </c>
      <c r="Y623" s="31">
        <f>U623/W623</f>
        <v>0.98799994895298759</v>
      </c>
      <c r="AA623" s="9">
        <f t="shared" si="75"/>
        <v>0.24006107091312212</v>
      </c>
      <c r="AB623" s="9">
        <f t="shared" si="76"/>
        <v>0.22980494925738734</v>
      </c>
      <c r="AC623" s="9">
        <f t="shared" si="77"/>
        <v>0.24589586247500334</v>
      </c>
      <c r="AD623" s="9">
        <f t="shared" si="78"/>
        <v>0.28423811735448723</v>
      </c>
      <c r="AE623" s="9"/>
      <c r="AF623" s="9">
        <f t="shared" si="79"/>
        <v>0.72725904591049795</v>
      </c>
      <c r="AG623" s="9">
        <f t="shared" si="80"/>
        <v>0.37404815765826904</v>
      </c>
      <c r="AH623" s="9">
        <f t="shared" si="81"/>
        <v>0.54603181050698735</v>
      </c>
      <c r="AI623" s="9">
        <f t="shared" si="82"/>
        <v>0.40450464539301784</v>
      </c>
    </row>
    <row r="624" spans="16:35" x14ac:dyDescent="0.3">
      <c r="P624" s="9">
        <v>0.34752273576788562</v>
      </c>
      <c r="Q624" s="9">
        <v>0.17839220586441606</v>
      </c>
      <c r="R624" s="9">
        <v>0.15040887983711368</v>
      </c>
      <c r="S624" s="9">
        <v>0.32367617853058478</v>
      </c>
      <c r="U624" s="9">
        <f t="array" ref="U624">MMULT(TRANSPOSE($B$3:$B$6),TRANSPOSE(P624:S624))</f>
        <v>8.4661379664211223E-2</v>
      </c>
      <c r="V624" s="9">
        <f>INT(200*U624)/200</f>
        <v>0.08</v>
      </c>
      <c r="W624" s="9">
        <f t="array" ref="W624">SQRT(MMULT(MMULT(P624:S624,$K$3:$N$6),TRANSPOSE(P624:S624)))</f>
        <v>8.5715711488223462E-2</v>
      </c>
      <c r="Y624" s="31">
        <f>U624/W624</f>
        <v>0.98769966665729547</v>
      </c>
      <c r="AA624" s="9">
        <f t="shared" si="75"/>
        <v>0.23085539766568741</v>
      </c>
      <c r="AB624" s="9">
        <f t="shared" si="76"/>
        <v>0.23369264107976645</v>
      </c>
      <c r="AC624" s="9">
        <f t="shared" si="77"/>
        <v>0.24912741804720553</v>
      </c>
      <c r="AD624" s="9">
        <f t="shared" si="78"/>
        <v>0.28632454320734063</v>
      </c>
      <c r="AE624" s="9"/>
      <c r="AF624" s="9">
        <f t="shared" si="79"/>
        <v>0.77966059137434429</v>
      </c>
      <c r="AG624" s="9">
        <f t="shared" si="80"/>
        <v>0.370513525846772</v>
      </c>
      <c r="AH624" s="9">
        <f t="shared" si="81"/>
        <v>0.54613597395895996</v>
      </c>
      <c r="AI624" s="9">
        <f t="shared" si="82"/>
        <v>0.4025199904832838</v>
      </c>
    </row>
    <row r="625" spans="16:35" x14ac:dyDescent="0.3">
      <c r="P625" s="9">
        <v>0.69257243358089726</v>
      </c>
      <c r="Q625" s="9">
        <v>0.10462467503083761</v>
      </c>
      <c r="R625" s="9">
        <v>0.10855712963973781</v>
      </c>
      <c r="S625" s="9">
        <v>9.4245761748527307E-2</v>
      </c>
      <c r="U625" s="9">
        <f t="array" ref="U625">MMULT(TRANSPOSE($B$3:$B$6),TRANSPOSE(P625:S625))</f>
        <v>6.7003609922676038E-2</v>
      </c>
      <c r="V625" s="9">
        <f>INT(200*U625)/200</f>
        <v>6.5000000000000002E-2</v>
      </c>
      <c r="W625" s="9">
        <f t="array" ref="W625">SQRT(MMULT(MMULT(P625:S625,$K$3:$N$6),TRANSPOSE(P625:S625)))</f>
        <v>6.7838954231387028E-2</v>
      </c>
      <c r="Y625" s="31">
        <f>U625/W625</f>
        <v>0.98768636223574768</v>
      </c>
      <c r="AA625" s="9">
        <f t="shared" si="75"/>
        <v>0.22774551015271033</v>
      </c>
      <c r="AB625" s="9">
        <f t="shared" si="76"/>
        <v>0.23016435101968871</v>
      </c>
      <c r="AC625" s="9">
        <f t="shared" si="77"/>
        <v>0.26290188436793777</v>
      </c>
      <c r="AD625" s="9">
        <f t="shared" si="78"/>
        <v>0.27918825445966328</v>
      </c>
      <c r="AE625" s="9"/>
      <c r="AF625" s="9">
        <f t="shared" si="79"/>
        <v>0.80343207780879389</v>
      </c>
      <c r="AG625" s="9">
        <f t="shared" si="80"/>
        <v>0.35871277971211851</v>
      </c>
      <c r="AH625" s="9">
        <f t="shared" si="81"/>
        <v>0.50682649148609926</v>
      </c>
      <c r="AI625" s="9">
        <f t="shared" si="82"/>
        <v>0.3887106774776361</v>
      </c>
    </row>
    <row r="626" spans="16:35" x14ac:dyDescent="0.3">
      <c r="P626" s="9">
        <v>0.34292656142195121</v>
      </c>
      <c r="Q626" s="9">
        <v>0.15632726424574447</v>
      </c>
      <c r="R626" s="9">
        <v>0.24731043787777632</v>
      </c>
      <c r="S626" s="9">
        <v>0.25343573645452799</v>
      </c>
      <c r="U626" s="9">
        <f t="array" ref="U626">MMULT(TRANSPOSE($B$3:$B$6),TRANSPOSE(P626:S626))</f>
        <v>8.3916734291949957E-2</v>
      </c>
      <c r="V626" s="9">
        <f>INT(200*U626)/200</f>
        <v>0.08</v>
      </c>
      <c r="W626" s="9">
        <f t="array" ref="W626">SQRT(MMULT(MMULT(P626:S626,$K$3:$N$6),TRANSPOSE(P626:S626)))</f>
        <v>8.5107670518350137E-2</v>
      </c>
      <c r="Y626" s="31">
        <f>U626/W626</f>
        <v>0.98600671103853788</v>
      </c>
      <c r="AA626" s="9">
        <f t="shared" si="75"/>
        <v>0.21568587834936559</v>
      </c>
      <c r="AB626" s="9">
        <f t="shared" si="76"/>
        <v>0.23443706862688551</v>
      </c>
      <c r="AC626" s="9">
        <f t="shared" si="77"/>
        <v>0.26515833598932387</v>
      </c>
      <c r="AD626" s="9">
        <f t="shared" si="78"/>
        <v>0.28471871703442514</v>
      </c>
      <c r="AE626" s="9"/>
      <c r="AF626" s="9">
        <f t="shared" si="79"/>
        <v>0.82435725826646389</v>
      </c>
      <c r="AG626" s="9">
        <f t="shared" si="80"/>
        <v>0.33929719078205445</v>
      </c>
      <c r="AH626" s="9">
        <f t="shared" si="81"/>
        <v>0.50413275328914187</v>
      </c>
      <c r="AI626" s="9">
        <f t="shared" si="82"/>
        <v>0.3729192450030332</v>
      </c>
    </row>
    <row r="627" spans="16:35" x14ac:dyDescent="0.3">
      <c r="P627" s="9">
        <v>0.18801137216620215</v>
      </c>
      <c r="Q627" s="9">
        <v>0.21214594607362858</v>
      </c>
      <c r="R627" s="9">
        <v>0.37172297273265648</v>
      </c>
      <c r="S627" s="9">
        <v>0.22811970902751272</v>
      </c>
      <c r="U627" s="9">
        <f t="array" ref="U627">MMULT(TRANSPOSE($B$3:$B$6),TRANSPOSE(P627:S627))</f>
        <v>9.2078705339504838E-2</v>
      </c>
      <c r="V627" s="9">
        <f>INT(200*U627)/200</f>
        <v>0.09</v>
      </c>
      <c r="W627" s="9">
        <f t="array" ref="W627">SQRT(MMULT(MMULT(P627:S627,$K$3:$N$6),TRANSPOSE(P627:S627)))</f>
        <v>9.3426299458352902E-2</v>
      </c>
      <c r="Y627" s="31">
        <f>U627/W627</f>
        <v>0.98557585897481914</v>
      </c>
      <c r="AA627" s="9">
        <f t="shared" si="75"/>
        <v>0.21476629085050586</v>
      </c>
      <c r="AB627" s="9">
        <f t="shared" si="76"/>
        <v>0.23620272832771552</v>
      </c>
      <c r="AC627" s="9">
        <f t="shared" si="77"/>
        <v>0.25954936981313753</v>
      </c>
      <c r="AD627" s="9">
        <f t="shared" si="78"/>
        <v>0.28948161100864106</v>
      </c>
      <c r="AE627" s="9"/>
      <c r="AF627" s="9">
        <f t="shared" si="79"/>
        <v>0.83251119770095561</v>
      </c>
      <c r="AG627" s="9">
        <f t="shared" si="80"/>
        <v>0.34445129835682403</v>
      </c>
      <c r="AH627" s="9">
        <f t="shared" si="81"/>
        <v>0.51150773438347696</v>
      </c>
      <c r="AI627" s="9">
        <f t="shared" si="82"/>
        <v>0.38018922754861262</v>
      </c>
    </row>
    <row r="628" spans="16:35" x14ac:dyDescent="0.3">
      <c r="P628" s="9">
        <v>3.2278302292407968E-2</v>
      </c>
      <c r="Q628" s="9">
        <v>0.42175078117644105</v>
      </c>
      <c r="R628" s="9">
        <v>4.8621735681158053E-2</v>
      </c>
      <c r="S628" s="9">
        <v>0.49734918084999297</v>
      </c>
      <c r="U628" s="9">
        <f t="array" ref="U628">MMULT(TRANSPOSE($B$3:$B$6),TRANSPOSE(P628:S628))</f>
        <v>0.10610426217240283</v>
      </c>
      <c r="V628" s="9">
        <f>INT(200*U628)/200</f>
        <v>0.105</v>
      </c>
      <c r="W628" s="9">
        <f t="array" ref="W628">SQRT(MMULT(MMULT(P628:S628,$K$3:$N$6),TRANSPOSE(P628:S628)))</f>
        <v>0.1076799475275101</v>
      </c>
      <c r="Y628" s="31">
        <f>U628/W628</f>
        <v>0.98536695651059159</v>
      </c>
      <c r="AA628" s="9">
        <f t="shared" si="75"/>
        <v>0.217457187201819</v>
      </c>
      <c r="AB628" s="9">
        <f t="shared" si="76"/>
        <v>0.23787511341191414</v>
      </c>
      <c r="AC628" s="9">
        <f t="shared" si="77"/>
        <v>0.24988459181841513</v>
      </c>
      <c r="AD628" s="9">
        <f t="shared" si="78"/>
        <v>0.29478310756785175</v>
      </c>
      <c r="AE628" s="9"/>
      <c r="AF628" s="9">
        <f t="shared" si="79"/>
        <v>0.8255663448453564</v>
      </c>
      <c r="AG628" s="9">
        <f t="shared" si="80"/>
        <v>0.34091141222410776</v>
      </c>
      <c r="AH628" s="9">
        <f t="shared" si="81"/>
        <v>0.55895792050024495</v>
      </c>
      <c r="AI628" s="9">
        <f t="shared" si="82"/>
        <v>0.38331050558442786</v>
      </c>
    </row>
    <row r="629" spans="16:35" x14ac:dyDescent="0.3">
      <c r="P629" s="9">
        <v>0.53668220147512014</v>
      </c>
      <c r="Q629" s="9">
        <v>0.1145124306658535</v>
      </c>
      <c r="R629" s="9">
        <v>0.10761349105883999</v>
      </c>
      <c r="S629" s="9">
        <v>0.24119187680018628</v>
      </c>
      <c r="U629" s="9">
        <f t="array" ref="U629">MMULT(TRANSPOSE($B$3:$B$6),TRANSPOSE(P629:S629))</f>
        <v>7.4414175099433405E-2</v>
      </c>
      <c r="V629" s="9">
        <f>INT(200*U629)/200</f>
        <v>7.0000000000000007E-2</v>
      </c>
      <c r="W629" s="9">
        <f t="array" ref="W629">SQRT(MMULT(MMULT(P629:S629,$K$3:$N$6),TRANSPOSE(P629:S629)))</f>
        <v>7.56037748933545E-2</v>
      </c>
      <c r="Y629" s="31">
        <f>U629/W629</f>
        <v>0.98426533866068033</v>
      </c>
      <c r="AA629" s="9">
        <f t="shared" si="75"/>
        <v>0.21540732430732265</v>
      </c>
      <c r="AB629" s="9">
        <f t="shared" si="76"/>
        <v>0.24138247234756266</v>
      </c>
      <c r="AC629" s="9">
        <f t="shared" si="77"/>
        <v>0.24104364568805697</v>
      </c>
      <c r="AD629" s="9">
        <f t="shared" si="78"/>
        <v>0.30216655765705763</v>
      </c>
      <c r="AE629" s="9"/>
      <c r="AF629" s="9">
        <f t="shared" si="79"/>
        <v>0.84379352139327546</v>
      </c>
      <c r="AG629" s="9">
        <f t="shared" si="80"/>
        <v>0.3511970918632088</v>
      </c>
      <c r="AH629" s="9">
        <f t="shared" si="81"/>
        <v>0.57084715095899996</v>
      </c>
      <c r="AI629" s="9">
        <f t="shared" si="82"/>
        <v>0.39030981667672759</v>
      </c>
    </row>
    <row r="630" spans="16:35" x14ac:dyDescent="0.3">
      <c r="P630" s="9">
        <v>2.0852219017991721E-2</v>
      </c>
      <c r="Q630" s="9">
        <v>0.28976231307676731</v>
      </c>
      <c r="R630" s="9">
        <v>0.42163551754598255</v>
      </c>
      <c r="S630" s="9">
        <v>0.26774995035925842</v>
      </c>
      <c r="U630" s="9">
        <f t="array" ref="U630">MMULT(TRANSPOSE($B$3:$B$6),TRANSPOSE(P630:S630))</f>
        <v>0.1016674063151385</v>
      </c>
      <c r="V630" s="9">
        <f>INT(200*U630)/200</f>
        <v>0.1</v>
      </c>
      <c r="W630" s="9">
        <f t="array" ref="W630">SQRT(MMULT(MMULT(P630:S630,$K$3:$N$6),TRANSPOSE(P630:S630)))</f>
        <v>0.1032970744113864</v>
      </c>
      <c r="Y630" s="31">
        <f>U630/W630</f>
        <v>0.98422348255713754</v>
      </c>
      <c r="AA630" s="9">
        <f t="shared" si="75"/>
        <v>0.2209640292405409</v>
      </c>
      <c r="AB630" s="9">
        <f t="shared" si="76"/>
        <v>0.24009995466484474</v>
      </c>
      <c r="AC630" s="9">
        <f t="shared" si="77"/>
        <v>0.23650293651657975</v>
      </c>
      <c r="AD630" s="9">
        <f t="shared" si="78"/>
        <v>0.3024330795780345</v>
      </c>
      <c r="AE630" s="9"/>
      <c r="AF630" s="9">
        <f t="shared" si="79"/>
        <v>0.84434519400748065</v>
      </c>
      <c r="AG630" s="9">
        <f t="shared" si="80"/>
        <v>0.35677015716971738</v>
      </c>
      <c r="AH630" s="9">
        <f t="shared" si="81"/>
        <v>0.60107288750881593</v>
      </c>
      <c r="AI630" s="9">
        <f t="shared" si="82"/>
        <v>0.39026392299245416</v>
      </c>
    </row>
    <row r="631" spans="16:35" x14ac:dyDescent="0.3">
      <c r="P631" s="9">
        <v>5.2877277225744951E-2</v>
      </c>
      <c r="Q631" s="9">
        <v>0.39282281607814701</v>
      </c>
      <c r="R631" s="9">
        <v>6.8118790679260105E-2</v>
      </c>
      <c r="S631" s="9">
        <v>0.48618111601684788</v>
      </c>
      <c r="U631" s="9">
        <f t="array" ref="U631">MMULT(TRANSPOSE($B$3:$B$6),TRANSPOSE(P631:S631))</f>
        <v>0.10430096493143028</v>
      </c>
      <c r="V631" s="9">
        <f>INT(200*U631)/200</f>
        <v>0.1</v>
      </c>
      <c r="W631" s="9">
        <f t="array" ref="W631">SQRT(MMULT(MMULT(P631:S631,$K$3:$N$6),TRANSPOSE(P631:S631)))</f>
        <v>0.10605913509515084</v>
      </c>
      <c r="Y631" s="31">
        <f>U631/W631</f>
        <v>0.98342273711601336</v>
      </c>
      <c r="AA631" s="9">
        <f t="shared" si="75"/>
        <v>0.23477042580243193</v>
      </c>
      <c r="AB631" s="9">
        <f t="shared" si="76"/>
        <v>0.23706723903481142</v>
      </c>
      <c r="AC631" s="9">
        <f t="shared" si="77"/>
        <v>0.22281371491424201</v>
      </c>
      <c r="AD631" s="9">
        <f t="shared" si="78"/>
        <v>0.30534862024851472</v>
      </c>
      <c r="AE631" s="9"/>
      <c r="AF631" s="9">
        <f t="shared" si="79"/>
        <v>0.80358908679289232</v>
      </c>
      <c r="AG631" s="9">
        <f t="shared" si="80"/>
        <v>0.36283205535327823</v>
      </c>
      <c r="AH631" s="9">
        <f t="shared" si="81"/>
        <v>0.66196514871296364</v>
      </c>
      <c r="AI631" s="9">
        <f t="shared" si="82"/>
        <v>0.38961170155780589</v>
      </c>
    </row>
    <row r="632" spans="16:35" x14ac:dyDescent="0.3">
      <c r="P632" s="9">
        <v>0.2094966061848002</v>
      </c>
      <c r="Q632" s="9">
        <v>0.23149701533985345</v>
      </c>
      <c r="R632" s="9">
        <v>0.51729293776057061</v>
      </c>
      <c r="S632" s="9">
        <v>4.1713440714775618E-2</v>
      </c>
      <c r="U632" s="9">
        <f t="array" ref="U632">MMULT(TRANSPOSE($B$3:$B$6),TRANSPOSE(P632:S632))</f>
        <v>9.1092319893018414E-2</v>
      </c>
      <c r="V632" s="9">
        <f>INT(200*U632)/200</f>
        <v>0.09</v>
      </c>
      <c r="W632" s="9">
        <f t="array" ref="W632">SQRT(MMULT(MMULT(P632:S632,$K$3:$N$6),TRANSPOSE(P632:S632)))</f>
        <v>9.2674308230949562E-2</v>
      </c>
      <c r="Y632" s="31">
        <f>U632/W632</f>
        <v>0.98292959107945277</v>
      </c>
      <c r="AA632" s="9">
        <f t="shared" si="75"/>
        <v>0.2310615483281101</v>
      </c>
      <c r="AB632" s="9">
        <f t="shared" si="76"/>
        <v>0.2361169481103047</v>
      </c>
      <c r="AC632" s="9">
        <f t="shared" si="77"/>
        <v>0.23171858758070291</v>
      </c>
      <c r="AD632" s="9">
        <f t="shared" si="78"/>
        <v>0.30110291598088229</v>
      </c>
      <c r="AE632" s="9"/>
      <c r="AF632" s="9">
        <f t="shared" si="79"/>
        <v>0.81133477128923503</v>
      </c>
      <c r="AG632" s="9">
        <f t="shared" si="80"/>
        <v>0.36639480243444472</v>
      </c>
      <c r="AH632" s="9">
        <f t="shared" si="81"/>
        <v>0.63037375334243273</v>
      </c>
      <c r="AI632" s="9">
        <f t="shared" si="82"/>
        <v>0.39413383038780037</v>
      </c>
    </row>
    <row r="633" spans="16:35" x14ac:dyDescent="0.3">
      <c r="P633" s="9">
        <v>0.30620820099820062</v>
      </c>
      <c r="Q633" s="9">
        <v>0.16273475611129207</v>
      </c>
      <c r="R633" s="9">
        <v>0.30690926196260881</v>
      </c>
      <c r="S633" s="9">
        <v>0.22414778092789844</v>
      </c>
      <c r="U633" s="9">
        <f t="array" ref="U633">MMULT(TRANSPOSE($B$3:$B$6),TRANSPOSE(P633:S633))</f>
        <v>8.5555444135439709E-2</v>
      </c>
      <c r="V633" s="9">
        <f>INT(200*U633)/200</f>
        <v>8.5000000000000006E-2</v>
      </c>
      <c r="W633" s="9">
        <f t="array" ref="W633">SQRT(MMULT(MMULT(P633:S633,$K$3:$N$6),TRANSPOSE(P633:S633)))</f>
        <v>8.7078086965344331E-2</v>
      </c>
      <c r="Y633" s="31">
        <f>U633/W633</f>
        <v>0.98251405281203974</v>
      </c>
      <c r="AA633" s="9">
        <f t="shared" si="75"/>
        <v>0.23723688149934752</v>
      </c>
      <c r="AB633" s="9">
        <f t="shared" si="76"/>
        <v>0.23355075269530404</v>
      </c>
      <c r="AC633" s="9">
        <f t="shared" si="77"/>
        <v>0.22949620180786598</v>
      </c>
      <c r="AD633" s="9">
        <f t="shared" si="78"/>
        <v>0.29971616399748258</v>
      </c>
      <c r="AE633" s="9"/>
      <c r="AF633" s="9">
        <f t="shared" si="79"/>
        <v>0.79749477445317907</v>
      </c>
      <c r="AG633" s="9">
        <f t="shared" si="80"/>
        <v>0.37761525207409091</v>
      </c>
      <c r="AH633" s="9">
        <f t="shared" si="81"/>
        <v>0.62449107973135765</v>
      </c>
      <c r="AI633" s="9">
        <f t="shared" si="82"/>
        <v>0.40270639112553019</v>
      </c>
    </row>
    <row r="634" spans="16:35" x14ac:dyDescent="0.3">
      <c r="P634" s="9">
        <v>3.9713160527985791E-2</v>
      </c>
      <c r="Q634" s="9">
        <v>0.28584547648813891</v>
      </c>
      <c r="R634" s="9">
        <v>0.35276510687982493</v>
      </c>
      <c r="S634" s="9">
        <v>0.32167625610405043</v>
      </c>
      <c r="U634" s="9">
        <f t="array" ref="U634">MMULT(TRANSPOSE($B$3:$B$6),TRANSPOSE(P634:S634))</f>
        <v>0.10094802858819492</v>
      </c>
      <c r="V634" s="9">
        <f>INT(200*U634)/200</f>
        <v>0.1</v>
      </c>
      <c r="W634" s="9">
        <f t="array" ref="W634">SQRT(MMULT(MMULT(P634:S634,$K$3:$N$6),TRANSPOSE(P634:S634)))</f>
        <v>0.10277332725009952</v>
      </c>
      <c r="Y634" s="31">
        <f>U634/W634</f>
        <v>0.98223956827375325</v>
      </c>
      <c r="AA634" s="9">
        <f t="shared" si="75"/>
        <v>0.24569852257950772</v>
      </c>
      <c r="AB634" s="9">
        <f t="shared" si="76"/>
        <v>0.22962636850505327</v>
      </c>
      <c r="AC634" s="9">
        <f t="shared" si="77"/>
        <v>0.22906408199555087</v>
      </c>
      <c r="AD634" s="9">
        <f t="shared" si="78"/>
        <v>0.29561102691988822</v>
      </c>
      <c r="AE634" s="9"/>
      <c r="AF634" s="9">
        <f t="shared" si="79"/>
        <v>0.79110101567024249</v>
      </c>
      <c r="AG634" s="9">
        <f t="shared" si="80"/>
        <v>0.39759615218421673</v>
      </c>
      <c r="AH634" s="9">
        <f t="shared" si="81"/>
        <v>0.62616248710373523</v>
      </c>
      <c r="AI634" s="9">
        <f t="shared" si="82"/>
        <v>0.40931131303243595</v>
      </c>
    </row>
    <row r="635" spans="16:35" x14ac:dyDescent="0.3">
      <c r="P635" s="9">
        <v>3.0513237822748982E-2</v>
      </c>
      <c r="Q635" s="9">
        <v>0.28673130604373892</v>
      </c>
      <c r="R635" s="9">
        <v>0.37446878538694928</v>
      </c>
      <c r="S635" s="9">
        <v>0.3082866707465628</v>
      </c>
      <c r="U635" s="9">
        <f t="array" ref="U635">MMULT(TRANSPOSE($B$3:$B$6),TRANSPOSE(P635:S635))</f>
        <v>0.10131430576369273</v>
      </c>
      <c r="V635" s="9">
        <f>INT(200*U635)/200</f>
        <v>0.1</v>
      </c>
      <c r="W635" s="9">
        <f t="array" ref="W635">SQRT(MMULT(MMULT(P635:S635,$K$3:$N$6),TRANSPOSE(P635:S635)))</f>
        <v>0.10323270064195536</v>
      </c>
      <c r="Y635" s="31">
        <f>U635/W635</f>
        <v>0.98141679074234189</v>
      </c>
      <c r="AA635" s="9">
        <f t="shared" si="75"/>
        <v>0.24507854081449706</v>
      </c>
      <c r="AB635" s="9">
        <f t="shared" si="76"/>
        <v>0.22820840442739851</v>
      </c>
      <c r="AC635" s="9">
        <f t="shared" si="77"/>
        <v>0.23555267937030422</v>
      </c>
      <c r="AD635" s="9">
        <f t="shared" si="78"/>
        <v>0.29116037538780021</v>
      </c>
      <c r="AE635" s="9"/>
      <c r="AF635" s="9">
        <f t="shared" si="79"/>
        <v>0.79179444287041256</v>
      </c>
      <c r="AG635" s="9">
        <f t="shared" si="80"/>
        <v>0.40471403348272472</v>
      </c>
      <c r="AH635" s="9">
        <f t="shared" si="81"/>
        <v>0.60613105972899617</v>
      </c>
      <c r="AI635" s="9">
        <f t="shared" si="82"/>
        <v>0.41774325801340828</v>
      </c>
    </row>
    <row r="636" spans="16:35" x14ac:dyDescent="0.3">
      <c r="P636" s="9">
        <v>0.16882382647423635</v>
      </c>
      <c r="Q636" s="9">
        <v>0.22262003637292604</v>
      </c>
      <c r="R636" s="9">
        <v>0.31190866952772867</v>
      </c>
      <c r="S636" s="9">
        <v>0.29664746762510896</v>
      </c>
      <c r="U636" s="9">
        <f t="array" ref="U636">MMULT(TRANSPOSE($B$3:$B$6),TRANSPOSE(P636:S636))</f>
        <v>9.3460927998217369E-2</v>
      </c>
      <c r="V636" s="9">
        <f>INT(200*U636)/200</f>
        <v>0.09</v>
      </c>
      <c r="W636" s="9">
        <f t="array" ref="W636">SQRT(MMULT(MMULT(P636:S636,$K$3:$N$6),TRANSPOSE(P636:S636)))</f>
        <v>9.5235141487563582E-2</v>
      </c>
      <c r="Y636" s="31">
        <f>U636/W636</f>
        <v>0.98137018056955472</v>
      </c>
      <c r="AA636" s="9">
        <f t="shared" si="75"/>
        <v>0.22613665483906284</v>
      </c>
      <c r="AB636" s="9">
        <f t="shared" si="76"/>
        <v>0.23098924553947114</v>
      </c>
      <c r="AC636" s="9">
        <f t="shared" si="77"/>
        <v>0.24407022814026394</v>
      </c>
      <c r="AD636" s="9">
        <f t="shared" si="78"/>
        <v>0.29880387148120208</v>
      </c>
      <c r="AE636" s="9"/>
      <c r="AF636" s="9">
        <f t="shared" si="79"/>
        <v>0.73186053112922056</v>
      </c>
      <c r="AG636" s="9">
        <f t="shared" si="80"/>
        <v>0.38651119958927738</v>
      </c>
      <c r="AH636" s="9">
        <f t="shared" si="81"/>
        <v>0.57414506937161947</v>
      </c>
      <c r="AI636" s="9">
        <f t="shared" si="82"/>
        <v>0.37952061941218002</v>
      </c>
    </row>
    <row r="637" spans="16:35" x14ac:dyDescent="0.3">
      <c r="P637" s="9">
        <v>2.2183256390465637E-2</v>
      </c>
      <c r="Q637" s="9">
        <v>0.33268648058157918</v>
      </c>
      <c r="R637" s="9">
        <v>0.22412284759141871</v>
      </c>
      <c r="S637" s="9">
        <v>0.42100741543653636</v>
      </c>
      <c r="U637" s="9">
        <f t="array" ref="U637">MMULT(TRANSPOSE($B$3:$B$6),TRANSPOSE(P637:S637))</f>
        <v>0.10349725543983254</v>
      </c>
      <c r="V637" s="9">
        <f>INT(200*U637)/200</f>
        <v>0.1</v>
      </c>
      <c r="W637" s="9">
        <f t="array" ref="W637">SQRT(MMULT(MMULT(P637:S637,$K$3:$N$6),TRANSPOSE(P637:S637)))</f>
        <v>0.10547226442713958</v>
      </c>
      <c r="Y637" s="31">
        <f>U637/W637</f>
        <v>0.98127461282798778</v>
      </c>
      <c r="AA637" s="9">
        <f t="shared" si="75"/>
        <v>0.21778881791463367</v>
      </c>
      <c r="AB637" s="9">
        <f t="shared" si="76"/>
        <v>0.23386454825355946</v>
      </c>
      <c r="AC637" s="9">
        <f t="shared" si="77"/>
        <v>0.24767042754977026</v>
      </c>
      <c r="AD637" s="9">
        <f t="shared" si="78"/>
        <v>0.3006762062820364</v>
      </c>
      <c r="AE637" s="9"/>
      <c r="AF637" s="9">
        <f t="shared" si="79"/>
        <v>0.7517683637411865</v>
      </c>
      <c r="AG637" s="9">
        <f t="shared" si="80"/>
        <v>0.37506218025702431</v>
      </c>
      <c r="AH637" s="9">
        <f t="shared" si="81"/>
        <v>0.57005736648927641</v>
      </c>
      <c r="AI637" s="9">
        <f t="shared" si="82"/>
        <v>0.37561791367188646</v>
      </c>
    </row>
    <row r="638" spans="16:35" x14ac:dyDescent="0.3">
      <c r="P638" s="9">
        <v>0.29065478916944743</v>
      </c>
      <c r="Q638" s="9">
        <v>0.24229482903979904</v>
      </c>
      <c r="R638" s="9">
        <v>6.0436454844375383E-2</v>
      </c>
      <c r="S638" s="9">
        <v>0.4066139269463781</v>
      </c>
      <c r="U638" s="9">
        <f t="array" ref="U638">MMULT(TRANSPOSE($B$3:$B$6),TRANSPOSE(P638:S638))</f>
        <v>8.9336168454040576E-2</v>
      </c>
      <c r="V638" s="9">
        <f>INT(200*U638)/200</f>
        <v>8.5000000000000006E-2</v>
      </c>
      <c r="W638" s="9">
        <f t="array" ref="W638">SQRT(MMULT(MMULT(P638:S638,$K$3:$N$6),TRANSPOSE(P638:S638)))</f>
        <v>9.1062172376006889E-2</v>
      </c>
      <c r="Y638" s="31">
        <f>U638/W638</f>
        <v>0.98104587363851337</v>
      </c>
      <c r="AA638" s="9">
        <f t="shared" si="75"/>
        <v>0.2231224432037647</v>
      </c>
      <c r="AB638" s="9">
        <f t="shared" si="76"/>
        <v>0.23157680752578558</v>
      </c>
      <c r="AC638" s="9">
        <f t="shared" si="77"/>
        <v>0.24227534817463198</v>
      </c>
      <c r="AD638" s="9">
        <f t="shared" si="78"/>
        <v>0.30302540109581766</v>
      </c>
      <c r="AE638" s="9"/>
      <c r="AF638" s="9">
        <f t="shared" si="79"/>
        <v>0.73740051125262529</v>
      </c>
      <c r="AG638" s="9">
        <f t="shared" si="80"/>
        <v>0.38400506478682234</v>
      </c>
      <c r="AH638" s="9">
        <f t="shared" si="81"/>
        <v>0.57102410099460743</v>
      </c>
      <c r="AI638" s="9">
        <f t="shared" si="82"/>
        <v>0.36915268830177767</v>
      </c>
    </row>
    <row r="639" spans="16:35" x14ac:dyDescent="0.3">
      <c r="P639" s="9">
        <v>7.4167432342536191E-3</v>
      </c>
      <c r="Q639" s="9">
        <v>0.35929403822004491</v>
      </c>
      <c r="R639" s="9">
        <v>0.18363665021196196</v>
      </c>
      <c r="S639" s="9">
        <v>0.44965256833373946</v>
      </c>
      <c r="U639" s="9">
        <f t="array" ref="U639">MMULT(TRANSPOSE($B$3:$B$6),TRANSPOSE(P639:S639))</f>
        <v>0.10504671632935517</v>
      </c>
      <c r="V639" s="9">
        <f>INT(200*U639)/200</f>
        <v>0.105</v>
      </c>
      <c r="W639" s="9">
        <f t="array" ref="W639">SQRT(MMULT(MMULT(P639:S639,$K$3:$N$6),TRANSPOSE(P639:S639)))</f>
        <v>0.10710707204913424</v>
      </c>
      <c r="Y639" s="31">
        <f>U639/W639</f>
        <v>0.98076358843201406</v>
      </c>
      <c r="AA639" s="9">
        <f t="shared" si="75"/>
        <v>0.22333926426491665</v>
      </c>
      <c r="AB639" s="9">
        <f t="shared" si="76"/>
        <v>0.22518758438959105</v>
      </c>
      <c r="AC639" s="9">
        <f t="shared" si="77"/>
        <v>0.25521832338077122</v>
      </c>
      <c r="AD639" s="9">
        <f t="shared" si="78"/>
        <v>0.29625482796472097</v>
      </c>
      <c r="AE639" s="9"/>
      <c r="AF639" s="9">
        <f t="shared" si="79"/>
        <v>0.73551475422088497</v>
      </c>
      <c r="AG639" s="9">
        <f t="shared" si="80"/>
        <v>0.35004721308524783</v>
      </c>
      <c r="AH639" s="9">
        <f t="shared" si="81"/>
        <v>0.51675487861557146</v>
      </c>
      <c r="AI639" s="9">
        <f t="shared" si="82"/>
        <v>0.34937312523841851</v>
      </c>
    </row>
    <row r="640" spans="16:35" x14ac:dyDescent="0.3">
      <c r="P640" s="9">
        <v>0.42837584302195925</v>
      </c>
      <c r="Q640" s="9">
        <v>0.17110192914754724</v>
      </c>
      <c r="R640" s="9">
        <v>5.7418315513550859E-2</v>
      </c>
      <c r="S640" s="9">
        <v>0.34310391231694254</v>
      </c>
      <c r="U640" s="9">
        <f t="array" ref="U640">MMULT(TRANSPOSE($B$3:$B$6),TRANSPOSE(P640:S640))</f>
        <v>8.109959180245549E-2</v>
      </c>
      <c r="V640" s="9">
        <f>INT(200*U640)/200</f>
        <v>0.08</v>
      </c>
      <c r="W640" s="9">
        <f t="array" ref="W640">SQRT(MMULT(MMULT(P640:S640,$K$3:$N$6),TRANSPOSE(P640:S640)))</f>
        <v>8.2737350921654532E-2</v>
      </c>
      <c r="Y640" s="31">
        <f>U640/W640</f>
        <v>0.98020532321913634</v>
      </c>
      <c r="AA640" s="9">
        <f t="shared" si="75"/>
        <v>0.22273739753038427</v>
      </c>
      <c r="AB640" s="9">
        <f t="shared" si="76"/>
        <v>0.22437462031921948</v>
      </c>
      <c r="AC640" s="9">
        <f t="shared" si="77"/>
        <v>0.26136859952820007</v>
      </c>
      <c r="AD640" s="9">
        <f t="shared" si="78"/>
        <v>0.29151938262219607</v>
      </c>
      <c r="AE640" s="9"/>
      <c r="AF640" s="9">
        <f t="shared" si="79"/>
        <v>0.73217490129481511</v>
      </c>
      <c r="AG640" s="9">
        <f t="shared" si="80"/>
        <v>0.35700337217946787</v>
      </c>
      <c r="AH640" s="9">
        <f t="shared" si="81"/>
        <v>0.48819819260319414</v>
      </c>
      <c r="AI640" s="9">
        <f t="shared" si="82"/>
        <v>0.37154246633968369</v>
      </c>
    </row>
    <row r="641" spans="16:35" x14ac:dyDescent="0.3">
      <c r="P641" s="9">
        <v>0.39987039633026594</v>
      </c>
      <c r="Q641" s="9">
        <v>0.19716806635602876</v>
      </c>
      <c r="R641" s="9">
        <v>3.2123086605986478E-2</v>
      </c>
      <c r="S641" s="9">
        <v>0.37083845070771881</v>
      </c>
      <c r="U641" s="9">
        <f t="array" ref="U641">MMULT(TRANSPOSE($B$3:$B$6),TRANSPOSE(P641:S641))</f>
        <v>8.3207950954418741E-2</v>
      </c>
      <c r="V641" s="9">
        <f>INT(200*U641)/200</f>
        <v>0.08</v>
      </c>
      <c r="W641" s="9">
        <f t="array" ref="W641">SQRT(MMULT(MMULT(P641:S641,$K$3:$N$6),TRANSPOSE(P641:S641)))</f>
        <v>8.4919557313603233E-2</v>
      </c>
      <c r="Y641" s="31">
        <f>U641/W641</f>
        <v>0.97984437963019966</v>
      </c>
      <c r="AA641" s="9">
        <f t="shared" si="75"/>
        <v>0.22327972938948523</v>
      </c>
      <c r="AB641" s="9">
        <f t="shared" si="76"/>
        <v>0.22364816718254701</v>
      </c>
      <c r="AC641" s="9">
        <f t="shared" si="77"/>
        <v>0.26413272196509152</v>
      </c>
      <c r="AD641" s="9">
        <f t="shared" si="78"/>
        <v>0.28893938146287612</v>
      </c>
      <c r="AE641" s="9"/>
      <c r="AF641" s="9">
        <f t="shared" si="79"/>
        <v>0.72731762381767984</v>
      </c>
      <c r="AG641" s="9">
        <f t="shared" si="80"/>
        <v>0.35567961034417822</v>
      </c>
      <c r="AH641" s="9">
        <f t="shared" si="81"/>
        <v>0.49900851334567636</v>
      </c>
      <c r="AI641" s="9">
        <f t="shared" si="82"/>
        <v>0.37912659088318446</v>
      </c>
    </row>
    <row r="642" spans="16:35" x14ac:dyDescent="0.3">
      <c r="P642" s="9">
        <v>0.25147297410285807</v>
      </c>
      <c r="Q642" s="9">
        <v>0.18369600158840607</v>
      </c>
      <c r="R642" s="9">
        <v>0.29838766616807799</v>
      </c>
      <c r="S642" s="9">
        <v>0.26644335814065778</v>
      </c>
      <c r="U642" s="9">
        <f t="array" ref="U642">MMULT(TRANSPOSE($B$3:$B$6),TRANSPOSE(P642:S642))</f>
        <v>8.8664338511402402E-2</v>
      </c>
      <c r="V642" s="9">
        <f>INT(200*U642)/200</f>
        <v>8.5000000000000006E-2</v>
      </c>
      <c r="W642" s="9">
        <f t="array" ref="W642">SQRT(MMULT(MMULT(P642:S642,$K$3:$N$6),TRANSPOSE(P642:S642)))</f>
        <v>9.0493836505320405E-2</v>
      </c>
      <c r="Y642" s="31">
        <f>U642/W642</f>
        <v>0.97978317568831952</v>
      </c>
      <c r="AA642" s="9">
        <f t="shared" si="75"/>
        <v>0.23401009024893868</v>
      </c>
      <c r="AB642" s="9">
        <f t="shared" si="76"/>
        <v>0.21495823212404938</v>
      </c>
      <c r="AC642" s="9">
        <f t="shared" si="77"/>
        <v>0.26717803894001302</v>
      </c>
      <c r="AD642" s="9">
        <f t="shared" si="78"/>
        <v>0.28385363868699892</v>
      </c>
      <c r="AE642" s="9"/>
      <c r="AF642" s="9">
        <f t="shared" si="79"/>
        <v>0.67500026397912238</v>
      </c>
      <c r="AG642" s="9">
        <f t="shared" si="80"/>
        <v>0.32318671011754602</v>
      </c>
      <c r="AH642" s="9">
        <f t="shared" si="81"/>
        <v>0.47805137098624029</v>
      </c>
      <c r="AI642" s="9">
        <f t="shared" si="82"/>
        <v>0.35990312002034947</v>
      </c>
    </row>
    <row r="643" spans="16:35" x14ac:dyDescent="0.3">
      <c r="P643" s="9">
        <v>0.34914844153193419</v>
      </c>
      <c r="Q643" s="9">
        <v>0.15341564660237039</v>
      </c>
      <c r="R643" s="9">
        <v>0.377852871742207</v>
      </c>
      <c r="S643" s="9">
        <v>0.11958304012348833</v>
      </c>
      <c r="U643" s="9">
        <f t="array" ref="U643">MMULT(TRANSPOSE($B$3:$B$6),TRANSPOSE(P643:S643))</f>
        <v>8.3076652673407136E-2</v>
      </c>
      <c r="V643" s="9">
        <f>INT(200*U643)/200</f>
        <v>0.08</v>
      </c>
      <c r="W643" s="9">
        <f t="array" ref="W643">SQRT(MMULT(MMULT(P643:S643,$K$3:$N$6),TRANSPOSE(P643:S643)))</f>
        <v>8.4806467328174415E-2</v>
      </c>
      <c r="Y643" s="31">
        <f>U643/W643</f>
        <v>0.97960279788481885</v>
      </c>
      <c r="AA643" s="9">
        <f t="shared" si="75"/>
        <v>0.23312584746472412</v>
      </c>
      <c r="AB643" s="9">
        <f t="shared" si="76"/>
        <v>0.21436235558225372</v>
      </c>
      <c r="AC643" s="9">
        <f t="shared" si="77"/>
        <v>0.26625878025199662</v>
      </c>
      <c r="AD643" s="9">
        <f t="shared" si="78"/>
        <v>0.2862530167010256</v>
      </c>
      <c r="AE643" s="9"/>
      <c r="AF643" s="9">
        <f t="shared" si="79"/>
        <v>0.67840102521105328</v>
      </c>
      <c r="AG643" s="9">
        <f t="shared" si="80"/>
        <v>0.32364028309829168</v>
      </c>
      <c r="AH643" s="9">
        <f t="shared" si="81"/>
        <v>0.47281446828448748</v>
      </c>
      <c r="AI643" s="9">
        <f t="shared" si="82"/>
        <v>0.33757024661849883</v>
      </c>
    </row>
    <row r="644" spans="16:35" x14ac:dyDescent="0.3">
      <c r="P644" s="9">
        <v>0.44206839543230475</v>
      </c>
      <c r="Q644" s="9">
        <v>0.1227297245025567</v>
      </c>
      <c r="R644" s="9">
        <v>0.18903411265878256</v>
      </c>
      <c r="S644" s="9">
        <v>0.2461677674063559</v>
      </c>
      <c r="U644" s="9">
        <f t="array" ref="U644">MMULT(TRANSPOSE($B$3:$B$6),TRANSPOSE(P644:S644))</f>
        <v>7.8673450484874563E-2</v>
      </c>
      <c r="V644" s="9">
        <f>INT(200*U644)/200</f>
        <v>7.4999999999999997E-2</v>
      </c>
      <c r="W644" s="9">
        <f t="array" ref="W644">SQRT(MMULT(MMULT(P644:S644,$K$3:$N$6),TRANSPOSE(P644:S644)))</f>
        <v>8.0349176606026154E-2</v>
      </c>
      <c r="Y644" s="31">
        <f>U644/W644</f>
        <v>0.97914445185458299</v>
      </c>
      <c r="AA644" s="9">
        <f t="shared" si="75"/>
        <v>0.22363336652495391</v>
      </c>
      <c r="AB644" s="9">
        <f t="shared" si="76"/>
        <v>0.21870251603708651</v>
      </c>
      <c r="AC644" s="9">
        <f t="shared" si="77"/>
        <v>0.26543700026015293</v>
      </c>
      <c r="AD644" s="9">
        <f t="shared" si="78"/>
        <v>0.29222711717780681</v>
      </c>
      <c r="AE644" s="9"/>
      <c r="AF644" s="9">
        <f t="shared" si="79"/>
        <v>0.71332570927710459</v>
      </c>
      <c r="AG644" s="9">
        <f t="shared" si="80"/>
        <v>0.3147372387603678</v>
      </c>
      <c r="AH644" s="9">
        <f t="shared" si="81"/>
        <v>0.47344006363101915</v>
      </c>
      <c r="AI644" s="9">
        <f t="shared" si="82"/>
        <v>0.33014357241231101</v>
      </c>
    </row>
    <row r="645" spans="16:35" x14ac:dyDescent="0.3">
      <c r="P645" s="9">
        <v>0.33450311870266142</v>
      </c>
      <c r="Q645" s="9">
        <v>0.14861496023366638</v>
      </c>
      <c r="R645" s="9">
        <v>0.28666942470693441</v>
      </c>
      <c r="S645" s="9">
        <v>0.23021249635673777</v>
      </c>
      <c r="U645" s="9">
        <f t="array" ref="U645">MMULT(TRANSPOSE($B$3:$B$6),TRANSPOSE(P645:S645))</f>
        <v>8.3948566377308076E-2</v>
      </c>
      <c r="V645" s="9">
        <f>INT(200*U645)/200</f>
        <v>0.08</v>
      </c>
      <c r="W645" s="9">
        <f t="array" ref="W645">SQRT(MMULT(MMULT(P645:S645,$K$3:$N$6),TRANSPOSE(P645:S645)))</f>
        <v>8.590478683662596E-2</v>
      </c>
      <c r="Y645" s="31">
        <f>U645/W645</f>
        <v>0.9772280389562199</v>
      </c>
      <c r="AA645" s="9">
        <f t="shared" si="75"/>
        <v>0.23338870540986162</v>
      </c>
      <c r="AB645" s="9">
        <f t="shared" si="76"/>
        <v>0.21453236269804904</v>
      </c>
      <c r="AC645" s="9">
        <f t="shared" si="77"/>
        <v>0.2589381531778352</v>
      </c>
      <c r="AD645" s="9">
        <f t="shared" si="78"/>
        <v>0.29314077871425426</v>
      </c>
      <c r="AE645" s="9"/>
      <c r="AF645" s="9">
        <f t="shared" si="79"/>
        <v>0.65932007976169793</v>
      </c>
      <c r="AG645" s="9">
        <f t="shared" si="80"/>
        <v>0.31322061444153637</v>
      </c>
      <c r="AH645" s="9">
        <f t="shared" si="81"/>
        <v>0.48061499118287326</v>
      </c>
      <c r="AI645" s="9">
        <f t="shared" si="82"/>
        <v>0.3304208747569648</v>
      </c>
    </row>
    <row r="646" spans="16:35" x14ac:dyDescent="0.3">
      <c r="P646" s="9">
        <v>0.2947928280967787</v>
      </c>
      <c r="Q646" s="9">
        <v>0.1630223383843632</v>
      </c>
      <c r="R646" s="9">
        <v>0.28742565380889173</v>
      </c>
      <c r="S646" s="9">
        <v>0.25475917970996637</v>
      </c>
      <c r="U646" s="9">
        <f t="array" ref="U646">MMULT(TRANSPOSE($B$3:$B$6),TRANSPOSE(P646:S646))</f>
        <v>8.615695148217492E-2</v>
      </c>
      <c r="V646" s="9">
        <f>INT(200*U646)/200</f>
        <v>8.5000000000000006E-2</v>
      </c>
      <c r="W646" s="9">
        <f t="array" ref="W646">SQRT(MMULT(MMULT(P646:S646,$K$3:$N$6),TRANSPOSE(P646:S646)))</f>
        <v>8.8277846386807357E-2</v>
      </c>
      <c r="Y646" s="31">
        <f>U646/W646</f>
        <v>0.97597477746184125</v>
      </c>
      <c r="AA646" s="9">
        <f t="shared" si="75"/>
        <v>0.24573694516123876</v>
      </c>
      <c r="AB646" s="9">
        <f t="shared" si="76"/>
        <v>0.21012608808627287</v>
      </c>
      <c r="AC646" s="9">
        <f t="shared" si="77"/>
        <v>0.24850966698108831</v>
      </c>
      <c r="AD646" s="9">
        <f t="shared" si="78"/>
        <v>0.29562729977140012</v>
      </c>
      <c r="AE646" s="9"/>
      <c r="AF646" s="9">
        <f t="shared" si="79"/>
        <v>0.59834776490182873</v>
      </c>
      <c r="AG646" s="9">
        <f t="shared" si="80"/>
        <v>0.3104324655454796</v>
      </c>
      <c r="AH646" s="9">
        <f t="shared" si="81"/>
        <v>0.49678596369351363</v>
      </c>
      <c r="AI646" s="9">
        <f t="shared" si="82"/>
        <v>0.33126977621130371</v>
      </c>
    </row>
    <row r="647" spans="16:35" x14ac:dyDescent="0.3">
      <c r="P647" s="9">
        <v>0.16762198600893852</v>
      </c>
      <c r="Q647" s="9">
        <v>0.21670862124160131</v>
      </c>
      <c r="R647" s="9">
        <v>0.32291462547741018</v>
      </c>
      <c r="S647" s="9">
        <v>0.29275476727204996</v>
      </c>
      <c r="U647" s="9">
        <f t="array" ref="U647">MMULT(TRANSPOSE($B$3:$B$6),TRANSPOSE(P647:S647))</f>
        <v>9.3314584950665747E-2</v>
      </c>
      <c r="V647" s="9">
        <f>INT(200*U647)/200</f>
        <v>0.09</v>
      </c>
      <c r="W647" s="9">
        <f t="array" ref="W647">SQRT(MMULT(MMULT(P647:S647,$K$3:$N$6),TRANSPOSE(P647:S647)))</f>
        <v>9.5624234975773506E-2</v>
      </c>
      <c r="Y647" s="31">
        <f>U647/W647</f>
        <v>0.97584660388976796</v>
      </c>
      <c r="AA647" s="9">
        <f t="shared" si="75"/>
        <v>0.25354612167879337</v>
      </c>
      <c r="AB647" s="9">
        <f t="shared" si="76"/>
        <v>0.20743081480218106</v>
      </c>
      <c r="AC647" s="9">
        <f t="shared" si="77"/>
        <v>0.24204799761479454</v>
      </c>
      <c r="AD647" s="9">
        <f t="shared" si="78"/>
        <v>0.29697506590423106</v>
      </c>
      <c r="AE647" s="9"/>
      <c r="AF647" s="9">
        <f t="shared" si="79"/>
        <v>0.58017793674478479</v>
      </c>
      <c r="AG647" s="9">
        <f t="shared" si="80"/>
        <v>0.31747584934307316</v>
      </c>
      <c r="AH647" s="9">
        <f t="shared" si="81"/>
        <v>0.5103244723924929</v>
      </c>
      <c r="AI647" s="9">
        <f t="shared" si="82"/>
        <v>0.33047105762099532</v>
      </c>
    </row>
    <row r="648" spans="16:35" x14ac:dyDescent="0.3">
      <c r="P648" s="9">
        <v>0.30001750323795495</v>
      </c>
      <c r="Q648" s="9">
        <v>0.16410339079037559</v>
      </c>
      <c r="R648" s="9">
        <v>0.25842630585475146</v>
      </c>
      <c r="S648" s="9">
        <v>0.27745280011691797</v>
      </c>
      <c r="U648" s="9">
        <f t="array" ref="U648">MMULT(TRANSPOSE($B$3:$B$6),TRANSPOSE(P648:S648))</f>
        <v>8.6052924685185522E-2</v>
      </c>
      <c r="V648" s="9">
        <f>INT(200*U648)/200</f>
        <v>8.5000000000000006E-2</v>
      </c>
      <c r="W648" s="9">
        <f t="array" ref="W648">SQRT(MMULT(MMULT(P648:S648,$K$3:$N$6),TRANSPOSE(P648:S648)))</f>
        <v>8.8209197927745689E-2</v>
      </c>
      <c r="Y648" s="31">
        <f>U648/W648</f>
        <v>0.97555500681089491</v>
      </c>
      <c r="AA648" s="9">
        <f t="shared" si="75"/>
        <v>0.27515072457832151</v>
      </c>
      <c r="AB648" s="9">
        <f t="shared" si="76"/>
        <v>0.19735541190236719</v>
      </c>
      <c r="AC648" s="9">
        <f t="shared" si="77"/>
        <v>0.24739287350108288</v>
      </c>
      <c r="AD648" s="9">
        <f t="shared" si="78"/>
        <v>0.28010099001822841</v>
      </c>
      <c r="AE648" s="9"/>
      <c r="AF648" s="9">
        <f t="shared" si="79"/>
        <v>0.52596828748936797</v>
      </c>
      <c r="AG648" s="9">
        <f t="shared" si="80"/>
        <v>0.31310502584965794</v>
      </c>
      <c r="AH648" s="9">
        <f t="shared" si="81"/>
        <v>0.50578086057413185</v>
      </c>
      <c r="AI648" s="9">
        <f t="shared" si="82"/>
        <v>0.37809888502189587</v>
      </c>
    </row>
    <row r="649" spans="16:35" x14ac:dyDescent="0.3">
      <c r="P649" s="9">
        <v>3.6831544576599339E-2</v>
      </c>
      <c r="Q649" s="9">
        <v>0.28757709531635672</v>
      </c>
      <c r="R649" s="9">
        <v>0.3204242150100815</v>
      </c>
      <c r="S649" s="9">
        <v>0.35516714509696246</v>
      </c>
      <c r="U649" s="9">
        <f t="array" ref="U649">MMULT(TRANSPOSE($B$3:$B$6),TRANSPOSE(P649:S649))</f>
        <v>0.10124507214205565</v>
      </c>
      <c r="V649" s="9">
        <f>INT(200*U649)/200</f>
        <v>0.1</v>
      </c>
      <c r="W649" s="9">
        <f t="array" ref="W649">SQRT(MMULT(MMULT(P649:S649,$K$3:$N$6),TRANSPOSE(P649:S649)))</f>
        <v>0.1038129649256887</v>
      </c>
      <c r="Y649" s="31">
        <f>U649/W649</f>
        <v>0.97526423808942175</v>
      </c>
      <c r="AA649" s="9">
        <f t="shared" si="75"/>
        <v>0.28085710147906323</v>
      </c>
      <c r="AB649" s="9">
        <f t="shared" si="76"/>
        <v>0.19211128686973719</v>
      </c>
      <c r="AC649" s="9">
        <f t="shared" si="77"/>
        <v>0.25293385898594672</v>
      </c>
      <c r="AD649" s="9">
        <f t="shared" si="78"/>
        <v>0.27409775266525277</v>
      </c>
      <c r="AE649" s="9"/>
      <c r="AF649" s="9">
        <f t="shared" si="79"/>
        <v>0.5258704169234657</v>
      </c>
      <c r="AG649" s="9">
        <f t="shared" si="80"/>
        <v>0.32511300374440311</v>
      </c>
      <c r="AH649" s="9">
        <f t="shared" si="81"/>
        <v>0.46989655892348103</v>
      </c>
      <c r="AI649" s="9">
        <f t="shared" si="82"/>
        <v>0.37166378246543641</v>
      </c>
    </row>
    <row r="650" spans="16:35" x14ac:dyDescent="0.3">
      <c r="P650" s="9">
        <v>0.52404300004993953</v>
      </c>
      <c r="Q650" s="9">
        <v>9.7440185188050851E-2</v>
      </c>
      <c r="R650" s="9">
        <v>0.23676929015484632</v>
      </c>
      <c r="S650" s="9">
        <v>0.14174752460716333</v>
      </c>
      <c r="U650" s="9">
        <f t="array" ref="U650">MMULT(TRANSPOSE($B$3:$B$6),TRANSPOSE(P650:S650))</f>
        <v>7.4056414828127914E-2</v>
      </c>
      <c r="V650" s="9">
        <f>INT(200*U650)/200</f>
        <v>7.0000000000000007E-2</v>
      </c>
      <c r="W650" s="9">
        <f t="array" ref="W650">SQRT(MMULT(MMULT(P650:S650,$K$3:$N$6),TRANSPOSE(P650:S650)))</f>
        <v>7.5967541514175396E-2</v>
      </c>
      <c r="Y650" s="31">
        <f>U650/W650</f>
        <v>0.97484285198710996</v>
      </c>
      <c r="AA650" s="9">
        <f t="shared" si="75"/>
        <v>0.29534315665046962</v>
      </c>
      <c r="AB650" s="9">
        <f t="shared" si="76"/>
        <v>0.18235449352187535</v>
      </c>
      <c r="AC650" s="9">
        <f t="shared" si="77"/>
        <v>0.25737530474830145</v>
      </c>
      <c r="AD650" s="9">
        <f t="shared" si="78"/>
        <v>0.26492704507935361</v>
      </c>
      <c r="AE650" s="9"/>
      <c r="AF650" s="9">
        <f t="shared" si="79"/>
        <v>0.45302876928021057</v>
      </c>
      <c r="AG650" s="9">
        <f t="shared" si="80"/>
        <v>0.2727964172126181</v>
      </c>
      <c r="AH650" s="9">
        <f t="shared" si="81"/>
        <v>0.45797852550450824</v>
      </c>
      <c r="AI650" s="9">
        <f t="shared" si="82"/>
        <v>0.35334929360443518</v>
      </c>
    </row>
    <row r="651" spans="16:35" x14ac:dyDescent="0.3">
      <c r="P651" s="9">
        <v>3.2241188059112469E-2</v>
      </c>
      <c r="Q651" s="9">
        <v>0.2745067972066455</v>
      </c>
      <c r="R651" s="9">
        <v>0.47968208872070273</v>
      </c>
      <c r="S651" s="9">
        <v>0.21356992601353936</v>
      </c>
      <c r="U651" s="9">
        <f t="array" ref="U651">MMULT(TRANSPOSE($B$3:$B$6),TRANSPOSE(P651:S651))</f>
        <v>0.10051825175124213</v>
      </c>
      <c r="V651" s="9">
        <f>INT(200*U651)/200</f>
        <v>0.1</v>
      </c>
      <c r="W651" s="9">
        <f t="array" ref="W651">SQRT(MMULT(MMULT(P651:S651,$K$3:$N$6),TRANSPOSE(P651:S651)))</f>
        <v>0.10312146022751013</v>
      </c>
      <c r="Y651" s="31">
        <f>U651/W651</f>
        <v>0.97475589978531418</v>
      </c>
      <c r="AA651" s="9">
        <f t="shared" si="75"/>
        <v>0.29445850221125291</v>
      </c>
      <c r="AB651" s="9">
        <f t="shared" si="76"/>
        <v>0.17994160502384404</v>
      </c>
      <c r="AC651" s="9">
        <f t="shared" si="77"/>
        <v>0.26861322663038473</v>
      </c>
      <c r="AD651" s="9">
        <f t="shared" si="78"/>
        <v>0.25698666613451832</v>
      </c>
      <c r="AE651" s="9"/>
      <c r="AF651" s="9">
        <f t="shared" si="79"/>
        <v>0.45145240809962822</v>
      </c>
      <c r="AG651" s="9">
        <f t="shared" si="80"/>
        <v>0.28629351568075573</v>
      </c>
      <c r="AH651" s="9">
        <f t="shared" si="81"/>
        <v>0.40486623936167293</v>
      </c>
      <c r="AI651" s="9">
        <f t="shared" si="82"/>
        <v>0.36469205188617032</v>
      </c>
    </row>
    <row r="652" spans="16:35" x14ac:dyDescent="0.3">
      <c r="P652" s="9">
        <v>0.27821485527426731</v>
      </c>
      <c r="Q652" s="9">
        <v>0.2103341798496953</v>
      </c>
      <c r="R652" s="9">
        <v>0.1320704471526104</v>
      </c>
      <c r="S652" s="9">
        <v>0.37938051772342707</v>
      </c>
      <c r="U652" s="9">
        <f t="array" ref="U652">MMULT(TRANSPOSE($B$3:$B$6),TRANSPOSE(P652:S652))</f>
        <v>8.8772799082567577E-2</v>
      </c>
      <c r="V652" s="9">
        <f>INT(200*U652)/200</f>
        <v>8.5000000000000006E-2</v>
      </c>
      <c r="W652" s="9">
        <f t="array" ref="W652">SQRT(MMULT(MMULT(P652:S652,$K$3:$N$6),TRANSPOSE(P652:S652)))</f>
        <v>9.1076823506066384E-2</v>
      </c>
      <c r="Y652" s="31">
        <f>U652/W652</f>
        <v>0.97470240688241239</v>
      </c>
      <c r="AA652" s="9">
        <f t="shared" si="75"/>
        <v>0.28555032169928729</v>
      </c>
      <c r="AB652" s="9">
        <f t="shared" si="76"/>
        <v>0.18550396150484413</v>
      </c>
      <c r="AC652" s="9">
        <f t="shared" si="77"/>
        <v>0.26734492191056125</v>
      </c>
      <c r="AD652" s="9">
        <f t="shared" si="78"/>
        <v>0.26160079488530713</v>
      </c>
      <c r="AE652" s="9"/>
      <c r="AF652" s="9">
        <f t="shared" si="79"/>
        <v>0.46149470747242949</v>
      </c>
      <c r="AG652" s="9">
        <f t="shared" si="80"/>
        <v>0.31914100828302894</v>
      </c>
      <c r="AH652" s="9">
        <f t="shared" si="81"/>
        <v>0.41804428143663247</v>
      </c>
      <c r="AI652" s="9">
        <f t="shared" si="82"/>
        <v>0.38859138860575637</v>
      </c>
    </row>
    <row r="653" spans="16:35" x14ac:dyDescent="0.3">
      <c r="P653" s="9">
        <v>0.19092750771629396</v>
      </c>
      <c r="Q653" s="9">
        <v>0.21898360796214511</v>
      </c>
      <c r="R653" s="9">
        <v>0.49798850531222594</v>
      </c>
      <c r="S653" s="9">
        <v>9.2100379009334932E-2</v>
      </c>
      <c r="U653" s="9">
        <f t="array" ref="U653">MMULT(TRANSPOSE($B$3:$B$6),TRANSPOSE(P653:S653))</f>
        <v>9.1671511992168761E-2</v>
      </c>
      <c r="V653" s="9">
        <f>INT(200*U653)/200</f>
        <v>0.09</v>
      </c>
      <c r="W653" s="9">
        <f t="array" ref="W653">SQRT(MMULT(MMULT(P653:S653,$K$3:$N$6),TRANSPOSE(P653:S653)))</f>
        <v>9.4060694006613807E-2</v>
      </c>
      <c r="Y653" s="31">
        <f>U653/W653</f>
        <v>0.9745995706317343</v>
      </c>
      <c r="AA653" s="9">
        <f t="shared" si="75"/>
        <v>0.28056842221084621</v>
      </c>
      <c r="AB653" s="9">
        <f t="shared" si="76"/>
        <v>0.1881404206166494</v>
      </c>
      <c r="AC653" s="9">
        <f t="shared" si="77"/>
        <v>0.26505777465968872</v>
      </c>
      <c r="AD653" s="9">
        <f t="shared" si="78"/>
        <v>0.26623338251281553</v>
      </c>
      <c r="AE653" s="9"/>
      <c r="AF653" s="9">
        <f t="shared" si="79"/>
        <v>0.48141259178752832</v>
      </c>
      <c r="AG653" s="9">
        <f t="shared" si="80"/>
        <v>0.32071398793495864</v>
      </c>
      <c r="AH653" s="9">
        <f t="shared" si="81"/>
        <v>0.42098857971769699</v>
      </c>
      <c r="AI653" s="9">
        <f t="shared" si="82"/>
        <v>0.39091800720032455</v>
      </c>
    </row>
    <row r="654" spans="16:35" x14ac:dyDescent="0.3">
      <c r="P654" s="9">
        <v>0.10686610126302531</v>
      </c>
      <c r="Q654" s="9">
        <v>0.25387812566277973</v>
      </c>
      <c r="R654" s="9">
        <v>0.28965188213389187</v>
      </c>
      <c r="S654" s="9">
        <v>0.3496038909403032</v>
      </c>
      <c r="U654" s="9">
        <f t="array" ref="U654">MMULT(TRANSPOSE($B$3:$B$6),TRANSPOSE(P654:S654))</f>
        <v>9.7231447917534547E-2</v>
      </c>
      <c r="V654" s="9">
        <f>INT(200*U654)/200</f>
        <v>9.5000000000000001E-2</v>
      </c>
      <c r="W654" s="9">
        <f t="array" ref="W654">SQRT(MMULT(MMULT(P654:S654,$K$3:$N$6),TRANSPOSE(P654:S654)))</f>
        <v>9.9797932026292974E-2</v>
      </c>
      <c r="Y654" s="31">
        <f>U654/W654</f>
        <v>0.97428319348258385</v>
      </c>
      <c r="AA654" s="9">
        <f t="shared" ref="AA654:AA717" si="83">AVERAGE(P644:P664)</f>
        <v>0.26705794400467425</v>
      </c>
      <c r="AB654" s="9">
        <f t="shared" ref="AB654:AB717" si="84">AVERAGE(Q644:Q664)</f>
        <v>0.19549488426995298</v>
      </c>
      <c r="AC654" s="9">
        <f t="shared" ref="AC654:AC717" si="85">AVERAGE(R644:R664)</f>
        <v>0.25624088410787282</v>
      </c>
      <c r="AD654" s="9">
        <f t="shared" ref="AD654:AD717" si="86">AVERAGE(S644:S664)</f>
        <v>0.28120628761749994</v>
      </c>
      <c r="AE654" s="9"/>
      <c r="AF654" s="9">
        <f t="shared" ref="AF654:AF717" si="87">STDEV(P644:P664)/AA654</f>
        <v>0.53128614204364377</v>
      </c>
      <c r="AG654" s="9">
        <f t="shared" ref="AG654:AG717" si="88">STDEV(Q644:Q664)/AB654</f>
        <v>0.33309395527333335</v>
      </c>
      <c r="AH654" s="9">
        <f t="shared" ref="AH654:AH717" si="89">STDEV(R644:R664)/AC654</f>
        <v>0.42742646058543377</v>
      </c>
      <c r="AI654" s="9">
        <f t="shared" ref="AI654:AI717" si="90">STDEV(S644:S664)/AD654</f>
        <v>0.3717536226755474</v>
      </c>
    </row>
    <row r="655" spans="16:35" x14ac:dyDescent="0.3">
      <c r="P655" s="9">
        <v>0.24457527711104776</v>
      </c>
      <c r="Q655" s="9">
        <v>0.19827225636835358</v>
      </c>
      <c r="R655" s="9">
        <v>0.21628931815115285</v>
      </c>
      <c r="S655" s="9">
        <v>0.34086314836944581</v>
      </c>
      <c r="U655" s="9">
        <f t="array" ref="U655">MMULT(TRANSPOSE($B$3:$B$6),TRANSPOSE(P655:S655))</f>
        <v>8.9676993513361281E-2</v>
      </c>
      <c r="V655" s="9">
        <f>INT(200*U655)/200</f>
        <v>8.5000000000000006E-2</v>
      </c>
      <c r="W655" s="9">
        <f t="array" ref="W655">SQRT(MMULT(MMULT(P655:S655,$K$3:$N$6),TRANSPOSE(P655:S655)))</f>
        <v>9.2096325833182405E-2</v>
      </c>
      <c r="Y655" s="31">
        <f>U655/W655</f>
        <v>0.97373041434678564</v>
      </c>
      <c r="AA655" s="9">
        <f t="shared" si="83"/>
        <v>0.24603596575386583</v>
      </c>
      <c r="AB655" s="9">
        <f t="shared" si="84"/>
        <v>0.20652660064171749</v>
      </c>
      <c r="AC655" s="9">
        <f t="shared" si="85"/>
        <v>0.25583149780139958</v>
      </c>
      <c r="AD655" s="9">
        <f t="shared" si="86"/>
        <v>0.29160593580301702</v>
      </c>
      <c r="AE655" s="9"/>
      <c r="AF655" s="9">
        <f t="shared" si="87"/>
        <v>0.59852997744208625</v>
      </c>
      <c r="AG655" s="9">
        <f t="shared" si="88"/>
        <v>0.34613728249198789</v>
      </c>
      <c r="AH655" s="9">
        <f t="shared" si="89"/>
        <v>0.42920287837593568</v>
      </c>
      <c r="AI655" s="9">
        <f t="shared" si="90"/>
        <v>0.38239975746058635</v>
      </c>
    </row>
    <row r="656" spans="16:35" x14ac:dyDescent="0.3">
      <c r="P656" s="9">
        <v>0.28982627260166871</v>
      </c>
      <c r="Q656" s="9">
        <v>0.19419953919643906</v>
      </c>
      <c r="R656" s="9">
        <v>0.15547057525526531</v>
      </c>
      <c r="S656" s="9">
        <v>0.36050361294662692</v>
      </c>
      <c r="U656" s="9">
        <f t="array" ref="U656">MMULT(TRANSPOSE($B$3:$B$6),TRANSPOSE(P656:S656))</f>
        <v>8.77157545949801E-2</v>
      </c>
      <c r="V656" s="9">
        <f>INT(200*U656)/200</f>
        <v>8.5000000000000006E-2</v>
      </c>
      <c r="W656" s="9">
        <f t="array" ref="W656">SQRT(MMULT(MMULT(P656:S656,$K$3:$N$6),TRANSPOSE(P656:S656)))</f>
        <v>9.0096859063188123E-2</v>
      </c>
      <c r="Y656" s="31">
        <f>U656/W656</f>
        <v>0.97357172610714349</v>
      </c>
      <c r="AA656" s="9">
        <f t="shared" si="83"/>
        <v>0.25591137576742817</v>
      </c>
      <c r="AB656" s="9">
        <f t="shared" si="84"/>
        <v>0.20545190909372793</v>
      </c>
      <c r="AC656" s="9">
        <f t="shared" si="85"/>
        <v>0.2439082955145159</v>
      </c>
      <c r="AD656" s="9">
        <f t="shared" si="86"/>
        <v>0.29472841962432794</v>
      </c>
      <c r="AE656" s="9"/>
      <c r="AF656" s="9">
        <f t="shared" si="87"/>
        <v>0.62482727563811191</v>
      </c>
      <c r="AG656" s="9">
        <f t="shared" si="88"/>
        <v>0.35318361902052592</v>
      </c>
      <c r="AH656" s="9">
        <f t="shared" si="89"/>
        <v>0.48976424833892107</v>
      </c>
      <c r="AI656" s="9">
        <f t="shared" si="90"/>
        <v>0.37532677895860422</v>
      </c>
    </row>
    <row r="657" spans="16:35" x14ac:dyDescent="0.3">
      <c r="P657" s="9">
        <v>0.33281653334288336</v>
      </c>
      <c r="Q657" s="9">
        <v>0.16601929740699778</v>
      </c>
      <c r="R657" s="9">
        <v>0.17621361283555984</v>
      </c>
      <c r="S657" s="9">
        <v>0.32495055641455911</v>
      </c>
      <c r="U657" s="9">
        <f t="array" ref="U657">MMULT(TRANSPOSE($B$3:$B$6),TRANSPOSE(P657:S657))</f>
        <v>8.4903132763176681E-2</v>
      </c>
      <c r="V657" s="9">
        <f>INT(200*U657)/200</f>
        <v>0.08</v>
      </c>
      <c r="W657" s="9">
        <f t="array" ref="W657">SQRT(MMULT(MMULT(P657:S657,$K$3:$N$6),TRANSPOSE(P657:S657)))</f>
        <v>8.7212025995103012E-2</v>
      </c>
      <c r="Y657" s="31">
        <f>U657/W657</f>
        <v>0.9735255177760006</v>
      </c>
      <c r="AA657" s="9">
        <f t="shared" si="83"/>
        <v>0.25510621278168766</v>
      </c>
      <c r="AB657" s="9">
        <f t="shared" si="84"/>
        <v>0.20556711065422933</v>
      </c>
      <c r="AC657" s="9">
        <f t="shared" si="85"/>
        <v>0.24909038228829572</v>
      </c>
      <c r="AD657" s="9">
        <f t="shared" si="86"/>
        <v>0.29023629427578729</v>
      </c>
      <c r="AE657" s="9"/>
      <c r="AF657" s="9">
        <f t="shared" si="87"/>
        <v>0.62616006175745698</v>
      </c>
      <c r="AG657" s="9">
        <f t="shared" si="88"/>
        <v>0.35265080102647395</v>
      </c>
      <c r="AH657" s="9">
        <f t="shared" si="89"/>
        <v>0.49670304884987648</v>
      </c>
      <c r="AI657" s="9">
        <f t="shared" si="90"/>
        <v>0.39340971128499647</v>
      </c>
    </row>
    <row r="658" spans="16:35" x14ac:dyDescent="0.3">
      <c r="P658" s="9">
        <v>0.47587991728055695</v>
      </c>
      <c r="Q658" s="9">
        <v>0.12110301968548777</v>
      </c>
      <c r="R658" s="9">
        <v>0.336365241203474</v>
      </c>
      <c r="S658" s="9">
        <v>6.6651821830481212E-2</v>
      </c>
      <c r="U658" s="9">
        <f t="array" ref="U658">MMULT(TRANSPOSE($B$3:$B$6),TRANSPOSE(P658:S658))</f>
        <v>7.6544043821694274E-2</v>
      </c>
      <c r="V658" s="9">
        <f>INT(200*U658)/200</f>
        <v>7.4999999999999997E-2</v>
      </c>
      <c r="W658" s="9">
        <f t="array" ref="W658">SQRT(MMULT(MMULT(P658:S658,$K$3:$N$6),TRANSPOSE(P658:S658)))</f>
        <v>7.8632857324516914E-2</v>
      </c>
      <c r="Y658" s="31">
        <f>U658/W658</f>
        <v>0.97343586925498427</v>
      </c>
      <c r="AA658" s="9">
        <f t="shared" si="83"/>
        <v>0.2583214245012122</v>
      </c>
      <c r="AB658" s="9">
        <f t="shared" si="84"/>
        <v>0.20377557367457749</v>
      </c>
      <c r="AC658" s="9">
        <f t="shared" si="85"/>
        <v>0.2490303855113899</v>
      </c>
      <c r="AD658" s="9">
        <f t="shared" si="86"/>
        <v>0.28887261631282035</v>
      </c>
      <c r="AE658" s="9"/>
      <c r="AF658" s="9">
        <f t="shared" si="87"/>
        <v>0.61382284583212299</v>
      </c>
      <c r="AG658" s="9">
        <f t="shared" si="88"/>
        <v>0.35661274595231551</v>
      </c>
      <c r="AH658" s="9">
        <f t="shared" si="89"/>
        <v>0.49667297743734179</v>
      </c>
      <c r="AI658" s="9">
        <f t="shared" si="90"/>
        <v>0.39574923686967389</v>
      </c>
    </row>
    <row r="659" spans="16:35" x14ac:dyDescent="0.3">
      <c r="P659" s="9">
        <v>0.41048870408502441</v>
      </c>
      <c r="Q659" s="9">
        <v>0.13216820335457033</v>
      </c>
      <c r="R659" s="9">
        <v>0.17679715002651639</v>
      </c>
      <c r="S659" s="9">
        <v>0.28054594253388881</v>
      </c>
      <c r="U659" s="9">
        <f t="array" ref="U659">MMULT(TRANSPOSE($B$3:$B$6),TRANSPOSE(P659:S659))</f>
        <v>8.0421389254002246E-2</v>
      </c>
      <c r="V659" s="9">
        <f>INT(200*U659)/200</f>
        <v>0.08</v>
      </c>
      <c r="W659" s="9">
        <f t="array" ref="W659">SQRT(MMULT(MMULT(P659:S659,$K$3:$N$6),TRANSPOSE(P659:S659)))</f>
        <v>8.2618694808876028E-2</v>
      </c>
      <c r="Y659" s="31">
        <f>U659/W659</f>
        <v>0.9734042572331012</v>
      </c>
      <c r="AA659" s="9">
        <f t="shared" si="83"/>
        <v>0.2460583672185275</v>
      </c>
      <c r="AB659" s="9">
        <f t="shared" si="84"/>
        <v>0.21540830004750736</v>
      </c>
      <c r="AC659" s="9">
        <f t="shared" si="85"/>
        <v>0.23824643526435066</v>
      </c>
      <c r="AD659" s="9">
        <f t="shared" si="86"/>
        <v>0.30028689746961446</v>
      </c>
      <c r="AE659" s="9"/>
      <c r="AF659" s="9">
        <f t="shared" si="87"/>
        <v>0.67059319228266434</v>
      </c>
      <c r="AG659" s="9">
        <f t="shared" si="88"/>
        <v>0.39263838006053381</v>
      </c>
      <c r="AH659" s="9">
        <f t="shared" si="89"/>
        <v>0.5556956019934679</v>
      </c>
      <c r="AI659" s="9">
        <f t="shared" si="90"/>
        <v>0.41502239812677433</v>
      </c>
    </row>
    <row r="660" spans="16:35" x14ac:dyDescent="0.3">
      <c r="P660" s="9">
        <v>0.31162390183378724</v>
      </c>
      <c r="Q660" s="9">
        <v>0.15440137791494576</v>
      </c>
      <c r="R660" s="9">
        <v>0.27690701122141076</v>
      </c>
      <c r="S660" s="9">
        <v>0.2570677090298561</v>
      </c>
      <c r="U660" s="9">
        <f t="array" ref="U660">MMULT(TRANSPOSE($B$3:$B$6),TRANSPOSE(P660:S660))</f>
        <v>8.5189513386776633E-2</v>
      </c>
      <c r="V660" s="9">
        <f>INT(200*U660)/200</f>
        <v>8.5000000000000006E-2</v>
      </c>
      <c r="W660" s="9">
        <f t="array" ref="W660">SQRT(MMULT(MMULT(P660:S660,$K$3:$N$6),TRANSPOSE(P660:S660)))</f>
        <v>8.758627751804457E-2</v>
      </c>
      <c r="Y660" s="31">
        <f>U660/W660</f>
        <v>0.97263539221912754</v>
      </c>
      <c r="AA660" s="9">
        <f t="shared" si="83"/>
        <v>0.25465431226008961</v>
      </c>
      <c r="AB660" s="9">
        <f t="shared" si="84"/>
        <v>0.21188331172286629</v>
      </c>
      <c r="AC660" s="9">
        <f t="shared" si="85"/>
        <v>0.23240270112484865</v>
      </c>
      <c r="AD660" s="9">
        <f t="shared" si="86"/>
        <v>0.30105967489219548</v>
      </c>
      <c r="AE660" s="9"/>
      <c r="AF660" s="9">
        <f t="shared" si="87"/>
        <v>0.62091493830444522</v>
      </c>
      <c r="AG660" s="9">
        <f t="shared" si="88"/>
        <v>0.39147116755888767</v>
      </c>
      <c r="AH660" s="9">
        <f t="shared" si="89"/>
        <v>0.56491426445423798</v>
      </c>
      <c r="AI660" s="9">
        <f t="shared" si="90"/>
        <v>0.41530887043382092</v>
      </c>
    </row>
    <row r="661" spans="16:35" x14ac:dyDescent="0.3">
      <c r="P661" s="9">
        <v>0.40979809979840898</v>
      </c>
      <c r="Q661" s="9">
        <v>0.12043127068888981</v>
      </c>
      <c r="R661" s="9">
        <v>0.2934146750372994</v>
      </c>
      <c r="S661" s="9">
        <v>0.1763559544754017</v>
      </c>
      <c r="U661" s="9">
        <f t="array" ref="U661">MMULT(TRANSPOSE($B$3:$B$6),TRANSPOSE(P661:S661))</f>
        <v>7.9707803613367795E-2</v>
      </c>
      <c r="V661" s="9">
        <f>INT(200*U661)/200</f>
        <v>7.4999999999999997E-2</v>
      </c>
      <c r="W661" s="9">
        <f t="array" ref="W661">SQRT(MMULT(MMULT(P661:S661,$K$3:$N$6),TRANSPOSE(P661:S661)))</f>
        <v>8.2023856103661419E-2</v>
      </c>
      <c r="Y661" s="31">
        <f>U661/W661</f>
        <v>0.97176367217646287</v>
      </c>
      <c r="AA661" s="9">
        <f t="shared" si="83"/>
        <v>0.23336442363483451</v>
      </c>
      <c r="AB661" s="9">
        <f t="shared" si="84"/>
        <v>0.22093603021445038</v>
      </c>
      <c r="AC661" s="9">
        <f t="shared" si="85"/>
        <v>0.23156044486038074</v>
      </c>
      <c r="AD661" s="9">
        <f t="shared" si="86"/>
        <v>0.3141391012903344</v>
      </c>
      <c r="AE661" s="9"/>
      <c r="AF661" s="9">
        <f t="shared" si="87"/>
        <v>0.64242749963494583</v>
      </c>
      <c r="AG661" s="9">
        <f t="shared" si="88"/>
        <v>0.36281398770098405</v>
      </c>
      <c r="AH661" s="9">
        <f t="shared" si="89"/>
        <v>0.56708700713691229</v>
      </c>
      <c r="AI661" s="9">
        <f t="shared" si="90"/>
        <v>0.38791778133629601</v>
      </c>
    </row>
    <row r="662" spans="16:35" x14ac:dyDescent="0.3">
      <c r="P662" s="9">
        <v>0.21279860557898864</v>
      </c>
      <c r="Q662" s="9">
        <v>0.31397755245703052</v>
      </c>
      <c r="R662" s="9">
        <v>5.48868748969541E-3</v>
      </c>
      <c r="S662" s="9">
        <v>0.46773515447428538</v>
      </c>
      <c r="U662" s="9">
        <f t="array" ref="U662">MMULT(TRANSPOSE($B$3:$B$6),TRANSPOSE(P662:S662))</f>
        <v>9.5056475343910846E-2</v>
      </c>
      <c r="V662" s="9">
        <f>INT(200*U662)/200</f>
        <v>9.5000000000000001E-2</v>
      </c>
      <c r="W662" s="9">
        <f t="array" ref="W662">SQRT(MMULT(MMULT(P662:S662,$K$3:$N$6),TRANSPOSE(P662:S662)))</f>
        <v>9.7850708835170552E-2</v>
      </c>
      <c r="Y662" s="31">
        <f>U662/W662</f>
        <v>0.97144391160245358</v>
      </c>
      <c r="AA662" s="9">
        <f t="shared" si="83"/>
        <v>0.23776660412632844</v>
      </c>
      <c r="AB662" s="9">
        <f t="shared" si="84"/>
        <v>0.22314073458468614</v>
      </c>
      <c r="AC662" s="9">
        <f t="shared" si="85"/>
        <v>0.2126549571378423</v>
      </c>
      <c r="AD662" s="9">
        <f t="shared" si="86"/>
        <v>0.32643770415114309</v>
      </c>
      <c r="AE662" s="9"/>
      <c r="AF662" s="9">
        <f t="shared" si="87"/>
        <v>0.6098212462155258</v>
      </c>
      <c r="AG662" s="9">
        <f t="shared" si="88"/>
        <v>0.36888612299472312</v>
      </c>
      <c r="AH662" s="9">
        <f t="shared" si="89"/>
        <v>0.57397998019901975</v>
      </c>
      <c r="AI662" s="9">
        <f t="shared" si="90"/>
        <v>0.38051041535939084</v>
      </c>
    </row>
    <row r="663" spans="16:35" x14ac:dyDescent="0.3">
      <c r="P663" s="9">
        <v>0.14685308484559459</v>
      </c>
      <c r="Q663" s="9">
        <v>0.23906164293631693</v>
      </c>
      <c r="R663" s="9">
        <v>0.25035757389975438</v>
      </c>
      <c r="S663" s="9">
        <v>0.36372769831833418</v>
      </c>
      <c r="U663" s="9">
        <f t="array" ref="U663">MMULT(TRANSPOSE($B$3:$B$6),TRANSPOSE(P663:S663))</f>
        <v>9.5139694713178263E-2</v>
      </c>
      <c r="V663" s="9">
        <f>INT(200*U663)/200</f>
        <v>9.5000000000000001E-2</v>
      </c>
      <c r="W663" s="9">
        <f t="array" ref="W663">SQRT(MMULT(MMULT(P663:S663,$K$3:$N$6),TRANSPOSE(P663:S663)))</f>
        <v>9.796107393382901E-2</v>
      </c>
      <c r="Y663" s="31">
        <f>U663/W663</f>
        <v>0.97119897621215812</v>
      </c>
      <c r="AA663" s="9">
        <f t="shared" si="83"/>
        <v>0.24069011934427872</v>
      </c>
      <c r="AB663" s="9">
        <f t="shared" si="84"/>
        <v>0.2200933447942317</v>
      </c>
      <c r="AC663" s="9">
        <f t="shared" si="85"/>
        <v>0.21699008208716553</v>
      </c>
      <c r="AD663" s="9">
        <f t="shared" si="86"/>
        <v>0.32222645377432391</v>
      </c>
      <c r="AE663" s="9"/>
      <c r="AF663" s="9">
        <f t="shared" si="87"/>
        <v>0.60851257392521829</v>
      </c>
      <c r="AG663" s="9">
        <f t="shared" si="88"/>
        <v>0.38156130028233892</v>
      </c>
      <c r="AH663" s="9">
        <f t="shared" si="89"/>
        <v>0.55607696835204412</v>
      </c>
      <c r="AI663" s="9">
        <f t="shared" si="90"/>
        <v>0.38428502797997321</v>
      </c>
    </row>
    <row r="664" spans="16:35" x14ac:dyDescent="0.3">
      <c r="P664" s="9">
        <v>6.5428399202322865E-2</v>
      </c>
      <c r="Q664" s="9">
        <v>0.3078593833217444</v>
      </c>
      <c r="R664" s="9">
        <v>0.19269817015407156</v>
      </c>
      <c r="S664" s="9">
        <v>0.43401404732186122</v>
      </c>
      <c r="U664" s="9">
        <f t="array" ref="U664">MMULT(TRANSPOSE($B$3:$B$6),TRANSPOSE(P664:S664))</f>
        <v>0.10095456932528064</v>
      </c>
      <c r="V664" s="9">
        <f>INT(200*U664)/200</f>
        <v>0.1</v>
      </c>
      <c r="W664" s="9">
        <f t="array" ref="W664">SQRT(MMULT(MMULT(P664:S664,$K$3:$N$6),TRANSPOSE(P664:S664)))</f>
        <v>0.10399889720440224</v>
      </c>
      <c r="Y664" s="31">
        <f>U664/W664</f>
        <v>0.97072730614500469</v>
      </c>
      <c r="AA664" s="9">
        <f t="shared" si="83"/>
        <v>0.2392785061222788</v>
      </c>
      <c r="AB664" s="9">
        <f t="shared" si="84"/>
        <v>0.21980746118389854</v>
      </c>
      <c r="AC664" s="9">
        <f t="shared" si="85"/>
        <v>0.20831306746176548</v>
      </c>
      <c r="AD664" s="9">
        <f t="shared" si="86"/>
        <v>0.33260096523205707</v>
      </c>
      <c r="AE664" s="9"/>
      <c r="AF664" s="9">
        <f t="shared" si="87"/>
        <v>0.61479818650295437</v>
      </c>
      <c r="AG664" s="9">
        <f t="shared" si="88"/>
        <v>0.38212209256403085</v>
      </c>
      <c r="AH664" s="9">
        <f t="shared" si="89"/>
        <v>0.50394453872919276</v>
      </c>
      <c r="AI664" s="9">
        <f t="shared" si="90"/>
        <v>0.33721843975096077</v>
      </c>
    </row>
    <row r="665" spans="16:35" x14ac:dyDescent="0.3">
      <c r="P665" s="9">
        <v>6.0685216532791657E-4</v>
      </c>
      <c r="Q665" s="9">
        <v>0.354395768309612</v>
      </c>
      <c r="R665" s="9">
        <v>0.18043700022284501</v>
      </c>
      <c r="S665" s="9">
        <v>0.46456037930221517</v>
      </c>
      <c r="U665" s="9">
        <f t="array" ref="U665">MMULT(TRANSPOSE($B$3:$B$6),TRANSPOSE(P665:S665))</f>
        <v>0.10523654923047049</v>
      </c>
      <c r="V665" s="9">
        <f>INT(200*U665)/200</f>
        <v>0.105</v>
      </c>
      <c r="W665" s="9">
        <f t="array" ref="W665">SQRT(MMULT(MMULT(P665:S665,$K$3:$N$6),TRANSPOSE(P665:S665)))</f>
        <v>0.10855583960530203</v>
      </c>
      <c r="Y665" s="31">
        <f>U665/W665</f>
        <v>0.96942319835671531</v>
      </c>
      <c r="AA665" s="9">
        <f t="shared" si="83"/>
        <v>0.23862776055157559</v>
      </c>
      <c r="AB665" s="9">
        <f t="shared" si="84"/>
        <v>0.21929067307485553</v>
      </c>
      <c r="AC665" s="9">
        <f t="shared" si="85"/>
        <v>0.21081096444580036</v>
      </c>
      <c r="AD665" s="9">
        <f t="shared" si="86"/>
        <v>0.33127060192776842</v>
      </c>
      <c r="AE665" s="9"/>
      <c r="AF665" s="9">
        <f t="shared" si="87"/>
        <v>0.61917286242235936</v>
      </c>
      <c r="AG665" s="9">
        <f t="shared" si="88"/>
        <v>0.38217018186776797</v>
      </c>
      <c r="AH665" s="9">
        <f t="shared" si="89"/>
        <v>0.51041799989740155</v>
      </c>
      <c r="AI665" s="9">
        <f t="shared" si="90"/>
        <v>0.33843358197534174</v>
      </c>
    </row>
    <row r="666" spans="16:35" x14ac:dyDescent="0.3">
      <c r="P666" s="9">
        <v>0.54188672898747048</v>
      </c>
      <c r="Q666" s="9">
        <v>0.12604643772588514</v>
      </c>
      <c r="R666" s="9">
        <v>3.6282176682378015E-2</v>
      </c>
      <c r="S666" s="9">
        <v>0.29578465660426639</v>
      </c>
      <c r="U666" s="9">
        <f t="array" ref="U666">MMULT(TRANSPOSE($B$3:$B$6),TRANSPOSE(P666:S666))</f>
        <v>7.4750501155895752E-2</v>
      </c>
      <c r="V666" s="9">
        <f>INT(200*U666)/200</f>
        <v>7.0000000000000007E-2</v>
      </c>
      <c r="W666" s="9">
        <f t="array" ref="W666">SQRT(MMULT(MMULT(P666:S666,$K$3:$N$6),TRANSPOSE(P666:S666)))</f>
        <v>7.7115271290233794E-2</v>
      </c>
      <c r="Y666" s="31">
        <f>U666/W666</f>
        <v>0.96933460656012072</v>
      </c>
      <c r="AA666" s="9">
        <f t="shared" si="83"/>
        <v>0.24296397738357642</v>
      </c>
      <c r="AB666" s="9">
        <f t="shared" si="84"/>
        <v>0.21658897768381516</v>
      </c>
      <c r="AC666" s="9">
        <f t="shared" si="85"/>
        <v>0.21787587727787891</v>
      </c>
      <c r="AD666" s="9">
        <f t="shared" si="86"/>
        <v>0.32257116765472943</v>
      </c>
      <c r="AE666" s="9"/>
      <c r="AF666" s="9">
        <f t="shared" si="87"/>
        <v>0.61434455194258009</v>
      </c>
      <c r="AG666" s="9">
        <f t="shared" si="88"/>
        <v>0.39437298798984194</v>
      </c>
      <c r="AH666" s="9">
        <f t="shared" si="89"/>
        <v>0.51739505188100099</v>
      </c>
      <c r="AI666" s="9">
        <f t="shared" si="90"/>
        <v>0.36659000104165534</v>
      </c>
    </row>
    <row r="667" spans="16:35" x14ac:dyDescent="0.3">
      <c r="P667" s="9">
        <v>0.27788440539622838</v>
      </c>
      <c r="Q667" s="9">
        <v>0.1654415711548925</v>
      </c>
      <c r="R667" s="9">
        <v>0.39624947605826721</v>
      </c>
      <c r="S667" s="9">
        <v>0.16042454739061179</v>
      </c>
      <c r="U667" s="9">
        <f t="array" ref="U667">MMULT(TRANSPOSE($B$3:$B$6),TRANSPOSE(P667:S667))</f>
        <v>8.660046237439982E-2</v>
      </c>
      <c r="V667" s="9">
        <f>INT(200*U667)/200</f>
        <v>8.5000000000000006E-2</v>
      </c>
      <c r="W667" s="9">
        <f t="array" ref="W667">SQRT(MMULT(MMULT(P667:S667,$K$3:$N$6),TRANSPOSE(P667:S667)))</f>
        <v>8.9351112325983972E-2</v>
      </c>
      <c r="Y667" s="31">
        <f>U667/W667</f>
        <v>0.96921526906627842</v>
      </c>
      <c r="AA667" s="9">
        <f t="shared" si="83"/>
        <v>0.24502582350050156</v>
      </c>
      <c r="AB667" s="9">
        <f t="shared" si="84"/>
        <v>0.21596085368615831</v>
      </c>
      <c r="AC667" s="9">
        <f t="shared" si="85"/>
        <v>0.21591371867307851</v>
      </c>
      <c r="AD667" s="9">
        <f t="shared" si="86"/>
        <v>0.32309960414026162</v>
      </c>
      <c r="AE667" s="9"/>
      <c r="AF667" s="9">
        <f t="shared" si="87"/>
        <v>0.6131564224909688</v>
      </c>
      <c r="AG667" s="9">
        <f t="shared" si="88"/>
        <v>0.39654377168079313</v>
      </c>
      <c r="AH667" s="9">
        <f t="shared" si="89"/>
        <v>0.5289947491077569</v>
      </c>
      <c r="AI667" s="9">
        <f t="shared" si="90"/>
        <v>0.3666175112640685</v>
      </c>
    </row>
    <row r="668" spans="16:35" x14ac:dyDescent="0.3">
      <c r="P668" s="9">
        <v>0.23514143211895422</v>
      </c>
      <c r="Q668" s="9">
        <v>0.17908634466891266</v>
      </c>
      <c r="R668" s="9">
        <v>0.32165469316238771</v>
      </c>
      <c r="S668" s="9">
        <v>0.26411753004974542</v>
      </c>
      <c r="U668" s="9">
        <f t="array" ref="U668">MMULT(TRANSPOSE($B$3:$B$6),TRANSPOSE(P668:S668))</f>
        <v>8.9201527830063493E-2</v>
      </c>
      <c r="V668" s="9">
        <f>INT(200*U668)/200</f>
        <v>8.5000000000000006E-2</v>
      </c>
      <c r="W668" s="9">
        <f t="array" ref="W668">SQRT(MMULT(MMULT(P668:S668,$K$3:$N$6),TRANSPOSE(P668:S668)))</f>
        <v>9.2076802941559649E-2</v>
      </c>
      <c r="Y668" s="31">
        <f>U668/W668</f>
        <v>0.9687730783472025</v>
      </c>
      <c r="AA668" s="9">
        <f t="shared" si="83"/>
        <v>0.24121742018456077</v>
      </c>
      <c r="AB668" s="9">
        <f t="shared" si="84"/>
        <v>0.216799676573109</v>
      </c>
      <c r="AC668" s="9">
        <f t="shared" si="85"/>
        <v>0.22962687969177842</v>
      </c>
      <c r="AD668" s="9">
        <f t="shared" si="86"/>
        <v>0.3123560235505517</v>
      </c>
      <c r="AE668" s="9"/>
      <c r="AF668" s="9">
        <f t="shared" si="87"/>
        <v>0.61732800228233164</v>
      </c>
      <c r="AG668" s="9">
        <f t="shared" si="88"/>
        <v>0.39303331001180353</v>
      </c>
      <c r="AH668" s="9">
        <f t="shared" si="89"/>
        <v>0.54829046773941537</v>
      </c>
      <c r="AI668" s="9">
        <f t="shared" si="90"/>
        <v>0.41015753347422573</v>
      </c>
    </row>
    <row r="669" spans="16:35" x14ac:dyDescent="0.3">
      <c r="P669" s="9">
        <v>4.2493300301576123E-2</v>
      </c>
      <c r="Q669" s="9">
        <v>0.40839064462190361</v>
      </c>
      <c r="R669" s="9">
        <v>3.1963350666926592E-2</v>
      </c>
      <c r="S669" s="9">
        <v>0.51715270440959371</v>
      </c>
      <c r="U669" s="9">
        <f t="array" ref="U669">MMULT(TRANSPOSE($B$3:$B$6),TRANSPOSE(P669:S669))</f>
        <v>0.10533283883189334</v>
      </c>
      <c r="V669" s="9">
        <f>INT(200*U669)/200</f>
        <v>0.105</v>
      </c>
      <c r="W669" s="9">
        <f t="array" ref="W669">SQRT(MMULT(MMULT(P669:S669,$K$3:$N$6),TRANSPOSE(P669:S669)))</f>
        <v>0.10878873338296297</v>
      </c>
      <c r="Y669" s="31">
        <f>U669/W669</f>
        <v>0.96823297373171879</v>
      </c>
      <c r="AA669" s="9">
        <f t="shared" si="83"/>
        <v>0.22992213441041892</v>
      </c>
      <c r="AB669" s="9">
        <f t="shared" si="84"/>
        <v>0.21967379776718041</v>
      </c>
      <c r="AC669" s="9">
        <f t="shared" si="85"/>
        <v>0.22630765396428695</v>
      </c>
      <c r="AD669" s="9">
        <f t="shared" si="86"/>
        <v>0.32409641385811366</v>
      </c>
      <c r="AE669" s="9"/>
      <c r="AF669" s="9">
        <f t="shared" si="87"/>
        <v>0.60402507857222976</v>
      </c>
      <c r="AG669" s="9">
        <f t="shared" si="88"/>
        <v>0.37694170093505425</v>
      </c>
      <c r="AH669" s="9">
        <f t="shared" si="89"/>
        <v>0.54726216380160819</v>
      </c>
      <c r="AI669" s="9">
        <f t="shared" si="90"/>
        <v>0.35517162615334796</v>
      </c>
    </row>
    <row r="670" spans="16:35" x14ac:dyDescent="0.3">
      <c r="P670" s="9">
        <v>0.21734639044940277</v>
      </c>
      <c r="Q670" s="9">
        <v>0.21355234049889285</v>
      </c>
      <c r="R670" s="9">
        <v>0.19770579808053934</v>
      </c>
      <c r="S670" s="9">
        <v>0.3713954709711651</v>
      </c>
      <c r="U670" s="9">
        <f t="array" ref="U670">MMULT(TRANSPOSE($B$3:$B$6),TRANSPOSE(P670:S670))</f>
        <v>9.1408214205743035E-2</v>
      </c>
      <c r="V670" s="9">
        <f>INT(200*U670)/200</f>
        <v>0.09</v>
      </c>
      <c r="W670" s="9">
        <f t="array" ref="W670">SQRT(MMULT(MMULT(P670:S670,$K$3:$N$6),TRANSPOSE(P670:S670)))</f>
        <v>9.4431181058112434E-2</v>
      </c>
      <c r="Y670" s="31">
        <f>U670/W670</f>
        <v>0.96798761999482907</v>
      </c>
      <c r="AA670" s="9">
        <f t="shared" si="83"/>
        <v>0.22527460661303222</v>
      </c>
      <c r="AB670" s="9">
        <f t="shared" si="84"/>
        <v>0.22147408746038386</v>
      </c>
      <c r="AC670" s="9">
        <f t="shared" si="85"/>
        <v>0.23969137331088886</v>
      </c>
      <c r="AD670" s="9">
        <f t="shared" si="86"/>
        <v>0.31355993261569493</v>
      </c>
      <c r="AE670" s="9"/>
      <c r="AF670" s="9">
        <f t="shared" si="87"/>
        <v>0.5952037634457894</v>
      </c>
      <c r="AG670" s="9">
        <f t="shared" si="88"/>
        <v>0.3666436423182553</v>
      </c>
      <c r="AH670" s="9">
        <f t="shared" si="89"/>
        <v>0.55519063470465491</v>
      </c>
      <c r="AI670" s="9">
        <f t="shared" si="90"/>
        <v>0.41021953930485461</v>
      </c>
    </row>
    <row r="671" spans="16:35" x14ac:dyDescent="0.3">
      <c r="P671" s="9">
        <v>7.6955338919581645E-2</v>
      </c>
      <c r="Q671" s="9">
        <v>0.28754727351131643</v>
      </c>
      <c r="R671" s="9">
        <v>0.21908190860102059</v>
      </c>
      <c r="S671" s="9">
        <v>0.41641547896808134</v>
      </c>
      <c r="U671" s="9">
        <f t="array" ref="U671">MMULT(TRANSPOSE($B$3:$B$6),TRANSPOSE(P671:S671))</f>
        <v>9.9776562424490331E-2</v>
      </c>
      <c r="V671" s="9">
        <f>INT(200*U671)/200</f>
        <v>9.5000000000000001E-2</v>
      </c>
      <c r="W671" s="9">
        <f t="array" ref="W671">SQRT(MMULT(MMULT(P671:S671,$K$3:$N$6),TRANSPOSE(P671:S671)))</f>
        <v>0.10308633447787791</v>
      </c>
      <c r="Y671" s="31">
        <f>U671/W671</f>
        <v>0.96789320262330358</v>
      </c>
      <c r="AA671" s="9">
        <f t="shared" si="83"/>
        <v>0.21187575080972385</v>
      </c>
      <c r="AB671" s="9">
        <f t="shared" si="84"/>
        <v>0.22721014797004263</v>
      </c>
      <c r="AC671" s="9">
        <f t="shared" si="85"/>
        <v>0.25299407919414485</v>
      </c>
      <c r="AD671" s="9">
        <f t="shared" si="86"/>
        <v>0.30792002202608859</v>
      </c>
      <c r="AE671" s="9"/>
      <c r="AF671" s="9">
        <f t="shared" si="87"/>
        <v>0.65601180313953411</v>
      </c>
      <c r="AG671" s="9">
        <f t="shared" si="88"/>
        <v>0.35420285332983314</v>
      </c>
      <c r="AH671" s="9">
        <f t="shared" si="89"/>
        <v>0.59243322464783033</v>
      </c>
      <c r="AI671" s="9">
        <f t="shared" si="90"/>
        <v>0.43428431660051131</v>
      </c>
    </row>
    <row r="672" spans="16:35" x14ac:dyDescent="0.3">
      <c r="P672" s="9">
        <v>0.12468697838048502</v>
      </c>
      <c r="Q672" s="9">
        <v>0.32080558898159717</v>
      </c>
      <c r="R672" s="9">
        <v>8.2666846547396172E-2</v>
      </c>
      <c r="S672" s="9">
        <v>0.47184058609052165</v>
      </c>
      <c r="U672" s="9">
        <f t="array" ref="U672">MMULT(TRANSPOSE($B$3:$B$6),TRANSPOSE(P672:S672))</f>
        <v>9.8995615300673065E-2</v>
      </c>
      <c r="V672" s="9">
        <f>INT(200*U672)/200</f>
        <v>9.5000000000000001E-2</v>
      </c>
      <c r="W672" s="9">
        <f t="array" ref="W672">SQRT(MMULT(MMULT(P672:S672,$K$3:$N$6),TRANSPOSE(P672:S672)))</f>
        <v>0.10229684691712226</v>
      </c>
      <c r="Y672" s="31">
        <f>U672/W672</f>
        <v>0.967728901565033</v>
      </c>
      <c r="AA672" s="9">
        <f t="shared" si="83"/>
        <v>0.20652866523918179</v>
      </c>
      <c r="AB672" s="9">
        <f t="shared" si="84"/>
        <v>0.23044065311142845</v>
      </c>
      <c r="AC672" s="9">
        <f t="shared" si="85"/>
        <v>0.26254036064004727</v>
      </c>
      <c r="AD672" s="9">
        <f t="shared" si="86"/>
        <v>0.30049032100934248</v>
      </c>
      <c r="AE672" s="9"/>
      <c r="AF672" s="9">
        <f t="shared" si="87"/>
        <v>0.644124441113479</v>
      </c>
      <c r="AG672" s="9">
        <f t="shared" si="88"/>
        <v>0.33533932311111625</v>
      </c>
      <c r="AH672" s="9">
        <f t="shared" si="89"/>
        <v>0.60451489569905215</v>
      </c>
      <c r="AI672" s="9">
        <f t="shared" si="90"/>
        <v>0.48333871993429584</v>
      </c>
    </row>
    <row r="673" spans="16:35" x14ac:dyDescent="0.3">
      <c r="P673" s="9">
        <v>0.33960867485122431</v>
      </c>
      <c r="Q673" s="9">
        <v>0.14633899425015262</v>
      </c>
      <c r="R673" s="9">
        <v>0.22310807108839825</v>
      </c>
      <c r="S673" s="9">
        <v>0.29094425981022481</v>
      </c>
      <c r="U673" s="9">
        <f t="array" ref="U673">MMULT(TRANSPOSE($B$3:$B$6),TRANSPOSE(P673:S673))</f>
        <v>8.3884386843772182E-2</v>
      </c>
      <c r="V673" s="9">
        <f>INT(200*U673)/200</f>
        <v>0.08</v>
      </c>
      <c r="W673" s="9">
        <f t="array" ref="W673">SQRT(MMULT(MMULT(P673:S673,$K$3:$N$6),TRANSPOSE(P673:S673)))</f>
        <v>8.6733696684902106E-2</v>
      </c>
      <c r="Y673" s="31">
        <f>U673/W673</f>
        <v>0.96714875590416394</v>
      </c>
      <c r="AA673" s="9">
        <f t="shared" si="83"/>
        <v>0.20907036233329007</v>
      </c>
      <c r="AB673" s="9">
        <f t="shared" si="84"/>
        <v>0.22826376177092161</v>
      </c>
      <c r="AC673" s="9">
        <f t="shared" si="85"/>
        <v>0.26292434229872452</v>
      </c>
      <c r="AD673" s="9">
        <f t="shared" si="86"/>
        <v>0.29974153359706379</v>
      </c>
      <c r="AE673" s="9"/>
      <c r="AF673" s="9">
        <f t="shared" si="87"/>
        <v>0.6393270395721703</v>
      </c>
      <c r="AG673" s="9">
        <f t="shared" si="88"/>
        <v>0.33043640646158823</v>
      </c>
      <c r="AH673" s="9">
        <f t="shared" si="89"/>
        <v>0.60118054150394939</v>
      </c>
      <c r="AI673" s="9">
        <f t="shared" si="90"/>
        <v>0.48165229394456943</v>
      </c>
    </row>
    <row r="674" spans="16:35" x14ac:dyDescent="0.3">
      <c r="P674" s="9">
        <v>0.16128363005429627</v>
      </c>
      <c r="Q674" s="9">
        <v>0.21298005214514829</v>
      </c>
      <c r="R674" s="9">
        <v>0.31577119817882454</v>
      </c>
      <c r="S674" s="9">
        <v>0.30996511962173101</v>
      </c>
      <c r="U674" s="9">
        <f t="array" ref="U674">MMULT(TRANSPOSE($B$3:$B$6),TRANSPOSE(P674:S674))</f>
        <v>9.3529110520658737E-2</v>
      </c>
      <c r="V674" s="9">
        <f>INT(200*U674)/200</f>
        <v>0.09</v>
      </c>
      <c r="W674" s="9">
        <f t="array" ref="W674">SQRT(MMULT(MMULT(P674:S674,$K$3:$N$6),TRANSPOSE(P674:S674)))</f>
        <v>9.672828919047001E-2</v>
      </c>
      <c r="Y674" s="31">
        <f>U674/W674</f>
        <v>0.96692613198697541</v>
      </c>
      <c r="AA674" s="9">
        <f t="shared" si="83"/>
        <v>0.22117154194669697</v>
      </c>
      <c r="AB674" s="9">
        <f t="shared" si="84"/>
        <v>0.2246738130595386</v>
      </c>
      <c r="AC674" s="9">
        <f t="shared" si="85"/>
        <v>0.25444575860220131</v>
      </c>
      <c r="AD674" s="9">
        <f t="shared" si="86"/>
        <v>0.29970888639156312</v>
      </c>
      <c r="AE674" s="9"/>
      <c r="AF674" s="9">
        <f t="shared" si="87"/>
        <v>0.62910979679284795</v>
      </c>
      <c r="AG674" s="9">
        <f t="shared" si="88"/>
        <v>0.34125404664007886</v>
      </c>
      <c r="AH674" s="9">
        <f t="shared" si="89"/>
        <v>0.64240072202182374</v>
      </c>
      <c r="AI674" s="9">
        <f t="shared" si="90"/>
        <v>0.4816543239889528</v>
      </c>
    </row>
    <row r="675" spans="16:35" x14ac:dyDescent="0.3">
      <c r="P675" s="9">
        <v>9.3200444278258576E-2</v>
      </c>
      <c r="Q675" s="9">
        <v>0.24302557537287645</v>
      </c>
      <c r="R675" s="9">
        <v>0.3421077187986245</v>
      </c>
      <c r="S675" s="9">
        <v>0.32166626155024042</v>
      </c>
      <c r="U675" s="9">
        <f t="array" ref="U675">MMULT(TRANSPOSE($B$3:$B$6),TRANSPOSE(P675:S675))</f>
        <v>9.7369897717550724E-2</v>
      </c>
      <c r="V675" s="9">
        <f>INT(200*U675)/200</f>
        <v>9.5000000000000001E-2</v>
      </c>
      <c r="W675" s="9">
        <f t="array" ref="W675">SQRT(MMULT(MMULT(P675:S675,$K$3:$N$6),TRANSPOSE(P675:S675)))</f>
        <v>0.10080589817084813</v>
      </c>
      <c r="Y675" s="31">
        <f>U675/W675</f>
        <v>0.96591468836998018</v>
      </c>
      <c r="AA675" s="9">
        <f t="shared" si="83"/>
        <v>0.21943150553744117</v>
      </c>
      <c r="AB675" s="9">
        <f t="shared" si="84"/>
        <v>0.22349336902900385</v>
      </c>
      <c r="AC675" s="9">
        <f t="shared" si="85"/>
        <v>0.25973984882318124</v>
      </c>
      <c r="AD675" s="9">
        <f t="shared" si="86"/>
        <v>0.29733527661037362</v>
      </c>
      <c r="AE675" s="9"/>
      <c r="AF675" s="9">
        <f t="shared" si="87"/>
        <v>0.64437612724361437</v>
      </c>
      <c r="AG675" s="9">
        <f t="shared" si="88"/>
        <v>0.33785377525468013</v>
      </c>
      <c r="AH675" s="9">
        <f t="shared" si="89"/>
        <v>0.62815300877873226</v>
      </c>
      <c r="AI675" s="9">
        <f t="shared" si="90"/>
        <v>0.4790360882905455</v>
      </c>
    </row>
    <row r="676" spans="16:35" x14ac:dyDescent="0.3">
      <c r="P676" s="9">
        <v>0.33563583058306329</v>
      </c>
      <c r="Q676" s="9">
        <v>0.14153665315650646</v>
      </c>
      <c r="R676" s="9">
        <v>0.36465248762480185</v>
      </c>
      <c r="S676" s="9">
        <v>0.15817502863562832</v>
      </c>
      <c r="U676" s="9">
        <f t="array" ref="U676">MMULT(TRANSPOSE($B$3:$B$6),TRANSPOSE(P676:S676))</f>
        <v>8.3419393063391217E-2</v>
      </c>
      <c r="V676" s="9">
        <f>INT(200*U676)/200</f>
        <v>0.08</v>
      </c>
      <c r="W676" s="9">
        <f t="array" ref="W676">SQRT(MMULT(MMULT(P676:S676,$K$3:$N$6),TRANSPOSE(P676:S676)))</f>
        <v>8.6369290608726959E-2</v>
      </c>
      <c r="Y676" s="31">
        <f>U676/W676</f>
        <v>0.96584552768067222</v>
      </c>
      <c r="AA676" s="9">
        <f t="shared" si="83"/>
        <v>0.22965711116536583</v>
      </c>
      <c r="AB676" s="9">
        <f t="shared" si="84"/>
        <v>0.21564968864907336</v>
      </c>
      <c r="AC676" s="9">
        <f t="shared" si="85"/>
        <v>0.26389732060421095</v>
      </c>
      <c r="AD676" s="9">
        <f t="shared" si="86"/>
        <v>0.29079587958134973</v>
      </c>
      <c r="AE676" s="9"/>
      <c r="AF676" s="9">
        <f t="shared" si="87"/>
        <v>0.57585387087980577</v>
      </c>
      <c r="AG676" s="9">
        <f t="shared" si="88"/>
        <v>0.32251607613488081</v>
      </c>
      <c r="AH676" s="9">
        <f t="shared" si="89"/>
        <v>0.61441998166481271</v>
      </c>
      <c r="AI676" s="9">
        <f t="shared" si="90"/>
        <v>0.47262597934182071</v>
      </c>
    </row>
    <row r="677" spans="16:35" x14ac:dyDescent="0.3">
      <c r="P677" s="9">
        <v>0.33312504105709756</v>
      </c>
      <c r="Q677" s="9">
        <v>0.18100893524564449</v>
      </c>
      <c r="R677" s="9">
        <v>0.11426524455445647</v>
      </c>
      <c r="S677" s="9">
        <v>0.37160077914280132</v>
      </c>
      <c r="U677" s="9">
        <f t="array" ref="U677">MMULT(TRANSPOSE($B$3:$B$6),TRANSPOSE(P677:S677))</f>
        <v>8.5523688960485705E-2</v>
      </c>
      <c r="V677" s="9">
        <f>INT(200*U677)/200</f>
        <v>8.5000000000000006E-2</v>
      </c>
      <c r="W677" s="9">
        <f t="array" ref="W677">SQRT(MMULT(MMULT(P677:S677,$K$3:$N$6),TRANSPOSE(P677:S677)))</f>
        <v>8.8600204968437013E-2</v>
      </c>
      <c r="Y677" s="31">
        <f>U677/W677</f>
        <v>0.96527642335537156</v>
      </c>
      <c r="AA677" s="9">
        <f t="shared" si="83"/>
        <v>0.21225548119814913</v>
      </c>
      <c r="AB677" s="9">
        <f t="shared" si="84"/>
        <v>0.2195704998112587</v>
      </c>
      <c r="AC677" s="9">
        <f t="shared" si="85"/>
        <v>0.27510786148353661</v>
      </c>
      <c r="AD677" s="9">
        <f t="shared" si="86"/>
        <v>0.29306615750705556</v>
      </c>
      <c r="AE677" s="9"/>
      <c r="AF677" s="9">
        <f t="shared" si="87"/>
        <v>0.52545279375113185</v>
      </c>
      <c r="AG677" s="9">
        <f t="shared" si="88"/>
        <v>0.30286681621032174</v>
      </c>
      <c r="AH677" s="9">
        <f t="shared" si="89"/>
        <v>0.55806966257024182</v>
      </c>
      <c r="AI677" s="9">
        <f t="shared" si="90"/>
        <v>0.47060073127415802</v>
      </c>
    </row>
    <row r="678" spans="16:35" x14ac:dyDescent="0.3">
      <c r="P678" s="9">
        <v>0.25284006370812645</v>
      </c>
      <c r="Q678" s="9">
        <v>0.18363457803296235</v>
      </c>
      <c r="R678" s="9">
        <v>0.46418999422825891</v>
      </c>
      <c r="S678" s="9">
        <v>9.9335364030652226E-2</v>
      </c>
      <c r="U678" s="9">
        <f t="array" ref="U678">MMULT(TRANSPOSE($B$3:$B$6),TRANSPOSE(P678:S678))</f>
        <v>8.799576992101675E-2</v>
      </c>
      <c r="V678" s="9">
        <f>INT(200*U678)/200</f>
        <v>8.5000000000000006E-2</v>
      </c>
      <c r="W678" s="9">
        <f t="array" ref="W678">SQRT(MMULT(MMULT(P678:S678,$K$3:$N$6),TRANSPOSE(P678:S678)))</f>
        <v>9.1167180046491089E-2</v>
      </c>
      <c r="Y678" s="31">
        <f>U678/W678</f>
        <v>0.96521324753209359</v>
      </c>
      <c r="AA678" s="9">
        <f t="shared" si="83"/>
        <v>0.21377819358301547</v>
      </c>
      <c r="AB678" s="9">
        <f t="shared" si="84"/>
        <v>0.21946335135612363</v>
      </c>
      <c r="AC678" s="9">
        <f t="shared" si="85"/>
        <v>0.26518383577273785</v>
      </c>
      <c r="AD678" s="9">
        <f t="shared" si="86"/>
        <v>0.30157461928812301</v>
      </c>
      <c r="AE678" s="9"/>
      <c r="AF678" s="9">
        <f t="shared" si="87"/>
        <v>0.52710423213442126</v>
      </c>
      <c r="AG678" s="9">
        <f t="shared" si="88"/>
        <v>0.30343991599122461</v>
      </c>
      <c r="AH678" s="9">
        <f t="shared" si="89"/>
        <v>0.57332156848334093</v>
      </c>
      <c r="AI678" s="9">
        <f t="shared" si="90"/>
        <v>0.44699167416690883</v>
      </c>
    </row>
    <row r="679" spans="16:35" x14ac:dyDescent="0.3">
      <c r="P679" s="9">
        <v>0.23867891602357807</v>
      </c>
      <c r="Q679" s="9">
        <v>0.18145956476098807</v>
      </c>
      <c r="R679" s="9">
        <v>0.2666615009261521</v>
      </c>
      <c r="S679" s="9">
        <v>0.31320001828928179</v>
      </c>
      <c r="U679" s="9">
        <f t="array" ref="U679">MMULT(TRANSPOSE($B$3:$B$6),TRANSPOSE(P679:S679))</f>
        <v>8.9304737324823358E-2</v>
      </c>
      <c r="V679" s="9">
        <f>INT(200*U679)/200</f>
        <v>8.5000000000000006E-2</v>
      </c>
      <c r="W679" s="9">
        <f t="array" ref="W679">SQRT(MMULT(MMULT(P679:S679,$K$3:$N$6),TRANSPOSE(P679:S679)))</f>
        <v>9.259180894341193E-2</v>
      </c>
      <c r="Y679" s="31">
        <f>U679/W679</f>
        <v>0.96449932606244371</v>
      </c>
      <c r="AA679" s="9">
        <f t="shared" si="83"/>
        <v>0.21175577070853993</v>
      </c>
      <c r="AB679" s="9">
        <f t="shared" si="84"/>
        <v>0.22287288208118117</v>
      </c>
      <c r="AC679" s="9">
        <f t="shared" si="85"/>
        <v>0.25578332638126949</v>
      </c>
      <c r="AD679" s="9">
        <f t="shared" si="86"/>
        <v>0.30958802082900944</v>
      </c>
      <c r="AE679" s="9"/>
      <c r="AF679" s="9">
        <f t="shared" si="87"/>
        <v>0.53203708808685846</v>
      </c>
      <c r="AG679" s="9">
        <f t="shared" si="88"/>
        <v>0.29727880463913414</v>
      </c>
      <c r="AH679" s="9">
        <f t="shared" si="89"/>
        <v>0.60384392642817963</v>
      </c>
      <c r="AI679" s="9">
        <f t="shared" si="90"/>
        <v>0.44394273608718338</v>
      </c>
    </row>
    <row r="680" spans="16:35" x14ac:dyDescent="0.3">
      <c r="P680" s="9">
        <v>0.31289062033990456</v>
      </c>
      <c r="Q680" s="9">
        <v>0.16997428691184183</v>
      </c>
      <c r="R680" s="9">
        <v>0.45785525630515711</v>
      </c>
      <c r="S680" s="9">
        <v>5.9279836443096437E-2</v>
      </c>
      <c r="U680" s="9">
        <f t="array" ref="U680">MMULT(TRANSPOSE($B$3:$B$6),TRANSPOSE(P680:S680))</f>
        <v>8.4896821652783352E-2</v>
      </c>
      <c r="V680" s="9">
        <f>INT(200*U680)/200</f>
        <v>0.08</v>
      </c>
      <c r="W680" s="9">
        <f t="array" ref="W680">SQRT(MMULT(MMULT(P680:S680,$K$3:$N$6),TRANSPOSE(P680:S680)))</f>
        <v>8.8049461948454477E-2</v>
      </c>
      <c r="Y680" s="31">
        <f>U680/W680</f>
        <v>0.96419466711202928</v>
      </c>
      <c r="AA680" s="9">
        <f t="shared" si="83"/>
        <v>0.22848009196190758</v>
      </c>
      <c r="AB680" s="9">
        <f t="shared" si="84"/>
        <v>0.2107653488729202</v>
      </c>
      <c r="AC680" s="9">
        <f t="shared" si="85"/>
        <v>0.2752581932789846</v>
      </c>
      <c r="AD680" s="9">
        <f t="shared" si="86"/>
        <v>0.2854963658861876</v>
      </c>
      <c r="AE680" s="9"/>
      <c r="AF680" s="9">
        <f t="shared" si="87"/>
        <v>0.49171348560839684</v>
      </c>
      <c r="AG680" s="9">
        <f t="shared" si="88"/>
        <v>0.24886724080678266</v>
      </c>
      <c r="AH680" s="9">
        <f t="shared" si="89"/>
        <v>0.5469597969022213</v>
      </c>
      <c r="AI680" s="9">
        <f t="shared" si="90"/>
        <v>0.50244635193776666</v>
      </c>
    </row>
    <row r="681" spans="16:35" x14ac:dyDescent="0.3">
      <c r="P681" s="9">
        <v>3.0247929964310447E-2</v>
      </c>
      <c r="Q681" s="9">
        <v>0.27485864861778103</v>
      </c>
      <c r="R681" s="9">
        <v>0.55626383476978669</v>
      </c>
      <c r="S681" s="9">
        <v>0.13862958664812189</v>
      </c>
      <c r="U681" s="9">
        <f t="array" ref="U681">MMULT(TRANSPOSE($B$3:$B$6),TRANSPOSE(P681:S681))</f>
        <v>0.10033999255750722</v>
      </c>
      <c r="V681" s="9">
        <f>INT(200*U681)/200</f>
        <v>0.1</v>
      </c>
      <c r="W681" s="9">
        <f t="array" ref="W681">SQRT(MMULT(MMULT(P681:S681,$K$3:$N$6),TRANSPOSE(P681:S681)))</f>
        <v>0.104093302246669</v>
      </c>
      <c r="Y681" s="31">
        <f>U681/W681</f>
        <v>0.96394283197714692</v>
      </c>
      <c r="AA681" s="9">
        <f t="shared" si="83"/>
        <v>0.22206623548034596</v>
      </c>
      <c r="AB681" s="9">
        <f t="shared" si="84"/>
        <v>0.21188531312823958</v>
      </c>
      <c r="AC681" s="9">
        <f t="shared" si="85"/>
        <v>0.2841625859445524</v>
      </c>
      <c r="AD681" s="9">
        <f t="shared" si="86"/>
        <v>0.28188586544686206</v>
      </c>
      <c r="AE681" s="9"/>
      <c r="AF681" s="9">
        <f t="shared" si="87"/>
        <v>0.52584195597271777</v>
      </c>
      <c r="AG681" s="9">
        <f t="shared" si="88"/>
        <v>0.24902732558426471</v>
      </c>
      <c r="AH681" s="9">
        <f t="shared" si="89"/>
        <v>0.53232594347813866</v>
      </c>
      <c r="AI681" s="9">
        <f t="shared" si="90"/>
        <v>0.50419182990829214</v>
      </c>
    </row>
    <row r="682" spans="16:35" x14ac:dyDescent="0.3">
      <c r="P682" s="9">
        <v>0.29750930281702542</v>
      </c>
      <c r="Q682" s="9">
        <v>0.18827187865799169</v>
      </c>
      <c r="R682" s="9">
        <v>0.49388658540124991</v>
      </c>
      <c r="S682" s="9">
        <v>2.0332233123732876E-2</v>
      </c>
      <c r="U682" s="9">
        <f t="array" ref="U682">MMULT(TRANSPOSE($B$3:$B$6),TRANSPOSE(P682:S682))</f>
        <v>8.5968862322671827E-2</v>
      </c>
      <c r="V682" s="9">
        <f>INT(200*U682)/200</f>
        <v>8.5000000000000006E-2</v>
      </c>
      <c r="W682" s="9">
        <f t="array" ref="W682">SQRT(MMULT(MMULT(P682:S682,$K$3:$N$6),TRANSPOSE(P682:S682)))</f>
        <v>8.9191202305690609E-2</v>
      </c>
      <c r="Y682" s="31">
        <f>U682/W682</f>
        <v>0.96387154899006011</v>
      </c>
      <c r="AA682" s="9">
        <f t="shared" si="83"/>
        <v>0.22570733832448292</v>
      </c>
      <c r="AB682" s="9">
        <f t="shared" si="84"/>
        <v>0.2078618420634917</v>
      </c>
      <c r="AC682" s="9">
        <f t="shared" si="85"/>
        <v>0.29229343522708734</v>
      </c>
      <c r="AD682" s="9">
        <f t="shared" si="86"/>
        <v>0.27413738438493818</v>
      </c>
      <c r="AE682" s="9"/>
      <c r="AF682" s="9">
        <f t="shared" si="87"/>
        <v>0.50134351908804475</v>
      </c>
      <c r="AG682" s="9">
        <f t="shared" si="88"/>
        <v>0.23981369551629347</v>
      </c>
      <c r="AH682" s="9">
        <f t="shared" si="89"/>
        <v>0.52064202212103261</v>
      </c>
      <c r="AI682" s="9">
        <f t="shared" si="90"/>
        <v>0.5063907067288842</v>
      </c>
    </row>
    <row r="683" spans="16:35" x14ac:dyDescent="0.3">
      <c r="P683" s="9">
        <v>0.26617424455526262</v>
      </c>
      <c r="Q683" s="9">
        <v>0.26826283430638787</v>
      </c>
      <c r="R683" s="9">
        <v>1.3552302321917091E-2</v>
      </c>
      <c r="S683" s="9">
        <v>0.45201061881643245</v>
      </c>
      <c r="U683" s="9">
        <f t="array" ref="U683">MMULT(TRANSPOSE($B$3:$B$6),TRANSPOSE(P683:S683))</f>
        <v>9.1336256743763916E-2</v>
      </c>
      <c r="V683" s="9">
        <f>INT(200*U683)/200</f>
        <v>0.09</v>
      </c>
      <c r="W683" s="9">
        <f t="array" ref="W683">SQRT(MMULT(MMULT(P683:S683,$K$3:$N$6),TRANSPOSE(P683:S683)))</f>
        <v>9.484090560461525E-2</v>
      </c>
      <c r="Y683" s="31">
        <f>U683/W683</f>
        <v>0.96304707511480381</v>
      </c>
      <c r="AA683" s="9">
        <f t="shared" si="83"/>
        <v>0.23533848799738941</v>
      </c>
      <c r="AB683" s="9">
        <f t="shared" si="84"/>
        <v>0.19895766839239756</v>
      </c>
      <c r="AC683" s="9">
        <f t="shared" si="85"/>
        <v>0.30319822547698161</v>
      </c>
      <c r="AD683" s="9">
        <f t="shared" si="86"/>
        <v>0.26250561813323142</v>
      </c>
      <c r="AE683" s="9"/>
      <c r="AF683" s="9">
        <f t="shared" si="87"/>
        <v>0.47903469141905369</v>
      </c>
      <c r="AG683" s="9">
        <f t="shared" si="88"/>
        <v>0.22689785766599255</v>
      </c>
      <c r="AH683" s="9">
        <f t="shared" si="89"/>
        <v>0.47630415234227147</v>
      </c>
      <c r="AI683" s="9">
        <f t="shared" si="90"/>
        <v>0.50081033546039233</v>
      </c>
    </row>
    <row r="684" spans="16:35" x14ac:dyDescent="0.3">
      <c r="P684" s="9">
        <v>0.40097785672713937</v>
      </c>
      <c r="Q684" s="9">
        <v>0.16367271999727295</v>
      </c>
      <c r="R684" s="9">
        <v>7.2307316272766847E-2</v>
      </c>
      <c r="S684" s="9">
        <v>0.3630421070028208</v>
      </c>
      <c r="U684" s="9">
        <f t="array" ref="U684">MMULT(TRANSPOSE($B$3:$B$6),TRANSPOSE(P684:S684))</f>
        <v>8.2097077734925999E-2</v>
      </c>
      <c r="V684" s="9">
        <f>INT(200*U684)/200</f>
        <v>0.08</v>
      </c>
      <c r="W684" s="9">
        <f t="array" ref="W684">SQRT(MMULT(MMULT(P684:S684,$K$3:$N$6),TRANSPOSE(P684:S684)))</f>
        <v>8.5249480042797685E-2</v>
      </c>
      <c r="Y684" s="31">
        <f>U684/W684</f>
        <v>0.96302144826819958</v>
      </c>
      <c r="AA684" s="9">
        <f t="shared" si="83"/>
        <v>0.23625067914401754</v>
      </c>
      <c r="AB684" s="9">
        <f t="shared" si="84"/>
        <v>0.19920295126045195</v>
      </c>
      <c r="AC684" s="9">
        <f t="shared" si="85"/>
        <v>0.29936793301952691</v>
      </c>
      <c r="AD684" s="9">
        <f t="shared" si="86"/>
        <v>0.2651784365760036</v>
      </c>
      <c r="AE684" s="9"/>
      <c r="AF684" s="9">
        <f t="shared" si="87"/>
        <v>0.48124559799712668</v>
      </c>
      <c r="AG684" s="9">
        <f t="shared" si="88"/>
        <v>0.22517715122245241</v>
      </c>
      <c r="AH684" s="9">
        <f t="shared" si="89"/>
        <v>0.49328898666638554</v>
      </c>
      <c r="AI684" s="9">
        <f t="shared" si="90"/>
        <v>0.50018385247314567</v>
      </c>
    </row>
    <row r="685" spans="16:35" x14ac:dyDescent="0.3">
      <c r="P685" s="9">
        <v>2.8887634607950904E-2</v>
      </c>
      <c r="Q685" s="9">
        <v>0.28307005868051527</v>
      </c>
      <c r="R685" s="9">
        <v>0.30387406479465118</v>
      </c>
      <c r="S685" s="9">
        <v>0.38416824191688265</v>
      </c>
      <c r="U685" s="9">
        <f t="array" ref="U685">MMULT(TRANSPOSE($B$3:$B$6),TRANSPOSE(P685:S685))</f>
        <v>0.10154615686088025</v>
      </c>
      <c r="V685" s="9">
        <f>INT(200*U685)/200</f>
        <v>0.1</v>
      </c>
      <c r="W685" s="9">
        <f t="array" ref="W685">SQRT(MMULT(MMULT(P685:S685,$K$3:$N$6),TRANSPOSE(P685:S685)))</f>
        <v>0.10564409037711288</v>
      </c>
      <c r="Y685" s="31">
        <f>U685/W685</f>
        <v>0.96121000709453397</v>
      </c>
      <c r="AA685" s="9">
        <f t="shared" si="83"/>
        <v>0.24677153079813716</v>
      </c>
      <c r="AB685" s="9">
        <f t="shared" si="84"/>
        <v>0.19502558246324408</v>
      </c>
      <c r="AC685" s="9">
        <f t="shared" si="85"/>
        <v>0.29390579427578906</v>
      </c>
      <c r="AD685" s="9">
        <f t="shared" si="86"/>
        <v>0.26429709246282962</v>
      </c>
      <c r="AE685" s="9"/>
      <c r="AF685" s="9">
        <f t="shared" si="87"/>
        <v>0.47248533077672999</v>
      </c>
      <c r="AG685" s="9">
        <f t="shared" si="88"/>
        <v>0.24363365949775836</v>
      </c>
      <c r="AH685" s="9">
        <f t="shared" si="89"/>
        <v>0.50748164238719895</v>
      </c>
      <c r="AI685" s="9">
        <f t="shared" si="90"/>
        <v>0.500901272041123</v>
      </c>
    </row>
    <row r="686" spans="16:35" x14ac:dyDescent="0.3">
      <c r="P686" s="9">
        <v>0.21534457035174551</v>
      </c>
      <c r="Q686" s="9">
        <v>0.18967848033107193</v>
      </c>
      <c r="R686" s="9">
        <v>0.2677439076244692</v>
      </c>
      <c r="S686" s="9">
        <v>0.32723304169271333</v>
      </c>
      <c r="U686" s="9">
        <f t="array" ref="U686">MMULT(TRANSPOSE($B$3:$B$6),TRANSPOSE(P686:S686))</f>
        <v>9.0593351415974688E-2</v>
      </c>
      <c r="V686" s="9">
        <f>INT(200*U686)/200</f>
        <v>0.09</v>
      </c>
      <c r="W686" s="9">
        <f t="array" ref="W686">SQRT(MMULT(MMULT(P686:S686,$K$3:$N$6),TRANSPOSE(P686:S686)))</f>
        <v>9.4263381108685443E-2</v>
      </c>
      <c r="Y686" s="31">
        <f>U686/W686</f>
        <v>0.96106622052439195</v>
      </c>
      <c r="AA686" s="9">
        <f t="shared" si="83"/>
        <v>0.24510170462555156</v>
      </c>
      <c r="AB686" s="9">
        <f t="shared" si="84"/>
        <v>0.1961419997008656</v>
      </c>
      <c r="AC686" s="9">
        <f t="shared" si="85"/>
        <v>0.29130667777303393</v>
      </c>
      <c r="AD686" s="9">
        <f t="shared" si="86"/>
        <v>0.26744961790054889</v>
      </c>
      <c r="AE686" s="9"/>
      <c r="AF686" s="9">
        <f t="shared" si="87"/>
        <v>0.48603844032187177</v>
      </c>
      <c r="AG686" s="9">
        <f t="shared" si="88"/>
        <v>0.24957775373424534</v>
      </c>
      <c r="AH686" s="9">
        <f t="shared" si="89"/>
        <v>0.51061254290872005</v>
      </c>
      <c r="AI686" s="9">
        <f t="shared" si="90"/>
        <v>0.50323901713138597</v>
      </c>
    </row>
    <row r="687" spans="16:35" x14ac:dyDescent="0.3">
      <c r="P687" s="9">
        <v>0.17645249967591942</v>
      </c>
      <c r="Q687" s="9">
        <v>0.20838347213177641</v>
      </c>
      <c r="R687" s="9">
        <v>0.27170353514821671</v>
      </c>
      <c r="S687" s="9">
        <v>0.34346049304408743</v>
      </c>
      <c r="U687" s="9">
        <f t="array" ref="U687">MMULT(TRANSPOSE($B$3:$B$6),TRANSPOSE(P687:S687))</f>
        <v>9.2869832238057115E-2</v>
      </c>
      <c r="V687" s="9">
        <f>INT(200*U687)/200</f>
        <v>0.09</v>
      </c>
      <c r="W687" s="9">
        <f t="array" ref="W687">SQRT(MMULT(MMULT(P687:S687,$K$3:$N$6),TRANSPOSE(P687:S687)))</f>
        <v>9.6658079756948359E-2</v>
      </c>
      <c r="Y687" s="31">
        <f>U687/W687</f>
        <v>0.96080775111178518</v>
      </c>
      <c r="AA687" s="9">
        <f t="shared" si="83"/>
        <v>0.24446827337081942</v>
      </c>
      <c r="AB687" s="9">
        <f t="shared" si="84"/>
        <v>0.19625560471160211</v>
      </c>
      <c r="AC687" s="9">
        <f t="shared" si="85"/>
        <v>0.29322944999791817</v>
      </c>
      <c r="AD687" s="9">
        <f t="shared" si="86"/>
        <v>0.26604667191966025</v>
      </c>
      <c r="AE687" s="9"/>
      <c r="AF687" s="9">
        <f t="shared" si="87"/>
        <v>0.48537106797796248</v>
      </c>
      <c r="AG687" s="9">
        <f t="shared" si="88"/>
        <v>0.24876851189530111</v>
      </c>
      <c r="AH687" s="9">
        <f t="shared" si="89"/>
        <v>0.51153142892214454</v>
      </c>
      <c r="AI687" s="9">
        <f t="shared" si="90"/>
        <v>0.51094020462785239</v>
      </c>
    </row>
    <row r="688" spans="16:35" x14ac:dyDescent="0.3">
      <c r="P688" s="9">
        <v>0.30986136547842169</v>
      </c>
      <c r="Q688" s="9">
        <v>0.16319145359705609</v>
      </c>
      <c r="R688" s="9">
        <v>0.18784493613149328</v>
      </c>
      <c r="S688" s="9">
        <v>0.33910224479302903</v>
      </c>
      <c r="U688" s="9">
        <f t="array" ref="U688">MMULT(TRANSPOSE($B$3:$B$6),TRANSPOSE(P688:S688))</f>
        <v>8.583459762345505E-2</v>
      </c>
      <c r="V688" s="9">
        <f>INT(200*U688)/200</f>
        <v>8.5000000000000006E-2</v>
      </c>
      <c r="W688" s="9">
        <f t="array" ref="W688">SQRT(MMULT(MMULT(P688:S688,$K$3:$N$6),TRANSPOSE(P688:S688)))</f>
        <v>8.9337277849296973E-2</v>
      </c>
      <c r="Y688" s="31">
        <f>U688/W688</f>
        <v>0.96079262419713984</v>
      </c>
      <c r="AA688" s="9">
        <f t="shared" si="83"/>
        <v>0.24323598819077671</v>
      </c>
      <c r="AB688" s="9">
        <f t="shared" si="84"/>
        <v>0.19662395609424066</v>
      </c>
      <c r="AC688" s="9">
        <f t="shared" si="85"/>
        <v>0.29305738200612552</v>
      </c>
      <c r="AD688" s="9">
        <f t="shared" si="86"/>
        <v>0.26708267370885708</v>
      </c>
      <c r="AE688" s="9"/>
      <c r="AF688" s="9">
        <f t="shared" si="87"/>
        <v>0.48439586392856965</v>
      </c>
      <c r="AG688" s="9">
        <f t="shared" si="88"/>
        <v>0.24783615606632037</v>
      </c>
      <c r="AH688" s="9">
        <f t="shared" si="89"/>
        <v>0.51257387599784765</v>
      </c>
      <c r="AI688" s="9">
        <f t="shared" si="90"/>
        <v>0.51241958272303079</v>
      </c>
    </row>
    <row r="689" spans="16:35" x14ac:dyDescent="0.3">
      <c r="P689" s="9">
        <v>0.19267055175496775</v>
      </c>
      <c r="Q689" s="9">
        <v>0.25068648989512105</v>
      </c>
      <c r="R689" s="9">
        <v>0.12424399594155257</v>
      </c>
      <c r="S689" s="9">
        <v>0.43239896240835857</v>
      </c>
      <c r="U689" s="9">
        <f t="array" ref="U689">MMULT(TRANSPOSE($B$3:$B$6),TRANSPOSE(P689:S689))</f>
        <v>9.3818709363819364E-2</v>
      </c>
      <c r="V689" s="9">
        <f>INT(200*U689)/200</f>
        <v>0.09</v>
      </c>
      <c r="W689" s="9">
        <f t="array" ref="W689">SQRT(MMULT(MMULT(P689:S689,$K$3:$N$6),TRANSPOSE(P689:S689)))</f>
        <v>9.7656062435052426E-2</v>
      </c>
      <c r="Y689" s="31">
        <f>U689/W689</f>
        <v>0.96070542907886392</v>
      </c>
      <c r="AA689" s="9">
        <f t="shared" si="83"/>
        <v>0.24354556342996544</v>
      </c>
      <c r="AB689" s="9">
        <f t="shared" si="84"/>
        <v>0.19543267152085994</v>
      </c>
      <c r="AC689" s="9">
        <f t="shared" si="85"/>
        <v>0.28975554848649698</v>
      </c>
      <c r="AD689" s="9">
        <f t="shared" si="86"/>
        <v>0.27126621656267752</v>
      </c>
      <c r="AE689" s="9"/>
      <c r="AF689" s="9">
        <f t="shared" si="87"/>
        <v>0.48392397965992856</v>
      </c>
      <c r="AG689" s="9">
        <f t="shared" si="88"/>
        <v>0.25259642810288263</v>
      </c>
      <c r="AH689" s="9">
        <f t="shared" si="89"/>
        <v>0.50729425116815385</v>
      </c>
      <c r="AI689" s="9">
        <f t="shared" si="90"/>
        <v>0.4893920159245177</v>
      </c>
    </row>
    <row r="690" spans="16:35" x14ac:dyDescent="0.3">
      <c r="P690" s="9">
        <v>0.39370404662229647</v>
      </c>
      <c r="Q690" s="9">
        <v>0.15413244724842301</v>
      </c>
      <c r="R690" s="9">
        <v>0.44093555551894448</v>
      </c>
      <c r="S690" s="9">
        <v>1.1227950610336011E-2</v>
      </c>
      <c r="U690" s="9">
        <f t="array" ref="U690">MMULT(TRANSPOSE($B$3:$B$6),TRANSPOSE(P690:S690))</f>
        <v>8.0826319178594883E-2</v>
      </c>
      <c r="V690" s="9">
        <f>INT(200*U690)/200</f>
        <v>0.08</v>
      </c>
      <c r="W690" s="9">
        <f t="array" ref="W690">SQRT(MMULT(MMULT(P690:S690,$K$3:$N$6),TRANSPOSE(P690:S690)))</f>
        <v>8.4198220990482603E-2</v>
      </c>
      <c r="Y690" s="31">
        <f>U690/W690</f>
        <v>0.95995281405923216</v>
      </c>
      <c r="AA690" s="9">
        <f t="shared" si="83"/>
        <v>0.25307080050662095</v>
      </c>
      <c r="AB690" s="9">
        <f t="shared" si="84"/>
        <v>0.19265488557792038</v>
      </c>
      <c r="AC690" s="9">
        <f t="shared" si="85"/>
        <v>0.28272923212933798</v>
      </c>
      <c r="AD690" s="9">
        <f t="shared" si="86"/>
        <v>0.27154508178612063</v>
      </c>
      <c r="AE690" s="9"/>
      <c r="AF690" s="9">
        <f t="shared" si="87"/>
        <v>0.49509147219146737</v>
      </c>
      <c r="AG690" s="9">
        <f t="shared" si="88"/>
        <v>0.2687377558419437</v>
      </c>
      <c r="AH690" s="9">
        <f t="shared" si="89"/>
        <v>0.5362183990456707</v>
      </c>
      <c r="AI690" s="9">
        <f t="shared" si="90"/>
        <v>0.48925255396655909</v>
      </c>
    </row>
    <row r="691" spans="16:35" x14ac:dyDescent="0.3">
      <c r="P691" s="9">
        <v>8.2655404336609034E-2</v>
      </c>
      <c r="Q691" s="9">
        <v>0.23707158986059956</v>
      </c>
      <c r="R691" s="9">
        <v>0.38469804405746233</v>
      </c>
      <c r="S691" s="9">
        <v>0.29557496174532899</v>
      </c>
      <c r="U691" s="9">
        <f t="array" ref="U691">MMULT(TRANSPOSE($B$3:$B$6),TRANSPOSE(P691:S691))</f>
        <v>9.7535053987729825E-2</v>
      </c>
      <c r="V691" s="9">
        <f>INT(200*U691)/200</f>
        <v>9.5000000000000001E-2</v>
      </c>
      <c r="W691" s="9">
        <f t="array" ref="W691">SQRT(MMULT(MMULT(P691:S691,$K$3:$N$6),TRANSPOSE(P691:S691)))</f>
        <v>0.10163505195671313</v>
      </c>
      <c r="Y691" s="31">
        <f>U691/W691</f>
        <v>0.9596596067001617</v>
      </c>
      <c r="AA691" s="9">
        <f t="shared" si="83"/>
        <v>0.24242840883815969</v>
      </c>
      <c r="AB691" s="9">
        <f t="shared" si="84"/>
        <v>0.19618401814589134</v>
      </c>
      <c r="AC691" s="9">
        <f t="shared" si="85"/>
        <v>0.27515279431211287</v>
      </c>
      <c r="AD691" s="9">
        <f t="shared" si="86"/>
        <v>0.2862347787038359</v>
      </c>
      <c r="AE691" s="9"/>
      <c r="AF691" s="9">
        <f t="shared" si="87"/>
        <v>0.53369538514670378</v>
      </c>
      <c r="AG691" s="9">
        <f t="shared" si="88"/>
        <v>0.26846475565248451</v>
      </c>
      <c r="AH691" s="9">
        <f t="shared" si="89"/>
        <v>0.53169680431239119</v>
      </c>
      <c r="AI691" s="9">
        <f t="shared" si="90"/>
        <v>0.43682620332728356</v>
      </c>
    </row>
    <row r="692" spans="16:35" x14ac:dyDescent="0.3">
      <c r="P692" s="9">
        <v>0.15341849864645757</v>
      </c>
      <c r="Q692" s="9">
        <v>0.20305438115161031</v>
      </c>
      <c r="R692" s="9">
        <v>0.38982974353425326</v>
      </c>
      <c r="S692" s="9">
        <v>0.25369737666767883</v>
      </c>
      <c r="U692" s="9">
        <f t="array" ref="U692">MMULT(TRANSPOSE($B$3:$B$6),TRANSPOSE(P692:S692))</f>
        <v>9.3348532957593364E-2</v>
      </c>
      <c r="V692" s="9">
        <f>INT(200*U692)/200</f>
        <v>0.09</v>
      </c>
      <c r="W692" s="9">
        <f t="array" ref="W692">SQRT(MMULT(MMULT(P692:S692,$K$3:$N$6),TRANSPOSE(P692:S692)))</f>
        <v>9.7284174751985419E-2</v>
      </c>
      <c r="Y692" s="31">
        <f>U692/W692</f>
        <v>0.95954489201943161</v>
      </c>
      <c r="AA692" s="9">
        <f t="shared" si="83"/>
        <v>0.25366116233547004</v>
      </c>
      <c r="AB692" s="9">
        <f t="shared" si="84"/>
        <v>0.1906773758938631</v>
      </c>
      <c r="AC692" s="9">
        <f t="shared" si="85"/>
        <v>0.26173364202104199</v>
      </c>
      <c r="AD692" s="9">
        <f t="shared" si="86"/>
        <v>0.29392781974962479</v>
      </c>
      <c r="AE692" s="9"/>
      <c r="AF692" s="9">
        <f t="shared" si="87"/>
        <v>0.47281786900785877</v>
      </c>
      <c r="AG692" s="9">
        <f t="shared" si="88"/>
        <v>0.26227370128153638</v>
      </c>
      <c r="AH692" s="9">
        <f t="shared" si="89"/>
        <v>0.50199174303434035</v>
      </c>
      <c r="AI692" s="9">
        <f t="shared" si="90"/>
        <v>0.40956468901533699</v>
      </c>
    </row>
    <row r="693" spans="16:35" x14ac:dyDescent="0.3">
      <c r="P693" s="9">
        <v>0.32694112151152133</v>
      </c>
      <c r="Q693" s="9">
        <v>0.13381794188862098</v>
      </c>
      <c r="R693" s="9">
        <v>0.31166744179517603</v>
      </c>
      <c r="S693" s="9">
        <v>0.22757349480468167</v>
      </c>
      <c r="U693" s="9">
        <f t="array" ref="U693">MMULT(TRANSPOSE($B$3:$B$6),TRANSPOSE(P693:S693))</f>
        <v>8.3800037307263806E-2</v>
      </c>
      <c r="V693" s="9">
        <f>INT(200*U693)/200</f>
        <v>0.08</v>
      </c>
      <c r="W693" s="9">
        <f t="array" ref="W693">SQRT(MMULT(MMULT(P693:S693,$K$3:$N$6),TRANSPOSE(P693:S693)))</f>
        <v>8.750172396464341E-2</v>
      </c>
      <c r="Y693" s="31">
        <f>U693/W693</f>
        <v>0.95769584312561273</v>
      </c>
      <c r="AA693" s="9">
        <f t="shared" si="83"/>
        <v>0.26324556953340755</v>
      </c>
      <c r="AB693" s="9">
        <f t="shared" si="84"/>
        <v>0.18572229739398566</v>
      </c>
      <c r="AC693" s="9">
        <f t="shared" si="85"/>
        <v>0.24941071464557307</v>
      </c>
      <c r="AD693" s="9">
        <f t="shared" si="86"/>
        <v>0.30162141842703366</v>
      </c>
      <c r="AE693" s="9"/>
      <c r="AF693" s="9">
        <f t="shared" si="87"/>
        <v>0.4981436167370456</v>
      </c>
      <c r="AG693" s="9">
        <f t="shared" si="88"/>
        <v>0.2969527976865417</v>
      </c>
      <c r="AH693" s="9">
        <f t="shared" si="89"/>
        <v>0.48187022735828106</v>
      </c>
      <c r="AI693" s="9">
        <f t="shared" si="90"/>
        <v>0.35266089296816611</v>
      </c>
    </row>
    <row r="694" spans="16:35" x14ac:dyDescent="0.3">
      <c r="P694" s="9">
        <v>0.35876468893041585</v>
      </c>
      <c r="Q694" s="9">
        <v>0.15148993447929487</v>
      </c>
      <c r="R694" s="9">
        <v>0.14267192948184904</v>
      </c>
      <c r="S694" s="9">
        <v>0.34707344710844024</v>
      </c>
      <c r="U694" s="9">
        <f t="array" ref="U694">MMULT(TRANSPOSE($B$3:$B$6),TRANSPOSE(P694:S694))</f>
        <v>8.34410099125001E-2</v>
      </c>
      <c r="V694" s="9">
        <f>INT(200*U694)/200</f>
        <v>0.08</v>
      </c>
      <c r="W694" s="9">
        <f t="array" ref="W694">SQRT(MMULT(MMULT(P694:S694,$K$3:$N$6),TRANSPOSE(P694:S694)))</f>
        <v>8.7154575748160795E-2</v>
      </c>
      <c r="Y694" s="31">
        <f>U694/W694</f>
        <v>0.95739103995651009</v>
      </c>
      <c r="AA694" s="9">
        <f t="shared" si="83"/>
        <v>0.25099142964262439</v>
      </c>
      <c r="AB694" s="9">
        <f t="shared" si="84"/>
        <v>0.18568357788148285</v>
      </c>
      <c r="AC694" s="9">
        <f t="shared" si="85"/>
        <v>0.26842652415072948</v>
      </c>
      <c r="AD694" s="9">
        <f t="shared" si="86"/>
        <v>0.29489846832516314</v>
      </c>
      <c r="AE694" s="9"/>
      <c r="AF694" s="9">
        <f t="shared" si="87"/>
        <v>0.5673006562386067</v>
      </c>
      <c r="AG694" s="9">
        <f t="shared" si="88"/>
        <v>0.29668838869757547</v>
      </c>
      <c r="AH694" s="9">
        <f t="shared" si="89"/>
        <v>0.41849416249386434</v>
      </c>
      <c r="AI694" s="9">
        <f t="shared" si="90"/>
        <v>0.34147411193187827</v>
      </c>
    </row>
    <row r="695" spans="16:35" x14ac:dyDescent="0.3">
      <c r="P695" s="9">
        <v>0.38222151479080857</v>
      </c>
      <c r="Q695" s="9">
        <v>0.12525530740378293</v>
      </c>
      <c r="R695" s="9">
        <v>0.20106628456033171</v>
      </c>
      <c r="S695" s="9">
        <v>0.29145689324507684</v>
      </c>
      <c r="U695" s="9">
        <f t="array" ref="U695">MMULT(TRANSPOSE($B$3:$B$6),TRANSPOSE(P695:S695))</f>
        <v>8.1438567947175883E-2</v>
      </c>
      <c r="V695" s="9">
        <f>INT(200*U695)/200</f>
        <v>0.08</v>
      </c>
      <c r="W695" s="9">
        <f t="array" ref="W695">SQRT(MMULT(MMULT(P695:S695,$K$3:$N$6),TRANSPOSE(P695:S695)))</f>
        <v>8.5067613324590313E-2</v>
      </c>
      <c r="Y695" s="31">
        <f>U695/W695</f>
        <v>0.95733928300577598</v>
      </c>
      <c r="AA695" s="9">
        <f t="shared" si="83"/>
        <v>0.25829443091134446</v>
      </c>
      <c r="AB695" s="9">
        <f t="shared" si="84"/>
        <v>0.18183671552229552</v>
      </c>
      <c r="AC695" s="9">
        <f t="shared" si="85"/>
        <v>0.27086098582902601</v>
      </c>
      <c r="AD695" s="9">
        <f t="shared" si="86"/>
        <v>0.28900786773733395</v>
      </c>
      <c r="AE695" s="9"/>
      <c r="AF695" s="9">
        <f t="shared" si="87"/>
        <v>0.59594821243291596</v>
      </c>
      <c r="AG695" s="9">
        <f t="shared" si="88"/>
        <v>0.32644183194861842</v>
      </c>
      <c r="AH695" s="9">
        <f t="shared" si="89"/>
        <v>0.40004181399529276</v>
      </c>
      <c r="AI695" s="9">
        <f t="shared" si="90"/>
        <v>0.3464653021184681</v>
      </c>
    </row>
    <row r="696" spans="16:35" x14ac:dyDescent="0.3">
      <c r="P696" s="9">
        <v>5.8134094653961473E-2</v>
      </c>
      <c r="Q696" s="9">
        <v>0.26647033736292869</v>
      </c>
      <c r="R696" s="9">
        <v>0.28752627224076505</v>
      </c>
      <c r="S696" s="9">
        <v>0.38786929574234486</v>
      </c>
      <c r="U696" s="9">
        <f t="array" ref="U696">MMULT(TRANSPOSE($B$3:$B$6),TRANSPOSE(P696:S696))</f>
        <v>9.9813878497748754E-2</v>
      </c>
      <c r="V696" s="9">
        <f>INT(200*U696)/200</f>
        <v>9.5000000000000001E-2</v>
      </c>
      <c r="W696" s="9">
        <f t="array" ref="W696">SQRT(MMULT(MMULT(P696:S696,$K$3:$N$6),TRANSPOSE(P696:S696)))</f>
        <v>0.10428740884366808</v>
      </c>
      <c r="Y696" s="31">
        <f>U696/W696</f>
        <v>0.95710383069709437</v>
      </c>
      <c r="AA696" s="9">
        <f t="shared" si="83"/>
        <v>0.26510585818707399</v>
      </c>
      <c r="AB696" s="9">
        <f t="shared" si="84"/>
        <v>0.17949736304580255</v>
      </c>
      <c r="AC696" s="9">
        <f t="shared" si="85"/>
        <v>0.26486938973131641</v>
      </c>
      <c r="AD696" s="9">
        <f t="shared" si="86"/>
        <v>0.29052738903580699</v>
      </c>
      <c r="AE696" s="9"/>
      <c r="AF696" s="9">
        <f t="shared" si="87"/>
        <v>0.55164432618152714</v>
      </c>
      <c r="AG696" s="9">
        <f t="shared" si="88"/>
        <v>0.31223612821017788</v>
      </c>
      <c r="AH696" s="9">
        <f t="shared" si="89"/>
        <v>0.414946450508758</v>
      </c>
      <c r="AI696" s="9">
        <f t="shared" si="90"/>
        <v>0.35065347030772626</v>
      </c>
    </row>
    <row r="697" spans="16:35" x14ac:dyDescent="0.3">
      <c r="P697" s="9">
        <v>0.32233377423368759</v>
      </c>
      <c r="Q697" s="9">
        <v>0.14392235838197351</v>
      </c>
      <c r="R697" s="9">
        <v>0.4050307043473716</v>
      </c>
      <c r="S697" s="9">
        <v>0.1287131630369672</v>
      </c>
      <c r="U697" s="9">
        <f t="array" ref="U697">MMULT(TRANSPOSE($B$3:$B$6),TRANSPOSE(P697:S697))</f>
        <v>8.3946336924852691E-2</v>
      </c>
      <c r="V697" s="9">
        <f>INT(200*U697)/200</f>
        <v>0.08</v>
      </c>
      <c r="W697" s="9">
        <f t="array" ref="W697">SQRT(MMULT(MMULT(P697:S697,$K$3:$N$6),TRANSPOSE(P697:S697)))</f>
        <v>8.7732466828735756E-2</v>
      </c>
      <c r="Y697" s="31">
        <f>U697/W697</f>
        <v>0.95684459766446506</v>
      </c>
      <c r="AA697" s="9">
        <f t="shared" si="83"/>
        <v>0.2698962412395805</v>
      </c>
      <c r="AB697" s="9">
        <f t="shared" si="84"/>
        <v>0.17687019133405113</v>
      </c>
      <c r="AC697" s="9">
        <f t="shared" si="85"/>
        <v>0.26834354947556888</v>
      </c>
      <c r="AD697" s="9">
        <f t="shared" si="86"/>
        <v>0.28489001795079955</v>
      </c>
      <c r="AE697" s="9"/>
      <c r="AF697" s="9">
        <f t="shared" si="87"/>
        <v>0.54161644759336269</v>
      </c>
      <c r="AG697" s="9">
        <f t="shared" si="88"/>
        <v>0.32132047465703384</v>
      </c>
      <c r="AH697" s="9">
        <f t="shared" si="89"/>
        <v>0.41420076378217996</v>
      </c>
      <c r="AI697" s="9">
        <f t="shared" si="90"/>
        <v>0.36158120977544927</v>
      </c>
    </row>
    <row r="698" spans="16:35" x14ac:dyDescent="0.3">
      <c r="P698" s="9">
        <v>0.3072470522762008</v>
      </c>
      <c r="Q698" s="9">
        <v>0.18874431428105351</v>
      </c>
      <c r="R698" s="9">
        <v>0.11065181672681035</v>
      </c>
      <c r="S698" s="9">
        <v>0.39335681671593536</v>
      </c>
      <c r="U698" s="9">
        <f t="array" ref="U698">MMULT(TRANSPOSE($B$3:$B$6),TRANSPOSE(P698:S698))</f>
        <v>8.693268792167308E-2</v>
      </c>
      <c r="V698" s="9">
        <f>INT(200*U698)/200</f>
        <v>8.5000000000000006E-2</v>
      </c>
      <c r="W698" s="9">
        <f t="array" ref="W698">SQRT(MMULT(MMULT(P698:S698,$K$3:$N$6),TRANSPOSE(P698:S698)))</f>
        <v>9.0886300342756354E-2</v>
      </c>
      <c r="Y698" s="31">
        <f>U698/W698</f>
        <v>0.95649935792112617</v>
      </c>
      <c r="AA698" s="9">
        <f t="shared" si="83"/>
        <v>0.26986165873078621</v>
      </c>
      <c r="AB698" s="9">
        <f t="shared" si="84"/>
        <v>0.17744061521167598</v>
      </c>
      <c r="AC698" s="9">
        <f t="shared" si="85"/>
        <v>0.26537158183544896</v>
      </c>
      <c r="AD698" s="9">
        <f t="shared" si="86"/>
        <v>0.28732614422208896</v>
      </c>
      <c r="AE698" s="9"/>
      <c r="AF698" s="9">
        <f t="shared" si="87"/>
        <v>0.5417721800680888</v>
      </c>
      <c r="AG698" s="9">
        <f t="shared" si="88"/>
        <v>0.32249042888823837</v>
      </c>
      <c r="AH698" s="9">
        <f t="shared" si="89"/>
        <v>0.42161908528306202</v>
      </c>
      <c r="AI698" s="9">
        <f t="shared" si="90"/>
        <v>0.36561249431958542</v>
      </c>
    </row>
    <row r="699" spans="16:35" x14ac:dyDescent="0.3">
      <c r="P699" s="9">
        <v>0.25934114373109046</v>
      </c>
      <c r="Q699" s="9">
        <v>0.15861760199196764</v>
      </c>
      <c r="R699" s="9">
        <v>0.39485149031606098</v>
      </c>
      <c r="S699" s="9">
        <v>0.18718976396088083</v>
      </c>
      <c r="U699" s="9">
        <f t="array" ref="U699">MMULT(TRANSPOSE($B$3:$B$6),TRANSPOSE(P699:S699))</f>
        <v>8.7268408086762297E-2</v>
      </c>
      <c r="V699" s="9">
        <f>INT(200*U699)/200</f>
        <v>8.5000000000000006E-2</v>
      </c>
      <c r="W699" s="9">
        <f t="array" ref="W699">SQRT(MMULT(MMULT(P699:S699,$K$3:$N$6),TRANSPOSE(P699:S699)))</f>
        <v>9.1299332386460083E-2</v>
      </c>
      <c r="Y699" s="31">
        <f>U699/W699</f>
        <v>0.95584935624024803</v>
      </c>
      <c r="AA699" s="9">
        <f t="shared" si="83"/>
        <v>0.26089710064410215</v>
      </c>
      <c r="AB699" s="9">
        <f t="shared" si="84"/>
        <v>0.18252759992358905</v>
      </c>
      <c r="AC699" s="9">
        <f t="shared" si="85"/>
        <v>0.26414840739033146</v>
      </c>
      <c r="AD699" s="9">
        <f t="shared" si="86"/>
        <v>0.29242689204197736</v>
      </c>
      <c r="AE699" s="9"/>
      <c r="AF699" s="9">
        <f t="shared" si="87"/>
        <v>0.57250775991143932</v>
      </c>
      <c r="AG699" s="9">
        <f t="shared" si="88"/>
        <v>0.3317018981599571</v>
      </c>
      <c r="AH699" s="9">
        <f t="shared" si="89"/>
        <v>0.42745424035035517</v>
      </c>
      <c r="AI699" s="9">
        <f t="shared" si="90"/>
        <v>0.37672904026273391</v>
      </c>
    </row>
    <row r="700" spans="16:35" x14ac:dyDescent="0.3">
      <c r="P700" s="9">
        <v>0.43870889463334389</v>
      </c>
      <c r="Q700" s="9">
        <v>0.12312605995925693</v>
      </c>
      <c r="R700" s="9">
        <v>0.1191088574258122</v>
      </c>
      <c r="S700" s="9">
        <v>0.31905618798158691</v>
      </c>
      <c r="U700" s="9">
        <f t="array" ref="U700">MMULT(TRANSPOSE($B$3:$B$6),TRANSPOSE(P700:S700))</f>
        <v>7.9092933180176003E-2</v>
      </c>
      <c r="V700" s="9">
        <f>INT(200*U700)/200</f>
        <v>7.4999999999999997E-2</v>
      </c>
      <c r="W700" s="9">
        <f t="array" ref="W700">SQRT(MMULT(MMULT(P700:S700,$K$3:$N$6),TRANSPOSE(P700:S700)))</f>
        <v>8.275367422324223E-2</v>
      </c>
      <c r="Y700" s="31">
        <f>U700/W700</f>
        <v>0.95576340171687424</v>
      </c>
      <c r="AA700" s="9">
        <f t="shared" si="83"/>
        <v>0.25588585515767626</v>
      </c>
      <c r="AB700" s="9">
        <f t="shared" si="84"/>
        <v>0.18142974027212619</v>
      </c>
      <c r="AC700" s="9">
        <f t="shared" si="85"/>
        <v>0.27705190018827663</v>
      </c>
      <c r="AD700" s="9">
        <f t="shared" si="86"/>
        <v>0.285632504381921</v>
      </c>
      <c r="AE700" s="9"/>
      <c r="AF700" s="9">
        <f t="shared" si="87"/>
        <v>0.59979016507333172</v>
      </c>
      <c r="AG700" s="9">
        <f t="shared" si="88"/>
        <v>0.32765349555601264</v>
      </c>
      <c r="AH700" s="9">
        <f t="shared" si="89"/>
        <v>0.40281068050631513</v>
      </c>
      <c r="AI700" s="9">
        <f t="shared" si="90"/>
        <v>0.36899911661162765</v>
      </c>
    </row>
    <row r="701" spans="16:35" x14ac:dyDescent="0.3">
      <c r="P701" s="9">
        <v>8.9400395302217939E-2</v>
      </c>
      <c r="Q701" s="9">
        <v>0.24408607083923228</v>
      </c>
      <c r="R701" s="9">
        <v>0.29875006214343108</v>
      </c>
      <c r="S701" s="9">
        <v>0.36776347171511869</v>
      </c>
      <c r="U701" s="9">
        <f t="array" ref="U701">MMULT(TRANSPOSE($B$3:$B$6),TRANSPOSE(P701:S701))</f>
        <v>9.7730837071959759E-2</v>
      </c>
      <c r="V701" s="9">
        <f>INT(200*U701)/200</f>
        <v>9.5000000000000001E-2</v>
      </c>
      <c r="W701" s="9">
        <f t="array" ref="W701">SQRT(MMULT(MMULT(P701:S701,$K$3:$N$6),TRANSPOSE(P701:S701)))</f>
        <v>0.10229780923855915</v>
      </c>
      <c r="Y701" s="31">
        <f>U701/W701</f>
        <v>0.95535610976820451</v>
      </c>
      <c r="AA701" s="9">
        <f t="shared" si="83"/>
        <v>0.25884746625203719</v>
      </c>
      <c r="AB701" s="9">
        <f t="shared" si="84"/>
        <v>0.17847918160825088</v>
      </c>
      <c r="AC701" s="9">
        <f t="shared" si="85"/>
        <v>0.26777625598154053</v>
      </c>
      <c r="AD701" s="9">
        <f t="shared" si="86"/>
        <v>0.29489709615817139</v>
      </c>
      <c r="AE701" s="9"/>
      <c r="AF701" s="9">
        <f t="shared" si="87"/>
        <v>0.60589197787411364</v>
      </c>
      <c r="AG701" s="9">
        <f t="shared" si="88"/>
        <v>0.34926296810688151</v>
      </c>
      <c r="AH701" s="9">
        <f t="shared" si="89"/>
        <v>0.39289945050135838</v>
      </c>
      <c r="AI701" s="9">
        <f t="shared" si="90"/>
        <v>0.29508709153397439</v>
      </c>
    </row>
    <row r="702" spans="16:35" x14ac:dyDescent="0.3">
      <c r="P702" s="9">
        <v>0.2661357534078278</v>
      </c>
      <c r="Q702" s="9">
        <v>0.15921916132518765</v>
      </c>
      <c r="R702" s="9">
        <v>0.27446163665729734</v>
      </c>
      <c r="S702" s="9">
        <v>0.30018344860968721</v>
      </c>
      <c r="U702" s="9">
        <f t="array" ref="U702">MMULT(TRANSPOSE($B$3:$B$6),TRANSPOSE(P702:S702))</f>
        <v>8.7412513977451131E-2</v>
      </c>
      <c r="V702" s="9">
        <f>INT(200*U702)/200</f>
        <v>8.5000000000000006E-2</v>
      </c>
      <c r="W702" s="9">
        <f t="array" ref="W702">SQRT(MMULT(MMULT(P702:S702,$K$3:$N$6),TRANSPOSE(P702:S702)))</f>
        <v>9.1532487236152635E-2</v>
      </c>
      <c r="Y702" s="31">
        <f>U702/W702</f>
        <v>0.95498895110244275</v>
      </c>
      <c r="AA702" s="9">
        <f t="shared" si="83"/>
        <v>0.26198048160270071</v>
      </c>
      <c r="AB702" s="9">
        <f t="shared" si="84"/>
        <v>0.17689375174028246</v>
      </c>
      <c r="AC702" s="9">
        <f t="shared" si="85"/>
        <v>0.26521982365894642</v>
      </c>
      <c r="AD702" s="9">
        <f t="shared" si="86"/>
        <v>0.29590594299807038</v>
      </c>
      <c r="AE702" s="9"/>
      <c r="AF702" s="9">
        <f t="shared" si="87"/>
        <v>0.58693315324416151</v>
      </c>
      <c r="AG702" s="9">
        <f t="shared" si="88"/>
        <v>0.34588103332866521</v>
      </c>
      <c r="AH702" s="9">
        <f t="shared" si="89"/>
        <v>0.38779864062450187</v>
      </c>
      <c r="AI702" s="9">
        <f t="shared" si="90"/>
        <v>0.29452360578363973</v>
      </c>
    </row>
    <row r="703" spans="16:35" x14ac:dyDescent="0.3">
      <c r="P703" s="9">
        <v>0.49878185397371261</v>
      </c>
      <c r="Q703" s="9">
        <v>8.4215230160566271E-2</v>
      </c>
      <c r="R703" s="9">
        <v>0.2351051105164019</v>
      </c>
      <c r="S703" s="9">
        <v>0.18189780534931932</v>
      </c>
      <c r="U703" s="9">
        <f t="array" ref="U703">MMULT(TRANSPOSE($B$3:$B$6),TRANSPOSE(P703:S703))</f>
        <v>7.4858297248076702E-2</v>
      </c>
      <c r="V703" s="9">
        <f>INT(200*U703)/200</f>
        <v>7.0000000000000007E-2</v>
      </c>
      <c r="W703" s="9">
        <f t="array" ref="W703">SQRT(MMULT(MMULT(P703:S703,$K$3:$N$6),TRANSPOSE(P703:S703)))</f>
        <v>7.8410553424245605E-2</v>
      </c>
      <c r="Y703" s="31">
        <f>U703/W703</f>
        <v>0.95469670827408681</v>
      </c>
      <c r="AA703" s="9">
        <f t="shared" si="83"/>
        <v>0.27232226585061825</v>
      </c>
      <c r="AB703" s="9">
        <f t="shared" si="84"/>
        <v>0.17676341314554028</v>
      </c>
      <c r="AC703" s="9">
        <f t="shared" si="85"/>
        <v>0.24726818964724309</v>
      </c>
      <c r="AD703" s="9">
        <f t="shared" si="86"/>
        <v>0.30364613135659835</v>
      </c>
      <c r="AE703" s="9"/>
      <c r="AF703" s="9">
        <f t="shared" si="87"/>
        <v>0.56330803784749106</v>
      </c>
      <c r="AG703" s="9">
        <f t="shared" si="88"/>
        <v>0.34582138410568175</v>
      </c>
      <c r="AH703" s="9">
        <f t="shared" si="89"/>
        <v>0.45483040386105761</v>
      </c>
      <c r="AI703" s="9">
        <f t="shared" si="90"/>
        <v>0.29762812241703768</v>
      </c>
    </row>
    <row r="704" spans="16:35" x14ac:dyDescent="0.3">
      <c r="P704" s="9">
        <v>8.8373068488166503E-3</v>
      </c>
      <c r="Q704" s="9">
        <v>0.26744972454382854</v>
      </c>
      <c r="R704" s="9">
        <v>0.4128843019302022</v>
      </c>
      <c r="S704" s="9">
        <v>0.31082866667715264</v>
      </c>
      <c r="U704" s="9">
        <f t="array" ref="U704">MMULT(TRANSPOSE($B$3:$B$6),TRANSPOSE(P704:S704))</f>
        <v>0.10164074434081205</v>
      </c>
      <c r="V704" s="9">
        <f>INT(200*U704)/200</f>
        <v>0.1</v>
      </c>
      <c r="W704" s="9">
        <f t="array" ref="W704">SQRT(MMULT(MMULT(P704:S704,$K$3:$N$6),TRANSPOSE(P704:S704)))</f>
        <v>0.10647862630080449</v>
      </c>
      <c r="Y704" s="31">
        <f>U704/W704</f>
        <v>0.95456475982019795</v>
      </c>
      <c r="AA704" s="9">
        <f t="shared" si="83"/>
        <v>0.27470040436050253</v>
      </c>
      <c r="AB704" s="9">
        <f t="shared" si="84"/>
        <v>0.17576381887122694</v>
      </c>
      <c r="AC704" s="9">
        <f t="shared" si="85"/>
        <v>0.24627025210626508</v>
      </c>
      <c r="AD704" s="9">
        <f t="shared" si="86"/>
        <v>0.30326552466200535</v>
      </c>
      <c r="AE704" s="9"/>
      <c r="AF704" s="9">
        <f t="shared" si="87"/>
        <v>0.56305794333441594</v>
      </c>
      <c r="AG704" s="9">
        <f t="shared" si="88"/>
        <v>0.35292194787916864</v>
      </c>
      <c r="AH704" s="9">
        <f t="shared" si="89"/>
        <v>0.45460997775551715</v>
      </c>
      <c r="AI704" s="9">
        <f t="shared" si="90"/>
        <v>0.29916413463346275</v>
      </c>
    </row>
    <row r="705" spans="16:35" x14ac:dyDescent="0.3">
      <c r="P705" s="9">
        <v>0.55434088337026066</v>
      </c>
      <c r="Q705" s="9">
        <v>8.2888610454339207E-2</v>
      </c>
      <c r="R705" s="9">
        <v>0.12343101151699332</v>
      </c>
      <c r="S705" s="9">
        <v>0.23933949465840684</v>
      </c>
      <c r="U705" s="9">
        <f t="array" ref="U705">MMULT(TRANSPOSE($B$3:$B$6),TRANSPOSE(P705:S705))</f>
        <v>7.268537002991754E-2</v>
      </c>
      <c r="V705" s="9">
        <f>INT(200*U705)/200</f>
        <v>7.0000000000000007E-2</v>
      </c>
      <c r="W705" s="9">
        <f t="array" ref="W705">SQRT(MMULT(MMULT(P705:S705,$K$3:$N$6),TRANSPOSE(P705:S705)))</f>
        <v>7.6158887050298399E-2</v>
      </c>
      <c r="Y705" s="31">
        <f>U705/W705</f>
        <v>0.95439117934999751</v>
      </c>
      <c r="AA705" s="9">
        <f t="shared" si="83"/>
        <v>0.25970317775169544</v>
      </c>
      <c r="AB705" s="9">
        <f t="shared" si="84"/>
        <v>0.18239544549472159</v>
      </c>
      <c r="AC705" s="9">
        <f t="shared" si="85"/>
        <v>0.27038443910004395</v>
      </c>
      <c r="AD705" s="9">
        <f t="shared" si="86"/>
        <v>0.28751693765353892</v>
      </c>
      <c r="AE705" s="9"/>
      <c r="AF705" s="9">
        <f t="shared" si="87"/>
        <v>0.62087318410990255</v>
      </c>
      <c r="AG705" s="9">
        <f t="shared" si="88"/>
        <v>0.36504903702855823</v>
      </c>
      <c r="AH705" s="9">
        <f t="shared" si="89"/>
        <v>0.51645245661788974</v>
      </c>
      <c r="AI705" s="9">
        <f t="shared" si="90"/>
        <v>0.38085583762482805</v>
      </c>
    </row>
    <row r="706" spans="16:35" x14ac:dyDescent="0.3">
      <c r="P706" s="9">
        <v>0.17192760739827267</v>
      </c>
      <c r="Q706" s="9">
        <v>0.23394365667416259</v>
      </c>
      <c r="R706" s="9">
        <v>0.17805054674274914</v>
      </c>
      <c r="S706" s="9">
        <v>0.41607818918481559</v>
      </c>
      <c r="U706" s="9">
        <f t="array" ref="U706">MMULT(TRANSPOSE($B$3:$B$6),TRANSPOSE(P706:S706))</f>
        <v>9.4115589199202487E-2</v>
      </c>
      <c r="V706" s="9">
        <f>INT(200*U706)/200</f>
        <v>0.09</v>
      </c>
      <c r="W706" s="9">
        <f t="array" ref="W706">SQRT(MMULT(MMULT(P706:S706,$K$3:$N$6),TRANSPOSE(P706:S706)))</f>
        <v>9.8660054324339788E-2</v>
      </c>
      <c r="Y706" s="31">
        <f>U706/W706</f>
        <v>0.95393814491326334</v>
      </c>
      <c r="AA706" s="9">
        <f t="shared" si="83"/>
        <v>0.25587710952887732</v>
      </c>
      <c r="AB706" s="9">
        <f t="shared" si="84"/>
        <v>0.18297458242315082</v>
      </c>
      <c r="AC706" s="9">
        <f t="shared" si="85"/>
        <v>0.27757626311439493</v>
      </c>
      <c r="AD706" s="9">
        <f t="shared" si="86"/>
        <v>0.28357204493357679</v>
      </c>
      <c r="AE706" s="9"/>
      <c r="AF706" s="9">
        <f t="shared" si="87"/>
        <v>0.62189856897127671</v>
      </c>
      <c r="AG706" s="9">
        <f t="shared" si="88"/>
        <v>0.3613215457281963</v>
      </c>
      <c r="AH706" s="9">
        <f t="shared" si="89"/>
        <v>0.50357779714820949</v>
      </c>
      <c r="AI706" s="9">
        <f t="shared" si="90"/>
        <v>0.39086207888668872</v>
      </c>
    </row>
    <row r="707" spans="16:35" x14ac:dyDescent="0.3">
      <c r="P707" s="9">
        <v>0.31594261445438099</v>
      </c>
      <c r="Q707" s="9">
        <v>0.13450787438429204</v>
      </c>
      <c r="R707" s="9">
        <v>0.34070126225376918</v>
      </c>
      <c r="S707" s="9">
        <v>0.20884824890755785</v>
      </c>
      <c r="U707" s="9">
        <f t="array" ref="U707">MMULT(TRANSPOSE($B$3:$B$6),TRANSPOSE(P707:S707))</f>
        <v>8.4216602242467936E-2</v>
      </c>
      <c r="V707" s="9">
        <f>INT(200*U707)/200</f>
        <v>0.08</v>
      </c>
      <c r="W707" s="9">
        <f t="array" ref="W707">SQRT(MMULT(MMULT(P707:S707,$K$3:$N$6),TRANSPOSE(P707:S707)))</f>
        <v>8.8287191394242071E-2</v>
      </c>
      <c r="Y707" s="31">
        <f>U707/W707</f>
        <v>0.953893774538629</v>
      </c>
      <c r="AA707" s="9">
        <f t="shared" si="83"/>
        <v>0.26951863463093628</v>
      </c>
      <c r="AB707" s="9">
        <f t="shared" si="84"/>
        <v>0.17618192627998588</v>
      </c>
      <c r="AC707" s="9">
        <f t="shared" si="85"/>
        <v>0.28089334589244458</v>
      </c>
      <c r="AD707" s="9">
        <f t="shared" si="86"/>
        <v>0.27340609319663323</v>
      </c>
      <c r="AE707" s="9"/>
      <c r="AF707" s="9">
        <f t="shared" si="87"/>
        <v>0.56957152904076414</v>
      </c>
      <c r="AG707" s="9">
        <f t="shared" si="88"/>
        <v>0.36559451433603113</v>
      </c>
      <c r="AH707" s="9">
        <f t="shared" si="89"/>
        <v>0.50144153097123667</v>
      </c>
      <c r="AI707" s="9">
        <f t="shared" si="90"/>
        <v>0.40446516061324467</v>
      </c>
    </row>
    <row r="708" spans="16:35" x14ac:dyDescent="0.3">
      <c r="P708" s="9">
        <v>0.17572626699123906</v>
      </c>
      <c r="Q708" s="9">
        <v>0.22036237356189742</v>
      </c>
      <c r="R708" s="9">
        <v>0.2092922147057002</v>
      </c>
      <c r="S708" s="9">
        <v>0.39461914474116327</v>
      </c>
      <c r="U708" s="9">
        <f t="array" ref="U708">MMULT(TRANSPOSE($B$3:$B$6),TRANSPOSE(P708:S708))</f>
        <v>9.3457322237074106E-2</v>
      </c>
      <c r="V708" s="9">
        <f>INT(200*U708)/200</f>
        <v>0.09</v>
      </c>
      <c r="W708" s="9">
        <f t="array" ref="W708">SQRT(MMULT(MMULT(P708:S708,$K$3:$N$6),TRANSPOSE(P708:S708)))</f>
        <v>9.7981334460607472E-2</v>
      </c>
      <c r="Y708" s="31">
        <f>U708/W708</f>
        <v>0.95382781579330089</v>
      </c>
      <c r="AA708" s="9">
        <f t="shared" si="83"/>
        <v>0.26728309872932499</v>
      </c>
      <c r="AB708" s="9">
        <f t="shared" si="84"/>
        <v>0.17739154110045646</v>
      </c>
      <c r="AC708" s="9">
        <f t="shared" si="85"/>
        <v>0.27071779615547903</v>
      </c>
      <c r="AD708" s="9">
        <f t="shared" si="86"/>
        <v>0.28460756401473947</v>
      </c>
      <c r="AE708" s="9"/>
      <c r="AF708" s="9">
        <f t="shared" si="87"/>
        <v>0.57259016559664788</v>
      </c>
      <c r="AG708" s="9">
        <f t="shared" si="88"/>
        <v>0.36085326761266484</v>
      </c>
      <c r="AH708" s="9">
        <f t="shared" si="89"/>
        <v>0.5139796979342981</v>
      </c>
      <c r="AI708" s="9">
        <f t="shared" si="90"/>
        <v>0.37613618470550003</v>
      </c>
    </row>
    <row r="709" spans="16:35" x14ac:dyDescent="0.3">
      <c r="P709" s="9">
        <v>0.12160564565805683</v>
      </c>
      <c r="Q709" s="9">
        <v>0.27001813254723028</v>
      </c>
      <c r="R709" s="9">
        <v>0.16215827278402717</v>
      </c>
      <c r="S709" s="9">
        <v>0.44621794901068573</v>
      </c>
      <c r="U709" s="9">
        <f t="array" ref="U709">MMULT(TRANSPOSE($B$3:$B$6),TRANSPOSE(P709:S709))</f>
        <v>9.7461556005610656E-2</v>
      </c>
      <c r="V709" s="9">
        <f>INT(200*U709)/200</f>
        <v>9.5000000000000001E-2</v>
      </c>
      <c r="W709" s="9">
        <f t="array" ref="W709">SQRT(MMULT(MMULT(P709:S709,$K$3:$N$6),TRANSPOSE(P709:S709)))</f>
        <v>0.1022171815807182</v>
      </c>
      <c r="Y709" s="31">
        <f>U709/W709</f>
        <v>0.95347528173282536</v>
      </c>
      <c r="AA709" s="9">
        <f t="shared" si="83"/>
        <v>0.26103088773396699</v>
      </c>
      <c r="AB709" s="9">
        <f t="shared" si="84"/>
        <v>0.17821277499082069</v>
      </c>
      <c r="AC709" s="9">
        <f t="shared" si="85"/>
        <v>0.27681701702952494</v>
      </c>
      <c r="AD709" s="9">
        <f t="shared" si="86"/>
        <v>0.2839393202456873</v>
      </c>
      <c r="AE709" s="9"/>
      <c r="AF709" s="9">
        <f t="shared" si="87"/>
        <v>0.59000016957953993</v>
      </c>
      <c r="AG709" s="9">
        <f t="shared" si="88"/>
        <v>0.3606662549847085</v>
      </c>
      <c r="AH709" s="9">
        <f t="shared" si="89"/>
        <v>0.48590305538103995</v>
      </c>
      <c r="AI709" s="9">
        <f t="shared" si="90"/>
        <v>0.37465791417799454</v>
      </c>
    </row>
    <row r="710" spans="16:35" x14ac:dyDescent="0.3">
      <c r="P710" s="9">
        <v>8.7434396540022524E-2</v>
      </c>
      <c r="Q710" s="9">
        <v>0.22763143721440143</v>
      </c>
      <c r="R710" s="9">
        <v>0.39521734469840103</v>
      </c>
      <c r="S710" s="9">
        <v>0.28971682154717493</v>
      </c>
      <c r="U710" s="9">
        <f t="array" ref="U710">MMULT(TRANSPOSE($B$3:$B$6),TRANSPOSE(P710:S710))</f>
        <v>9.7020394233210919E-2</v>
      </c>
      <c r="V710" s="9">
        <f>INT(200*U710)/200</f>
        <v>9.5000000000000001E-2</v>
      </c>
      <c r="W710" s="9">
        <f t="array" ref="W710">SQRT(MMULT(MMULT(P710:S710,$K$3:$N$6),TRANSPOSE(P710:S710)))</f>
        <v>0.10178025467172945</v>
      </c>
      <c r="Y710" s="31">
        <f>U710/W710</f>
        <v>0.95323395039764391</v>
      </c>
      <c r="AA710" s="9">
        <f t="shared" si="83"/>
        <v>0.24888839332774362</v>
      </c>
      <c r="AB710" s="9">
        <f t="shared" si="84"/>
        <v>0.18439009986581192</v>
      </c>
      <c r="AC710" s="9">
        <f t="shared" si="85"/>
        <v>0.27191107216825461</v>
      </c>
      <c r="AD710" s="9">
        <f t="shared" si="86"/>
        <v>0.29481043463818979</v>
      </c>
      <c r="AE710" s="9"/>
      <c r="AF710" s="9">
        <f t="shared" si="87"/>
        <v>0.65846273146001311</v>
      </c>
      <c r="AG710" s="9">
        <f t="shared" si="88"/>
        <v>0.37094905122965111</v>
      </c>
      <c r="AH710" s="9">
        <f t="shared" si="89"/>
        <v>0.48485781226078284</v>
      </c>
      <c r="AI710" s="9">
        <f t="shared" si="90"/>
        <v>0.36517008199043066</v>
      </c>
    </row>
    <row r="711" spans="16:35" x14ac:dyDescent="0.3">
      <c r="P711" s="9">
        <v>0.45589787960387684</v>
      </c>
      <c r="Q711" s="9">
        <v>9.217071530704192E-2</v>
      </c>
      <c r="R711" s="9">
        <v>0.24614702717748604</v>
      </c>
      <c r="S711" s="9">
        <v>0.20578437791159515</v>
      </c>
      <c r="U711" s="9">
        <f t="array" ref="U711">MMULT(TRANSPOSE($B$3:$B$6),TRANSPOSE(P711:S711))</f>
        <v>7.699850137976734E-2</v>
      </c>
      <c r="V711" s="9">
        <f>INT(200*U711)/200</f>
        <v>7.4999999999999997E-2</v>
      </c>
      <c r="W711" s="9">
        <f t="array" ref="W711">SQRT(MMULT(MMULT(P711:S711,$K$3:$N$6),TRANSPOSE(P711:S711)))</f>
        <v>8.0795499563609319E-2</v>
      </c>
      <c r="Y711" s="31">
        <f>U711/W711</f>
        <v>0.95300483066073938</v>
      </c>
      <c r="AA711" s="9">
        <f t="shared" si="83"/>
        <v>0.25774875967662747</v>
      </c>
      <c r="AB711" s="9">
        <f t="shared" si="84"/>
        <v>0.18178144707370777</v>
      </c>
      <c r="AC711" s="9">
        <f t="shared" si="85"/>
        <v>0.27619702582674266</v>
      </c>
      <c r="AD711" s="9">
        <f t="shared" si="86"/>
        <v>0.28427276742292201</v>
      </c>
      <c r="AE711" s="9"/>
      <c r="AF711" s="9">
        <f t="shared" si="87"/>
        <v>0.69444711056926367</v>
      </c>
      <c r="AG711" s="9">
        <f t="shared" si="88"/>
        <v>0.39504683784500583</v>
      </c>
      <c r="AH711" s="9">
        <f t="shared" si="89"/>
        <v>0.46354721479635436</v>
      </c>
      <c r="AI711" s="9">
        <f t="shared" si="90"/>
        <v>0.4069832107568197</v>
      </c>
    </row>
    <row r="712" spans="16:35" x14ac:dyDescent="0.3">
      <c r="P712" s="9">
        <v>0.14844872670054332</v>
      </c>
      <c r="Q712" s="9">
        <v>0.20377756263326252</v>
      </c>
      <c r="R712" s="9">
        <v>0.33101296528298674</v>
      </c>
      <c r="S712" s="9">
        <v>0.31676074538320742</v>
      </c>
      <c r="U712" s="9">
        <f t="array" ref="U712">MMULT(TRANSPOSE($B$3:$B$6),TRANSPOSE(P712:S712))</f>
        <v>9.3810170340800997E-2</v>
      </c>
      <c r="V712" s="9">
        <f>INT(200*U712)/200</f>
        <v>0.09</v>
      </c>
      <c r="W712" s="9">
        <f t="array" ref="W712">SQRT(MMULT(MMULT(P712:S712,$K$3:$N$6),TRANSPOSE(P712:S712)))</f>
        <v>9.8513921130603435E-2</v>
      </c>
      <c r="Y712" s="31">
        <f>U712/W712</f>
        <v>0.95225293302896241</v>
      </c>
      <c r="AA712" s="9">
        <f t="shared" si="83"/>
        <v>0.25571722541472575</v>
      </c>
      <c r="AB712" s="9">
        <f t="shared" si="84"/>
        <v>0.1842540218151264</v>
      </c>
      <c r="AC712" s="9">
        <f t="shared" si="85"/>
        <v>0.27124458221959002</v>
      </c>
      <c r="AD712" s="9">
        <f t="shared" si="86"/>
        <v>0.28878417055055772</v>
      </c>
      <c r="AE712" s="9"/>
      <c r="AF712" s="9">
        <f t="shared" si="87"/>
        <v>0.70870194912904416</v>
      </c>
      <c r="AG712" s="9">
        <f t="shared" si="88"/>
        <v>0.40646333341299451</v>
      </c>
      <c r="AH712" s="9">
        <f t="shared" si="89"/>
        <v>0.47603229980986589</v>
      </c>
      <c r="AI712" s="9">
        <f t="shared" si="90"/>
        <v>0.41846185178308443</v>
      </c>
    </row>
    <row r="713" spans="16:35" x14ac:dyDescent="0.3">
      <c r="P713" s="9">
        <v>0.37059596785272519</v>
      </c>
      <c r="Q713" s="9">
        <v>0.20031727066202459</v>
      </c>
      <c r="R713" s="9">
        <v>1.2845429288483767E-2</v>
      </c>
      <c r="S713" s="9">
        <v>0.41624133219676634</v>
      </c>
      <c r="U713" s="9">
        <f t="array" ref="U713">MMULT(TRANSPOSE($B$3:$B$6),TRANSPOSE(P713:S713))</f>
        <v>8.4704441972722574E-2</v>
      </c>
      <c r="V713" s="9">
        <f>INT(200*U713)/200</f>
        <v>0.08</v>
      </c>
      <c r="W713" s="9">
        <f t="array" ref="W713">SQRT(MMULT(MMULT(P713:S713,$K$3:$N$6),TRANSPOSE(P713:S713)))</f>
        <v>8.8962379192962598E-2</v>
      </c>
      <c r="Y713" s="31">
        <f>U713/W713</f>
        <v>0.95213777712706615</v>
      </c>
      <c r="AA713" s="9">
        <f t="shared" si="83"/>
        <v>0.24758990355246172</v>
      </c>
      <c r="AB713" s="9">
        <f t="shared" si="84"/>
        <v>0.18930616675738249</v>
      </c>
      <c r="AC713" s="9">
        <f t="shared" si="85"/>
        <v>0.26742989198648259</v>
      </c>
      <c r="AD713" s="9">
        <f t="shared" si="86"/>
        <v>0.29567403770367318</v>
      </c>
      <c r="AE713" s="9"/>
      <c r="AF713" s="9">
        <f t="shared" si="87"/>
        <v>0.74531942540936846</v>
      </c>
      <c r="AG713" s="9">
        <f t="shared" si="88"/>
        <v>0.40503968529159173</v>
      </c>
      <c r="AH713" s="9">
        <f t="shared" si="89"/>
        <v>0.48685739551070689</v>
      </c>
      <c r="AI713" s="9">
        <f t="shared" si="90"/>
        <v>0.42465747026833067</v>
      </c>
    </row>
    <row r="714" spans="16:35" x14ac:dyDescent="0.3">
      <c r="P714" s="9">
        <v>0.37688203021909111</v>
      </c>
      <c r="Q714" s="9">
        <v>0.11282646212804112</v>
      </c>
      <c r="R714" s="9">
        <v>0.2907107534346377</v>
      </c>
      <c r="S714" s="9">
        <v>0.21958075421823006</v>
      </c>
      <c r="U714" s="9">
        <f t="array" ref="U714">MMULT(TRANSPOSE($B$3:$B$6),TRANSPOSE(P714:S714))</f>
        <v>8.1017264764980251E-2</v>
      </c>
      <c r="V714" s="9">
        <f>INT(200*U714)/200</f>
        <v>0.08</v>
      </c>
      <c r="W714" s="9">
        <f t="array" ref="W714">SQRT(MMULT(MMULT(P714:S714,$K$3:$N$6),TRANSPOSE(P714:S714)))</f>
        <v>8.5099964716526644E-2</v>
      </c>
      <c r="Y714" s="31">
        <f>U714/W714</f>
        <v>0.95202465752898813</v>
      </c>
      <c r="AA714" s="9">
        <f t="shared" si="83"/>
        <v>0.23100854865015419</v>
      </c>
      <c r="AB714" s="9">
        <f t="shared" si="84"/>
        <v>0.19481561187675075</v>
      </c>
      <c r="AC714" s="9">
        <f t="shared" si="85"/>
        <v>0.27101110544938195</v>
      </c>
      <c r="AD714" s="9">
        <f t="shared" si="86"/>
        <v>0.30316473402371313</v>
      </c>
      <c r="AE714" s="9"/>
      <c r="AF714" s="9">
        <f t="shared" si="87"/>
        <v>0.76315064609400174</v>
      </c>
      <c r="AG714" s="9">
        <f t="shared" si="88"/>
        <v>0.37372180094219837</v>
      </c>
      <c r="AH714" s="9">
        <f t="shared" si="89"/>
        <v>0.48079542264554331</v>
      </c>
      <c r="AI714" s="9">
        <f t="shared" si="90"/>
        <v>0.40605414724814903</v>
      </c>
    </row>
    <row r="715" spans="16:35" x14ac:dyDescent="0.3">
      <c r="P715" s="9">
        <v>4.3822930145466121E-2</v>
      </c>
      <c r="Q715" s="9">
        <v>0.29075409357268223</v>
      </c>
      <c r="R715" s="9">
        <v>0.64906985635120573</v>
      </c>
      <c r="S715" s="9">
        <v>1.6353119930645813E-2</v>
      </c>
      <c r="U715" s="9">
        <f t="array" ref="U715">MMULT(TRANSPOSE($B$3:$B$6),TRANSPOSE(P715:S715))</f>
        <v>9.981381982276076E-2</v>
      </c>
      <c r="V715" s="9">
        <f>INT(200*U715)/200</f>
        <v>9.5000000000000001E-2</v>
      </c>
      <c r="W715" s="9">
        <f t="array" ref="W715">SQRT(MMULT(MMULT(P715:S715,$K$3:$N$6),TRANSPOSE(P715:S715)))</f>
        <v>0.1049006397716771</v>
      </c>
      <c r="Y715" s="31">
        <f>U715/W715</f>
        <v>0.95150820852963214</v>
      </c>
      <c r="AA715" s="9">
        <f t="shared" si="83"/>
        <v>0.23071604789174363</v>
      </c>
      <c r="AB715" s="9">
        <f t="shared" si="84"/>
        <v>0.20176066011876628</v>
      </c>
      <c r="AC715" s="9">
        <f t="shared" si="85"/>
        <v>0.2528227882199332</v>
      </c>
      <c r="AD715" s="9">
        <f t="shared" si="86"/>
        <v>0.31470050376955694</v>
      </c>
      <c r="AE715" s="9"/>
      <c r="AF715" s="9">
        <f t="shared" si="87"/>
        <v>0.76581596377053229</v>
      </c>
      <c r="AG715" s="9">
        <f t="shared" si="88"/>
        <v>0.42558673250622514</v>
      </c>
      <c r="AH715" s="9">
        <f t="shared" si="89"/>
        <v>0.53807920743921023</v>
      </c>
      <c r="AI715" s="9">
        <f t="shared" si="90"/>
        <v>0.42790866141331074</v>
      </c>
    </row>
    <row r="716" spans="16:35" x14ac:dyDescent="0.3">
      <c r="P716" s="9">
        <v>0.30187408211162942</v>
      </c>
      <c r="Q716" s="9">
        <v>0.1374171829007968</v>
      </c>
      <c r="R716" s="9">
        <v>0.35209458886170053</v>
      </c>
      <c r="S716" s="9">
        <v>0.20861414612587312</v>
      </c>
      <c r="U716" s="9">
        <f t="array" ref="U716">MMULT(TRANSPOSE($B$3:$B$6),TRANSPOSE(P716:S716))</f>
        <v>8.4898563717889841E-2</v>
      </c>
      <c r="V716" s="9">
        <f>INT(200*U716)/200</f>
        <v>0.08</v>
      </c>
      <c r="W716" s="9">
        <f t="array" ref="W716">SQRT(MMULT(MMULT(P716:S716,$K$3:$N$6),TRANSPOSE(P716:S716)))</f>
        <v>8.923123210126907E-2</v>
      </c>
      <c r="Y716" s="31">
        <f>U716/W716</f>
        <v>0.95144448550859351</v>
      </c>
      <c r="AA716" s="9">
        <f t="shared" si="83"/>
        <v>0.21014379892072402</v>
      </c>
      <c r="AB716" s="9">
        <f t="shared" si="84"/>
        <v>0.20770595516360432</v>
      </c>
      <c r="AC716" s="9">
        <f t="shared" si="85"/>
        <v>0.27038386776373979</v>
      </c>
      <c r="AD716" s="9">
        <f t="shared" si="86"/>
        <v>0.31176637815193192</v>
      </c>
      <c r="AE716" s="9"/>
      <c r="AF716" s="9">
        <f t="shared" si="87"/>
        <v>0.76914165251286026</v>
      </c>
      <c r="AG716" s="9">
        <f t="shared" si="88"/>
        <v>0.39205595652605263</v>
      </c>
      <c r="AH716" s="9">
        <f t="shared" si="89"/>
        <v>0.52579098847982453</v>
      </c>
      <c r="AI716" s="9">
        <f t="shared" si="90"/>
        <v>0.43955196396395396</v>
      </c>
    </row>
    <row r="717" spans="16:35" x14ac:dyDescent="0.3">
      <c r="P717" s="9">
        <v>0.34460612179719996</v>
      </c>
      <c r="Q717" s="9">
        <v>0.12382455835646536</v>
      </c>
      <c r="R717" s="9">
        <v>0.35718501057980623</v>
      </c>
      <c r="S717" s="9">
        <v>0.17438430926652845</v>
      </c>
      <c r="U717" s="9">
        <f t="array" ref="U717">MMULT(TRANSPOSE($B$3:$B$6),TRANSPOSE(P717:S717))</f>
        <v>8.2552744535308933E-2</v>
      </c>
      <c r="V717" s="9">
        <f>INT(200*U717)/200</f>
        <v>0.08</v>
      </c>
      <c r="W717" s="9">
        <f t="array" ref="W717">SQRT(MMULT(MMULT(P717:S717,$K$3:$N$6),TRANSPOSE(P717:S717)))</f>
        <v>8.6897532669089964E-2</v>
      </c>
      <c r="Y717" s="31">
        <f>U717/W717</f>
        <v>0.95000101843712648</v>
      </c>
      <c r="AA717" s="9">
        <f t="shared" si="83"/>
        <v>0.21300686451432133</v>
      </c>
      <c r="AB717" s="9">
        <f t="shared" si="84"/>
        <v>0.20431291187801931</v>
      </c>
      <c r="AC717" s="9">
        <f t="shared" si="85"/>
        <v>0.27577961758402919</v>
      </c>
      <c r="AD717" s="9">
        <f t="shared" si="86"/>
        <v>0.30690060602363023</v>
      </c>
      <c r="AE717" s="9"/>
      <c r="AF717" s="9">
        <f t="shared" si="87"/>
        <v>0.75796602142719416</v>
      </c>
      <c r="AG717" s="9">
        <f t="shared" si="88"/>
        <v>0.40021075197879263</v>
      </c>
      <c r="AH717" s="9">
        <f t="shared" si="89"/>
        <v>0.50992797699334513</v>
      </c>
      <c r="AI717" s="9">
        <f t="shared" si="90"/>
        <v>0.43970804691552379</v>
      </c>
    </row>
    <row r="718" spans="16:35" x14ac:dyDescent="0.3">
      <c r="P718" s="9">
        <v>0.27538752029985086</v>
      </c>
      <c r="Q718" s="9">
        <v>0.16932426961185534</v>
      </c>
      <c r="R718" s="9">
        <v>0.19134415987109621</v>
      </c>
      <c r="S718" s="9">
        <v>0.36394405021719767</v>
      </c>
      <c r="U718" s="9">
        <f t="array" ref="U718">MMULT(TRANSPOSE($B$3:$B$6),TRANSPOSE(P718:S718))</f>
        <v>8.7567516704772697E-2</v>
      </c>
      <c r="V718" s="9">
        <f>INT(200*U718)/200</f>
        <v>8.5000000000000006E-2</v>
      </c>
      <c r="W718" s="9">
        <f t="array" ref="W718">SQRT(MMULT(MMULT(P718:S718,$K$3:$N$6),TRANSPOSE(P718:S718)))</f>
        <v>9.2261429083404442E-2</v>
      </c>
      <c r="Y718" s="31">
        <f>U718/W718</f>
        <v>0.94912378417216536</v>
      </c>
      <c r="AA718" s="9">
        <f t="shared" ref="AA718:AA781" si="91">AVERAGE(P708:P728)</f>
        <v>0.20205209080861899</v>
      </c>
      <c r="AB718" s="9">
        <f t="shared" ref="AB718:AB781" si="92">AVERAGE(Q708:Q728)</f>
        <v>0.20858291383080535</v>
      </c>
      <c r="AC718" s="9">
        <f t="shared" ref="AC718:AC781" si="93">AVERAGE(R708:R728)</f>
        <v>0.27648475503925779</v>
      </c>
      <c r="AD718" s="9">
        <f t="shared" ref="AD718:AD781" si="94">AVERAGE(S708:S728)</f>
        <v>0.31288024032131795</v>
      </c>
      <c r="AE718" s="9"/>
      <c r="AF718" s="9">
        <f t="shared" ref="AF718:AF781" si="95">STDEV(P708:P728)/AA718</f>
        <v>0.80138911382649713</v>
      </c>
      <c r="AG718" s="9">
        <f t="shared" ref="AG718:AG781" si="96">STDEV(Q708:Q728)/AB718</f>
        <v>0.38482657425447647</v>
      </c>
      <c r="AH718" s="9">
        <f t="shared" ref="AH718:AH781" si="97">STDEV(R708:R728)/AC718</f>
        <v>0.50999616872732301</v>
      </c>
      <c r="AI718" s="9">
        <f t="shared" ref="AI718:AI781" si="98">STDEV(S708:S728)/AD718</f>
        <v>0.42557767775961702</v>
      </c>
    </row>
    <row r="719" spans="16:35" x14ac:dyDescent="0.3">
      <c r="P719" s="9">
        <v>0.17595062137368331</v>
      </c>
      <c r="Q719" s="9">
        <v>0.20599022597870253</v>
      </c>
      <c r="R719" s="9">
        <v>0.23873545508177474</v>
      </c>
      <c r="S719" s="9">
        <v>0.3793236975658395</v>
      </c>
      <c r="U719" s="9">
        <f t="array" ref="U719">MMULT(TRANSPOSE($B$3:$B$6),TRANSPOSE(P719:S719))</f>
        <v>9.2947685088146742E-2</v>
      </c>
      <c r="V719" s="9">
        <f>INT(200*U719)/200</f>
        <v>0.09</v>
      </c>
      <c r="W719" s="9">
        <f t="array" ref="W719">SQRT(MMULT(MMULT(P719:S719,$K$3:$N$6),TRANSPOSE(P719:S719)))</f>
        <v>9.8034407605531601E-2</v>
      </c>
      <c r="Y719" s="31">
        <f>U719/W719</f>
        <v>0.94811288565283436</v>
      </c>
      <c r="AA719" s="9">
        <f t="shared" si="91"/>
        <v>0.20166270040321602</v>
      </c>
      <c r="AB719" s="9">
        <f t="shared" si="92"/>
        <v>0.20735495680775434</v>
      </c>
      <c r="AC719" s="9">
        <f t="shared" si="93"/>
        <v>0.27993461603118591</v>
      </c>
      <c r="AD719" s="9">
        <f t="shared" si="94"/>
        <v>0.31104772675784381</v>
      </c>
      <c r="AE719" s="9"/>
      <c r="AF719" s="9">
        <f t="shared" si="95"/>
        <v>0.80331481051238263</v>
      </c>
      <c r="AG719" s="9">
        <f t="shared" si="96"/>
        <v>0.38714425892582122</v>
      </c>
      <c r="AH719" s="9">
        <f t="shared" si="97"/>
        <v>0.50070179325848829</v>
      </c>
      <c r="AI719" s="9">
        <f t="shared" si="98"/>
        <v>0.42512870576107697</v>
      </c>
    </row>
    <row r="720" spans="16:35" x14ac:dyDescent="0.3">
      <c r="P720" s="9">
        <v>4.3487612003993703E-3</v>
      </c>
      <c r="Q720" s="9">
        <v>0.28834142436678389</v>
      </c>
      <c r="R720" s="9">
        <v>0.29182664822938376</v>
      </c>
      <c r="S720" s="9">
        <v>0.4154831662034329</v>
      </c>
      <c r="U720" s="9">
        <f t="array" ref="U720">MMULT(TRANSPOSE($B$3:$B$6),TRANSPOSE(P720:S720))</f>
        <v>0.10285736912627491</v>
      </c>
      <c r="V720" s="9">
        <f>INT(200*U720)/200</f>
        <v>0.1</v>
      </c>
      <c r="W720" s="9">
        <f t="array" ref="W720">SQRT(MMULT(MMULT(P720:S720,$K$3:$N$6),TRANSPOSE(P720:S720)))</f>
        <v>0.10850431154684814</v>
      </c>
      <c r="Y720" s="31">
        <f>U720/W720</f>
        <v>0.94795651582808216</v>
      </c>
      <c r="AA720" s="9">
        <f t="shared" si="91"/>
        <v>0.22014715943126775</v>
      </c>
      <c r="AB720" s="9">
        <f t="shared" si="92"/>
        <v>0.19850917866491236</v>
      </c>
      <c r="AC720" s="9">
        <f t="shared" si="93"/>
        <v>0.28722249965478097</v>
      </c>
      <c r="AD720" s="9">
        <f t="shared" si="94"/>
        <v>0.294121162249039</v>
      </c>
      <c r="AE720" s="9"/>
      <c r="AF720" s="9">
        <f t="shared" si="95"/>
        <v>0.79083885964047917</v>
      </c>
      <c r="AG720" s="9">
        <f t="shared" si="96"/>
        <v>0.41916068562753556</v>
      </c>
      <c r="AH720" s="9">
        <f t="shared" si="97"/>
        <v>0.47938708361094318</v>
      </c>
      <c r="AI720" s="9">
        <f t="shared" si="98"/>
        <v>0.46491417545875197</v>
      </c>
    </row>
    <row r="721" spans="16:35" x14ac:dyDescent="0.3">
      <c r="P721" s="9">
        <v>0.62477658795990487</v>
      </c>
      <c r="Q721" s="9">
        <v>6.8344351325069219E-2</v>
      </c>
      <c r="R721" s="9">
        <v>0.2091138842540621</v>
      </c>
      <c r="S721" s="9">
        <v>9.7765176460963749E-2</v>
      </c>
      <c r="U721" s="9">
        <f t="array" ref="U721">MMULT(TRANSPOSE($B$3:$B$6),TRANSPOSE(P721:S721))</f>
        <v>6.875144914786796E-2</v>
      </c>
      <c r="V721" s="9">
        <f>INT(200*U721)/200</f>
        <v>6.5000000000000002E-2</v>
      </c>
      <c r="W721" s="9">
        <f t="array" ref="W721">SQRT(MMULT(MMULT(P721:S721,$K$3:$N$6),TRANSPOSE(P721:S721)))</f>
        <v>7.2580037839543157E-2</v>
      </c>
      <c r="Y721" s="31">
        <f>U721/W721</f>
        <v>0.94725011441659379</v>
      </c>
      <c r="AA721" s="9">
        <f t="shared" si="91"/>
        <v>0.22730334261644425</v>
      </c>
      <c r="AB721" s="9">
        <f t="shared" si="92"/>
        <v>0.19499854458827598</v>
      </c>
      <c r="AC721" s="9">
        <f t="shared" si="93"/>
        <v>0.2833739708498752</v>
      </c>
      <c r="AD721" s="9">
        <f t="shared" si="94"/>
        <v>0.29432414194540463</v>
      </c>
      <c r="AE721" s="9"/>
      <c r="AF721" s="9">
        <f t="shared" si="95"/>
        <v>0.75424061486009331</v>
      </c>
      <c r="AG721" s="9">
        <f t="shared" si="96"/>
        <v>0.42806434061676696</v>
      </c>
      <c r="AH721" s="9">
        <f t="shared" si="97"/>
        <v>0.47864469087369999</v>
      </c>
      <c r="AI721" s="9">
        <f t="shared" si="98"/>
        <v>0.46458097403989257</v>
      </c>
    </row>
    <row r="722" spans="16:35" x14ac:dyDescent="0.3">
      <c r="P722" s="9">
        <v>4.673817580228188E-2</v>
      </c>
      <c r="Q722" s="9">
        <v>0.29601014040902351</v>
      </c>
      <c r="R722" s="9">
        <v>0.1947487463932269</v>
      </c>
      <c r="S722" s="9">
        <v>0.46250293739546777</v>
      </c>
      <c r="U722" s="9">
        <f t="array" ref="U722">MMULT(TRANSPOSE($B$3:$B$6),TRANSPOSE(P722:S722))</f>
        <v>0.1014795918498281</v>
      </c>
      <c r="V722" s="9">
        <f>INT(200*U722)/200</f>
        <v>0.1</v>
      </c>
      <c r="W722" s="9">
        <f t="array" ref="W722">SQRT(MMULT(MMULT(P722:S722,$K$3:$N$6),TRANSPOSE(P722:S722)))</f>
        <v>0.107205852385564</v>
      </c>
      <c r="Y722" s="31">
        <f>U722/W722</f>
        <v>0.94658630654657272</v>
      </c>
      <c r="AA722" s="9">
        <f t="shared" si="91"/>
        <v>0.21489987699173274</v>
      </c>
      <c r="AB722" s="9">
        <f t="shared" si="92"/>
        <v>0.20410371143204725</v>
      </c>
      <c r="AC722" s="9">
        <f t="shared" si="93"/>
        <v>0.27290632405316412</v>
      </c>
      <c r="AD722" s="9">
        <f t="shared" si="94"/>
        <v>0.308090087523056</v>
      </c>
      <c r="AE722" s="9"/>
      <c r="AF722" s="9">
        <f t="shared" si="95"/>
        <v>0.75991394185255279</v>
      </c>
      <c r="AG722" s="9">
        <f t="shared" si="96"/>
        <v>0.40230561166025081</v>
      </c>
      <c r="AH722" s="9">
        <f t="shared" si="97"/>
        <v>0.53748980459035856</v>
      </c>
      <c r="AI722" s="9">
        <f t="shared" si="98"/>
        <v>0.46036772643181961</v>
      </c>
    </row>
    <row r="723" spans="16:35" x14ac:dyDescent="0.3">
      <c r="P723" s="9">
        <v>9.5461994300283667E-2</v>
      </c>
      <c r="Q723" s="9">
        <v>0.26531420511256504</v>
      </c>
      <c r="R723" s="9">
        <v>0.19435314176203947</v>
      </c>
      <c r="S723" s="9">
        <v>0.44487065882511179</v>
      </c>
      <c r="U723" s="9">
        <f t="array" ref="U723">MMULT(TRANSPOSE($B$3:$B$6),TRANSPOSE(P723:S723))</f>
        <v>9.841287970521595E-2</v>
      </c>
      <c r="V723" s="9">
        <f>INT(200*U723)/200</f>
        <v>9.5000000000000001E-2</v>
      </c>
      <c r="W723" s="9">
        <f t="array" ref="W723">SQRT(MMULT(MMULT(P723:S723,$K$3:$N$6),TRANSPOSE(P723:S723)))</f>
        <v>0.10405766670654276</v>
      </c>
      <c r="Y723" s="31">
        <f>U723/W723</f>
        <v>0.9457532810413104</v>
      </c>
      <c r="AA723" s="9">
        <f t="shared" si="91"/>
        <v>0.21571306869180024</v>
      </c>
      <c r="AB723" s="9">
        <f t="shared" si="92"/>
        <v>0.20334704191949474</v>
      </c>
      <c r="AC723" s="9">
        <f t="shared" si="93"/>
        <v>0.28044190858558626</v>
      </c>
      <c r="AD723" s="9">
        <f t="shared" si="94"/>
        <v>0.3004979808031189</v>
      </c>
      <c r="AE723" s="9"/>
      <c r="AF723" s="9">
        <f t="shared" si="95"/>
        <v>0.75563433918203571</v>
      </c>
      <c r="AG723" s="9">
        <f t="shared" si="96"/>
        <v>0.40417801057460817</v>
      </c>
      <c r="AH723" s="9">
        <f t="shared" si="97"/>
        <v>0.54811719256414049</v>
      </c>
      <c r="AI723" s="9">
        <f t="shared" si="98"/>
        <v>0.48441399127503942</v>
      </c>
    </row>
    <row r="724" spans="16:35" x14ac:dyDescent="0.3">
      <c r="P724" s="9">
        <v>0.15057340102525335</v>
      </c>
      <c r="Q724" s="9">
        <v>0.19991357766729984</v>
      </c>
      <c r="R724" s="9">
        <v>0.31031059323728766</v>
      </c>
      <c r="S724" s="9">
        <v>0.33920242807015905</v>
      </c>
      <c r="U724" s="9">
        <f t="array" ref="U724">MMULT(TRANSPOSE($B$3:$B$6),TRANSPOSE(P724:S724))</f>
        <v>9.3682942307866182E-2</v>
      </c>
      <c r="V724" s="9">
        <f>INT(200*U724)/200</f>
        <v>0.09</v>
      </c>
      <c r="W724" s="9">
        <f t="array" ref="W724">SQRT(MMULT(MMULT(P724:S724,$K$3:$N$6),TRANSPOSE(P724:S724)))</f>
        <v>9.9089841745182095E-2</v>
      </c>
      <c r="Y724" s="31">
        <f>U724/W724</f>
        <v>0.94543437205985037</v>
      </c>
      <c r="AA724" s="9">
        <f t="shared" si="91"/>
        <v>0.21055214488939367</v>
      </c>
      <c r="AB724" s="9">
        <f t="shared" si="92"/>
        <v>0.20068335399840234</v>
      </c>
      <c r="AC724" s="9">
        <f t="shared" si="93"/>
        <v>0.29397394096883256</v>
      </c>
      <c r="AD724" s="9">
        <f t="shared" si="94"/>
        <v>0.29479056014337146</v>
      </c>
      <c r="AE724" s="9"/>
      <c r="AF724" s="9">
        <f t="shared" si="95"/>
        <v>0.7576741142589154</v>
      </c>
      <c r="AG724" s="9">
        <f t="shared" si="96"/>
        <v>0.41454277230890463</v>
      </c>
      <c r="AH724" s="9">
        <f t="shared" si="97"/>
        <v>0.47949420947446114</v>
      </c>
      <c r="AI724" s="9">
        <f t="shared" si="98"/>
        <v>0.48553011411798791</v>
      </c>
    </row>
    <row r="725" spans="16:35" x14ac:dyDescent="0.3">
      <c r="P725" s="9">
        <v>2.6947909221945645E-3</v>
      </c>
      <c r="Q725" s="9">
        <v>0.41329573762615474</v>
      </c>
      <c r="R725" s="9">
        <v>3.0929640111778543E-2</v>
      </c>
      <c r="S725" s="9">
        <v>0.55307983133987215</v>
      </c>
      <c r="U725" s="9">
        <f t="array" ref="U725">MMULT(TRANSPOSE($B$3:$B$6),TRANSPOSE(P725:S725))</f>
        <v>0.10729257709804008</v>
      </c>
      <c r="V725" s="9">
        <f>INT(200*U725)/200</f>
        <v>0.105</v>
      </c>
      <c r="W725" s="9">
        <f t="array" ref="W725">SQRT(MMULT(MMULT(P725:S725,$K$3:$N$6),TRANSPOSE(P725:S725)))</f>
        <v>0.11353356867040292</v>
      </c>
      <c r="Y725" s="31">
        <f>U725/W725</f>
        <v>0.94502954812879225</v>
      </c>
      <c r="AA725" s="9">
        <f t="shared" si="91"/>
        <v>0.20467781573063851</v>
      </c>
      <c r="AB725" s="9">
        <f t="shared" si="92"/>
        <v>0.20382111107324513</v>
      </c>
      <c r="AC725" s="9">
        <f t="shared" si="93"/>
        <v>0.28826092201239967</v>
      </c>
      <c r="AD725" s="9">
        <f t="shared" si="94"/>
        <v>0.30324015118371672</v>
      </c>
      <c r="AE725" s="9"/>
      <c r="AF725" s="9">
        <f t="shared" si="95"/>
        <v>0.75882430196212913</v>
      </c>
      <c r="AG725" s="9">
        <f t="shared" si="96"/>
        <v>0.3970353107726397</v>
      </c>
      <c r="AH725" s="9">
        <f t="shared" si="97"/>
        <v>0.49783335456354255</v>
      </c>
      <c r="AI725" s="9">
        <f t="shared" si="98"/>
        <v>0.47389552991607764</v>
      </c>
    </row>
    <row r="726" spans="16:35" x14ac:dyDescent="0.3">
      <c r="P726" s="9">
        <v>0.12232365497884852</v>
      </c>
      <c r="Q726" s="9">
        <v>0.20773980639593764</v>
      </c>
      <c r="R726" s="9">
        <v>0.49221368193693188</v>
      </c>
      <c r="S726" s="9">
        <v>0.17772285668828194</v>
      </c>
      <c r="U726" s="9">
        <f t="array" ref="U726">MMULT(TRANSPOSE($B$3:$B$6),TRANSPOSE(P726:S726))</f>
        <v>9.4526856330096137E-2</v>
      </c>
      <c r="V726" s="9">
        <f>INT(200*U726)/200</f>
        <v>0.09</v>
      </c>
      <c r="W726" s="9">
        <f t="array" ref="W726">SQRT(MMULT(MMULT(P726:S726,$K$3:$N$6),TRANSPOSE(P726:S726)))</f>
        <v>0.1000681935037457</v>
      </c>
      <c r="Y726" s="31">
        <f>U726/W726</f>
        <v>0.94462439083161687</v>
      </c>
      <c r="AA726" s="9">
        <f t="shared" si="91"/>
        <v>0.21965267757454077</v>
      </c>
      <c r="AB726" s="9">
        <f t="shared" si="92"/>
        <v>0.19516724169055855</v>
      </c>
      <c r="AC726" s="9">
        <f t="shared" si="93"/>
        <v>0.27016847264321175</v>
      </c>
      <c r="AD726" s="9">
        <f t="shared" si="94"/>
        <v>0.31501160809168888</v>
      </c>
      <c r="AE726" s="9"/>
      <c r="AF726" s="9">
        <f t="shared" si="95"/>
        <v>0.70195380923419048</v>
      </c>
      <c r="AG726" s="9">
        <f t="shared" si="96"/>
        <v>0.41441326268196954</v>
      </c>
      <c r="AH726" s="9">
        <f t="shared" si="97"/>
        <v>0.43417508712727215</v>
      </c>
      <c r="AI726" s="9">
        <f t="shared" si="98"/>
        <v>0.40738603191003514</v>
      </c>
    </row>
    <row r="727" spans="16:35" x14ac:dyDescent="0.3">
      <c r="P727" s="9">
        <v>0.23205198486381587</v>
      </c>
      <c r="Q727" s="9">
        <v>0.16268974767687777</v>
      </c>
      <c r="R727" s="9">
        <v>0.29136129296882657</v>
      </c>
      <c r="S727" s="9">
        <v>0.31389697449047976</v>
      </c>
      <c r="U727" s="9">
        <f t="array" ref="U727">MMULT(TRANSPOSE($B$3:$B$6),TRANSPOSE(P727:S727))</f>
        <v>8.9006110723500495E-2</v>
      </c>
      <c r="V727" s="9">
        <f>INT(200*U727)/200</f>
        <v>8.5000000000000006E-2</v>
      </c>
      <c r="W727" s="9">
        <f t="array" ref="W727">SQRT(MMULT(MMULT(P727:S727,$K$3:$N$6),TRANSPOSE(P727:S727)))</f>
        <v>9.4261818998721228E-2</v>
      </c>
      <c r="Y727" s="31">
        <f>U727/W727</f>
        <v>0.94424350886659603</v>
      </c>
      <c r="AA727" s="9">
        <f t="shared" si="91"/>
        <v>0.21217586710077624</v>
      </c>
      <c r="AB727" s="9">
        <f t="shared" si="92"/>
        <v>0.19798489856995333</v>
      </c>
      <c r="AC727" s="9">
        <f t="shared" si="93"/>
        <v>0.26812336075337989</v>
      </c>
      <c r="AD727" s="9">
        <f t="shared" si="94"/>
        <v>0.32171587357589054</v>
      </c>
      <c r="AE727" s="9"/>
      <c r="AF727" s="9">
        <f t="shared" si="95"/>
        <v>0.72489897124020475</v>
      </c>
      <c r="AG727" s="9">
        <f t="shared" si="96"/>
        <v>0.40301447184586736</v>
      </c>
      <c r="AH727" s="9">
        <f t="shared" si="97"/>
        <v>0.43326912251179178</v>
      </c>
      <c r="AI727" s="9">
        <f t="shared" si="98"/>
        <v>0.39212890640733877</v>
      </c>
    </row>
    <row r="728" spans="16:35" x14ac:dyDescent="0.3">
      <c r="P728" s="9">
        <v>8.5892366634631567E-2</v>
      </c>
      <c r="Q728" s="9">
        <v>0.22417791539279908</v>
      </c>
      <c r="R728" s="9">
        <v>0.35550914881357004</v>
      </c>
      <c r="S728" s="9">
        <v>0.33442056915899926</v>
      </c>
      <c r="U728" s="9">
        <f t="array" ref="U728">MMULT(TRANSPOSE($B$3:$B$6),TRANSPOSE(P728:S728))</f>
        <v>9.7141513046446443E-2</v>
      </c>
      <c r="V728" s="9">
        <f>INT(200*U728)/200</f>
        <v>9.5000000000000001E-2</v>
      </c>
      <c r="W728" s="9">
        <f t="array" ref="W728">SQRT(MMULT(MMULT(P728:S728,$K$3:$N$6),TRANSPOSE(P728:S728)))</f>
        <v>0.10289561657989738</v>
      </c>
      <c r="Y728" s="31">
        <f>U728/W728</f>
        <v>0.94407824429544163</v>
      </c>
      <c r="AA728" s="9">
        <f t="shared" si="91"/>
        <v>0.20409581174854791</v>
      </c>
      <c r="AB728" s="9">
        <f t="shared" si="92"/>
        <v>0.20054222648490191</v>
      </c>
      <c r="AC728" s="9">
        <f t="shared" si="93"/>
        <v>0.27288729572039055</v>
      </c>
      <c r="AD728" s="9">
        <f t="shared" si="94"/>
        <v>0.32247466604615943</v>
      </c>
      <c r="AE728" s="9"/>
      <c r="AF728" s="9">
        <f t="shared" si="95"/>
        <v>0.73951183462445891</v>
      </c>
      <c r="AG728" s="9">
        <f t="shared" si="96"/>
        <v>0.38963652400982113</v>
      </c>
      <c r="AH728" s="9">
        <f t="shared" si="97"/>
        <v>0.44675495119818776</v>
      </c>
      <c r="AI728" s="9">
        <f t="shared" si="98"/>
        <v>0.3884597472124186</v>
      </c>
    </row>
    <row r="729" spans="16:35" x14ac:dyDescent="0.3">
      <c r="P729" s="9">
        <v>0.16754906847777626</v>
      </c>
      <c r="Q729" s="9">
        <v>0.19457527607782654</v>
      </c>
      <c r="R729" s="9">
        <v>0.28173929553619076</v>
      </c>
      <c r="S729" s="9">
        <v>0.35613635990820652</v>
      </c>
      <c r="U729" s="9">
        <f t="array" ref="U729">MMULT(TRANSPOSE($B$3:$B$6),TRANSPOSE(P729:S729))</f>
        <v>9.2864227259553289E-2</v>
      </c>
      <c r="V729" s="9">
        <f>INT(200*U729)/200</f>
        <v>0.09</v>
      </c>
      <c r="W729" s="9">
        <f t="array" ref="W729">SQRT(MMULT(MMULT(P729:S729,$K$3:$N$6),TRANSPOSE(P729:S729)))</f>
        <v>9.8510122047299475E-2</v>
      </c>
      <c r="Y729" s="31">
        <f>U729/W729</f>
        <v>0.94268716076673498</v>
      </c>
      <c r="AA729" s="9">
        <f t="shared" si="91"/>
        <v>0.21158213626001962</v>
      </c>
      <c r="AB729" s="9">
        <f t="shared" si="92"/>
        <v>0.20000534458325905</v>
      </c>
      <c r="AC729" s="9">
        <f t="shared" si="93"/>
        <v>0.2643606614106665</v>
      </c>
      <c r="AD729" s="9">
        <f t="shared" si="94"/>
        <v>0.32405185774605477</v>
      </c>
      <c r="AE729" s="9"/>
      <c r="AF729" s="9">
        <f t="shared" si="95"/>
        <v>0.74845789243456706</v>
      </c>
      <c r="AG729" s="9">
        <f t="shared" si="96"/>
        <v>0.39199994857762632</v>
      </c>
      <c r="AH729" s="9">
        <f t="shared" si="97"/>
        <v>0.50538268143384479</v>
      </c>
      <c r="AI729" s="9">
        <f t="shared" si="98"/>
        <v>0.38889728143968372</v>
      </c>
    </row>
    <row r="730" spans="16:35" x14ac:dyDescent="0.3">
      <c r="P730" s="9">
        <v>0.50977928524714278</v>
      </c>
      <c r="Q730" s="9">
        <v>8.4256791547548324E-2</v>
      </c>
      <c r="R730" s="9">
        <v>0.31520382887952414</v>
      </c>
      <c r="S730" s="9">
        <v>9.0760094325784732E-2</v>
      </c>
      <c r="U730" s="9">
        <f t="array" ref="U730">MMULT(TRANSPOSE($B$3:$B$6),TRANSPOSE(P730:S730))</f>
        <v>7.4063979472850067E-2</v>
      </c>
      <c r="V730" s="9">
        <f>INT(200*U730)/200</f>
        <v>7.0000000000000007E-2</v>
      </c>
      <c r="W730" s="9">
        <f t="array" ref="W730">SQRT(MMULT(MMULT(P730:S730,$K$3:$N$6),TRANSPOSE(P730:S730)))</f>
        <v>7.8601185275236463E-2</v>
      </c>
      <c r="Y730" s="31">
        <f>U730/W730</f>
        <v>0.94227560581308623</v>
      </c>
      <c r="AA730" s="9">
        <f t="shared" si="91"/>
        <v>0.22645987417060148</v>
      </c>
      <c r="AB730" s="9">
        <f t="shared" si="92"/>
        <v>0.19528477000545491</v>
      </c>
      <c r="AC730" s="9">
        <f t="shared" si="93"/>
        <v>0.27124895831850682</v>
      </c>
      <c r="AD730" s="9">
        <f t="shared" si="94"/>
        <v>0.30700639750543662</v>
      </c>
      <c r="AE730" s="9"/>
      <c r="AF730" s="9">
        <f t="shared" si="95"/>
        <v>0.74694857678996429</v>
      </c>
      <c r="AG730" s="9">
        <f t="shared" si="96"/>
        <v>0.41460556531662879</v>
      </c>
      <c r="AH730" s="9">
        <f t="shared" si="97"/>
        <v>0.50110761663707526</v>
      </c>
      <c r="AI730" s="9">
        <f t="shared" si="98"/>
        <v>0.46070142772146233</v>
      </c>
    </row>
    <row r="731" spans="16:35" x14ac:dyDescent="0.3">
      <c r="P731" s="9">
        <v>0.23771424342873004</v>
      </c>
      <c r="Q731" s="9">
        <v>0.15390812160503764</v>
      </c>
      <c r="R731" s="9">
        <v>0.31439823979537868</v>
      </c>
      <c r="S731" s="9">
        <v>0.2939793951708537</v>
      </c>
      <c r="U731" s="9">
        <f t="array" ref="U731">MMULT(TRANSPOSE($B$3:$B$6),TRANSPOSE(P731:S731))</f>
        <v>8.8423351367980699E-2</v>
      </c>
      <c r="V731" s="9">
        <f>INT(200*U731)/200</f>
        <v>8.5000000000000006E-2</v>
      </c>
      <c r="W731" s="9">
        <f t="array" ref="W731">SQRT(MMULT(MMULT(P731:S731,$K$3:$N$6),TRANSPOSE(P731:S731)))</f>
        <v>9.4001131021397677E-2</v>
      </c>
      <c r="Y731" s="31">
        <f>U731/W731</f>
        <v>0.94066263253633298</v>
      </c>
      <c r="AA731" s="9">
        <f t="shared" si="91"/>
        <v>0.24242571977833138</v>
      </c>
      <c r="AB731" s="9">
        <f t="shared" si="92"/>
        <v>0.18951018911903614</v>
      </c>
      <c r="AC731" s="9">
        <f t="shared" si="93"/>
        <v>0.26144761910315173</v>
      </c>
      <c r="AD731" s="9">
        <f t="shared" si="94"/>
        <v>0.30661647199948067</v>
      </c>
      <c r="AE731" s="9"/>
      <c r="AF731" s="9">
        <f t="shared" si="95"/>
        <v>0.6717392753553475</v>
      </c>
      <c r="AG731" s="9">
        <f t="shared" si="96"/>
        <v>0.41304997202424237</v>
      </c>
      <c r="AH731" s="9">
        <f t="shared" si="97"/>
        <v>0.54185465372799213</v>
      </c>
      <c r="AI731" s="9">
        <f t="shared" si="98"/>
        <v>0.46029895025230877</v>
      </c>
    </row>
    <row r="732" spans="16:35" x14ac:dyDescent="0.3">
      <c r="P732" s="9">
        <v>0.19542510148493494</v>
      </c>
      <c r="Q732" s="9">
        <v>0.28337921902623864</v>
      </c>
      <c r="R732" s="9">
        <v>2.6326444446553573E-2</v>
      </c>
      <c r="S732" s="9">
        <v>0.49486923504227287</v>
      </c>
      <c r="U732" s="9">
        <f t="array" ref="U732">MMULT(TRANSPOSE($B$3:$B$6),TRANSPOSE(P732:S732))</f>
        <v>9.4941288061257331E-2</v>
      </c>
      <c r="V732" s="9">
        <f>INT(200*U732)/200</f>
        <v>0.09</v>
      </c>
      <c r="W732" s="9">
        <f t="array" ref="W732">SQRT(MMULT(MMULT(P732:S732,$K$3:$N$6),TRANSPOSE(P732:S732)))</f>
        <v>0.10095983253344044</v>
      </c>
      <c r="Y732" s="31">
        <f>U732/W732</f>
        <v>0.9403867427158259</v>
      </c>
      <c r="AA732" s="9">
        <f t="shared" si="91"/>
        <v>0.22852970261887226</v>
      </c>
      <c r="AB732" s="9">
        <f t="shared" si="92"/>
        <v>0.19170068180529626</v>
      </c>
      <c r="AC732" s="9">
        <f t="shared" si="93"/>
        <v>0.2659363456230131</v>
      </c>
      <c r="AD732" s="9">
        <f t="shared" si="94"/>
        <v>0.31383326995281824</v>
      </c>
      <c r="AE732" s="9"/>
      <c r="AF732" s="9">
        <f t="shared" si="95"/>
        <v>0.60973842609971374</v>
      </c>
      <c r="AG732" s="9">
        <f t="shared" si="96"/>
        <v>0.3928214342776537</v>
      </c>
      <c r="AH732" s="9">
        <f t="shared" si="97"/>
        <v>0.53177632498502192</v>
      </c>
      <c r="AI732" s="9">
        <f t="shared" si="98"/>
        <v>0.42568851787981604</v>
      </c>
    </row>
    <row r="733" spans="16:35" x14ac:dyDescent="0.3">
      <c r="P733" s="9">
        <v>0.16552575240196085</v>
      </c>
      <c r="Q733" s="9">
        <v>0.18788750286965936</v>
      </c>
      <c r="R733" s="9">
        <v>0.48926024046385158</v>
      </c>
      <c r="S733" s="9">
        <v>0.1573265042645281</v>
      </c>
      <c r="U733" s="9">
        <f t="array" ref="U733">MMULT(TRANSPOSE($B$3:$B$6),TRANSPOSE(P733:S733))</f>
        <v>9.2018077456748712E-2</v>
      </c>
      <c r="V733" s="9">
        <f>INT(200*U733)/200</f>
        <v>0.09</v>
      </c>
      <c r="W733" s="9">
        <f t="array" ref="W733">SQRT(MMULT(MMULT(P733:S733,$K$3:$N$6),TRANSPOSE(P733:S733)))</f>
        <v>9.7887665070625754E-2</v>
      </c>
      <c r="Y733" s="31">
        <f>U733/W733</f>
        <v>0.94003751535352131</v>
      </c>
      <c r="AA733" s="9">
        <f t="shared" si="91"/>
        <v>0.22722870174756329</v>
      </c>
      <c r="AB733" s="9">
        <f t="shared" si="92"/>
        <v>0.19010949599253646</v>
      </c>
      <c r="AC733" s="9">
        <f t="shared" si="93"/>
        <v>0.27158567734333189</v>
      </c>
      <c r="AD733" s="9">
        <f t="shared" si="94"/>
        <v>0.31107612491656822</v>
      </c>
      <c r="AE733" s="9"/>
      <c r="AF733" s="9">
        <f t="shared" si="95"/>
        <v>0.62157713558783911</v>
      </c>
      <c r="AG733" s="9">
        <f t="shared" si="96"/>
        <v>0.38565493091306879</v>
      </c>
      <c r="AH733" s="9">
        <f t="shared" si="97"/>
        <v>0.51844027265382875</v>
      </c>
      <c r="AI733" s="9">
        <f t="shared" si="98"/>
        <v>0.42094112619103258</v>
      </c>
    </row>
    <row r="734" spans="16:35" x14ac:dyDescent="0.3">
      <c r="P734" s="9">
        <v>0.26221656800218762</v>
      </c>
      <c r="Q734" s="9">
        <v>0.1443798243190853</v>
      </c>
      <c r="R734" s="9">
        <v>0.29701810933665662</v>
      </c>
      <c r="S734" s="9">
        <v>0.29638549834207056</v>
      </c>
      <c r="U734" s="9">
        <f t="array" ref="U734">MMULT(TRANSPOSE($B$3:$B$6),TRANSPOSE(P734:S734))</f>
        <v>8.7104943866867679E-2</v>
      </c>
      <c r="V734" s="9">
        <f>INT(200*U734)/200</f>
        <v>8.5000000000000006E-2</v>
      </c>
      <c r="W734" s="9">
        <f t="array" ref="W734">SQRT(MMULT(MMULT(P734:S734,$K$3:$N$6),TRANSPOSE(P734:S734)))</f>
        <v>9.2711207215063235E-2</v>
      </c>
      <c r="Y734" s="31">
        <f>U734/W734</f>
        <v>0.93952982043270516</v>
      </c>
      <c r="AA734" s="9">
        <f t="shared" si="91"/>
        <v>0.23819150932012031</v>
      </c>
      <c r="AB734" s="9">
        <f t="shared" si="92"/>
        <v>0.18313931915980275</v>
      </c>
      <c r="AC734" s="9">
        <f t="shared" si="93"/>
        <v>0.28013871523006384</v>
      </c>
      <c r="AD734" s="9">
        <f t="shared" si="94"/>
        <v>0.2985304562900129</v>
      </c>
      <c r="AE734" s="9"/>
      <c r="AF734" s="9">
        <f t="shared" si="95"/>
        <v>0.58534501550103313</v>
      </c>
      <c r="AG734" s="9">
        <f t="shared" si="96"/>
        <v>0.39732194956475331</v>
      </c>
      <c r="AH734" s="9">
        <f t="shared" si="97"/>
        <v>0.5044972873717698</v>
      </c>
      <c r="AI734" s="9">
        <f t="shared" si="98"/>
        <v>0.43581231312042357</v>
      </c>
    </row>
    <row r="735" spans="16:35" x14ac:dyDescent="0.3">
      <c r="P735" s="9">
        <v>0.25352111788523324</v>
      </c>
      <c r="Q735" s="9">
        <v>0.17871936069973959</v>
      </c>
      <c r="R735" s="9">
        <v>0.17073735534954576</v>
      </c>
      <c r="S735" s="9">
        <v>0.39702216606548141</v>
      </c>
      <c r="U735" s="9">
        <f t="array" ref="U735">MMULT(TRANSPOSE($B$3:$B$6),TRANSPOSE(P735:S735))</f>
        <v>8.8900056683061793E-2</v>
      </c>
      <c r="V735" s="9">
        <f>INT(200*U735)/200</f>
        <v>8.5000000000000006E-2</v>
      </c>
      <c r="W735" s="9">
        <f t="array" ref="W735">SQRT(MMULT(MMULT(P735:S735,$K$3:$N$6),TRANSPOSE(P735:S735)))</f>
        <v>9.4678076165982006E-2</v>
      </c>
      <c r="Y735" s="31">
        <f>U735/W735</f>
        <v>0.93897193820467317</v>
      </c>
      <c r="AA735" s="9">
        <f t="shared" si="91"/>
        <v>0.25401066347388185</v>
      </c>
      <c r="AB735" s="9">
        <f t="shared" si="92"/>
        <v>0.17887247502602796</v>
      </c>
      <c r="AC735" s="9">
        <f t="shared" si="93"/>
        <v>0.26847606401317375</v>
      </c>
      <c r="AD735" s="9">
        <f t="shared" si="94"/>
        <v>0.29864079748691635</v>
      </c>
      <c r="AE735" s="9"/>
      <c r="AF735" s="9">
        <f t="shared" si="95"/>
        <v>0.58104884475479912</v>
      </c>
      <c r="AG735" s="9">
        <f t="shared" si="96"/>
        <v>0.41561728722963581</v>
      </c>
      <c r="AH735" s="9">
        <f t="shared" si="97"/>
        <v>0.55361218366827802</v>
      </c>
      <c r="AI735" s="9">
        <f t="shared" si="98"/>
        <v>0.43577584131755365</v>
      </c>
    </row>
    <row r="736" spans="16:35" x14ac:dyDescent="0.3">
      <c r="P736" s="9">
        <v>0.3582950288674136</v>
      </c>
      <c r="Q736" s="9">
        <v>0.10902283653626463</v>
      </c>
      <c r="R736" s="9">
        <v>0.2691284195982605</v>
      </c>
      <c r="S736" s="9">
        <v>0.26355371499806113</v>
      </c>
      <c r="U736" s="9">
        <f t="array" ref="U736">MMULT(TRANSPOSE($B$3:$B$6),TRANSPOSE(P736:S736))</f>
        <v>8.1843170114916763E-2</v>
      </c>
      <c r="V736" s="9">
        <f>INT(200*U736)/200</f>
        <v>0.08</v>
      </c>
      <c r="W736" s="9">
        <f t="array" ref="W736">SQRT(MMULT(MMULT(P736:S736,$K$3:$N$6),TRANSPOSE(P736:S736)))</f>
        <v>8.7168385622922603E-2</v>
      </c>
      <c r="Y736" s="31">
        <f>U736/W736</f>
        <v>0.93890886621392844</v>
      </c>
      <c r="AA736" s="9">
        <f t="shared" si="91"/>
        <v>0.27108422350913597</v>
      </c>
      <c r="AB736" s="9">
        <f t="shared" si="92"/>
        <v>0.16427219964444517</v>
      </c>
      <c r="AC736" s="9">
        <f t="shared" si="93"/>
        <v>0.27932738537997309</v>
      </c>
      <c r="AD736" s="9">
        <f t="shared" si="94"/>
        <v>0.28531619146644566</v>
      </c>
      <c r="AE736" s="9"/>
      <c r="AF736" s="9">
        <f t="shared" si="95"/>
        <v>0.50706362564339202</v>
      </c>
      <c r="AG736" s="9">
        <f t="shared" si="96"/>
        <v>0.32302450182964543</v>
      </c>
      <c r="AH736" s="9">
        <f t="shared" si="97"/>
        <v>0.49542962325656659</v>
      </c>
      <c r="AI736" s="9">
        <f t="shared" si="98"/>
        <v>0.4079141301594284</v>
      </c>
    </row>
    <row r="737" spans="16:35" x14ac:dyDescent="0.3">
      <c r="P737" s="9">
        <v>0.14486106216257422</v>
      </c>
      <c r="Q737" s="9">
        <v>0.19658797736808636</v>
      </c>
      <c r="R737" s="9">
        <v>0.30914723917523218</v>
      </c>
      <c r="S737" s="9">
        <v>0.34940372129410724</v>
      </c>
      <c r="U737" s="9">
        <f t="array" ref="U737">MMULT(TRANSPOSE($B$3:$B$6),TRANSPOSE(P737:S737))</f>
        <v>9.3858002649695738E-2</v>
      </c>
      <c r="V737" s="9">
        <f>INT(200*U737)/200</f>
        <v>0.09</v>
      </c>
      <c r="W737" s="9">
        <f t="array" ref="W737">SQRT(MMULT(MMULT(P737:S737,$K$3:$N$6),TRANSPOSE(P737:S737)))</f>
        <v>0.10001907644550451</v>
      </c>
      <c r="Y737" s="31">
        <f>U737/W737</f>
        <v>0.93840101293911027</v>
      </c>
      <c r="AA737" s="9">
        <f t="shared" si="91"/>
        <v>0.29010319173505589</v>
      </c>
      <c r="AB737" s="9">
        <f t="shared" si="92"/>
        <v>0.15811508051772902</v>
      </c>
      <c r="AC737" s="9">
        <f t="shared" si="93"/>
        <v>0.27089300999983434</v>
      </c>
      <c r="AD737" s="9">
        <f t="shared" si="94"/>
        <v>0.28088871774738067</v>
      </c>
      <c r="AE737" s="9"/>
      <c r="AF737" s="9">
        <f t="shared" si="95"/>
        <v>0.49413285941358864</v>
      </c>
      <c r="AG737" s="9">
        <f t="shared" si="96"/>
        <v>0.34927436526629674</v>
      </c>
      <c r="AH737" s="9">
        <f t="shared" si="97"/>
        <v>0.47952793624459233</v>
      </c>
      <c r="AI737" s="9">
        <f t="shared" si="98"/>
        <v>0.4354050014517396</v>
      </c>
    </row>
    <row r="738" spans="16:35" x14ac:dyDescent="0.3">
      <c r="P738" s="9">
        <v>0.17492495940040553</v>
      </c>
      <c r="Q738" s="9">
        <v>0.17752844457038683</v>
      </c>
      <c r="R738" s="9">
        <v>0.45722764488703038</v>
      </c>
      <c r="S738" s="9">
        <v>0.19031895114217717</v>
      </c>
      <c r="U738" s="9">
        <f t="array" ref="U738">MMULT(TRANSPOSE($B$3:$B$6),TRANSPOSE(P738:S738))</f>
        <v>9.1421904878374538E-2</v>
      </c>
      <c r="V738" s="9">
        <f>INT(200*U738)/200</f>
        <v>0.09</v>
      </c>
      <c r="W738" s="9">
        <f t="array" ref="W738">SQRT(MMULT(MMULT(P738:S738,$K$3:$N$6),TRANSPOSE(P738:S738)))</f>
        <v>9.7437778046550613E-2</v>
      </c>
      <c r="Y738" s="31">
        <f>U738/W738</f>
        <v>0.93825933545711593</v>
      </c>
      <c r="AA738" s="9">
        <f t="shared" si="91"/>
        <v>0.29794587381014115</v>
      </c>
      <c r="AB738" s="9">
        <f t="shared" si="92"/>
        <v>0.15763065833104895</v>
      </c>
      <c r="AC738" s="9">
        <f t="shared" si="93"/>
        <v>0.25952563755874225</v>
      </c>
      <c r="AD738" s="9">
        <f t="shared" si="94"/>
        <v>0.28489783030006754</v>
      </c>
      <c r="AE738" s="9"/>
      <c r="AF738" s="9">
        <f t="shared" si="95"/>
        <v>0.485038673332021</v>
      </c>
      <c r="AG738" s="9">
        <f t="shared" si="96"/>
        <v>0.350363486347814</v>
      </c>
      <c r="AH738" s="9">
        <f t="shared" si="97"/>
        <v>0.53250890987856159</v>
      </c>
      <c r="AI738" s="9">
        <f t="shared" si="98"/>
        <v>0.43802041196968372</v>
      </c>
    </row>
    <row r="739" spans="16:35" x14ac:dyDescent="0.3">
      <c r="P739" s="9">
        <v>0.43260033504075668</v>
      </c>
      <c r="Q739" s="9">
        <v>0.15804974967735472</v>
      </c>
      <c r="R739" s="9">
        <v>1.2284839366891263E-2</v>
      </c>
      <c r="S739" s="9">
        <v>0.39706507591499735</v>
      </c>
      <c r="U739" s="9">
        <f t="array" ref="U739">MMULT(TRANSPOSE($B$3:$B$6),TRANSPOSE(P739:S739))</f>
        <v>8.071462656471097E-2</v>
      </c>
      <c r="V739" s="9">
        <f>INT(200*U739)/200</f>
        <v>0.08</v>
      </c>
      <c r="W739" s="9">
        <f t="array" ref="W739">SQRT(MMULT(MMULT(P739:S739,$K$3:$N$6),TRANSPOSE(P739:S739)))</f>
        <v>8.6040934041414358E-2</v>
      </c>
      <c r="Y739" s="31">
        <f>U739/W739</f>
        <v>0.93809565718870902</v>
      </c>
      <c r="AA739" s="9">
        <f t="shared" si="91"/>
        <v>0.31468006733318138</v>
      </c>
      <c r="AB739" s="9">
        <f t="shared" si="92"/>
        <v>0.15179506741921792</v>
      </c>
      <c r="AC739" s="9">
        <f t="shared" si="93"/>
        <v>0.24916154077992544</v>
      </c>
      <c r="AD739" s="9">
        <f t="shared" si="94"/>
        <v>0.28436332446767515</v>
      </c>
      <c r="AE739" s="9"/>
      <c r="AF739" s="9">
        <f t="shared" si="95"/>
        <v>0.44163180090029008</v>
      </c>
      <c r="AG739" s="9">
        <f t="shared" si="96"/>
        <v>0.35779568740277656</v>
      </c>
      <c r="AH739" s="9">
        <f t="shared" si="97"/>
        <v>0.55707384699664331</v>
      </c>
      <c r="AI739" s="9">
        <f t="shared" si="98"/>
        <v>0.43814448858460081</v>
      </c>
    </row>
    <row r="740" spans="16:35" x14ac:dyDescent="0.3">
      <c r="P740" s="9">
        <v>0.48838311749590224</v>
      </c>
      <c r="Q740" s="9">
        <v>0.10685815984481566</v>
      </c>
      <c r="R740" s="9">
        <v>0.38338969014642071</v>
      </c>
      <c r="S740" s="9">
        <v>2.1369032512861246E-2</v>
      </c>
      <c r="U740" s="9">
        <f t="array" ref="U740">MMULT(TRANSPOSE($B$3:$B$6),TRANSPOSE(P740:S740))</f>
        <v>7.5411616196916831E-2</v>
      </c>
      <c r="V740" s="9">
        <f>INT(200*U740)/200</f>
        <v>7.4999999999999997E-2</v>
      </c>
      <c r="W740" s="9">
        <f t="array" ref="W740">SQRT(MMULT(MMULT(P740:S740,$K$3:$N$6),TRANSPOSE(P740:S740)))</f>
        <v>8.0421254041067147E-2</v>
      </c>
      <c r="Y740" s="31">
        <f>U740/W740</f>
        <v>0.93770753883554037</v>
      </c>
      <c r="AA740" s="9">
        <f t="shared" si="91"/>
        <v>0.31806830140742676</v>
      </c>
      <c r="AB740" s="9">
        <f t="shared" si="92"/>
        <v>0.15048208848625663</v>
      </c>
      <c r="AC740" s="9">
        <f t="shared" si="93"/>
        <v>0.24607224863348259</v>
      </c>
      <c r="AD740" s="9">
        <f t="shared" si="94"/>
        <v>0.28537736147283388</v>
      </c>
      <c r="AE740" s="9"/>
      <c r="AF740" s="9">
        <f t="shared" si="95"/>
        <v>0.42771542169764365</v>
      </c>
      <c r="AG740" s="9">
        <f t="shared" si="96"/>
        <v>0.3558808647055241</v>
      </c>
      <c r="AH740" s="9">
        <f t="shared" si="97"/>
        <v>0.56390754771387896</v>
      </c>
      <c r="AI740" s="9">
        <f t="shared" si="98"/>
        <v>0.43903371269771352</v>
      </c>
    </row>
    <row r="741" spans="16:35" x14ac:dyDescent="0.3">
      <c r="P741" s="9">
        <v>0.33963151896272675</v>
      </c>
      <c r="Q741" s="9">
        <v>0.1670752257519888</v>
      </c>
      <c r="R741" s="9">
        <v>8.599852470692726E-2</v>
      </c>
      <c r="S741" s="9">
        <v>0.40729473057835719</v>
      </c>
      <c r="U741" s="9">
        <f t="array" ref="U741">MMULT(TRANSPOSE($B$3:$B$6),TRANSPOSE(P741:S741))</f>
        <v>8.4948722108926067E-2</v>
      </c>
      <c r="V741" s="9">
        <f>INT(200*U741)/200</f>
        <v>0.08</v>
      </c>
      <c r="W741" s="9">
        <f t="array" ref="W741">SQRT(MMULT(MMULT(P741:S741,$K$3:$N$6),TRANSPOSE(P741:S741)))</f>
        <v>9.060944917440468E-2</v>
      </c>
      <c r="Y741" s="31">
        <f>U741/W741</f>
        <v>0.93752608456340059</v>
      </c>
      <c r="AA741" s="9">
        <f t="shared" si="91"/>
        <v>0.30631588881325639</v>
      </c>
      <c r="AB741" s="9">
        <f t="shared" si="92"/>
        <v>0.15374459055665066</v>
      </c>
      <c r="AC741" s="9">
        <f t="shared" si="93"/>
        <v>0.2417542777088115</v>
      </c>
      <c r="AD741" s="9">
        <f t="shared" si="94"/>
        <v>0.29818524292128135</v>
      </c>
      <c r="AE741" s="9"/>
      <c r="AF741" s="9">
        <f t="shared" si="95"/>
        <v>0.42158517549587166</v>
      </c>
      <c r="AG741" s="9">
        <f t="shared" si="96"/>
        <v>0.33405703172910328</v>
      </c>
      <c r="AH741" s="9">
        <f t="shared" si="97"/>
        <v>0.57046125057582819</v>
      </c>
      <c r="AI741" s="9">
        <f t="shared" si="98"/>
        <v>0.39549973291382118</v>
      </c>
    </row>
    <row r="742" spans="16:35" x14ac:dyDescent="0.3">
      <c r="P742" s="9">
        <v>0.33296022761126426</v>
      </c>
      <c r="Q742" s="9">
        <v>0.11434469773653254</v>
      </c>
      <c r="R742" s="9">
        <v>0.30337714117115155</v>
      </c>
      <c r="S742" s="9">
        <v>0.24931793348105158</v>
      </c>
      <c r="U742" s="9">
        <f t="array" ref="U742">MMULT(TRANSPOSE($B$3:$B$6),TRANSPOSE(P742:S742))</f>
        <v>8.3023465296043611E-2</v>
      </c>
      <c r="V742" s="9">
        <f>INT(200*U742)/200</f>
        <v>0.08</v>
      </c>
      <c r="W742" s="9">
        <f t="array" ref="W742">SQRT(MMULT(MMULT(P742:S742,$K$3:$N$6),TRANSPOSE(P742:S742)))</f>
        <v>8.8574748553539209E-2</v>
      </c>
      <c r="Y742" s="31">
        <f>U742/W742</f>
        <v>0.93732657051642532</v>
      </c>
      <c r="AA742" s="9">
        <f t="shared" si="91"/>
        <v>0.31510052874298278</v>
      </c>
      <c r="AB742" s="9">
        <f t="shared" si="92"/>
        <v>0.15077437166712826</v>
      </c>
      <c r="AC742" s="9">
        <f t="shared" si="93"/>
        <v>0.24345304986069724</v>
      </c>
      <c r="AD742" s="9">
        <f t="shared" si="94"/>
        <v>0.29067204972919169</v>
      </c>
      <c r="AE742" s="9"/>
      <c r="AF742" s="9">
        <f t="shared" si="95"/>
        <v>0.41417125440136698</v>
      </c>
      <c r="AG742" s="9">
        <f t="shared" si="96"/>
        <v>0.35233362508440269</v>
      </c>
      <c r="AH742" s="9">
        <f t="shared" si="97"/>
        <v>0.57122261843690703</v>
      </c>
      <c r="AI742" s="9">
        <f t="shared" si="98"/>
        <v>0.42358737399594981</v>
      </c>
    </row>
    <row r="743" spans="16:35" x14ac:dyDescent="0.3">
      <c r="P743" s="9">
        <v>1.9417157504793406E-2</v>
      </c>
      <c r="Q743" s="9">
        <v>0.26259523834106718</v>
      </c>
      <c r="R743" s="9">
        <v>0.31338471251992062</v>
      </c>
      <c r="S743" s="9">
        <v>0.40460289163421886</v>
      </c>
      <c r="U743" s="9">
        <f t="array" ref="U743">MMULT(TRANSPOSE($B$3:$B$6),TRANSPOSE(P743:S743))</f>
        <v>0.10138657118020779</v>
      </c>
      <c r="V743" s="9">
        <f>INT(200*U743)/200</f>
        <v>0.1</v>
      </c>
      <c r="W743" s="9">
        <f t="array" ref="W743">SQRT(MMULT(MMULT(P743:S743,$K$3:$N$6),TRANSPOSE(P743:S743)))</f>
        <v>0.10820629593246167</v>
      </c>
      <c r="Y743" s="31">
        <f>U743/W743</f>
        <v>0.93697478789486977</v>
      </c>
      <c r="AA743" s="9">
        <f t="shared" si="91"/>
        <v>0.32860319179767772</v>
      </c>
      <c r="AB743" s="9">
        <f t="shared" si="92"/>
        <v>0.14071216079798388</v>
      </c>
      <c r="AC743" s="9">
        <f t="shared" si="93"/>
        <v>0.2556940532200605</v>
      </c>
      <c r="AD743" s="9">
        <f t="shared" si="94"/>
        <v>0.2749905941842779</v>
      </c>
      <c r="AE743" s="9"/>
      <c r="AF743" s="9">
        <f t="shared" si="95"/>
        <v>0.40219565329571944</v>
      </c>
      <c r="AG743" s="9">
        <f t="shared" si="96"/>
        <v>0.32923496947342917</v>
      </c>
      <c r="AH743" s="9">
        <f t="shared" si="97"/>
        <v>0.50848820645655712</v>
      </c>
      <c r="AI743" s="9">
        <f t="shared" si="98"/>
        <v>0.42407450470030927</v>
      </c>
    </row>
    <row r="744" spans="16:35" x14ac:dyDescent="0.3">
      <c r="P744" s="9">
        <v>0.32568095332398089</v>
      </c>
      <c r="Q744" s="9">
        <v>0.11894049162515723</v>
      </c>
      <c r="R744" s="9">
        <v>0.37396693738341108</v>
      </c>
      <c r="S744" s="9">
        <v>0.18141161766745068</v>
      </c>
      <c r="U744" s="9">
        <f t="array" ref="U744">MMULT(TRANSPOSE($B$3:$B$6),TRANSPOSE(P744:S744))</f>
        <v>8.3224833253324734E-2</v>
      </c>
      <c r="V744" s="9">
        <f>INT(200*U744)/200</f>
        <v>0.08</v>
      </c>
      <c r="W744" s="9">
        <f t="array" ref="W744">SQRT(MMULT(MMULT(P744:S744,$K$3:$N$6),TRANSPOSE(P744:S744)))</f>
        <v>8.8824391266086433E-2</v>
      </c>
      <c r="Y744" s="31">
        <f>U744/W744</f>
        <v>0.93695923008368942</v>
      </c>
      <c r="AA744" s="9">
        <f t="shared" si="91"/>
        <v>0.33931313337554009</v>
      </c>
      <c r="AB744" s="9">
        <f t="shared" si="92"/>
        <v>0.13609238164700083</v>
      </c>
      <c r="AC744" s="9">
        <f t="shared" si="93"/>
        <v>0.24663227458798809</v>
      </c>
      <c r="AD744" s="9">
        <f t="shared" si="94"/>
        <v>0.27796221038947094</v>
      </c>
      <c r="AE744" s="9"/>
      <c r="AF744" s="9">
        <f t="shared" si="95"/>
        <v>0.37520109958988268</v>
      </c>
      <c r="AG744" s="9">
        <f t="shared" si="96"/>
        <v>0.33965821123831708</v>
      </c>
      <c r="AH744" s="9">
        <f t="shared" si="97"/>
        <v>0.48289575196847506</v>
      </c>
      <c r="AI744" s="9">
        <f t="shared" si="98"/>
        <v>0.41098798209808679</v>
      </c>
    </row>
    <row r="745" spans="16:35" x14ac:dyDescent="0.3">
      <c r="P745" s="9">
        <v>0.48277563825424513</v>
      </c>
      <c r="Q745" s="9">
        <v>0.11030985085802905</v>
      </c>
      <c r="R745" s="9">
        <v>6.5394917682594561E-2</v>
      </c>
      <c r="S745" s="9">
        <v>0.3415195932051312</v>
      </c>
      <c r="U745" s="9">
        <f t="array" ref="U745">MMULT(TRANSPOSE($B$3:$B$6),TRANSPOSE(P745:S745))</f>
        <v>7.692150919289753E-2</v>
      </c>
      <c r="V745" s="9">
        <f>INT(200*U745)/200</f>
        <v>7.4999999999999997E-2</v>
      </c>
      <c r="W745" s="9">
        <f t="array" ref="W745">SQRT(MMULT(MMULT(P745:S745,$K$3:$N$6),TRANSPOSE(P745:S745)))</f>
        <v>8.2105732901993314E-2</v>
      </c>
      <c r="Y745" s="31">
        <f>U745/W745</f>
        <v>0.93685917504342842</v>
      </c>
      <c r="AA745" s="9">
        <f t="shared" si="91"/>
        <v>0.34934202301829126</v>
      </c>
      <c r="AB745" s="9">
        <f t="shared" si="92"/>
        <v>0.13287880945613331</v>
      </c>
      <c r="AC745" s="9">
        <f t="shared" si="93"/>
        <v>0.24779381127741043</v>
      </c>
      <c r="AD745" s="9">
        <f t="shared" si="94"/>
        <v>0.269985356248165</v>
      </c>
      <c r="AE745" s="9"/>
      <c r="AF745" s="9">
        <f t="shared" si="95"/>
        <v>0.36988033647522262</v>
      </c>
      <c r="AG745" s="9">
        <f t="shared" si="96"/>
        <v>0.36073571636657503</v>
      </c>
      <c r="AH745" s="9">
        <f t="shared" si="97"/>
        <v>0.4831876699822733</v>
      </c>
      <c r="AI745" s="9">
        <f t="shared" si="98"/>
        <v>0.43947412245586243</v>
      </c>
    </row>
    <row r="746" spans="16:35" x14ac:dyDescent="0.3">
      <c r="P746" s="9">
        <v>0.36123955166253069</v>
      </c>
      <c r="Q746" s="9">
        <v>0.10668995461291601</v>
      </c>
      <c r="R746" s="9">
        <v>0.25880738881456583</v>
      </c>
      <c r="S746" s="9">
        <v>0.27326310490998751</v>
      </c>
      <c r="U746" s="9">
        <f t="array" ref="U746">MMULT(TRANSPOSE($B$3:$B$6),TRANSPOSE(P746:S746))</f>
        <v>8.1682334991725961E-2</v>
      </c>
      <c r="V746" s="9">
        <f>INT(200*U746)/200</f>
        <v>0.08</v>
      </c>
      <c r="W746" s="9">
        <f t="array" ref="W746">SQRT(MMULT(MMULT(P746:S746,$K$3:$N$6),TRANSPOSE(P746:S746)))</f>
        <v>8.7251679815969221E-2</v>
      </c>
      <c r="Y746" s="31">
        <f>U746/W746</f>
        <v>0.93616919655885034</v>
      </c>
      <c r="AA746" s="9">
        <f t="shared" si="91"/>
        <v>0.35561979019263801</v>
      </c>
      <c r="AB746" s="9">
        <f t="shared" si="92"/>
        <v>0.1291670559930988</v>
      </c>
      <c r="AC746" s="9">
        <f t="shared" si="93"/>
        <v>0.25774609541605281</v>
      </c>
      <c r="AD746" s="9">
        <f t="shared" si="94"/>
        <v>0.25746705839821038</v>
      </c>
      <c r="AE746" s="9"/>
      <c r="AF746" s="9">
        <f t="shared" si="95"/>
        <v>0.35857949240290071</v>
      </c>
      <c r="AG746" s="9">
        <f t="shared" si="96"/>
        <v>0.36556977300097343</v>
      </c>
      <c r="AH746" s="9">
        <f t="shared" si="97"/>
        <v>0.47207675933935744</v>
      </c>
      <c r="AI746" s="9">
        <f t="shared" si="98"/>
        <v>0.46004344369277894</v>
      </c>
    </row>
    <row r="747" spans="16:35" x14ac:dyDescent="0.3">
      <c r="P747" s="9">
        <v>0.52172198772316769</v>
      </c>
      <c r="Q747" s="9">
        <v>7.8440304734899352E-2</v>
      </c>
      <c r="R747" s="9">
        <v>0.3150917989540174</v>
      </c>
      <c r="S747" s="9">
        <v>8.4745908587915711E-2</v>
      </c>
      <c r="U747" s="9">
        <f t="array" ref="U747">MMULT(TRANSPOSE($B$3:$B$6),TRANSPOSE(P747:S747))</f>
        <v>7.3358927663690926E-2</v>
      </c>
      <c r="V747" s="9">
        <f>INT(200*U747)/200</f>
        <v>7.0000000000000007E-2</v>
      </c>
      <c r="W747" s="9">
        <f t="array" ref="W747">SQRT(MMULT(MMULT(P747:S747,$K$3:$N$6),TRANSPOSE(P747:S747)))</f>
        <v>7.8374476615941685E-2</v>
      </c>
      <c r="Y747" s="31">
        <f>U747/W747</f>
        <v>0.93600532764220623</v>
      </c>
      <c r="AA747" s="9">
        <f t="shared" si="91"/>
        <v>0.35395611313444481</v>
      </c>
      <c r="AB747" s="9">
        <f t="shared" si="92"/>
        <v>0.12985469155382529</v>
      </c>
      <c r="AC747" s="9">
        <f t="shared" si="93"/>
        <v>0.26529533002857209</v>
      </c>
      <c r="AD747" s="9">
        <f t="shared" si="94"/>
        <v>0.25089386528315782</v>
      </c>
      <c r="AE747" s="9"/>
      <c r="AF747" s="9">
        <f t="shared" si="95"/>
        <v>0.36080484016826975</v>
      </c>
      <c r="AG747" s="9">
        <f t="shared" si="96"/>
        <v>0.36206823939613753</v>
      </c>
      <c r="AH747" s="9">
        <f t="shared" si="97"/>
        <v>0.4795020021109862</v>
      </c>
      <c r="AI747" s="9">
        <f t="shared" si="98"/>
        <v>0.48575128020855607</v>
      </c>
    </row>
    <row r="748" spans="16:35" x14ac:dyDescent="0.3">
      <c r="P748" s="9">
        <v>0.39674830844060638</v>
      </c>
      <c r="Q748" s="9">
        <v>0.15251688175659572</v>
      </c>
      <c r="R748" s="9">
        <v>5.2646471705892532E-2</v>
      </c>
      <c r="S748" s="9">
        <v>0.39808833809690541</v>
      </c>
      <c r="U748" s="9">
        <f t="array" ref="U748">MMULT(TRANSPOSE($B$3:$B$6),TRANSPOSE(P748:S748))</f>
        <v>8.2058068288254279E-2</v>
      </c>
      <c r="V748" s="9">
        <f>INT(200*U748)/200</f>
        <v>0.08</v>
      </c>
      <c r="W748" s="9">
        <f t="array" ref="W748">SQRT(MMULT(MMULT(P748:S748,$K$3:$N$6),TRANSPOSE(P748:S748)))</f>
        <v>8.7724990200205147E-2</v>
      </c>
      <c r="Y748" s="31">
        <f>U748/W748</f>
        <v>0.93540128190361871</v>
      </c>
      <c r="AA748" s="9">
        <f t="shared" si="91"/>
        <v>0.36330890833996993</v>
      </c>
      <c r="AB748" s="9">
        <f t="shared" si="92"/>
        <v>0.12548849285711389</v>
      </c>
      <c r="AC748" s="9">
        <f t="shared" si="93"/>
        <v>0.26608057723613704</v>
      </c>
      <c r="AD748" s="9">
        <f t="shared" si="94"/>
        <v>0.24512202156677917</v>
      </c>
      <c r="AE748" s="9"/>
      <c r="AF748" s="9">
        <f t="shared" si="95"/>
        <v>0.32613991732340092</v>
      </c>
      <c r="AG748" s="9">
        <f t="shared" si="96"/>
        <v>0.35628795341123282</v>
      </c>
      <c r="AH748" s="9">
        <f t="shared" si="97"/>
        <v>0.47934473465707139</v>
      </c>
      <c r="AI748" s="9">
        <f t="shared" si="98"/>
        <v>0.48884378855544836</v>
      </c>
    </row>
    <row r="749" spans="16:35" x14ac:dyDescent="0.3">
      <c r="P749" s="9">
        <v>0.43731043061847624</v>
      </c>
      <c r="Q749" s="9">
        <v>0.1016305062443472</v>
      </c>
      <c r="R749" s="9">
        <v>0.13786311645841864</v>
      </c>
      <c r="S749" s="9">
        <v>0.32319594667875789</v>
      </c>
      <c r="U749" s="9">
        <f t="array" ref="U749">MMULT(TRANSPOSE($B$3:$B$6),TRANSPOSE(P749:S749))</f>
        <v>7.8502237582318821E-2</v>
      </c>
      <c r="V749" s="9">
        <f>INT(200*U749)/200</f>
        <v>7.4999999999999997E-2</v>
      </c>
      <c r="W749" s="9">
        <f t="array" ref="W749">SQRT(MMULT(MMULT(P749:S749,$K$3:$N$6),TRANSPOSE(P749:S749)))</f>
        <v>8.3935617202894122E-2</v>
      </c>
      <c r="Y749" s="31">
        <f>U749/W749</f>
        <v>0.93526729412805276</v>
      </c>
      <c r="AA749" s="9">
        <f t="shared" si="91"/>
        <v>0.37048677313135564</v>
      </c>
      <c r="AB749" s="9">
        <f t="shared" si="92"/>
        <v>0.12228934096588238</v>
      </c>
      <c r="AC749" s="9">
        <f t="shared" si="93"/>
        <v>0.2609007669690519</v>
      </c>
      <c r="AD749" s="9">
        <f t="shared" si="94"/>
        <v>0.24632311893371012</v>
      </c>
      <c r="AE749" s="9"/>
      <c r="AF749" s="9">
        <f t="shared" si="95"/>
        <v>0.29913273052326284</v>
      </c>
      <c r="AG749" s="9">
        <f t="shared" si="96"/>
        <v>0.35307668036404521</v>
      </c>
      <c r="AH749" s="9">
        <f t="shared" si="97"/>
        <v>0.46552899925458424</v>
      </c>
      <c r="AI749" s="9">
        <f t="shared" si="98"/>
        <v>0.48462827633176675</v>
      </c>
    </row>
    <row r="750" spans="16:35" x14ac:dyDescent="0.3">
      <c r="P750" s="9">
        <v>0.23870198403692858</v>
      </c>
      <c r="Q750" s="9">
        <v>0.16700271848564011</v>
      </c>
      <c r="R750" s="9">
        <v>0.21686416046089102</v>
      </c>
      <c r="S750" s="9">
        <v>0.37743113701654041</v>
      </c>
      <c r="U750" s="9">
        <f t="array" ref="U750">MMULT(TRANSPOSE($B$3:$B$6),TRANSPOSE(P750:S750))</f>
        <v>8.90908143689636E-2</v>
      </c>
      <c r="V750" s="9">
        <f>INT(200*U750)/200</f>
        <v>8.5000000000000006E-2</v>
      </c>
      <c r="W750" s="9">
        <f t="array" ref="W750">SQRT(MMULT(MMULT(P750:S750,$K$3:$N$6),TRANSPOSE(P750:S750)))</f>
        <v>9.5412419127070658E-2</v>
      </c>
      <c r="Y750" s="31">
        <f>U750/W750</f>
        <v>0.93374442430090865</v>
      </c>
      <c r="AA750" s="9">
        <f t="shared" si="91"/>
        <v>0.3610808573027311</v>
      </c>
      <c r="AB750" s="9">
        <f t="shared" si="92"/>
        <v>0.12151764771962843</v>
      </c>
      <c r="AC750" s="9">
        <f t="shared" si="93"/>
        <v>0.27600529334796881</v>
      </c>
      <c r="AD750" s="9">
        <f t="shared" si="94"/>
        <v>0.24139620162967163</v>
      </c>
      <c r="AE750" s="9"/>
      <c r="AF750" s="9">
        <f t="shared" si="95"/>
        <v>0.31471044283214061</v>
      </c>
      <c r="AG750" s="9">
        <f t="shared" si="96"/>
        <v>0.35096135358443364</v>
      </c>
      <c r="AH750" s="9">
        <f t="shared" si="97"/>
        <v>0.3911773759544967</v>
      </c>
      <c r="AI750" s="9">
        <f t="shared" si="98"/>
        <v>0.47595439178256105</v>
      </c>
    </row>
    <row r="751" spans="16:35" x14ac:dyDescent="0.3">
      <c r="P751" s="9">
        <v>0.26297862076956602</v>
      </c>
      <c r="Q751" s="9">
        <v>0.15276933502582254</v>
      </c>
      <c r="R751" s="9">
        <v>0.22452643946143042</v>
      </c>
      <c r="S751" s="9">
        <v>0.35972560474318099</v>
      </c>
      <c r="U751" s="9">
        <f t="array" ref="U751">MMULT(TRANSPOSE($B$3:$B$6),TRANSPOSE(P751:S751))</f>
        <v>8.7563119153601626E-2</v>
      </c>
      <c r="V751" s="9">
        <f>INT(200*U751)/200</f>
        <v>8.5000000000000006E-2</v>
      </c>
      <c r="W751" s="9">
        <f t="array" ref="W751">SQRT(MMULT(MMULT(P751:S751,$K$3:$N$6),TRANSPOSE(P751:S751)))</f>
        <v>9.3799132898345183E-2</v>
      </c>
      <c r="Y751" s="31">
        <f>U751/W751</f>
        <v>0.93351736255918449</v>
      </c>
      <c r="AA751" s="9">
        <f t="shared" si="91"/>
        <v>0.3544558502287935</v>
      </c>
      <c r="AB751" s="9">
        <f t="shared" si="92"/>
        <v>0.12167858727266866</v>
      </c>
      <c r="AC751" s="9">
        <f t="shared" si="93"/>
        <v>0.27708551177704671</v>
      </c>
      <c r="AD751" s="9">
        <f t="shared" si="94"/>
        <v>0.24678005072149123</v>
      </c>
      <c r="AE751" s="9"/>
      <c r="AF751" s="9">
        <f t="shared" si="95"/>
        <v>0.30986940061757035</v>
      </c>
      <c r="AG751" s="9">
        <f t="shared" si="96"/>
        <v>0.35007192795124698</v>
      </c>
      <c r="AH751" s="9">
        <f t="shared" si="97"/>
        <v>0.39410778584261591</v>
      </c>
      <c r="AI751" s="9">
        <f t="shared" si="98"/>
        <v>0.4311652046804722</v>
      </c>
    </row>
    <row r="752" spans="16:35" x14ac:dyDescent="0.3">
      <c r="P752" s="9">
        <v>0.42219168195298329</v>
      </c>
      <c r="Q752" s="9">
        <v>9.1533524925067708E-2</v>
      </c>
      <c r="R752" s="9">
        <v>0.35007245498497847</v>
      </c>
      <c r="S752" s="9">
        <v>0.13620233813697064</v>
      </c>
      <c r="U752" s="9">
        <f t="array" ref="U752">MMULT(TRANSPOSE($B$3:$B$6),TRANSPOSE(P752:S752))</f>
        <v>7.8145572869840266E-2</v>
      </c>
      <c r="V752" s="9">
        <f>INT(200*U752)/200</f>
        <v>7.4999999999999997E-2</v>
      </c>
      <c r="W752" s="9">
        <f t="array" ref="W752">SQRT(MMULT(MMULT(P752:S752,$K$3:$N$6),TRANSPOSE(P752:S752)))</f>
        <v>8.3711557258391578E-2</v>
      </c>
      <c r="Y752" s="31">
        <f>U752/W752</f>
        <v>0.93350996480246029</v>
      </c>
      <c r="AA752" s="9">
        <f t="shared" si="91"/>
        <v>0.35887986539828504</v>
      </c>
      <c r="AB752" s="9">
        <f t="shared" si="92"/>
        <v>0.11773859016057824</v>
      </c>
      <c r="AC752" s="9">
        <f t="shared" si="93"/>
        <v>0.28186711656967478</v>
      </c>
      <c r="AD752" s="9">
        <f t="shared" si="94"/>
        <v>0.24151442787146202</v>
      </c>
      <c r="AE752" s="9"/>
      <c r="AF752" s="9">
        <f t="shared" si="95"/>
        <v>0.30949668421613358</v>
      </c>
      <c r="AG752" s="9">
        <f t="shared" si="96"/>
        <v>0.35680584886411726</v>
      </c>
      <c r="AH752" s="9">
        <f t="shared" si="97"/>
        <v>0.36330186739764297</v>
      </c>
      <c r="AI752" s="9">
        <f t="shared" si="98"/>
        <v>0.41671426366228881</v>
      </c>
    </row>
    <row r="753" spans="16:35" x14ac:dyDescent="0.3">
      <c r="P753" s="9">
        <v>0.4789810256335284</v>
      </c>
      <c r="Q753" s="9">
        <v>7.2072790774206391E-2</v>
      </c>
      <c r="R753" s="9">
        <v>0.28338751499318154</v>
      </c>
      <c r="S753" s="9">
        <v>0.16555866859908366</v>
      </c>
      <c r="U753" s="9">
        <f t="array" ref="U753">MMULT(TRANSPOSE($B$3:$B$6),TRANSPOSE(P753:S753))</f>
        <v>7.5257669041565819E-2</v>
      </c>
      <c r="V753" s="9">
        <f>INT(200*U753)/200</f>
        <v>7.4999999999999997E-2</v>
      </c>
      <c r="W753" s="9">
        <f t="array" ref="W753">SQRT(MMULT(MMULT(P753:S753,$K$3:$N$6),TRANSPOSE(P753:S753)))</f>
        <v>8.0654724698411479E-2</v>
      </c>
      <c r="Y753" s="31">
        <f>U753/W753</f>
        <v>0.93308444512052302</v>
      </c>
      <c r="AA753" s="9">
        <f t="shared" si="91"/>
        <v>0.34584433810793097</v>
      </c>
      <c r="AB753" s="9">
        <f t="shared" si="92"/>
        <v>0.12239487901239647</v>
      </c>
      <c r="AC753" s="9">
        <f t="shared" si="93"/>
        <v>0.28702265234913599</v>
      </c>
      <c r="AD753" s="9">
        <f t="shared" si="94"/>
        <v>0.24473813053053664</v>
      </c>
      <c r="AE753" s="9"/>
      <c r="AF753" s="9">
        <f t="shared" si="95"/>
        <v>0.37270847442239252</v>
      </c>
      <c r="AG753" s="9">
        <f t="shared" si="96"/>
        <v>0.38208078757532749</v>
      </c>
      <c r="AH753" s="9">
        <f t="shared" si="97"/>
        <v>0.36998850014681162</v>
      </c>
      <c r="AI753" s="9">
        <f t="shared" si="98"/>
        <v>0.41669146595792733</v>
      </c>
    </row>
    <row r="754" spans="16:35" x14ac:dyDescent="0.3">
      <c r="P754" s="9">
        <v>0.3904345255370712</v>
      </c>
      <c r="Q754" s="9">
        <v>9.0872140699015294E-2</v>
      </c>
      <c r="R754" s="9">
        <v>0.29896288919033071</v>
      </c>
      <c r="S754" s="9">
        <v>0.21973044457358273</v>
      </c>
      <c r="U754" s="9">
        <f t="array" ref="U754">MMULT(TRANSPOSE($B$3:$B$6),TRANSPOSE(P754:S754))</f>
        <v>7.9767805283849719E-2</v>
      </c>
      <c r="V754" s="9">
        <f>INT(200*U754)/200</f>
        <v>7.4999999999999997E-2</v>
      </c>
      <c r="W754" s="9">
        <f t="array" ref="W754">SQRT(MMULT(MMULT(P754:S754,$K$3:$N$6),TRANSPOSE(P754:S754)))</f>
        <v>8.5667701797054838E-2</v>
      </c>
      <c r="Y754" s="31">
        <f>U754/W754</f>
        <v>0.931130444853279</v>
      </c>
      <c r="AA754" s="9">
        <f t="shared" si="91"/>
        <v>0.36211925708266668</v>
      </c>
      <c r="AB754" s="9">
        <f t="shared" si="92"/>
        <v>0.11744516255513972</v>
      </c>
      <c r="AC754" s="9">
        <f t="shared" si="93"/>
        <v>0.27484689329440903</v>
      </c>
      <c r="AD754" s="9">
        <f t="shared" si="94"/>
        <v>0.24558868706778464</v>
      </c>
      <c r="AE754" s="9"/>
      <c r="AF754" s="9">
        <f t="shared" si="95"/>
        <v>0.28990587414221675</v>
      </c>
      <c r="AG754" s="9">
        <f t="shared" si="96"/>
        <v>0.30032986588774524</v>
      </c>
      <c r="AH754" s="9">
        <f t="shared" si="97"/>
        <v>0.42612004908942008</v>
      </c>
      <c r="AI754" s="9">
        <f t="shared" si="98"/>
        <v>0.42120943508555519</v>
      </c>
    </row>
    <row r="755" spans="16:35" x14ac:dyDescent="0.3">
      <c r="P755" s="9">
        <v>0.47282325049996199</v>
      </c>
      <c r="Q755" s="9">
        <v>7.6894808310867244E-2</v>
      </c>
      <c r="R755" s="9">
        <v>0.32141037981452669</v>
      </c>
      <c r="S755" s="9">
        <v>0.12887156137464414</v>
      </c>
      <c r="U755" s="9">
        <f t="array" ref="U755">MMULT(TRANSPOSE($B$3:$B$6),TRANSPOSE(P755:S755))</f>
        <v>7.5532557447105603E-2</v>
      </c>
      <c r="V755" s="9">
        <f>INT(200*U755)/200</f>
        <v>7.4999999999999997E-2</v>
      </c>
      <c r="W755" s="9">
        <f t="array" ref="W755">SQRT(MMULT(MMULT(P755:S755,$K$3:$N$6),TRANSPOSE(P755:S755)))</f>
        <v>8.1144861685273018E-2</v>
      </c>
      <c r="Y755" s="31">
        <f>U755/W755</f>
        <v>0.93083598737360362</v>
      </c>
      <c r="AA755" s="9">
        <f t="shared" si="91"/>
        <v>0.36338614552742959</v>
      </c>
      <c r="AB755" s="9">
        <f t="shared" si="92"/>
        <v>0.11661054650500503</v>
      </c>
      <c r="AC755" s="9">
        <f t="shared" si="93"/>
        <v>0.26847464911045954</v>
      </c>
      <c r="AD755" s="9">
        <f t="shared" si="94"/>
        <v>0.2515286588571059</v>
      </c>
      <c r="AE755" s="9"/>
      <c r="AF755" s="9">
        <f t="shared" si="95"/>
        <v>0.28806513346168489</v>
      </c>
      <c r="AG755" s="9">
        <f t="shared" si="96"/>
        <v>0.30393555726441546</v>
      </c>
      <c r="AH755" s="9">
        <f t="shared" si="97"/>
        <v>0.42863549659528838</v>
      </c>
      <c r="AI755" s="9">
        <f t="shared" si="98"/>
        <v>0.41011560824030269</v>
      </c>
    </row>
    <row r="756" spans="16:35" x14ac:dyDescent="0.3">
      <c r="P756" s="9">
        <v>0.38535422854651419</v>
      </c>
      <c r="Q756" s="9">
        <v>0.10077253797601425</v>
      </c>
      <c r="R756" s="9">
        <v>0.37973532226103618</v>
      </c>
      <c r="S756" s="9">
        <v>0.13413791121643537</v>
      </c>
      <c r="U756" s="9">
        <f t="array" ref="U756">MMULT(TRANSPOSE($B$3:$B$6),TRANSPOSE(P756:S756))</f>
        <v>7.9976083331290609E-2</v>
      </c>
      <c r="V756" s="9">
        <f>INT(200*U756)/200</f>
        <v>7.4999999999999997E-2</v>
      </c>
      <c r="W756" s="9">
        <f t="array" ref="W756">SQRT(MMULT(MMULT(P756:S756,$K$3:$N$6),TRANSPOSE(P756:S756)))</f>
        <v>8.5963662067027671E-2</v>
      </c>
      <c r="Y756" s="31">
        <f>U756/W756</f>
        <v>0.93034756091395432</v>
      </c>
      <c r="AA756" s="9">
        <f t="shared" si="91"/>
        <v>0.35722016086229819</v>
      </c>
      <c r="AB756" s="9">
        <f t="shared" si="92"/>
        <v>0.11645558723349318</v>
      </c>
      <c r="AC756" s="9">
        <f t="shared" si="93"/>
        <v>0.27508346438907505</v>
      </c>
      <c r="AD756" s="9">
        <f t="shared" si="94"/>
        <v>0.25124078751513368</v>
      </c>
      <c r="AE756" s="9"/>
      <c r="AF756" s="9">
        <f t="shared" si="95"/>
        <v>0.28286559585973997</v>
      </c>
      <c r="AG756" s="9">
        <f t="shared" si="96"/>
        <v>0.30464929168819788</v>
      </c>
      <c r="AH756" s="9">
        <f t="shared" si="97"/>
        <v>0.38714502729265743</v>
      </c>
      <c r="AI756" s="9">
        <f t="shared" si="98"/>
        <v>0.40956828330582329</v>
      </c>
    </row>
    <row r="757" spans="16:35" x14ac:dyDescent="0.3">
      <c r="P757" s="9">
        <v>0.32335781064535729</v>
      </c>
      <c r="Q757" s="9">
        <v>0.12346318331152106</v>
      </c>
      <c r="R757" s="9">
        <v>0.42766234646116436</v>
      </c>
      <c r="S757" s="9">
        <v>0.12551665958195729</v>
      </c>
      <c r="U757" s="9">
        <f t="array" ref="U757">MMULT(TRANSPOSE($B$3:$B$6),TRANSPOSE(P757:S757))</f>
        <v>8.3258866764530565E-2</v>
      </c>
      <c r="V757" s="9">
        <f>INT(200*U757)/200</f>
        <v>0.08</v>
      </c>
      <c r="W757" s="9">
        <f t="array" ref="W757">SQRT(MMULT(MMULT(P757:S757,$K$3:$N$6),TRANSPOSE(P757:S757)))</f>
        <v>8.9500317460291176E-2</v>
      </c>
      <c r="Y757" s="31">
        <f>U757/W757</f>
        <v>0.93026336807654597</v>
      </c>
      <c r="AA757" s="9">
        <f t="shared" si="91"/>
        <v>0.35689974338266717</v>
      </c>
      <c r="AB757" s="9">
        <f t="shared" si="92"/>
        <v>0.11641017168631959</v>
      </c>
      <c r="AC757" s="9">
        <f t="shared" si="93"/>
        <v>0.27259334013159658</v>
      </c>
      <c r="AD757" s="9">
        <f t="shared" si="94"/>
        <v>0.25409674479941657</v>
      </c>
      <c r="AE757" s="9"/>
      <c r="AF757" s="9">
        <f t="shared" si="95"/>
        <v>0.28311194156285108</v>
      </c>
      <c r="AG757" s="9">
        <f t="shared" si="96"/>
        <v>0.30488612347620492</v>
      </c>
      <c r="AH757" s="9">
        <f t="shared" si="97"/>
        <v>0.39437277950526928</v>
      </c>
      <c r="AI757" s="9">
        <f t="shared" si="98"/>
        <v>0.41072514921184594</v>
      </c>
    </row>
    <row r="758" spans="16:35" x14ac:dyDescent="0.3">
      <c r="P758" s="9">
        <v>0.34126976147860089</v>
      </c>
      <c r="Q758" s="9">
        <v>0.10489780473714612</v>
      </c>
      <c r="R758" s="9">
        <v>0.3256374305340976</v>
      </c>
      <c r="S758" s="9">
        <v>0.22819500325015529</v>
      </c>
      <c r="U758" s="9">
        <f t="array" ref="U758">MMULT(TRANSPOSE($B$3:$B$6),TRANSPOSE(P758:S758))</f>
        <v>8.2304184096504168E-2</v>
      </c>
      <c r="V758" s="9">
        <f>INT(200*U758)/200</f>
        <v>0.08</v>
      </c>
      <c r="W758" s="9">
        <f t="array" ref="W758">SQRT(MMULT(MMULT(P758:S758,$K$3:$N$6),TRANSPOSE(P758:S758)))</f>
        <v>8.8494603021452109E-2</v>
      </c>
      <c r="Y758" s="31">
        <f>U758/W758</f>
        <v>0.93004749765985939</v>
      </c>
      <c r="AA758" s="9">
        <f t="shared" si="91"/>
        <v>0.33990525311622644</v>
      </c>
      <c r="AB758" s="9">
        <f t="shared" si="92"/>
        <v>0.12040691807243269</v>
      </c>
      <c r="AC758" s="9">
        <f t="shared" si="93"/>
        <v>0.27547426386916973</v>
      </c>
      <c r="AD758" s="9">
        <f t="shared" si="94"/>
        <v>0.26421356494217113</v>
      </c>
      <c r="AE758" s="9"/>
      <c r="AF758" s="9">
        <f t="shared" si="95"/>
        <v>0.29991661095239885</v>
      </c>
      <c r="AG758" s="9">
        <f t="shared" si="96"/>
        <v>0.29672101253848321</v>
      </c>
      <c r="AH758" s="9">
        <f t="shared" si="97"/>
        <v>0.39746541289443577</v>
      </c>
      <c r="AI758" s="9">
        <f t="shared" si="98"/>
        <v>0.36779516122557637</v>
      </c>
    </row>
    <row r="759" spans="16:35" x14ac:dyDescent="0.3">
      <c r="P759" s="9">
        <v>0.32566012001950556</v>
      </c>
      <c r="Q759" s="9">
        <v>0.11034625485452562</v>
      </c>
      <c r="R759" s="9">
        <v>0.34845162927824141</v>
      </c>
      <c r="S759" s="9">
        <v>0.21554199584772735</v>
      </c>
      <c r="U759" s="9">
        <f t="array" ref="U759">MMULT(TRANSPOSE($B$3:$B$6),TRANSPOSE(P759:S759))</f>
        <v>8.3084343588258225E-2</v>
      </c>
      <c r="V759" s="9">
        <f>INT(200*U759)/200</f>
        <v>0.08</v>
      </c>
      <c r="W759" s="9">
        <f t="array" ref="W759">SQRT(MMULT(MMULT(P759:S759,$K$3:$N$6),TRANSPOSE(P759:S759)))</f>
        <v>8.9344499960911372E-2</v>
      </c>
      <c r="Y759" s="31">
        <f>U759/W759</f>
        <v>0.92993238111588294</v>
      </c>
      <c r="AA759" s="9">
        <f t="shared" si="91"/>
        <v>0.33395686472042985</v>
      </c>
      <c r="AB759" s="9">
        <f t="shared" si="92"/>
        <v>0.11914002660241127</v>
      </c>
      <c r="AC759" s="9">
        <f t="shared" si="93"/>
        <v>0.28646519066417375</v>
      </c>
      <c r="AD759" s="9">
        <f t="shared" si="94"/>
        <v>0.2604379180129851</v>
      </c>
      <c r="AE759" s="9"/>
      <c r="AF759" s="9">
        <f t="shared" si="95"/>
        <v>0.30574278041296593</v>
      </c>
      <c r="AG759" s="9">
        <f t="shared" si="96"/>
        <v>0.29373778322182198</v>
      </c>
      <c r="AH759" s="9">
        <f t="shared" si="97"/>
        <v>0.33812606072453921</v>
      </c>
      <c r="AI759" s="9">
        <f t="shared" si="98"/>
        <v>0.35775409705722938</v>
      </c>
    </row>
    <row r="760" spans="16:35" x14ac:dyDescent="0.3">
      <c r="P760" s="9">
        <v>0.23507610263964082</v>
      </c>
      <c r="Q760" s="9">
        <v>0.14184419150602204</v>
      </c>
      <c r="R760" s="9">
        <v>0.32947989332414651</v>
      </c>
      <c r="S760" s="9">
        <v>0.29359981253019063</v>
      </c>
      <c r="U760" s="9">
        <f t="array" ref="U760">MMULT(TRANSPOSE($B$3:$B$6),TRANSPOSE(P760:S760))</f>
        <v>8.8160081854658359E-2</v>
      </c>
      <c r="V760" s="9">
        <f>INT(200*U760)/200</f>
        <v>8.5000000000000006E-2</v>
      </c>
      <c r="W760" s="9">
        <f t="array" ref="W760">SQRT(MMULT(MMULT(P760:S760,$K$3:$N$6),TRANSPOSE(P760:S760)))</f>
        <v>9.5039718635675827E-2</v>
      </c>
      <c r="Y760" s="31">
        <f>U760/W760</f>
        <v>0.92761303505758697</v>
      </c>
      <c r="AA760" s="9">
        <f t="shared" si="91"/>
        <v>0.31999907628241436</v>
      </c>
      <c r="AB760" s="9">
        <f t="shared" si="92"/>
        <v>0.12665402513771459</v>
      </c>
      <c r="AC760" s="9">
        <f t="shared" si="93"/>
        <v>0.28425885432793357</v>
      </c>
      <c r="AD760" s="9">
        <f t="shared" si="94"/>
        <v>0.26908804425193739</v>
      </c>
      <c r="AE760" s="9"/>
      <c r="AF760" s="9">
        <f t="shared" si="95"/>
        <v>0.33493325011790348</v>
      </c>
      <c r="AG760" s="9">
        <f t="shared" si="96"/>
        <v>0.36474324538834718</v>
      </c>
      <c r="AH760" s="9">
        <f t="shared" si="97"/>
        <v>0.35481964242093128</v>
      </c>
      <c r="AI760" s="9">
        <f t="shared" si="98"/>
        <v>0.39665686553032392</v>
      </c>
    </row>
    <row r="761" spans="16:35" x14ac:dyDescent="0.3">
      <c r="P761" s="9">
        <v>0.3492579689432122</v>
      </c>
      <c r="Q761" s="9">
        <v>0.11023789045866007</v>
      </c>
      <c r="R761" s="9">
        <v>0.40607427715705674</v>
      </c>
      <c r="S761" s="9">
        <v>0.13442986344107102</v>
      </c>
      <c r="U761" s="9">
        <f t="array" ref="U761">MMULT(TRANSPOSE($B$3:$B$6),TRANSPOSE(P761:S761))</f>
        <v>8.1790947322953847E-2</v>
      </c>
      <c r="V761" s="9">
        <f>INT(200*U761)/200</f>
        <v>0.08</v>
      </c>
      <c r="W761" s="9">
        <f t="array" ref="W761">SQRT(MMULT(MMULT(P761:S761,$K$3:$N$6),TRANSPOSE(P761:S761)))</f>
        <v>8.8207380019807768E-2</v>
      </c>
      <c r="Y761" s="31">
        <f>U761/W761</f>
        <v>0.92725741660830363</v>
      </c>
      <c r="AA761" s="9">
        <f t="shared" si="91"/>
        <v>0.32597439424527402</v>
      </c>
      <c r="AB761" s="9">
        <f t="shared" si="92"/>
        <v>0.1232601868313211</v>
      </c>
      <c r="AC761" s="9">
        <f t="shared" si="93"/>
        <v>0.28502201207154787</v>
      </c>
      <c r="AD761" s="9">
        <f t="shared" si="94"/>
        <v>0.26574340685185699</v>
      </c>
      <c r="AE761" s="9"/>
      <c r="AF761" s="9">
        <f t="shared" si="95"/>
        <v>0.32490180397886631</v>
      </c>
      <c r="AG761" s="9">
        <f t="shared" si="96"/>
        <v>0.37075264125437091</v>
      </c>
      <c r="AH761" s="9">
        <f t="shared" si="97"/>
        <v>0.35219980569928666</v>
      </c>
      <c r="AI761" s="9">
        <f t="shared" si="98"/>
        <v>0.3922663891431718</v>
      </c>
    </row>
    <row r="762" spans="16:35" x14ac:dyDescent="0.3">
      <c r="P762" s="9">
        <v>0.43253583752204927</v>
      </c>
      <c r="Q762" s="9">
        <v>8.4335286398089862E-2</v>
      </c>
      <c r="R762" s="9">
        <v>0.18641222535211707</v>
      </c>
      <c r="S762" s="9">
        <v>0.29671665072774372</v>
      </c>
      <c r="U762" s="9">
        <f t="array" ref="U762">MMULT(TRANSPOSE($B$3:$B$6),TRANSPOSE(P762:S762))</f>
        <v>7.8072103328285403E-2</v>
      </c>
      <c r="V762" s="9">
        <f>INT(200*U762)/200</f>
        <v>7.4999999999999997E-2</v>
      </c>
      <c r="W762" s="9">
        <f t="array" ref="W762">SQRT(MMULT(MMULT(P762:S762,$K$3:$N$6),TRANSPOSE(P762:S762)))</f>
        <v>8.4272703265240265E-2</v>
      </c>
      <c r="Y762" s="31">
        <f>U762/W762</f>
        <v>0.92642220200959891</v>
      </c>
      <c r="AA762" s="9">
        <f t="shared" si="91"/>
        <v>0.31694018388647699</v>
      </c>
      <c r="AB762" s="9">
        <f t="shared" si="92"/>
        <v>0.12870270212698834</v>
      </c>
      <c r="AC762" s="9">
        <f t="shared" si="93"/>
        <v>0.28215491927733366</v>
      </c>
      <c r="AD762" s="9">
        <f t="shared" si="94"/>
        <v>0.27220219470920098</v>
      </c>
      <c r="AE762" s="9"/>
      <c r="AF762" s="9">
        <f t="shared" si="95"/>
        <v>0.37500035471388993</v>
      </c>
      <c r="AG762" s="9">
        <f t="shared" si="96"/>
        <v>0.42894264917140373</v>
      </c>
      <c r="AH762" s="9">
        <f t="shared" si="97"/>
        <v>0.36513283025520621</v>
      </c>
      <c r="AI762" s="9">
        <f t="shared" si="98"/>
        <v>0.4191477063001553</v>
      </c>
    </row>
    <row r="763" spans="16:35" x14ac:dyDescent="0.3">
      <c r="P763" s="9">
        <v>5.9214154513829428E-2</v>
      </c>
      <c r="Q763" s="9">
        <v>0.21212676362471539</v>
      </c>
      <c r="R763" s="9">
        <v>0.41164339253983623</v>
      </c>
      <c r="S763" s="9">
        <v>0.31701568932161889</v>
      </c>
      <c r="U763" s="9">
        <f t="array" ref="U763">MMULT(TRANSPOSE($B$3:$B$6),TRANSPOSE(P763:S763))</f>
        <v>9.7829636930980152E-2</v>
      </c>
      <c r="V763" s="9">
        <f>INT(200*U763)/200</f>
        <v>9.5000000000000001E-2</v>
      </c>
      <c r="W763" s="9">
        <f t="array" ref="W763">SQRT(MMULT(MMULT(P763:S763,$K$3:$N$6),TRANSPOSE(P763:S763)))</f>
        <v>0.10578941401737221</v>
      </c>
      <c r="Y763" s="31">
        <f>U763/W763</f>
        <v>0.92475828361158185</v>
      </c>
      <c r="AA763" s="9">
        <f t="shared" si="91"/>
        <v>0.31252946640720136</v>
      </c>
      <c r="AB763" s="9">
        <f t="shared" si="92"/>
        <v>0.12910004925020516</v>
      </c>
      <c r="AC763" s="9">
        <f t="shared" si="93"/>
        <v>0.2800524535824559</v>
      </c>
      <c r="AD763" s="9">
        <f t="shared" si="94"/>
        <v>0.27831803076013761</v>
      </c>
      <c r="AE763" s="9"/>
      <c r="AF763" s="9">
        <f t="shared" si="95"/>
        <v>0.37259123273052352</v>
      </c>
      <c r="AG763" s="9">
        <f t="shared" si="96"/>
        <v>0.42567475713503006</v>
      </c>
      <c r="AH763" s="9">
        <f t="shared" si="97"/>
        <v>0.36426840158503077</v>
      </c>
      <c r="AI763" s="9">
        <f t="shared" si="98"/>
        <v>0.39451184397182626</v>
      </c>
    </row>
    <row r="764" spans="16:35" x14ac:dyDescent="0.3">
      <c r="P764" s="9">
        <v>0.36119045597424321</v>
      </c>
      <c r="Q764" s="9">
        <v>0.15865119273867548</v>
      </c>
      <c r="R764" s="9">
        <v>5.7693772370654921E-2</v>
      </c>
      <c r="S764" s="9">
        <v>0.42246457891642647</v>
      </c>
      <c r="U764" s="9">
        <f t="array" ref="U764">MMULT(TRANSPOSE($B$3:$B$6),TRANSPOSE(P764:S764))</f>
        <v>8.3835016903947915E-2</v>
      </c>
      <c r="V764" s="9">
        <f>INT(200*U764)/200</f>
        <v>0.08</v>
      </c>
      <c r="W764" s="9">
        <f t="array" ref="W764">SQRT(MMULT(MMULT(P764:S764,$K$3:$N$6),TRANSPOSE(P764:S764)))</f>
        <v>9.0668024533515551E-2</v>
      </c>
      <c r="Y764" s="31">
        <f>U764/W764</f>
        <v>0.92463707393291883</v>
      </c>
      <c r="AA764" s="9">
        <f t="shared" si="91"/>
        <v>0.30534511331685055</v>
      </c>
      <c r="AB764" s="9">
        <f t="shared" si="92"/>
        <v>0.1304237415860493</v>
      </c>
      <c r="AC764" s="9">
        <f t="shared" si="93"/>
        <v>0.28110796984688591</v>
      </c>
      <c r="AD764" s="9">
        <f t="shared" si="94"/>
        <v>0.28312317525021424</v>
      </c>
      <c r="AE764" s="9"/>
      <c r="AF764" s="9">
        <f t="shared" si="95"/>
        <v>0.36072780581246605</v>
      </c>
      <c r="AG764" s="9">
        <f t="shared" si="96"/>
        <v>0.41277549526257157</v>
      </c>
      <c r="AH764" s="9">
        <f t="shared" si="97"/>
        <v>0.36343705543287913</v>
      </c>
      <c r="AI764" s="9">
        <f t="shared" si="98"/>
        <v>0.37716792916854364</v>
      </c>
    </row>
    <row r="765" spans="16:35" x14ac:dyDescent="0.3">
      <c r="P765" s="9">
        <v>0.35228561066400299</v>
      </c>
      <c r="Q765" s="9">
        <v>0.10141355457232881</v>
      </c>
      <c r="R765" s="9">
        <v>0.24014980952047127</v>
      </c>
      <c r="S765" s="9">
        <v>0.30615102524319693</v>
      </c>
      <c r="U765" s="9">
        <f t="array" ref="U765">MMULT(TRANSPOSE($B$3:$B$6),TRANSPOSE(P765:S765))</f>
        <v>8.2016357517949695E-2</v>
      </c>
      <c r="V765" s="9">
        <f>INT(200*U765)/200</f>
        <v>0.08</v>
      </c>
      <c r="W765" s="9">
        <f t="array" ref="W765">SQRT(MMULT(MMULT(P765:S765,$K$3:$N$6),TRANSPOSE(P765:S765)))</f>
        <v>8.8871186151715686E-2</v>
      </c>
      <c r="Y765" s="31">
        <f>U765/W765</f>
        <v>0.92286781654895622</v>
      </c>
      <c r="AA765" s="9">
        <f t="shared" si="91"/>
        <v>0.299261865685576</v>
      </c>
      <c r="AB765" s="9">
        <f t="shared" si="92"/>
        <v>0.13301748142590655</v>
      </c>
      <c r="AC765" s="9">
        <f t="shared" si="93"/>
        <v>0.27667886648390433</v>
      </c>
      <c r="AD765" s="9">
        <f t="shared" si="94"/>
        <v>0.29104178640461309</v>
      </c>
      <c r="AE765" s="9"/>
      <c r="AF765" s="9">
        <f t="shared" si="95"/>
        <v>0.36332965622640961</v>
      </c>
      <c r="AG765" s="9">
        <f t="shared" si="96"/>
        <v>0.39951553633885473</v>
      </c>
      <c r="AH765" s="9">
        <f t="shared" si="97"/>
        <v>0.3735790254049049</v>
      </c>
      <c r="AI765" s="9">
        <f t="shared" si="98"/>
        <v>0.37110716788762932</v>
      </c>
    </row>
    <row r="766" spans="16:35" x14ac:dyDescent="0.3">
      <c r="P766" s="9">
        <v>0.35328996028648435</v>
      </c>
      <c r="Q766" s="9">
        <v>0.10705570615628056</v>
      </c>
      <c r="R766" s="9">
        <v>0.20418003853351957</v>
      </c>
      <c r="S766" s="9">
        <v>0.33547429502371562</v>
      </c>
      <c r="U766" s="9">
        <f t="array" ref="U766">MMULT(TRANSPOSE($B$3:$B$6),TRANSPOSE(P766:S766))</f>
        <v>8.2255383314878749E-2</v>
      </c>
      <c r="V766" s="9">
        <f>INT(200*U766)/200</f>
        <v>0.08</v>
      </c>
      <c r="W766" s="9">
        <f t="array" ref="W766">SQRT(MMULT(MMULT(P766:S766,$K$3:$N$6),TRANSPOSE(P766:S766)))</f>
        <v>8.9252737022337242E-2</v>
      </c>
      <c r="Y766" s="31">
        <f>U766/W766</f>
        <v>0.92160068205295187</v>
      </c>
      <c r="AA766" s="9">
        <f t="shared" si="91"/>
        <v>0.28389211292710759</v>
      </c>
      <c r="AB766" s="9">
        <f t="shared" si="92"/>
        <v>0.13747531972756125</v>
      </c>
      <c r="AC766" s="9">
        <f t="shared" si="93"/>
        <v>0.27745939738102543</v>
      </c>
      <c r="AD766" s="9">
        <f t="shared" si="94"/>
        <v>0.30117316996430571</v>
      </c>
      <c r="AE766" s="9"/>
      <c r="AF766" s="9">
        <f t="shared" si="95"/>
        <v>0.37247017536330801</v>
      </c>
      <c r="AG766" s="9">
        <f t="shared" si="96"/>
        <v>0.3790922287069402</v>
      </c>
      <c r="AH766" s="9">
        <f t="shared" si="97"/>
        <v>0.37402644524974393</v>
      </c>
      <c r="AI766" s="9">
        <f t="shared" si="98"/>
        <v>0.33813620221887625</v>
      </c>
    </row>
    <row r="767" spans="16:35" x14ac:dyDescent="0.3">
      <c r="P767" s="9">
        <v>0.3545107845902799</v>
      </c>
      <c r="Q767" s="9">
        <v>0.1057362281222707</v>
      </c>
      <c r="R767" s="9">
        <v>0.20651477940752039</v>
      </c>
      <c r="S767" s="9">
        <v>0.33323820787992897</v>
      </c>
      <c r="U767" s="9">
        <f t="array" ref="U767">MMULT(TRANSPOSE($B$3:$B$6),TRANSPOSE(P767:S767))</f>
        <v>8.2154985075665682E-2</v>
      </c>
      <c r="V767" s="9">
        <f>INT(200*U767)/200</f>
        <v>0.08</v>
      </c>
      <c r="W767" s="9">
        <f t="array" ref="W767">SQRT(MMULT(MMULT(P767:S767,$K$3:$N$6),TRANSPOSE(P767:S767)))</f>
        <v>8.9175929011850355E-2</v>
      </c>
      <c r="Y767" s="31">
        <f>U767/W767</f>
        <v>0.92126862019848788</v>
      </c>
      <c r="AA767" s="9">
        <f t="shared" si="91"/>
        <v>0.29783215141961655</v>
      </c>
      <c r="AB767" s="9">
        <f t="shared" si="92"/>
        <v>0.13498768092840979</v>
      </c>
      <c r="AC767" s="9">
        <f t="shared" si="93"/>
        <v>0.26213203022233622</v>
      </c>
      <c r="AD767" s="9">
        <f t="shared" si="94"/>
        <v>0.30504813742963732</v>
      </c>
      <c r="AE767" s="9"/>
      <c r="AF767" s="9">
        <f t="shared" si="95"/>
        <v>0.45336571939511688</v>
      </c>
      <c r="AG767" s="9">
        <f t="shared" si="96"/>
        <v>0.408302442342237</v>
      </c>
      <c r="AH767" s="9">
        <f t="shared" si="97"/>
        <v>0.42499766829839869</v>
      </c>
      <c r="AI767" s="9">
        <f t="shared" si="98"/>
        <v>0.31659347096871698</v>
      </c>
    </row>
    <row r="768" spans="16:35" x14ac:dyDescent="0.3">
      <c r="P768" s="9">
        <v>0.1648376921279128</v>
      </c>
      <c r="Q768" s="9">
        <v>0.16237197884327423</v>
      </c>
      <c r="R768" s="9">
        <v>0.37559119744305175</v>
      </c>
      <c r="S768" s="9">
        <v>0.29719913158576111</v>
      </c>
      <c r="U768" s="9">
        <f t="array" ref="U768">MMULT(TRANSPOSE($B$3:$B$6),TRANSPOSE(P768:S768))</f>
        <v>9.1767841037571379E-2</v>
      </c>
      <c r="V768" s="9">
        <f>INT(200*U768)/200</f>
        <v>0.09</v>
      </c>
      <c r="W768" s="9">
        <f t="array" ref="W768">SQRT(MMULT(MMULT(P768:S768,$K$3:$N$6),TRANSPOSE(P768:S768)))</f>
        <v>9.9630741383559845E-2</v>
      </c>
      <c r="Y768" s="31">
        <f>U768/W768</f>
        <v>0.92107957607463986</v>
      </c>
      <c r="AA768" s="9">
        <f t="shared" si="91"/>
        <v>0.29500044429784844</v>
      </c>
      <c r="AB768" s="9">
        <f t="shared" si="92"/>
        <v>0.13501083575636716</v>
      </c>
      <c r="AC768" s="9">
        <f t="shared" si="93"/>
        <v>0.25607820568258333</v>
      </c>
      <c r="AD768" s="9">
        <f t="shared" si="94"/>
        <v>0.31391051426320105</v>
      </c>
      <c r="AE768" s="9"/>
      <c r="AF768" s="9">
        <f t="shared" si="95"/>
        <v>0.45792588829952485</v>
      </c>
      <c r="AG768" s="9">
        <f t="shared" si="96"/>
        <v>0.40819551817811728</v>
      </c>
      <c r="AH768" s="9">
        <f t="shared" si="97"/>
        <v>0.4109860262582275</v>
      </c>
      <c r="AI768" s="9">
        <f t="shared" si="98"/>
        <v>0.27835638993237138</v>
      </c>
    </row>
    <row r="769" spans="16:35" x14ac:dyDescent="0.3">
      <c r="P769" s="9">
        <v>0.27183215212887785</v>
      </c>
      <c r="Q769" s="9">
        <v>0.12591216088614568</v>
      </c>
      <c r="R769" s="9">
        <v>0.28345593440097822</v>
      </c>
      <c r="S769" s="9">
        <v>0.31879975258399817</v>
      </c>
      <c r="U769" s="9">
        <f t="array" ref="U769">MMULT(TRANSPOSE($B$3:$B$6),TRANSPOSE(P769:S769))</f>
        <v>8.621035322742715E-2</v>
      </c>
      <c r="V769" s="9">
        <f>INT(200*U769)/200</f>
        <v>8.5000000000000006E-2</v>
      </c>
      <c r="W769" s="9">
        <f t="array" ref="W769">SQRT(MMULT(MMULT(P769:S769,$K$3:$N$6),TRANSPOSE(P769:S769)))</f>
        <v>9.3599460397906925E-2</v>
      </c>
      <c r="Y769" s="31">
        <f>U769/W769</f>
        <v>0.92105609221391394</v>
      </c>
      <c r="AA769" s="9">
        <f t="shared" si="91"/>
        <v>0.28590487937007708</v>
      </c>
      <c r="AB769" s="9">
        <f t="shared" si="92"/>
        <v>0.13788586034512243</v>
      </c>
      <c r="AC769" s="9">
        <f t="shared" si="93"/>
        <v>0.25848887483889788</v>
      </c>
      <c r="AD769" s="9">
        <f t="shared" si="94"/>
        <v>0.31772038544590264</v>
      </c>
      <c r="AE769" s="9"/>
      <c r="AF769" s="9">
        <f t="shared" si="95"/>
        <v>0.48341752753281847</v>
      </c>
      <c r="AG769" s="9">
        <f t="shared" si="96"/>
        <v>0.39914258609190895</v>
      </c>
      <c r="AH769" s="9">
        <f t="shared" si="97"/>
        <v>0.41577683269991672</v>
      </c>
      <c r="AI769" s="9">
        <f t="shared" si="98"/>
        <v>0.26806942903378339</v>
      </c>
    </row>
    <row r="770" spans="16:35" x14ac:dyDescent="0.3">
      <c r="P770" s="9">
        <v>0.14419687342015169</v>
      </c>
      <c r="Q770" s="9">
        <v>0.25942447548571701</v>
      </c>
      <c r="R770" s="9">
        <v>9.1530053397374772E-2</v>
      </c>
      <c r="S770" s="9">
        <v>0.5048485976967565</v>
      </c>
      <c r="U770" s="9">
        <f t="array" ref="U770">MMULT(TRANSPOSE($B$3:$B$6),TRANSPOSE(P770:S770))</f>
        <v>9.6395659819034279E-2</v>
      </c>
      <c r="V770" s="9">
        <f>INT(200*U770)/200</f>
        <v>9.5000000000000001E-2</v>
      </c>
      <c r="W770" s="9">
        <f t="array" ref="W770">SQRT(MMULT(MMULT(P770:S770,$K$3:$N$6),TRANSPOSE(P770:S770)))</f>
        <v>0.10472880804704265</v>
      </c>
      <c r="Y770" s="31">
        <f>U770/W770</f>
        <v>0.92043117473212099</v>
      </c>
      <c r="AA770" s="9">
        <f t="shared" si="91"/>
        <v>0.29061188003648192</v>
      </c>
      <c r="AB770" s="9">
        <f t="shared" si="92"/>
        <v>0.13606030249444975</v>
      </c>
      <c r="AC770" s="9">
        <f t="shared" si="93"/>
        <v>0.25751080264050819</v>
      </c>
      <c r="AD770" s="9">
        <f t="shared" si="94"/>
        <v>0.31581701482856006</v>
      </c>
      <c r="AE770" s="9"/>
      <c r="AF770" s="9">
        <f t="shared" si="95"/>
        <v>0.4861540161416687</v>
      </c>
      <c r="AG770" s="9">
        <f t="shared" si="96"/>
        <v>0.4160555174624313</v>
      </c>
      <c r="AH770" s="9">
        <f t="shared" si="97"/>
        <v>0.4143699844988955</v>
      </c>
      <c r="AI770" s="9">
        <f t="shared" si="98"/>
        <v>0.27854545531291519</v>
      </c>
    </row>
    <row r="771" spans="16:35" x14ac:dyDescent="0.3">
      <c r="P771" s="9">
        <v>0.36418366125698165</v>
      </c>
      <c r="Q771" s="9">
        <v>9.5732114051376757E-2</v>
      </c>
      <c r="R771" s="9">
        <v>0.23289047307679048</v>
      </c>
      <c r="S771" s="9">
        <v>0.30719375161485118</v>
      </c>
      <c r="U771" s="9">
        <f t="array" ref="U771">MMULT(TRANSPOSE($B$3:$B$6),TRANSPOSE(P771:S771))</f>
        <v>8.1343083817118814E-2</v>
      </c>
      <c r="V771" s="9">
        <f>INT(200*U771)/200</f>
        <v>0.08</v>
      </c>
      <c r="W771" s="9">
        <f t="array" ref="W771">SQRT(MMULT(MMULT(P771:S771,$K$3:$N$6),TRANSPOSE(P771:S771)))</f>
        <v>8.8402679515858049E-2</v>
      </c>
      <c r="Y771" s="31">
        <f>U771/W771</f>
        <v>0.92014274072458568</v>
      </c>
      <c r="AA771" s="9">
        <f t="shared" si="91"/>
        <v>0.30161830896318859</v>
      </c>
      <c r="AB771" s="9">
        <f t="shared" si="92"/>
        <v>0.13234060969730774</v>
      </c>
      <c r="AC771" s="9">
        <f t="shared" si="93"/>
        <v>0.25114367614414973</v>
      </c>
      <c r="AD771" s="9">
        <f t="shared" si="94"/>
        <v>0.31489740519535386</v>
      </c>
      <c r="AE771" s="9"/>
      <c r="AF771" s="9">
        <f t="shared" si="95"/>
        <v>0.48297547315157857</v>
      </c>
      <c r="AG771" s="9">
        <f t="shared" si="96"/>
        <v>0.44382438375992722</v>
      </c>
      <c r="AH771" s="9">
        <f t="shared" si="97"/>
        <v>0.42280014351168588</v>
      </c>
      <c r="AI771" s="9">
        <f t="shared" si="98"/>
        <v>0.28045174576846876</v>
      </c>
    </row>
    <row r="772" spans="16:35" x14ac:dyDescent="0.3">
      <c r="P772" s="9">
        <v>7.3260203234829166E-2</v>
      </c>
      <c r="Q772" s="9">
        <v>0.26706215623483409</v>
      </c>
      <c r="R772" s="9">
        <v>0.16431749078293151</v>
      </c>
      <c r="S772" s="9">
        <v>0.49536014974740522</v>
      </c>
      <c r="U772" s="9">
        <f t="array" ref="U772">MMULT(TRANSPOSE($B$3:$B$6),TRANSPOSE(P772:S772))</f>
        <v>9.9586536950224583E-2</v>
      </c>
      <c r="V772" s="9">
        <f>INT(200*U772)/200</f>
        <v>9.5000000000000001E-2</v>
      </c>
      <c r="W772" s="9">
        <f t="array" ref="W772">SQRT(MMULT(MMULT(P772:S772,$K$3:$N$6),TRANSPOSE(P772:S772)))</f>
        <v>0.10824949696062645</v>
      </c>
      <c r="Y772" s="31">
        <f>U772/W772</f>
        <v>0.9199722839030573</v>
      </c>
      <c r="AA772" s="9">
        <f t="shared" si="91"/>
        <v>0.30491336712997513</v>
      </c>
      <c r="AB772" s="9">
        <f t="shared" si="92"/>
        <v>0.13169563406230875</v>
      </c>
      <c r="AC772" s="9">
        <f t="shared" si="93"/>
        <v>0.23789534597082931</v>
      </c>
      <c r="AD772" s="9">
        <f t="shared" si="94"/>
        <v>0.32549565283688681</v>
      </c>
      <c r="AE772" s="9"/>
      <c r="AF772" s="9">
        <f t="shared" si="95"/>
        <v>0.48399281264959981</v>
      </c>
      <c r="AG772" s="9">
        <f t="shared" si="96"/>
        <v>0.44849080838652283</v>
      </c>
      <c r="AH772" s="9">
        <f t="shared" si="97"/>
        <v>0.43380818590874881</v>
      </c>
      <c r="AI772" s="9">
        <f t="shared" si="98"/>
        <v>0.24076457492564146</v>
      </c>
    </row>
    <row r="773" spans="16:35" x14ac:dyDescent="0.3">
      <c r="P773" s="9">
        <v>0.3295666148881945</v>
      </c>
      <c r="Q773" s="9">
        <v>9.9877814512621094E-2</v>
      </c>
      <c r="R773" s="9">
        <v>0.30592067539254603</v>
      </c>
      <c r="S773" s="9">
        <v>0.26463489520663847</v>
      </c>
      <c r="U773" s="9">
        <f t="array" ref="U773">MMULT(TRANSPOSE($B$3:$B$6),TRANSPOSE(P773:S773))</f>
        <v>8.2774933321093258E-2</v>
      </c>
      <c r="V773" s="9">
        <f>INT(200*U773)/200</f>
        <v>0.08</v>
      </c>
      <c r="W773" s="9">
        <f t="array" ref="W773">SQRT(MMULT(MMULT(P773:S773,$K$3:$N$6),TRANSPOSE(P773:S773)))</f>
        <v>9.001766202770857E-2</v>
      </c>
      <c r="Y773" s="31">
        <f>U773/W773</f>
        <v>0.91954102624453959</v>
      </c>
      <c r="AA773" s="9">
        <f t="shared" si="91"/>
        <v>0.29324056291011369</v>
      </c>
      <c r="AB773" s="9">
        <f t="shared" si="92"/>
        <v>0.13468842744942164</v>
      </c>
      <c r="AC773" s="9">
        <f t="shared" si="93"/>
        <v>0.24895991335577183</v>
      </c>
      <c r="AD773" s="9">
        <f t="shared" si="94"/>
        <v>0.32311109628469287</v>
      </c>
      <c r="AE773" s="9"/>
      <c r="AF773" s="9">
        <f t="shared" si="95"/>
        <v>0.50016370121828657</v>
      </c>
      <c r="AG773" s="9">
        <f t="shared" si="96"/>
        <v>0.43158433592478807</v>
      </c>
      <c r="AH773" s="9">
        <f t="shared" si="97"/>
        <v>0.4404688020534584</v>
      </c>
      <c r="AI773" s="9">
        <f t="shared" si="98"/>
        <v>0.24769026621553969</v>
      </c>
    </row>
    <row r="774" spans="16:35" x14ac:dyDescent="0.3">
      <c r="P774" s="9">
        <v>0.32810961073616046</v>
      </c>
      <c r="Q774" s="9">
        <v>9.9870329826933973E-2</v>
      </c>
      <c r="R774" s="9">
        <v>0.30555335654621196</v>
      </c>
      <c r="S774" s="9">
        <v>0.26646670289069357</v>
      </c>
      <c r="U774" s="9">
        <f t="array" ref="U774">MMULT(TRANSPOSE($B$3:$B$6),TRANSPOSE(P774:S774))</f>
        <v>8.2842776543345639E-2</v>
      </c>
      <c r="V774" s="9">
        <f>INT(200*U774)/200</f>
        <v>0.08</v>
      </c>
      <c r="W774" s="9">
        <f t="array" ref="W774">SQRT(MMULT(MMULT(P774:S774,$K$3:$N$6),TRANSPOSE(P774:S774)))</f>
        <v>9.0151143733471245E-2</v>
      </c>
      <c r="Y774" s="31">
        <f>U774/W774</f>
        <v>0.9189320635605851</v>
      </c>
      <c r="AA774" s="9">
        <f t="shared" si="91"/>
        <v>0.29536979454947798</v>
      </c>
      <c r="AB774" s="9">
        <f t="shared" si="92"/>
        <v>0.13384922914753913</v>
      </c>
      <c r="AC774" s="9">
        <f t="shared" si="93"/>
        <v>0.24442960120147528</v>
      </c>
      <c r="AD774" s="9">
        <f t="shared" si="94"/>
        <v>0.32635137510150758</v>
      </c>
      <c r="AE774" s="9"/>
      <c r="AF774" s="9">
        <f t="shared" si="95"/>
        <v>0.48545544602606094</v>
      </c>
      <c r="AG774" s="9">
        <f t="shared" si="96"/>
        <v>0.42639898954319999</v>
      </c>
      <c r="AH774" s="9">
        <f t="shared" si="97"/>
        <v>0.42729386409754533</v>
      </c>
      <c r="AI774" s="9">
        <f t="shared" si="98"/>
        <v>0.24863429545774901</v>
      </c>
    </row>
    <row r="775" spans="16:35" x14ac:dyDescent="0.3">
      <c r="P775" s="9">
        <v>0.26268632528030572</v>
      </c>
      <c r="Q775" s="9">
        <v>0.14534067733601755</v>
      </c>
      <c r="R775" s="9">
        <v>0.20595171856771738</v>
      </c>
      <c r="S775" s="9">
        <v>0.38602127881595938</v>
      </c>
      <c r="U775" s="9">
        <f t="array" ref="U775">MMULT(TRANSPOSE($B$3:$B$6),TRANSPOSE(P775:S775))</f>
        <v>8.7441557360572519E-2</v>
      </c>
      <c r="V775" s="9">
        <f>INT(200*U775)/200</f>
        <v>8.5000000000000006E-2</v>
      </c>
      <c r="W775" s="9">
        <f t="array" ref="W775">SQRT(MMULT(MMULT(P775:S775,$K$3:$N$6),TRANSPOSE(P775:S775)))</f>
        <v>9.5163555400542124E-2</v>
      </c>
      <c r="Y775" s="31">
        <f>U775/W775</f>
        <v>0.91885551136180421</v>
      </c>
      <c r="AA775" s="9">
        <f t="shared" si="91"/>
        <v>0.28893296066462254</v>
      </c>
      <c r="AB775" s="9">
        <f t="shared" si="92"/>
        <v>0.13260586190913118</v>
      </c>
      <c r="AC775" s="9">
        <f t="shared" si="93"/>
        <v>0.26108696041861135</v>
      </c>
      <c r="AD775" s="9">
        <f t="shared" si="94"/>
        <v>0.31737421700763491</v>
      </c>
      <c r="AE775" s="9"/>
      <c r="AF775" s="9">
        <f t="shared" si="95"/>
        <v>0.49603341563416115</v>
      </c>
      <c r="AG775" s="9">
        <f t="shared" si="96"/>
        <v>0.4282582136184705</v>
      </c>
      <c r="AH775" s="9">
        <f t="shared" si="97"/>
        <v>0.38688433816034717</v>
      </c>
      <c r="AI775" s="9">
        <f t="shared" si="98"/>
        <v>0.25333527288973035</v>
      </c>
    </row>
    <row r="776" spans="16:35" x14ac:dyDescent="0.3">
      <c r="P776" s="9">
        <v>0.15005844257212558</v>
      </c>
      <c r="Q776" s="9">
        <v>0.17050941264561589</v>
      </c>
      <c r="R776" s="9">
        <v>0.33780152865406987</v>
      </c>
      <c r="S776" s="9">
        <v>0.34163061612818868</v>
      </c>
      <c r="U776" s="9">
        <f t="array" ref="U776">MMULT(TRANSPOSE($B$3:$B$6),TRANSPOSE(P776:S776))</f>
        <v>9.2804216541019349E-2</v>
      </c>
      <c r="V776" s="9">
        <f>INT(200*U776)/200</f>
        <v>0.09</v>
      </c>
      <c r="W776" s="9">
        <f t="array" ref="W776">SQRT(MMULT(MMULT(P776:S776,$K$3:$N$6),TRANSPOSE(P776:S776)))</f>
        <v>0.1010583261253415</v>
      </c>
      <c r="Y776" s="31">
        <f>U776/W776</f>
        <v>0.91832330990635369</v>
      </c>
      <c r="AA776" s="9">
        <f t="shared" si="91"/>
        <v>0.2854200634827655</v>
      </c>
      <c r="AB776" s="9">
        <f t="shared" si="92"/>
        <v>0.13743067481430307</v>
      </c>
      <c r="AC776" s="9">
        <f t="shared" si="93"/>
        <v>0.2516083353664364</v>
      </c>
      <c r="AD776" s="9">
        <f t="shared" si="94"/>
        <v>0.32554092633649506</v>
      </c>
      <c r="AE776" s="9"/>
      <c r="AF776" s="9">
        <f t="shared" si="95"/>
        <v>0.49958709096752701</v>
      </c>
      <c r="AG776" s="9">
        <f t="shared" si="96"/>
        <v>0.42414987114933078</v>
      </c>
      <c r="AH776" s="9">
        <f t="shared" si="97"/>
        <v>0.44447219458742548</v>
      </c>
      <c r="AI776" s="9">
        <f t="shared" si="98"/>
        <v>0.26907050193392462</v>
      </c>
    </row>
    <row r="777" spans="16:35" x14ac:dyDescent="0.3">
      <c r="P777" s="9">
        <v>0.67809503688920403</v>
      </c>
      <c r="Q777" s="9">
        <v>4.8532123193833772E-2</v>
      </c>
      <c r="R777" s="9">
        <v>5.7860611928562969E-2</v>
      </c>
      <c r="S777" s="9">
        <v>0.21551222798839917</v>
      </c>
      <c r="U777" s="9">
        <f t="array" ref="U777">MMULT(TRANSPOSE($B$3:$B$6),TRANSPOSE(P777:S777))</f>
        <v>6.6321098114480947E-2</v>
      </c>
      <c r="V777" s="9">
        <f>INT(200*U777)/200</f>
        <v>6.5000000000000002E-2</v>
      </c>
      <c r="W777" s="9">
        <f t="array" ref="W777">SQRT(MMULT(MMULT(P777:S777,$K$3:$N$6),TRANSPOSE(P777:S777)))</f>
        <v>7.2259674899144546E-2</v>
      </c>
      <c r="Y777" s="31">
        <f>U777/W777</f>
        <v>0.91781617073489075</v>
      </c>
      <c r="AA777" s="9">
        <f t="shared" si="91"/>
        <v>0.27971669120259135</v>
      </c>
      <c r="AB777" s="9">
        <f t="shared" si="92"/>
        <v>0.13858795367727475</v>
      </c>
      <c r="AC777" s="9">
        <f t="shared" si="93"/>
        <v>0.25734783122323646</v>
      </c>
      <c r="AD777" s="9">
        <f t="shared" si="94"/>
        <v>0.32434752389689747</v>
      </c>
      <c r="AE777" s="9"/>
      <c r="AF777" s="9">
        <f t="shared" si="95"/>
        <v>0.5081439933545856</v>
      </c>
      <c r="AG777" s="9">
        <f t="shared" si="96"/>
        <v>0.41777025445052957</v>
      </c>
      <c r="AH777" s="9">
        <f t="shared" si="97"/>
        <v>0.43664137394558095</v>
      </c>
      <c r="AI777" s="9">
        <f t="shared" si="98"/>
        <v>0.27014874416544354</v>
      </c>
    </row>
    <row r="778" spans="16:35" x14ac:dyDescent="0.3">
      <c r="P778" s="9">
        <v>0.2638919610882256</v>
      </c>
      <c r="Q778" s="9">
        <v>0.12394943469862603</v>
      </c>
      <c r="R778" s="9">
        <v>0.30053203112635318</v>
      </c>
      <c r="S778" s="9">
        <v>0.31162657308679526</v>
      </c>
      <c r="U778" s="9">
        <f t="array" ref="U778">MMULT(TRANSPOSE($B$3:$B$6),TRANSPOSE(P778:S778))</f>
        <v>8.6458115224032434E-2</v>
      </c>
      <c r="V778" s="9">
        <f>INT(200*U778)/200</f>
        <v>8.5000000000000006E-2</v>
      </c>
      <c r="W778" s="9">
        <f t="array" ref="W778">SQRT(MMULT(MMULT(P778:S778,$K$3:$N$6),TRANSPOSE(P778:S778)))</f>
        <v>9.4213233997134174E-2</v>
      </c>
      <c r="Y778" s="31">
        <f>U778/W778</f>
        <v>0.91768546260350603</v>
      </c>
      <c r="AA778" s="9">
        <f t="shared" si="91"/>
        <v>0.27916440858651342</v>
      </c>
      <c r="AB778" s="9">
        <f t="shared" si="92"/>
        <v>0.13790750226761342</v>
      </c>
      <c r="AC778" s="9">
        <f t="shared" si="93"/>
        <v>0.26477223286278434</v>
      </c>
      <c r="AD778" s="9">
        <f t="shared" si="94"/>
        <v>0.31815585628308884</v>
      </c>
      <c r="AE778" s="9"/>
      <c r="AF778" s="9">
        <f t="shared" si="95"/>
        <v>0.50813589897893974</v>
      </c>
      <c r="AG778" s="9">
        <f t="shared" si="96"/>
        <v>0.42336522806248755</v>
      </c>
      <c r="AH778" s="9">
        <f t="shared" si="97"/>
        <v>0.43048805787279809</v>
      </c>
      <c r="AI778" s="9">
        <f t="shared" si="98"/>
        <v>0.28750640704357278</v>
      </c>
    </row>
    <row r="779" spans="16:35" x14ac:dyDescent="0.3">
      <c r="P779" s="9">
        <v>0.15026289799540113</v>
      </c>
      <c r="Q779" s="9">
        <v>0.16527332110100676</v>
      </c>
      <c r="R779" s="9">
        <v>0.37626148281670319</v>
      </c>
      <c r="S779" s="9">
        <v>0.30820229808688909</v>
      </c>
      <c r="U779" s="9">
        <f t="array" ref="U779">MMULT(TRANSPOSE($B$3:$B$6),TRANSPOSE(P779:S779))</f>
        <v>9.2511846650172841E-2</v>
      </c>
      <c r="V779" s="9">
        <f>INT(200*U779)/200</f>
        <v>0.09</v>
      </c>
      <c r="W779" s="9">
        <f t="array" ref="W779">SQRT(MMULT(MMULT(P779:S779,$K$3:$N$6),TRANSPOSE(P779:S779)))</f>
        <v>0.1008383004452921</v>
      </c>
      <c r="Y779" s="31">
        <f>U779/W779</f>
        <v>0.91742766628998651</v>
      </c>
      <c r="AA779" s="9">
        <f t="shared" si="91"/>
        <v>0.27902526596948024</v>
      </c>
      <c r="AB779" s="9">
        <f t="shared" si="92"/>
        <v>0.13768480798969188</v>
      </c>
      <c r="AC779" s="9">
        <f t="shared" si="93"/>
        <v>0.26355482724934465</v>
      </c>
      <c r="AD779" s="9">
        <f t="shared" si="94"/>
        <v>0.31973509879148332</v>
      </c>
      <c r="AE779" s="9"/>
      <c r="AF779" s="9">
        <f t="shared" si="95"/>
        <v>0.50881625106958128</v>
      </c>
      <c r="AG779" s="9">
        <f t="shared" si="96"/>
        <v>0.42340265519066311</v>
      </c>
      <c r="AH779" s="9">
        <f t="shared" si="97"/>
        <v>0.42825844759595005</v>
      </c>
      <c r="AI779" s="9">
        <f t="shared" si="98"/>
        <v>0.28579339871067355</v>
      </c>
    </row>
    <row r="780" spans="16:35" x14ac:dyDescent="0.3">
      <c r="P780" s="9">
        <v>0.4245071340140083</v>
      </c>
      <c r="Q780" s="9">
        <v>7.2009539990399232E-2</v>
      </c>
      <c r="R780" s="9">
        <v>0.32791211311205898</v>
      </c>
      <c r="S780" s="9">
        <v>0.17557121288353347</v>
      </c>
      <c r="U780" s="9">
        <f t="array" ref="U780">MMULT(TRANSPOSE($B$3:$B$6),TRANSPOSE(P780:S780))</f>
        <v>7.7587739983280085E-2</v>
      </c>
      <c r="V780" s="9">
        <f>INT(200*U780)/200</f>
        <v>7.4999999999999997E-2</v>
      </c>
      <c r="W780" s="9">
        <f t="array" ref="W780">SQRT(MMULT(MMULT(P780:S780,$K$3:$N$6),TRANSPOSE(P780:S780)))</f>
        <v>8.4637183096606838E-2</v>
      </c>
      <c r="Y780" s="31">
        <f>U780/W780</f>
        <v>0.91670985664444482</v>
      </c>
      <c r="AA780" s="9">
        <f t="shared" si="91"/>
        <v>0.2792940006193555</v>
      </c>
      <c r="AB780" s="9">
        <f t="shared" si="92"/>
        <v>0.13709682693673764</v>
      </c>
      <c r="AC780" s="9">
        <f t="shared" si="93"/>
        <v>0.26429416227240254</v>
      </c>
      <c r="AD780" s="9">
        <f t="shared" si="94"/>
        <v>0.31931501017150438</v>
      </c>
      <c r="AE780" s="9"/>
      <c r="AF780" s="9">
        <f t="shared" si="95"/>
        <v>0.50829460692719408</v>
      </c>
      <c r="AG780" s="9">
        <f t="shared" si="96"/>
        <v>0.42657997756311045</v>
      </c>
      <c r="AH780" s="9">
        <f t="shared" si="97"/>
        <v>0.42777014802563568</v>
      </c>
      <c r="AI780" s="9">
        <f t="shared" si="98"/>
        <v>0.28624702091883325</v>
      </c>
    </row>
    <row r="781" spans="16:35" x14ac:dyDescent="0.3">
      <c r="P781" s="9">
        <v>0.466211110100482</v>
      </c>
      <c r="Q781" s="9">
        <v>6.3730642766040319E-2</v>
      </c>
      <c r="R781" s="9">
        <v>0.1957702369006166</v>
      </c>
      <c r="S781" s="9">
        <v>0.27428801023286103</v>
      </c>
      <c r="U781" s="9">
        <f t="array" ref="U781">MMULT(TRANSPOSE($B$3:$B$6),TRANSPOSE(P781:S781))</f>
        <v>7.5934113604255171E-2</v>
      </c>
      <c r="V781" s="9">
        <f>INT(200*U781)/200</f>
        <v>7.4999999999999997E-2</v>
      </c>
      <c r="W781" s="9">
        <f t="array" ref="W781">SQRT(MMULT(MMULT(P781:S781,$K$3:$N$6),TRANSPOSE(P781:S781)))</f>
        <v>8.284332506723481E-2</v>
      </c>
      <c r="Y781" s="31">
        <f>U781/W781</f>
        <v>0.91659905662439078</v>
      </c>
      <c r="AA781" s="9">
        <f t="shared" si="91"/>
        <v>0.27704621441819099</v>
      </c>
      <c r="AB781" s="9">
        <f t="shared" si="92"/>
        <v>0.1369197539037286</v>
      </c>
      <c r="AC781" s="9">
        <f t="shared" si="93"/>
        <v>0.26660277758424494</v>
      </c>
      <c r="AD781" s="9">
        <f t="shared" si="94"/>
        <v>0.31943125409383555</v>
      </c>
      <c r="AE781" s="9"/>
      <c r="AF781" s="9">
        <f t="shared" si="95"/>
        <v>0.52178881698401103</v>
      </c>
      <c r="AG781" s="9">
        <f t="shared" si="96"/>
        <v>0.42432318549654918</v>
      </c>
      <c r="AH781" s="9">
        <f t="shared" si="97"/>
        <v>0.4118525548248711</v>
      </c>
      <c r="AI781" s="9">
        <f t="shared" si="98"/>
        <v>0.28692226279973937</v>
      </c>
    </row>
    <row r="782" spans="16:35" x14ac:dyDescent="0.3">
      <c r="P782" s="9">
        <v>0.41845419044572746</v>
      </c>
      <c r="Q782" s="9">
        <v>9.669340212368055E-2</v>
      </c>
      <c r="R782" s="9">
        <v>0.12785934351732928</v>
      </c>
      <c r="S782" s="9">
        <v>0.35699306391326274</v>
      </c>
      <c r="U782" s="9">
        <f t="array" ref="U782">MMULT(TRANSPOSE($B$3:$B$6),TRANSPOSE(P782:S782))</f>
        <v>7.926734970701077E-2</v>
      </c>
      <c r="V782" s="9">
        <f>INT(200*U782)/200</f>
        <v>7.4999999999999997E-2</v>
      </c>
      <c r="W782" s="9">
        <f t="array" ref="W782">SQRT(MMULT(MMULT(P782:S782,$K$3:$N$6),TRANSPOSE(P782:S782)))</f>
        <v>8.654045878949651E-2</v>
      </c>
      <c r="Y782" s="31">
        <f>U782/W782</f>
        <v>0.91595712359028436</v>
      </c>
      <c r="AA782" s="9">
        <f t="shared" ref="AA782:AA845" si="99">AVERAGE(P772:P792)</f>
        <v>0.27392961957326667</v>
      </c>
      <c r="AB782" s="9">
        <f t="shared" ref="AB782:AB845" si="100">AVERAGE(Q772:Q792)</f>
        <v>0.13719943538673551</v>
      </c>
      <c r="AC782" s="9">
        <f t="shared" ref="AC782:AC845" si="101">AVERAGE(R772:R792)</f>
        <v>0.27231574829934718</v>
      </c>
      <c r="AD782" s="9">
        <f t="shared" ref="AD782:AD845" si="102">AVERAGE(S772:S792)</f>
        <v>0.31655519674065069</v>
      </c>
      <c r="AE782" s="9"/>
      <c r="AF782" s="9">
        <f t="shared" ref="AF782:AF845" si="103">STDEV(P772:P792)/AA782</f>
        <v>0.52307953024279685</v>
      </c>
      <c r="AG782" s="9">
        <f t="shared" ref="AG782:AG845" si="104">STDEV(Q772:Q792)/AB782</f>
        <v>0.42204145411608396</v>
      </c>
      <c r="AH782" s="9">
        <f t="shared" ref="AH782:AH845" si="105">STDEV(R772:R792)/AC782</f>
        <v>0.40788313315172664</v>
      </c>
      <c r="AI782" s="9">
        <f t="shared" ref="AI782:AI845" si="106">STDEV(S772:S792)/AD782</f>
        <v>0.29376545685950395</v>
      </c>
    </row>
    <row r="783" spans="16:35" x14ac:dyDescent="0.3">
      <c r="P783" s="9">
        <v>0.18740694890495888</v>
      </c>
      <c r="Q783" s="9">
        <v>0.14718394752746058</v>
      </c>
      <c r="R783" s="9">
        <v>0.41876814043590943</v>
      </c>
      <c r="S783" s="9">
        <v>0.24664096313167103</v>
      </c>
      <c r="U783" s="9">
        <f t="array" ref="U783">MMULT(TRANSPOSE($B$3:$B$6),TRANSPOSE(P783:S783))</f>
        <v>9.0162835730492386E-2</v>
      </c>
      <c r="V783" s="9">
        <f>INT(200*U783)/200</f>
        <v>0.09</v>
      </c>
      <c r="W783" s="9">
        <f t="array" ref="W783">SQRT(MMULT(MMULT(P783:S783,$K$3:$N$6),TRANSPOSE(P783:S783)))</f>
        <v>9.849088574652555E-2</v>
      </c>
      <c r="Y783" s="31">
        <f>U783/W783</f>
        <v>0.91544344481309581</v>
      </c>
      <c r="AA783" s="9">
        <f t="shared" si="99"/>
        <v>0.2772819207052028</v>
      </c>
      <c r="AB783" s="9">
        <f t="shared" si="100"/>
        <v>0.13275730365242008</v>
      </c>
      <c r="AC783" s="9">
        <f t="shared" si="101"/>
        <v>0.27861422082491999</v>
      </c>
      <c r="AD783" s="9">
        <f t="shared" si="102"/>
        <v>0.31134655481745704</v>
      </c>
      <c r="AE783" s="9"/>
      <c r="AF783" s="9">
        <f t="shared" si="103"/>
        <v>0.50172893095858817</v>
      </c>
      <c r="AG783" s="9">
        <f t="shared" si="104"/>
        <v>0.38080838851038212</v>
      </c>
      <c r="AH783" s="9">
        <f t="shared" si="105"/>
        <v>0.38892383174384559</v>
      </c>
      <c r="AI783" s="9">
        <f t="shared" si="106"/>
        <v>0.27369883734963196</v>
      </c>
    </row>
    <row r="784" spans="16:35" x14ac:dyDescent="0.3">
      <c r="P784" s="9">
        <v>0.10392801894047986</v>
      </c>
      <c r="Q784" s="9">
        <v>0.19450359928518307</v>
      </c>
      <c r="R784" s="9">
        <v>0.31650683729960999</v>
      </c>
      <c r="S784" s="9">
        <v>0.38506154447472701</v>
      </c>
      <c r="U784" s="9">
        <f t="array" ref="U784">MMULT(TRANSPOSE($B$3:$B$6),TRANSPOSE(P784:S784))</f>
        <v>9.5648430650919825E-2</v>
      </c>
      <c r="V784" s="9">
        <f>INT(200*U784)/200</f>
        <v>9.5000000000000001E-2</v>
      </c>
      <c r="W784" s="9">
        <f t="array" ref="W784">SQRT(MMULT(MMULT(P784:S784,$K$3:$N$6),TRANSPOSE(P784:S784)))</f>
        <v>0.10449164620373867</v>
      </c>
      <c r="Y784" s="31">
        <f>U784/W784</f>
        <v>0.91536916228139165</v>
      </c>
      <c r="AA784" s="9">
        <f t="shared" si="99"/>
        <v>0.27651979690730982</v>
      </c>
      <c r="AB784" s="9">
        <f t="shared" si="100"/>
        <v>0.13258995442064236</v>
      </c>
      <c r="AC784" s="9">
        <f t="shared" si="101"/>
        <v>0.2798612135316032</v>
      </c>
      <c r="AD784" s="9">
        <f t="shared" si="102"/>
        <v>0.31102903514044455</v>
      </c>
      <c r="AE784" s="9"/>
      <c r="AF784" s="9">
        <f t="shared" si="103"/>
        <v>0.50218182658256538</v>
      </c>
      <c r="AG784" s="9">
        <f t="shared" si="104"/>
        <v>0.38219373541449703</v>
      </c>
      <c r="AH784" s="9">
        <f t="shared" si="105"/>
        <v>0.38890447698886171</v>
      </c>
      <c r="AI784" s="9">
        <f t="shared" si="106"/>
        <v>0.27460505162247006</v>
      </c>
    </row>
    <row r="785" spans="16:35" x14ac:dyDescent="0.3">
      <c r="P785" s="9">
        <v>0.22601694439227829</v>
      </c>
      <c r="Q785" s="9">
        <v>0.1325404807321085</v>
      </c>
      <c r="R785" s="9">
        <v>0.40749831593051256</v>
      </c>
      <c r="S785" s="9">
        <v>0.23394425894510071</v>
      </c>
      <c r="U785" s="9">
        <f t="array" ref="U785">MMULT(TRANSPOSE($B$3:$B$6),TRANSPOSE(P785:S785))</f>
        <v>8.8036706207293647E-2</v>
      </c>
      <c r="V785" s="9">
        <f>INT(200*U785)/200</f>
        <v>8.5000000000000006E-2</v>
      </c>
      <c r="W785" s="9">
        <f t="array" ref="W785">SQRT(MMULT(MMULT(P785:S785,$K$3:$N$6),TRANSPOSE(P785:S785)))</f>
        <v>9.618149071502434E-2</v>
      </c>
      <c r="Y785" s="31">
        <f>U785/W785</f>
        <v>0.91531858731673399</v>
      </c>
      <c r="AA785" s="9">
        <f t="shared" si="99"/>
        <v>0.28110692531820514</v>
      </c>
      <c r="AB785" s="9">
        <f t="shared" si="100"/>
        <v>0.13101388881086157</v>
      </c>
      <c r="AC785" s="9">
        <f t="shared" si="101"/>
        <v>0.27623942303928012</v>
      </c>
      <c r="AD785" s="9">
        <f t="shared" si="102"/>
        <v>0.31163976283165307</v>
      </c>
      <c r="AE785" s="9"/>
      <c r="AF785" s="9">
        <f t="shared" si="103"/>
        <v>0.50586975216863272</v>
      </c>
      <c r="AG785" s="9">
        <f t="shared" si="104"/>
        <v>0.39869252364577656</v>
      </c>
      <c r="AH785" s="9">
        <f t="shared" si="105"/>
        <v>0.39533254149410557</v>
      </c>
      <c r="AI785" s="9">
        <f t="shared" si="106"/>
        <v>0.27313886758405248</v>
      </c>
    </row>
    <row r="786" spans="16:35" x14ac:dyDescent="0.3">
      <c r="P786" s="9">
        <v>0.27851476984500517</v>
      </c>
      <c r="Q786" s="9">
        <v>0.20273462558093799</v>
      </c>
      <c r="R786" s="9">
        <v>4.1098683424797139E-2</v>
      </c>
      <c r="S786" s="9">
        <v>0.4776519211492597</v>
      </c>
      <c r="U786" s="9">
        <f t="array" ref="U786">MMULT(TRANSPOSE($B$3:$B$6),TRANSPOSE(P786:S786))</f>
        <v>8.8883327353659128E-2</v>
      </c>
      <c r="V786" s="9">
        <f>INT(200*U786)/200</f>
        <v>8.5000000000000006E-2</v>
      </c>
      <c r="W786" s="9">
        <f t="array" ref="W786">SQRT(MMULT(MMULT(P786:S786,$K$3:$N$6),TRANSPOSE(P786:S786)))</f>
        <v>9.7142852201474839E-2</v>
      </c>
      <c r="Y786" s="31">
        <f>U786/W786</f>
        <v>0.91497547518282241</v>
      </c>
      <c r="AA786" s="9">
        <f t="shared" si="99"/>
        <v>0.27013547754088518</v>
      </c>
      <c r="AB786" s="9">
        <f t="shared" si="100"/>
        <v>0.13592613554344965</v>
      </c>
      <c r="AC786" s="9">
        <f t="shared" si="101"/>
        <v>0.27824858631159344</v>
      </c>
      <c r="AD786" s="9">
        <f t="shared" si="102"/>
        <v>0.31568980060407154</v>
      </c>
      <c r="AE786" s="9"/>
      <c r="AF786" s="9">
        <f t="shared" si="103"/>
        <v>0.56353323405939082</v>
      </c>
      <c r="AG786" s="9">
        <f t="shared" si="104"/>
        <v>0.42790201169590397</v>
      </c>
      <c r="AH786" s="9">
        <f t="shared" si="105"/>
        <v>0.38897741153697651</v>
      </c>
      <c r="AI786" s="9">
        <f t="shared" si="106"/>
        <v>0.28724033333361415</v>
      </c>
    </row>
    <row r="787" spans="16:35" x14ac:dyDescent="0.3">
      <c r="P787" s="9">
        <v>0.23351914240282728</v>
      </c>
      <c r="Q787" s="9">
        <v>0.13135856227868606</v>
      </c>
      <c r="R787" s="9">
        <v>0.3247094515263203</v>
      </c>
      <c r="S787" s="9">
        <v>0.31041284379216627</v>
      </c>
      <c r="U787" s="9">
        <f t="array" ref="U787">MMULT(TRANSPOSE($B$3:$B$6),TRANSPOSE(P787:S787))</f>
        <v>8.796271977063945E-2</v>
      </c>
      <c r="V787" s="9">
        <f>INT(200*U787)/200</f>
        <v>8.5000000000000006E-2</v>
      </c>
      <c r="W787" s="9">
        <f t="array" ref="W787">SQRT(MMULT(MMULT(P787:S787,$K$3:$N$6),TRANSPOSE(P787:S787)))</f>
        <v>9.6151737796935505E-2</v>
      </c>
      <c r="Y787" s="31">
        <f>U787/W787</f>
        <v>0.91483234506285693</v>
      </c>
      <c r="AA787" s="9">
        <f t="shared" si="99"/>
        <v>0.2649892738196688</v>
      </c>
      <c r="AB787" s="9">
        <f t="shared" si="100"/>
        <v>0.1409285232902979</v>
      </c>
      <c r="AC787" s="9">
        <f t="shared" si="101"/>
        <v>0.26985872868243305</v>
      </c>
      <c r="AD787" s="9">
        <f t="shared" si="102"/>
        <v>0.32422347420760012</v>
      </c>
      <c r="AE787" s="9"/>
      <c r="AF787" s="9">
        <f t="shared" si="103"/>
        <v>0.59701314020211038</v>
      </c>
      <c r="AG787" s="9">
        <f t="shared" si="104"/>
        <v>0.46377100329867826</v>
      </c>
      <c r="AH787" s="9">
        <f t="shared" si="105"/>
        <v>0.40834759109040958</v>
      </c>
      <c r="AI787" s="9">
        <f t="shared" si="106"/>
        <v>0.31175508177578415</v>
      </c>
    </row>
    <row r="788" spans="16:35" x14ac:dyDescent="0.3">
      <c r="P788" s="9">
        <v>0.34291284965264313</v>
      </c>
      <c r="Q788" s="9">
        <v>9.1446748519382948E-2</v>
      </c>
      <c r="R788" s="9">
        <v>0.36242721383802595</v>
      </c>
      <c r="S788" s="9">
        <v>0.20321318798994792</v>
      </c>
      <c r="U788" s="9">
        <f t="array" ref="U788">MMULT(TRANSPOSE($B$3:$B$6),TRANSPOSE(P788:S788))</f>
        <v>8.1727940666668886E-2</v>
      </c>
      <c r="V788" s="9">
        <f>INT(200*U788)/200</f>
        <v>0.08</v>
      </c>
      <c r="W788" s="9">
        <f t="array" ref="W788">SQRT(MMULT(MMULT(P788:S788,$K$3:$N$6),TRANSPOSE(P788:S788)))</f>
        <v>8.9463772984844869E-2</v>
      </c>
      <c r="Y788" s="31">
        <f>U788/W788</f>
        <v>0.91353111924436237</v>
      </c>
      <c r="AA788" s="9">
        <f t="shared" si="99"/>
        <v>0.24576382454116774</v>
      </c>
      <c r="AB788" s="9">
        <f t="shared" si="100"/>
        <v>0.144176149660113</v>
      </c>
      <c r="AC788" s="9">
        <f t="shared" si="101"/>
        <v>0.27958878245686619</v>
      </c>
      <c r="AD788" s="9">
        <f t="shared" si="102"/>
        <v>0.3304712433418529</v>
      </c>
      <c r="AE788" s="9"/>
      <c r="AF788" s="9">
        <f t="shared" si="103"/>
        <v>0.51647380226023154</v>
      </c>
      <c r="AG788" s="9">
        <f t="shared" si="104"/>
        <v>0.43109574338130718</v>
      </c>
      <c r="AH788" s="9">
        <f t="shared" si="105"/>
        <v>0.35406554534210438</v>
      </c>
      <c r="AI788" s="9">
        <f t="shared" si="106"/>
        <v>0.2966423485373279</v>
      </c>
    </row>
    <row r="789" spans="16:35" x14ac:dyDescent="0.3">
      <c r="P789" s="9">
        <v>0.16191569717021581</v>
      </c>
      <c r="Q789" s="9">
        <v>0.15769539900692159</v>
      </c>
      <c r="R789" s="9">
        <v>0.35002567956081787</v>
      </c>
      <c r="S789" s="9">
        <v>0.33036322426204473</v>
      </c>
      <c r="U789" s="9">
        <f t="array" ref="U789">MMULT(TRANSPOSE($B$3:$B$6),TRANSPOSE(P789:S789))</f>
        <v>9.1867231920741158E-2</v>
      </c>
      <c r="V789" s="9">
        <f>INT(200*U789)/200</f>
        <v>0.09</v>
      </c>
      <c r="W789" s="9">
        <f t="array" ref="W789">SQRT(MMULT(MMULT(P789:S789,$K$3:$N$6),TRANSPOSE(P789:S789)))</f>
        <v>0.1006966186720404</v>
      </c>
      <c r="Y789" s="31">
        <f>U789/W789</f>
        <v>0.91231694899254023</v>
      </c>
      <c r="AA789" s="9">
        <f t="shared" si="99"/>
        <v>0.24587002634818872</v>
      </c>
      <c r="AB789" s="9">
        <f t="shared" si="100"/>
        <v>0.14818222748000323</v>
      </c>
      <c r="AC789" s="9">
        <f t="shared" si="101"/>
        <v>0.26681368900464275</v>
      </c>
      <c r="AD789" s="9">
        <f t="shared" si="102"/>
        <v>0.33913405716716521</v>
      </c>
      <c r="AE789" s="9"/>
      <c r="AF789" s="9">
        <f t="shared" si="103"/>
        <v>0.51631927952952295</v>
      </c>
      <c r="AG789" s="9">
        <f t="shared" si="104"/>
        <v>0.42840391074139517</v>
      </c>
      <c r="AH789" s="9">
        <f t="shared" si="105"/>
        <v>0.42178775652197426</v>
      </c>
      <c r="AI789" s="9">
        <f t="shared" si="106"/>
        <v>0.30705069717291184</v>
      </c>
    </row>
    <row r="790" spans="16:35" x14ac:dyDescent="0.3">
      <c r="P790" s="9">
        <v>0.27747557977625803</v>
      </c>
      <c r="Q790" s="9">
        <v>0.11356455877410715</v>
      </c>
      <c r="R790" s="9">
        <v>0.29898196988519354</v>
      </c>
      <c r="S790" s="9">
        <v>0.30997789156444122</v>
      </c>
      <c r="U790" s="9">
        <f t="array" ref="U790">MMULT(TRANSPOSE($B$3:$B$6),TRANSPOSE(P790:S790))</f>
        <v>8.5558556030278746E-2</v>
      </c>
      <c r="V790" s="9">
        <f>INT(200*U790)/200</f>
        <v>8.5000000000000006E-2</v>
      </c>
      <c r="W790" s="9">
        <f t="array" ref="W790">SQRT(MMULT(MMULT(P790:S790,$K$3:$N$6),TRANSPOSE(P790:S790)))</f>
        <v>9.3804889758548268E-2</v>
      </c>
      <c r="Y790" s="31">
        <f>U790/W790</f>
        <v>0.91209057705312158</v>
      </c>
      <c r="AA790" s="9">
        <f t="shared" si="99"/>
        <v>0.2596477610625148</v>
      </c>
      <c r="AB790" s="9">
        <f t="shared" si="100"/>
        <v>0.14380584622172346</v>
      </c>
      <c r="AC790" s="9">
        <f t="shared" si="101"/>
        <v>0.26723465989985357</v>
      </c>
      <c r="AD790" s="9">
        <f t="shared" si="102"/>
        <v>0.3293117328159082</v>
      </c>
      <c r="AE790" s="9"/>
      <c r="AF790" s="9">
        <f t="shared" si="103"/>
        <v>0.50709230028557339</v>
      </c>
      <c r="AG790" s="9">
        <f t="shared" si="104"/>
        <v>0.45466912619657246</v>
      </c>
      <c r="AH790" s="9">
        <f t="shared" si="105"/>
        <v>0.42279051306843068</v>
      </c>
      <c r="AI790" s="9">
        <f t="shared" si="106"/>
        <v>0.35292198984501594</v>
      </c>
    </row>
    <row r="791" spans="16:35" x14ac:dyDescent="0.3">
      <c r="P791" s="9">
        <v>9.6993363195697749E-2</v>
      </c>
      <c r="Q791" s="9">
        <v>0.25570594179252709</v>
      </c>
      <c r="R791" s="9">
        <v>0.1400109749460651</v>
      </c>
      <c r="S791" s="9">
        <v>0.50728972006571005</v>
      </c>
      <c r="U791" s="9">
        <f t="array" ref="U791">MMULT(TRANSPOSE($B$3:$B$6),TRANSPOSE(P791:S791))</f>
        <v>9.8278726988147713E-2</v>
      </c>
      <c r="V791" s="9">
        <f>INT(200*U791)/200</f>
        <v>9.5000000000000001E-2</v>
      </c>
      <c r="W791" s="9">
        <f t="array" ref="W791">SQRT(MMULT(MMULT(P791:S791,$K$3:$N$6),TRANSPOSE(P791:S791)))</f>
        <v>0.10779711264346903</v>
      </c>
      <c r="Y791" s="31">
        <f>U791/W791</f>
        <v>0.91170092202002972</v>
      </c>
      <c r="AA791" s="9">
        <f t="shared" si="99"/>
        <v>0.25563425098263121</v>
      </c>
      <c r="AB791" s="9">
        <f t="shared" si="100"/>
        <v>0.14498738491679827</v>
      </c>
      <c r="AC791" s="9">
        <f t="shared" si="101"/>
        <v>0.26167948033494837</v>
      </c>
      <c r="AD791" s="9">
        <f t="shared" si="102"/>
        <v>0.33769888376562229</v>
      </c>
      <c r="AE791" s="9"/>
      <c r="AF791" s="9">
        <f t="shared" si="103"/>
        <v>0.49919340392100042</v>
      </c>
      <c r="AG791" s="9">
        <f t="shared" si="104"/>
        <v>0.4430447699327118</v>
      </c>
      <c r="AH791" s="9">
        <f t="shared" si="105"/>
        <v>0.43075349458148315</v>
      </c>
      <c r="AI791" s="9">
        <f t="shared" si="106"/>
        <v>0.32810506939892892</v>
      </c>
    </row>
    <row r="792" spans="16:35" x14ac:dyDescent="0.3">
      <c r="P792" s="9">
        <v>0.2987351695135711</v>
      </c>
      <c r="Q792" s="9">
        <v>0.10160542519452168</v>
      </c>
      <c r="R792" s="9">
        <v>0.35286285809393847</v>
      </c>
      <c r="S792" s="9">
        <v>0.24679654719796873</v>
      </c>
      <c r="U792" s="9">
        <f t="array" ref="U792">MMULT(TRANSPOSE($B$3:$B$6),TRANSPOSE(P792:S792))</f>
        <v>8.4062580834656717E-2</v>
      </c>
      <c r="V792" s="9">
        <f>INT(200*U792)/200</f>
        <v>0.08</v>
      </c>
      <c r="W792" s="9">
        <f t="array" ref="W792">SQRT(MMULT(MMULT(P792:S792,$K$3:$N$6),TRANSPOSE(P792:S792)))</f>
        <v>9.2298694203865328E-2</v>
      </c>
      <c r="Y792" s="31">
        <f>U792/W792</f>
        <v>0.91076674009041725</v>
      </c>
      <c r="AA792" s="9">
        <f t="shared" si="99"/>
        <v>0.24475809016211417</v>
      </c>
      <c r="AB792" s="9">
        <f t="shared" si="100"/>
        <v>0.14826082929479698</v>
      </c>
      <c r="AC792" s="9">
        <f t="shared" si="101"/>
        <v>0.26428016062406517</v>
      </c>
      <c r="AD792" s="9">
        <f t="shared" si="102"/>
        <v>0.34270091991902368</v>
      </c>
      <c r="AE792" s="9"/>
      <c r="AF792" s="9">
        <f t="shared" si="103"/>
        <v>0.48271588486599409</v>
      </c>
      <c r="AG792" s="9">
        <f t="shared" si="104"/>
        <v>0.41538200923585439</v>
      </c>
      <c r="AH792" s="9">
        <f t="shared" si="105"/>
        <v>0.422841054800697</v>
      </c>
      <c r="AI792" s="9">
        <f t="shared" si="106"/>
        <v>0.32145859035551017</v>
      </c>
    </row>
    <row r="793" spans="16:35" x14ac:dyDescent="0.3">
      <c r="P793" s="9">
        <v>0.14365852700548878</v>
      </c>
      <c r="Q793" s="9">
        <v>0.17377738981420979</v>
      </c>
      <c r="R793" s="9">
        <v>0.29658541381996117</v>
      </c>
      <c r="S793" s="9">
        <v>0.38597866936034025</v>
      </c>
      <c r="U793" s="9">
        <f t="array" ref="U793">MMULT(TRANSPOSE($B$3:$B$6),TRANSPOSE(P793:S793))</f>
        <v>9.3336602108015976E-2</v>
      </c>
      <c r="V793" s="9">
        <f>INT(200*U793)/200</f>
        <v>0.09</v>
      </c>
      <c r="W793" s="9">
        <f t="array" ref="W793">SQRT(MMULT(MMULT(P793:S793,$K$3:$N$6),TRANSPOSE(P793:S793)))</f>
        <v>0.10251811072472347</v>
      </c>
      <c r="Y793" s="31">
        <f>U793/W793</f>
        <v>0.91044013051156181</v>
      </c>
      <c r="AA793" s="9">
        <f t="shared" si="99"/>
        <v>0.2274532596940706</v>
      </c>
      <c r="AB793" s="9">
        <f t="shared" si="100"/>
        <v>0.15273878464991195</v>
      </c>
      <c r="AC793" s="9">
        <f t="shared" si="101"/>
        <v>0.28208079365179245</v>
      </c>
      <c r="AD793" s="9">
        <f t="shared" si="102"/>
        <v>0.33772716200422492</v>
      </c>
      <c r="AE793" s="9"/>
      <c r="AF793" s="9">
        <f t="shared" si="103"/>
        <v>0.51900312058719578</v>
      </c>
      <c r="AG793" s="9">
        <f t="shared" si="104"/>
        <v>0.39979658694365033</v>
      </c>
      <c r="AH793" s="9">
        <f t="shared" si="105"/>
        <v>0.42009240009068838</v>
      </c>
      <c r="AI793" s="9">
        <f t="shared" si="106"/>
        <v>0.33113078132802976</v>
      </c>
    </row>
    <row r="794" spans="16:35" x14ac:dyDescent="0.3">
      <c r="P794" s="9">
        <v>0.31356201513244192</v>
      </c>
      <c r="Q794" s="9">
        <v>9.6363480645289476E-2</v>
      </c>
      <c r="R794" s="9">
        <v>0.33210752223289286</v>
      </c>
      <c r="S794" s="9">
        <v>0.25796698198937562</v>
      </c>
      <c r="U794" s="9">
        <f t="array" ref="U794">MMULT(TRANSPOSE($B$3:$B$6),TRANSPOSE(P794:S794))</f>
        <v>8.3316390726557554E-2</v>
      </c>
      <c r="V794" s="9">
        <f>INT(200*U794)/200</f>
        <v>0.08</v>
      </c>
      <c r="W794" s="9">
        <f t="array" ref="W794">SQRT(MMULT(MMULT(P794:S794,$K$3:$N$6),TRANSPOSE(P794:S794)))</f>
        <v>9.1514640264528851E-2</v>
      </c>
      <c r="Y794" s="31">
        <f>U794/W794</f>
        <v>0.91041597809625063</v>
      </c>
      <c r="AA794" s="9">
        <f t="shared" si="99"/>
        <v>0.23678675900629648</v>
      </c>
      <c r="AB794" s="9">
        <f t="shared" si="100"/>
        <v>0.14907392778872494</v>
      </c>
      <c r="AC794" s="9">
        <f t="shared" si="101"/>
        <v>0.27882957080788018</v>
      </c>
      <c r="AD794" s="9">
        <f t="shared" si="102"/>
        <v>0.33530974239709843</v>
      </c>
      <c r="AE794" s="9"/>
      <c r="AF794" s="9">
        <f t="shared" si="103"/>
        <v>0.5168909795443738</v>
      </c>
      <c r="AG794" s="9">
        <f t="shared" si="104"/>
        <v>0.42709316506570455</v>
      </c>
      <c r="AH794" s="9">
        <f t="shared" si="105"/>
        <v>0.414087688008619</v>
      </c>
      <c r="AI794" s="9">
        <f t="shared" si="106"/>
        <v>0.34123095712454021</v>
      </c>
    </row>
    <row r="795" spans="16:35" x14ac:dyDescent="0.3">
      <c r="P795" s="9">
        <v>0.42443930736496366</v>
      </c>
      <c r="Q795" s="9">
        <v>6.6772952021536783E-2</v>
      </c>
      <c r="R795" s="9">
        <v>0.22949575620742693</v>
      </c>
      <c r="S795" s="9">
        <v>0.27929198440607239</v>
      </c>
      <c r="U795" s="9">
        <f t="array" ref="U795">MMULT(TRANSPOSE($B$3:$B$6),TRANSPOSE(P795:S795))</f>
        <v>7.7806697162525418E-2</v>
      </c>
      <c r="V795" s="9">
        <f>INT(200*U795)/200</f>
        <v>7.4999999999999997E-2</v>
      </c>
      <c r="W795" s="9">
        <f t="array" ref="W795">SQRT(MMULT(MMULT(P795:S795,$K$3:$N$6),TRANSPOSE(P795:S795)))</f>
        <v>8.5480955136032447E-2</v>
      </c>
      <c r="Y795" s="31">
        <f>U795/W795</f>
        <v>0.9102225991591415</v>
      </c>
      <c r="AA795" s="9">
        <f t="shared" si="99"/>
        <v>0.24748764567115686</v>
      </c>
      <c r="AB795" s="9">
        <f t="shared" si="100"/>
        <v>0.14390902275281725</v>
      </c>
      <c r="AC795" s="9">
        <f t="shared" si="101"/>
        <v>0.28160426925439941</v>
      </c>
      <c r="AD795" s="9">
        <f t="shared" si="102"/>
        <v>0.32699906232162645</v>
      </c>
      <c r="AE795" s="9"/>
      <c r="AF795" s="9">
        <f t="shared" si="103"/>
        <v>0.48485815718275155</v>
      </c>
      <c r="AG795" s="9">
        <f t="shared" si="104"/>
        <v>0.44608755427529501</v>
      </c>
      <c r="AH795" s="9">
        <f t="shared" si="105"/>
        <v>0.4158286574630633</v>
      </c>
      <c r="AI795" s="9">
        <f t="shared" si="106"/>
        <v>0.35759812467149832</v>
      </c>
    </row>
    <row r="796" spans="16:35" x14ac:dyDescent="0.3">
      <c r="P796" s="9">
        <v>3.2285921956587492E-2</v>
      </c>
      <c r="Q796" s="9">
        <v>0.24849785872036753</v>
      </c>
      <c r="R796" s="9">
        <v>0.24814414728629694</v>
      </c>
      <c r="S796" s="9">
        <v>0.47107207203674806</v>
      </c>
      <c r="U796" s="9">
        <f t="array" ref="U796">MMULT(TRANSPOSE($B$3:$B$6),TRANSPOSE(P796:S796))</f>
        <v>0.10065060257514533</v>
      </c>
      <c r="V796" s="9">
        <f>INT(200*U796)/200</f>
        <v>0.1</v>
      </c>
      <c r="W796" s="9">
        <f t="array" ref="W796">SQRT(MMULT(MMULT(P796:S796,$K$3:$N$6),TRANSPOSE(P796:S796)))</f>
        <v>0.1105957849503432</v>
      </c>
      <c r="Y796" s="31">
        <f>U796/W796</f>
        <v>0.91007629829958536</v>
      </c>
      <c r="AA796" s="9">
        <f t="shared" si="99"/>
        <v>0.25485970443294637</v>
      </c>
      <c r="AB796" s="9">
        <f t="shared" si="100"/>
        <v>0.14100122679119831</v>
      </c>
      <c r="AC796" s="9">
        <f t="shared" si="101"/>
        <v>0.27945294798971476</v>
      </c>
      <c r="AD796" s="9">
        <f t="shared" si="102"/>
        <v>0.32468612078614051</v>
      </c>
      <c r="AE796" s="9"/>
      <c r="AF796" s="9">
        <f t="shared" si="103"/>
        <v>0.48387743161001201</v>
      </c>
      <c r="AG796" s="9">
        <f t="shared" si="104"/>
        <v>0.46873127831166966</v>
      </c>
      <c r="AH796" s="9">
        <f t="shared" si="105"/>
        <v>0.41176149162597314</v>
      </c>
      <c r="AI796" s="9">
        <f t="shared" si="106"/>
        <v>0.36750220907738446</v>
      </c>
    </row>
    <row r="797" spans="16:35" x14ac:dyDescent="0.3">
      <c r="P797" s="9">
        <v>4.1988164426580321E-2</v>
      </c>
      <c r="Q797" s="9">
        <v>0.27555955532942861</v>
      </c>
      <c r="R797" s="9">
        <v>0.16161451844170316</v>
      </c>
      <c r="S797" s="9">
        <v>0.5208377618022878</v>
      </c>
      <c r="U797" s="9">
        <f t="array" ref="U797">MMULT(TRANSPOSE($B$3:$B$6),TRANSPOSE(P797:S797))</f>
        <v>0.10125996989282704</v>
      </c>
      <c r="V797" s="9">
        <f>INT(200*U797)/200</f>
        <v>0.1</v>
      </c>
      <c r="W797" s="9">
        <f t="array" ref="W797">SQRT(MMULT(MMULT(P797:S797,$K$3:$N$6),TRANSPOSE(P797:S797)))</f>
        <v>0.111538292068263</v>
      </c>
      <c r="Y797" s="31">
        <f>U797/W797</f>
        <v>0.90784938531114068</v>
      </c>
      <c r="AA797" s="9">
        <f t="shared" si="99"/>
        <v>0.24297535809241769</v>
      </c>
      <c r="AB797" s="9">
        <f t="shared" si="100"/>
        <v>0.14085084202082651</v>
      </c>
      <c r="AC797" s="9">
        <f t="shared" si="101"/>
        <v>0.30062936018046438</v>
      </c>
      <c r="AD797" s="9">
        <f t="shared" si="102"/>
        <v>0.31554443970629142</v>
      </c>
      <c r="AE797" s="9"/>
      <c r="AF797" s="9">
        <f t="shared" si="103"/>
        <v>0.54574837151301803</v>
      </c>
      <c r="AG797" s="9">
        <f t="shared" si="104"/>
        <v>0.4682089857641803</v>
      </c>
      <c r="AH797" s="9">
        <f t="shared" si="105"/>
        <v>0.36526589918065211</v>
      </c>
      <c r="AI797" s="9">
        <f t="shared" si="106"/>
        <v>0.36211831569969777</v>
      </c>
    </row>
    <row r="798" spans="16:35" x14ac:dyDescent="0.3">
      <c r="P798" s="9">
        <v>0.27436060204068208</v>
      </c>
      <c r="Q798" s="9">
        <v>0.1167322769599508</v>
      </c>
      <c r="R798" s="9">
        <v>0.26219174119165889</v>
      </c>
      <c r="S798" s="9">
        <v>0.34671537980770828</v>
      </c>
      <c r="U798" s="9">
        <f t="array" ref="U798">MMULT(TRANSPOSE($B$3:$B$6),TRANSPOSE(P798:S798))</f>
        <v>8.5921675422846192E-2</v>
      </c>
      <c r="V798" s="9">
        <f>INT(200*U798)/200</f>
        <v>8.5000000000000006E-2</v>
      </c>
      <c r="W798" s="9">
        <f t="array" ref="W798">SQRT(MMULT(MMULT(P798:S798,$K$3:$N$6),TRANSPOSE(P798:S798)))</f>
        <v>9.4647537767086662E-2</v>
      </c>
      <c r="Y798" s="31">
        <f>U798/W798</f>
        <v>0.90780676866931809</v>
      </c>
      <c r="AA798" s="9">
        <f t="shared" si="99"/>
        <v>0.23940191539594513</v>
      </c>
      <c r="AB798" s="9">
        <f t="shared" si="100"/>
        <v>0.14164065483156993</v>
      </c>
      <c r="AC798" s="9">
        <f t="shared" si="101"/>
        <v>0.30204645935268837</v>
      </c>
      <c r="AD798" s="9">
        <f t="shared" si="102"/>
        <v>0.31691097041979654</v>
      </c>
      <c r="AE798" s="9"/>
      <c r="AF798" s="9">
        <f t="shared" si="103"/>
        <v>0.5592102428115403</v>
      </c>
      <c r="AG798" s="9">
        <f t="shared" si="104"/>
        <v>0.46545661745319544</v>
      </c>
      <c r="AH798" s="9">
        <f t="shared" si="105"/>
        <v>0.36526417186788496</v>
      </c>
      <c r="AI798" s="9">
        <f t="shared" si="106"/>
        <v>0.36089483238513598</v>
      </c>
    </row>
    <row r="799" spans="16:35" x14ac:dyDescent="0.3">
      <c r="P799" s="9">
        <v>0.26612219903566525</v>
      </c>
      <c r="Q799" s="9">
        <v>0.20807706891632102</v>
      </c>
      <c r="R799" s="9">
        <v>3.2255068629659461E-2</v>
      </c>
      <c r="S799" s="9">
        <v>0.49354566341835426</v>
      </c>
      <c r="U799" s="9">
        <f t="array" ref="U799">MMULT(TRANSPOSE($B$3:$B$6),TRANSPOSE(P799:S799))</f>
        <v>8.9628685724966517E-2</v>
      </c>
      <c r="V799" s="9">
        <f>INT(200*U799)/200</f>
        <v>8.5000000000000006E-2</v>
      </c>
      <c r="W799" s="9">
        <f t="array" ref="W799">SQRT(MMULT(MMULT(P799:S799,$K$3:$N$6),TRANSPOSE(P799:S799)))</f>
        <v>9.8734494133916523E-2</v>
      </c>
      <c r="Y799" s="31">
        <f>U799/W799</f>
        <v>0.90777480060211246</v>
      </c>
      <c r="AA799" s="9">
        <f t="shared" si="99"/>
        <v>0.24337941634005167</v>
      </c>
      <c r="AB799" s="9">
        <f t="shared" si="100"/>
        <v>0.14242750755924274</v>
      </c>
      <c r="AC799" s="9">
        <f t="shared" si="101"/>
        <v>0.28743665352862768</v>
      </c>
      <c r="AD799" s="9">
        <f t="shared" si="102"/>
        <v>0.32675642257207793</v>
      </c>
      <c r="AE799" s="9"/>
      <c r="AF799" s="9">
        <f t="shared" si="103"/>
        <v>0.56814048769827274</v>
      </c>
      <c r="AG799" s="9">
        <f t="shared" si="104"/>
        <v>0.45914594962526356</v>
      </c>
      <c r="AH799" s="9">
        <f t="shared" si="105"/>
        <v>0.42326839585613035</v>
      </c>
      <c r="AI799" s="9">
        <f t="shared" si="106"/>
        <v>0.34577846781312321</v>
      </c>
    </row>
    <row r="800" spans="16:35" x14ac:dyDescent="0.3">
      <c r="P800" s="9">
        <v>0.43959532699624726</v>
      </c>
      <c r="Q800" s="9">
        <v>7.336931467713162E-2</v>
      </c>
      <c r="R800" s="9">
        <v>0.38510187161613008</v>
      </c>
      <c r="S800" s="9">
        <v>0.10193348671049093</v>
      </c>
      <c r="U800" s="9">
        <f t="array" ref="U800">MMULT(TRANSPOSE($B$3:$B$6),TRANSPOSE(P800:S800))</f>
        <v>7.6725583141760756E-2</v>
      </c>
      <c r="V800" s="9">
        <f>INT(200*U800)/200</f>
        <v>7.4999999999999997E-2</v>
      </c>
      <c r="W800" s="9">
        <f t="array" ref="W800">SQRT(MMULT(MMULT(P800:S800,$K$3:$N$6),TRANSPOSE(P800:S800)))</f>
        <v>8.4627858154278979E-2</v>
      </c>
      <c r="Y800" s="31">
        <f>U800/W800</f>
        <v>0.90662324221756685</v>
      </c>
      <c r="AA800" s="9">
        <f t="shared" si="99"/>
        <v>0.24017798850849448</v>
      </c>
      <c r="AB800" s="9">
        <f t="shared" si="100"/>
        <v>0.14302741555966469</v>
      </c>
      <c r="AC800" s="9">
        <f t="shared" si="101"/>
        <v>0.29388422508181428</v>
      </c>
      <c r="AD800" s="9">
        <f t="shared" si="102"/>
        <v>0.32291037085002655</v>
      </c>
      <c r="AE800" s="9"/>
      <c r="AF800" s="9">
        <f t="shared" si="103"/>
        <v>0.58708719028705658</v>
      </c>
      <c r="AG800" s="9">
        <f t="shared" si="104"/>
        <v>0.45865013108951586</v>
      </c>
      <c r="AH800" s="9">
        <f t="shared" si="105"/>
        <v>0.43737996831423509</v>
      </c>
      <c r="AI800" s="9">
        <f t="shared" si="106"/>
        <v>0.35373374153461956</v>
      </c>
    </row>
    <row r="801" spans="16:35" x14ac:dyDescent="0.3">
      <c r="P801" s="9">
        <v>0.34022342233645181</v>
      </c>
      <c r="Q801" s="9">
        <v>9.6821852586970375E-2</v>
      </c>
      <c r="R801" s="9">
        <v>0.21125334224904993</v>
      </c>
      <c r="S801" s="9">
        <v>0.35170138282752778</v>
      </c>
      <c r="U801" s="9">
        <f t="array" ref="U801">MMULT(TRANSPOSE($B$3:$B$6),TRANSPOSE(P801:S801))</f>
        <v>8.2548685900081756E-2</v>
      </c>
      <c r="V801" s="9">
        <f>INT(200*U801)/200</f>
        <v>0.08</v>
      </c>
      <c r="W801" s="9">
        <f t="array" ref="W801">SQRT(MMULT(MMULT(P801:S801,$K$3:$N$6),TRANSPOSE(P801:S801)))</f>
        <v>9.121730890358519E-2</v>
      </c>
      <c r="Y801" s="31">
        <f>U801/W801</f>
        <v>0.90496734547753444</v>
      </c>
      <c r="AA801" s="9">
        <f t="shared" si="99"/>
        <v>0.24030082908051723</v>
      </c>
      <c r="AB801" s="9">
        <f t="shared" si="100"/>
        <v>0.1422704273641083</v>
      </c>
      <c r="AC801" s="9">
        <f t="shared" si="101"/>
        <v>0.2961180525511275</v>
      </c>
      <c r="AD801" s="9">
        <f t="shared" si="102"/>
        <v>0.32131069100424692</v>
      </c>
      <c r="AE801" s="9"/>
      <c r="AF801" s="9">
        <f t="shared" si="103"/>
        <v>0.58693370996279215</v>
      </c>
      <c r="AG801" s="9">
        <f t="shared" si="104"/>
        <v>0.46423369580967211</v>
      </c>
      <c r="AH801" s="9">
        <f t="shared" si="105"/>
        <v>0.43576789723585824</v>
      </c>
      <c r="AI801" s="9">
        <f t="shared" si="106"/>
        <v>0.35681635114992122</v>
      </c>
    </row>
    <row r="802" spans="16:35" x14ac:dyDescent="0.3">
      <c r="P802" s="9">
        <v>0.23781173286962609</v>
      </c>
      <c r="Q802" s="9">
        <v>0.1324729747040134</v>
      </c>
      <c r="R802" s="9">
        <v>0.25038452297206992</v>
      </c>
      <c r="S802" s="9">
        <v>0.37933076945429056</v>
      </c>
      <c r="U802" s="9">
        <f t="array" ref="U802">MMULT(TRANSPOSE($B$3:$B$6),TRANSPOSE(P802:S802))</f>
        <v>8.806747681133259E-2</v>
      </c>
      <c r="V802" s="9">
        <f>INT(200*U802)/200</f>
        <v>8.5000000000000006E-2</v>
      </c>
      <c r="W802" s="9">
        <f t="array" ref="W802">SQRT(MMULT(MMULT(P802:S802,$K$3:$N$6),TRANSPOSE(P802:S802)))</f>
        <v>9.7413890853112112E-2</v>
      </c>
      <c r="Y802" s="31">
        <f>U802/W802</f>
        <v>0.90405460699775619</v>
      </c>
      <c r="AA802" s="9">
        <f t="shared" si="99"/>
        <v>0.25326483110524978</v>
      </c>
      <c r="AB802" s="9">
        <f t="shared" si="100"/>
        <v>0.13357165680496075</v>
      </c>
      <c r="AC802" s="9">
        <f t="shared" si="101"/>
        <v>0.30716133449917871</v>
      </c>
      <c r="AD802" s="9">
        <f t="shared" si="102"/>
        <v>0.30600217759061071</v>
      </c>
      <c r="AE802" s="9"/>
      <c r="AF802" s="9">
        <f t="shared" si="103"/>
        <v>0.55165712872465089</v>
      </c>
      <c r="AG802" s="9">
        <f t="shared" si="104"/>
        <v>0.46628091593769871</v>
      </c>
      <c r="AH802" s="9">
        <f t="shared" si="105"/>
        <v>0.40651929417919808</v>
      </c>
      <c r="AI802" s="9">
        <f t="shared" si="106"/>
        <v>0.35927997018956881</v>
      </c>
    </row>
    <row r="803" spans="16:35" x14ac:dyDescent="0.3">
      <c r="P803" s="9">
        <v>5.505275061681246E-2</v>
      </c>
      <c r="Q803" s="9">
        <v>0.19073046458109535</v>
      </c>
      <c r="R803" s="9">
        <v>0.50167263709960264</v>
      </c>
      <c r="S803" s="9">
        <v>0.25254414770248945</v>
      </c>
      <c r="U803" s="9">
        <f t="array" ref="U803">MMULT(TRANSPOSE($B$3:$B$6),TRANSPOSE(P803:S803))</f>
        <v>9.7108372946627289E-2</v>
      </c>
      <c r="V803" s="9">
        <f>INT(200*U803)/200</f>
        <v>9.5000000000000001E-2</v>
      </c>
      <c r="W803" s="9">
        <f t="array" ref="W803">SQRT(MMULT(MMULT(P803:S803,$K$3:$N$6),TRANSPOSE(P803:S803)))</f>
        <v>0.1075359740029361</v>
      </c>
      <c r="Y803" s="31">
        <f>U803/W803</f>
        <v>0.9030315096599757</v>
      </c>
      <c r="AA803" s="9">
        <f t="shared" si="99"/>
        <v>0.25149708610923527</v>
      </c>
      <c r="AB803" s="9">
        <f t="shared" si="100"/>
        <v>0.13371489878210308</v>
      </c>
      <c r="AC803" s="9">
        <f t="shared" si="101"/>
        <v>0.30941730269933182</v>
      </c>
      <c r="AD803" s="9">
        <f t="shared" si="102"/>
        <v>0.30537071240932984</v>
      </c>
      <c r="AE803" s="9"/>
      <c r="AF803" s="9">
        <f t="shared" si="103"/>
        <v>0.5540645867190318</v>
      </c>
      <c r="AG803" s="9">
        <f t="shared" si="104"/>
        <v>0.46522964529339583</v>
      </c>
      <c r="AH803" s="9">
        <f t="shared" si="105"/>
        <v>0.40771895622148102</v>
      </c>
      <c r="AI803" s="9">
        <f t="shared" si="106"/>
        <v>0.36131458126455918</v>
      </c>
    </row>
    <row r="804" spans="16:35" x14ac:dyDescent="0.3">
      <c r="P804" s="9">
        <v>0.38341043446170259</v>
      </c>
      <c r="Q804" s="9">
        <v>7.0221953442533375E-2</v>
      </c>
      <c r="R804" s="9">
        <v>0.35049246071375073</v>
      </c>
      <c r="S804" s="9">
        <v>0.19587515138201325</v>
      </c>
      <c r="U804" s="9">
        <f t="array" ref="U804">MMULT(TRANSPOSE($B$3:$B$6),TRANSPOSE(P804:S804))</f>
        <v>7.9338281840908326E-2</v>
      </c>
      <c r="V804" s="9">
        <f>INT(200*U804)/200</f>
        <v>7.4999999999999997E-2</v>
      </c>
      <c r="W804" s="9">
        <f t="array" ref="W804">SQRT(MMULT(MMULT(P804:S804,$K$3:$N$6),TRANSPOSE(P804:S804)))</f>
        <v>8.7901541210857109E-2</v>
      </c>
      <c r="Y804" s="31">
        <f>U804/W804</f>
        <v>0.90258123746195362</v>
      </c>
      <c r="AA804" s="9">
        <f t="shared" si="99"/>
        <v>0.2529672176106903</v>
      </c>
      <c r="AB804" s="9">
        <f t="shared" si="100"/>
        <v>0.13328031367660895</v>
      </c>
      <c r="AC804" s="9">
        <f t="shared" si="101"/>
        <v>0.30626088149440395</v>
      </c>
      <c r="AD804" s="9">
        <f t="shared" si="102"/>
        <v>0.30749158721829672</v>
      </c>
      <c r="AE804" s="9"/>
      <c r="AF804" s="9">
        <f t="shared" si="103"/>
        <v>0.5467507991138264</v>
      </c>
      <c r="AG804" s="9">
        <f t="shared" si="104"/>
        <v>0.46477673619739235</v>
      </c>
      <c r="AH804" s="9">
        <f t="shared" si="105"/>
        <v>0.41571190077623854</v>
      </c>
      <c r="AI804" s="9">
        <f t="shared" si="106"/>
        <v>0.36544445649283891</v>
      </c>
    </row>
    <row r="805" spans="16:35" x14ac:dyDescent="0.3">
      <c r="P805" s="9">
        <v>0.32864663890254897</v>
      </c>
      <c r="Q805" s="9">
        <v>8.6040593531121243E-2</v>
      </c>
      <c r="R805" s="9">
        <v>0.37477550467651483</v>
      </c>
      <c r="S805" s="9">
        <v>0.21053726288981495</v>
      </c>
      <c r="U805" s="9">
        <f t="array" ref="U805">MMULT(TRANSPOSE($B$3:$B$6),TRANSPOSE(P805:S805))</f>
        <v>8.2188637434099071E-2</v>
      </c>
      <c r="V805" s="9">
        <f>INT(200*U805)/200</f>
        <v>0.08</v>
      </c>
      <c r="W805" s="9">
        <f t="array" ref="W805">SQRT(MMULT(MMULT(P805:S805,$K$3:$N$6),TRANSPOSE(P805:S805)))</f>
        <v>9.1075508128554333E-2</v>
      </c>
      <c r="Y805" s="31">
        <f>U805/W805</f>
        <v>0.90242304570059251</v>
      </c>
      <c r="AA805" s="9">
        <f t="shared" si="99"/>
        <v>0.24307531754896491</v>
      </c>
      <c r="AB805" s="9">
        <f t="shared" si="100"/>
        <v>0.13646315122556082</v>
      </c>
      <c r="AC805" s="9">
        <f t="shared" si="101"/>
        <v>0.31198881691426766</v>
      </c>
      <c r="AD805" s="9">
        <f t="shared" si="102"/>
        <v>0.30847271431120654</v>
      </c>
      <c r="AE805" s="9"/>
      <c r="AF805" s="9">
        <f t="shared" si="103"/>
        <v>0.58071991412165835</v>
      </c>
      <c r="AG805" s="9">
        <f t="shared" si="104"/>
        <v>0.45192020055666521</v>
      </c>
      <c r="AH805" s="9">
        <f t="shared" si="105"/>
        <v>0.42047772565177027</v>
      </c>
      <c r="AI805" s="9">
        <f t="shared" si="106"/>
        <v>0.36309994201579537</v>
      </c>
    </row>
    <row r="806" spans="16:35" x14ac:dyDescent="0.3">
      <c r="P806" s="9">
        <v>0.38083017838985678</v>
      </c>
      <c r="Q806" s="9">
        <v>7.14767655381114E-2</v>
      </c>
      <c r="R806" s="9">
        <v>0.36232056937213514</v>
      </c>
      <c r="S806" s="9">
        <v>0.18537248669989664</v>
      </c>
      <c r="U806" s="9">
        <f t="array" ref="U806">MMULT(TRANSPOSE($B$3:$B$6),TRANSPOSE(P806:S806))</f>
        <v>7.944753791674411E-2</v>
      </c>
      <c r="V806" s="9">
        <f>INT(200*U806)/200</f>
        <v>7.4999999999999997E-2</v>
      </c>
      <c r="W806" s="9">
        <f t="array" ref="W806">SQRT(MMULT(MMULT(P806:S806,$K$3:$N$6),TRANSPOSE(P806:S806)))</f>
        <v>8.8102041476769324E-2</v>
      </c>
      <c r="Y806" s="31">
        <f>U806/W806</f>
        <v>0.90176727559363956</v>
      </c>
      <c r="AA806" s="9">
        <f t="shared" si="99"/>
        <v>0.23456213510099896</v>
      </c>
      <c r="AB806" s="9">
        <f t="shared" si="100"/>
        <v>0.13894191332305908</v>
      </c>
      <c r="AC806" s="9">
        <f t="shared" si="101"/>
        <v>0.3236133660657658</v>
      </c>
      <c r="AD806" s="9">
        <f t="shared" si="102"/>
        <v>0.30288258551017605</v>
      </c>
      <c r="AE806" s="9"/>
      <c r="AF806" s="9">
        <f t="shared" si="103"/>
        <v>0.57523033171189852</v>
      </c>
      <c r="AG806" s="9">
        <f t="shared" si="104"/>
        <v>0.43000248999741081</v>
      </c>
      <c r="AH806" s="9">
        <f t="shared" si="105"/>
        <v>0.41496449735732566</v>
      </c>
      <c r="AI806" s="9">
        <f t="shared" si="106"/>
        <v>0.38424039165312418</v>
      </c>
    </row>
    <row r="807" spans="16:35" x14ac:dyDescent="0.3">
      <c r="P807" s="9">
        <v>2.8943496693902764E-2</v>
      </c>
      <c r="Q807" s="9">
        <v>0.19957654540312977</v>
      </c>
      <c r="R807" s="9">
        <v>0.48580333943053816</v>
      </c>
      <c r="S807" s="9">
        <v>0.28567661847242942</v>
      </c>
      <c r="U807" s="9">
        <f t="array" ref="U807">MMULT(TRANSPOSE($B$3:$B$6),TRANSPOSE(P807:S807))</f>
        <v>9.8602927874588658E-2</v>
      </c>
      <c r="V807" s="9">
        <f>INT(200*U807)/200</f>
        <v>9.5000000000000001E-2</v>
      </c>
      <c r="W807" s="9">
        <f t="array" ref="W807">SQRT(MMULT(MMULT(P807:S807,$K$3:$N$6),TRANSPOSE(P807:S807)))</f>
        <v>0.10936463920238185</v>
      </c>
      <c r="Y807" s="31">
        <f>U807/W807</f>
        <v>0.90159788935180052</v>
      </c>
      <c r="AA807" s="9">
        <f t="shared" si="99"/>
        <v>0.25253922093788861</v>
      </c>
      <c r="AB807" s="9">
        <f t="shared" si="100"/>
        <v>0.1298457059383431</v>
      </c>
      <c r="AC807" s="9">
        <f t="shared" si="101"/>
        <v>0.32710033952183426</v>
      </c>
      <c r="AD807" s="9">
        <f t="shared" si="102"/>
        <v>0.29051473360193392</v>
      </c>
      <c r="AE807" s="9"/>
      <c r="AF807" s="9">
        <f t="shared" si="103"/>
        <v>0.52166630879862319</v>
      </c>
      <c r="AG807" s="9">
        <f t="shared" si="104"/>
        <v>0.43663397249700631</v>
      </c>
      <c r="AH807" s="9">
        <f t="shared" si="105"/>
        <v>0.40714273017846342</v>
      </c>
      <c r="AI807" s="9">
        <f t="shared" si="106"/>
        <v>0.38312066676857476</v>
      </c>
    </row>
    <row r="808" spans="16:35" x14ac:dyDescent="0.3">
      <c r="P808" s="9">
        <v>0.15847684577690407</v>
      </c>
      <c r="Q808" s="9">
        <v>0.14794463130429755</v>
      </c>
      <c r="R808" s="9">
        <v>0.35446853414302382</v>
      </c>
      <c r="S808" s="9">
        <v>0.33910998877577453</v>
      </c>
      <c r="U808" s="9">
        <f t="array" ref="U808">MMULT(TRANSPOSE($B$3:$B$6),TRANSPOSE(P808:S808))</f>
        <v>9.1742498090631702E-2</v>
      </c>
      <c r="V808" s="9">
        <f>INT(200*U808)/200</f>
        <v>0.09</v>
      </c>
      <c r="W808" s="9">
        <f t="array" ref="W808">SQRT(MMULT(MMULT(P808:S808,$K$3:$N$6),TRANSPOSE(P808:S808)))</f>
        <v>0.10182289032468482</v>
      </c>
      <c r="Y808" s="31">
        <f>U808/W808</f>
        <v>0.90100072584946711</v>
      </c>
      <c r="AA808" s="9">
        <f t="shared" si="99"/>
        <v>0.26382460297654425</v>
      </c>
      <c r="AB808" s="9">
        <f t="shared" si="100"/>
        <v>0.12233107605733998</v>
      </c>
      <c r="AC808" s="9">
        <f t="shared" si="101"/>
        <v>0.32945392052502387</v>
      </c>
      <c r="AD808" s="9">
        <f t="shared" si="102"/>
        <v>0.28439040044109198</v>
      </c>
      <c r="AE808" s="9"/>
      <c r="AF808" s="9">
        <f t="shared" si="103"/>
        <v>0.46485149387561364</v>
      </c>
      <c r="AG808" s="9">
        <f t="shared" si="104"/>
        <v>0.37466871182867212</v>
      </c>
      <c r="AH808" s="9">
        <f t="shared" si="105"/>
        <v>0.39615823745033513</v>
      </c>
      <c r="AI808" s="9">
        <f t="shared" si="106"/>
        <v>0.3553653643003894</v>
      </c>
    </row>
    <row r="809" spans="16:35" x14ac:dyDescent="0.3">
      <c r="P809" s="9">
        <v>0.4264403694788797</v>
      </c>
      <c r="Q809" s="9">
        <v>0.10797065580051253</v>
      </c>
      <c r="R809" s="9">
        <v>5.562129153275186E-2</v>
      </c>
      <c r="S809" s="9">
        <v>0.40996768318785587</v>
      </c>
      <c r="U809" s="9">
        <f t="array" ref="U809">MMULT(TRANSPOSE($B$3:$B$6),TRANSPOSE(P809:S809))</f>
        <v>7.947261934432083E-2</v>
      </c>
      <c r="V809" s="9">
        <f>INT(200*U809)/200</f>
        <v>7.4999999999999997E-2</v>
      </c>
      <c r="W809" s="9">
        <f t="array" ref="W809">SQRT(MMULT(MMULT(P809:S809,$K$3:$N$6),TRANSPOSE(P809:S809)))</f>
        <v>8.8333752570486285E-2</v>
      </c>
      <c r="Y809" s="31">
        <f>U809/W809</f>
        <v>0.89968576033159375</v>
      </c>
      <c r="AA809" s="9">
        <f t="shared" si="99"/>
        <v>0.26659338279900269</v>
      </c>
      <c r="AB809" s="9">
        <f t="shared" si="100"/>
        <v>0.12072379378029818</v>
      </c>
      <c r="AC809" s="9">
        <f t="shared" si="101"/>
        <v>0.33618685257443465</v>
      </c>
      <c r="AD809" s="9">
        <f t="shared" si="102"/>
        <v>0.27649597084626459</v>
      </c>
      <c r="AE809" s="9"/>
      <c r="AF809" s="9">
        <f t="shared" si="103"/>
        <v>0.46341004021393906</v>
      </c>
      <c r="AG809" s="9">
        <f t="shared" si="104"/>
        <v>0.3862102984509711</v>
      </c>
      <c r="AH809" s="9">
        <f t="shared" si="105"/>
        <v>0.38823505506738082</v>
      </c>
      <c r="AI809" s="9">
        <f t="shared" si="106"/>
        <v>0.37040881382754476</v>
      </c>
    </row>
    <row r="810" spans="16:35" x14ac:dyDescent="0.3">
      <c r="P810" s="9">
        <v>9.4685712707515204E-2</v>
      </c>
      <c r="Q810" s="9">
        <v>0.1702934670157821</v>
      </c>
      <c r="R810" s="9">
        <v>0.48542468217773604</v>
      </c>
      <c r="S810" s="9">
        <v>0.24959613809896675</v>
      </c>
      <c r="U810" s="9">
        <f t="array" ref="U810">MMULT(TRANSPOSE($B$3:$B$6),TRANSPOSE(P810:S810))</f>
        <v>9.4795511120654097E-2</v>
      </c>
      <c r="V810" s="9">
        <f>INT(200*U810)/200</f>
        <v>0.09</v>
      </c>
      <c r="W810" s="9">
        <f t="array" ref="W810">SQRT(MMULT(MMULT(P810:S810,$K$3:$N$6),TRANSPOSE(P810:S810)))</f>
        <v>0.10536575298223559</v>
      </c>
      <c r="Y810" s="31">
        <f>U810/W810</f>
        <v>0.89968047907023818</v>
      </c>
      <c r="AA810" s="9">
        <f t="shared" si="99"/>
        <v>0.29235630754231878</v>
      </c>
      <c r="AB810" s="9">
        <f t="shared" si="100"/>
        <v>0.11352994520463115</v>
      </c>
      <c r="AC810" s="9">
        <f t="shared" si="101"/>
        <v>0.3388809562837603</v>
      </c>
      <c r="AD810" s="9">
        <f t="shared" si="102"/>
        <v>0.25523279096928997</v>
      </c>
      <c r="AE810" s="9"/>
      <c r="AF810" s="9">
        <f t="shared" si="103"/>
        <v>0.5842466635288559</v>
      </c>
      <c r="AG810" s="9">
        <f t="shared" si="104"/>
        <v>0.38806278351933127</v>
      </c>
      <c r="AH810" s="9">
        <f t="shared" si="105"/>
        <v>0.36700607562319337</v>
      </c>
      <c r="AI810" s="9">
        <f t="shared" si="106"/>
        <v>0.39747593658366825</v>
      </c>
    </row>
    <row r="811" spans="16:35" x14ac:dyDescent="0.3">
      <c r="P811" s="9">
        <v>0.28005523178873487</v>
      </c>
      <c r="Q811" s="9">
        <v>9.7667806667423446E-2</v>
      </c>
      <c r="R811" s="9">
        <v>0.34589234674077146</v>
      </c>
      <c r="S811" s="9">
        <v>0.27638461480307025</v>
      </c>
      <c r="U811" s="9">
        <f t="array" ref="U811">MMULT(TRANSPOSE($B$3:$B$6),TRANSPOSE(P811:S811))</f>
        <v>8.483583027566316E-2</v>
      </c>
      <c r="V811" s="9">
        <f>INT(200*U811)/200</f>
        <v>0.08</v>
      </c>
      <c r="W811" s="9">
        <f t="array" ref="W811">SQRT(MMULT(MMULT(P811:S811,$K$3:$N$6),TRANSPOSE(P811:S811)))</f>
        <v>9.4320606992552E-2</v>
      </c>
      <c r="Y811" s="31">
        <f>U811/W811</f>
        <v>0.8994410975574213</v>
      </c>
      <c r="AA811" s="9">
        <f t="shared" si="99"/>
        <v>0.28874289432129502</v>
      </c>
      <c r="AB811" s="9">
        <f t="shared" si="100"/>
        <v>0.11337702019652698</v>
      </c>
      <c r="AC811" s="9">
        <f t="shared" si="101"/>
        <v>0.33818680657521449</v>
      </c>
      <c r="AD811" s="9">
        <f t="shared" si="102"/>
        <v>0.25969327890696359</v>
      </c>
      <c r="AE811" s="9"/>
      <c r="AF811" s="9">
        <f t="shared" si="103"/>
        <v>0.58294831697320015</v>
      </c>
      <c r="AG811" s="9">
        <f t="shared" si="104"/>
        <v>0.38992408006706619</v>
      </c>
      <c r="AH811" s="9">
        <f t="shared" si="105"/>
        <v>0.3670780873457089</v>
      </c>
      <c r="AI811" s="9">
        <f t="shared" si="106"/>
        <v>0.37082296175021517</v>
      </c>
    </row>
    <row r="812" spans="16:35" x14ac:dyDescent="0.3">
      <c r="P812" s="9">
        <v>0.36923740571508135</v>
      </c>
      <c r="Q812" s="9">
        <v>7.3031760050427899E-2</v>
      </c>
      <c r="R812" s="9">
        <v>0.37191989585514018</v>
      </c>
      <c r="S812" s="9">
        <v>0.18581093837935073</v>
      </c>
      <c r="U812" s="9">
        <f t="array" ref="U812">MMULT(TRANSPOSE($B$3:$B$6),TRANSPOSE(P812:S812))</f>
        <v>7.9985741982666586E-2</v>
      </c>
      <c r="V812" s="9">
        <f>INT(200*U812)/200</f>
        <v>7.4999999999999997E-2</v>
      </c>
      <c r="W812" s="9">
        <f t="array" ref="W812">SQRT(MMULT(MMULT(P812:S812,$K$3:$N$6),TRANSPOSE(P812:S812)))</f>
        <v>8.8933804123796159E-2</v>
      </c>
      <c r="Y812" s="31">
        <f>U812/W812</f>
        <v>0.8993851412374777</v>
      </c>
      <c r="AA812" s="9">
        <f t="shared" si="99"/>
        <v>0.27936856136368704</v>
      </c>
      <c r="AB812" s="9">
        <f t="shared" si="100"/>
        <v>0.11562712350277836</v>
      </c>
      <c r="AC812" s="9">
        <f t="shared" si="101"/>
        <v>0.34922293849486019</v>
      </c>
      <c r="AD812" s="9">
        <f t="shared" si="102"/>
        <v>0.25578137663867445</v>
      </c>
      <c r="AE812" s="9"/>
      <c r="AF812" s="9">
        <f t="shared" si="103"/>
        <v>0.61129184241896461</v>
      </c>
      <c r="AG812" s="9">
        <f t="shared" si="104"/>
        <v>0.38507451296936829</v>
      </c>
      <c r="AH812" s="9">
        <f t="shared" si="105"/>
        <v>0.35102012366935675</v>
      </c>
      <c r="AI812" s="9">
        <f t="shared" si="106"/>
        <v>0.36756894438667959</v>
      </c>
    </row>
    <row r="813" spans="16:35" x14ac:dyDescent="0.3">
      <c r="P813" s="9">
        <v>0.26161252459726753</v>
      </c>
      <c r="Q813" s="9">
        <v>0.10461350671451</v>
      </c>
      <c r="R813" s="9">
        <v>0.4002381902971533</v>
      </c>
      <c r="S813" s="9">
        <v>0.23353577839106926</v>
      </c>
      <c r="U813" s="9">
        <f t="array" ref="U813">MMULT(TRANSPOSE($B$3:$B$6),TRANSPOSE(P813:S813))</f>
        <v>8.5671620418995453E-2</v>
      </c>
      <c r="V813" s="9">
        <f>INT(200*U813)/200</f>
        <v>8.5000000000000006E-2</v>
      </c>
      <c r="W813" s="9">
        <f t="array" ref="W813">SQRT(MMULT(MMULT(P813:S813,$K$3:$N$6),TRANSPOSE(P813:S813)))</f>
        <v>9.5284529624920941E-2</v>
      </c>
      <c r="Y813" s="31">
        <f>U813/W813</f>
        <v>0.89911364159779295</v>
      </c>
      <c r="AA813" s="9">
        <f t="shared" si="99"/>
        <v>0.2705021096332979</v>
      </c>
      <c r="AB813" s="9">
        <f t="shared" si="100"/>
        <v>0.11845092182470485</v>
      </c>
      <c r="AC813" s="9">
        <f t="shared" si="101"/>
        <v>0.35462941302240347</v>
      </c>
      <c r="AD813" s="9">
        <f t="shared" si="102"/>
        <v>0.25641755551959389</v>
      </c>
      <c r="AE813" s="9"/>
      <c r="AF813" s="9">
        <f t="shared" si="103"/>
        <v>0.6570483846173355</v>
      </c>
      <c r="AG813" s="9">
        <f t="shared" si="104"/>
        <v>0.40043875904042225</v>
      </c>
      <c r="AH813" s="9">
        <f t="shared" si="105"/>
        <v>0.33977159411908575</v>
      </c>
      <c r="AI813" s="9">
        <f t="shared" si="106"/>
        <v>0.37023914191771579</v>
      </c>
    </row>
    <row r="814" spans="16:35" x14ac:dyDescent="0.3">
      <c r="P814" s="9">
        <v>0.17453128853604374</v>
      </c>
      <c r="Q814" s="9">
        <v>0.16465110259883367</v>
      </c>
      <c r="R814" s="9">
        <v>0.23030056851647704</v>
      </c>
      <c r="S814" s="9">
        <v>0.43051704034864557</v>
      </c>
      <c r="U814" s="9">
        <f t="array" ref="U814">MMULT(TRANSPOSE($B$3:$B$6),TRANSPOSE(P814:S814))</f>
        <v>9.1915735233082552E-2</v>
      </c>
      <c r="V814" s="9">
        <f>INT(200*U814)/200</f>
        <v>0.09</v>
      </c>
      <c r="W814" s="9">
        <f t="array" ref="W814">SQRT(MMULT(MMULT(P814:S814,$K$3:$N$6),TRANSPOSE(P814:S814)))</f>
        <v>0.10224487989094549</v>
      </c>
      <c r="Y814" s="31">
        <f>U814/W814</f>
        <v>0.89897641164154118</v>
      </c>
      <c r="AA814" s="9">
        <f t="shared" si="99"/>
        <v>0.2854058476563992</v>
      </c>
      <c r="AB814" s="9">
        <f t="shared" si="100"/>
        <v>0.11243654061100981</v>
      </c>
      <c r="AC814" s="9">
        <f t="shared" si="101"/>
        <v>0.3447731931383089</v>
      </c>
      <c r="AD814" s="9">
        <f t="shared" si="102"/>
        <v>0.25738441859428218</v>
      </c>
      <c r="AE814" s="9"/>
      <c r="AF814" s="9">
        <f t="shared" si="103"/>
        <v>0.6019010591605497</v>
      </c>
      <c r="AG814" s="9">
        <f t="shared" si="104"/>
        <v>0.4072350554889913</v>
      </c>
      <c r="AH814" s="9">
        <f t="shared" si="105"/>
        <v>0.3371911295031631</v>
      </c>
      <c r="AI814" s="9">
        <f t="shared" si="106"/>
        <v>0.36908903757761613</v>
      </c>
    </row>
    <row r="815" spans="16:35" x14ac:dyDescent="0.3">
      <c r="P815" s="9">
        <v>0.1058321138362093</v>
      </c>
      <c r="Q815" s="9">
        <v>0.1632030691732784</v>
      </c>
      <c r="R815" s="9">
        <v>0.45239416605003058</v>
      </c>
      <c r="S815" s="9">
        <v>0.27857065094048167</v>
      </c>
      <c r="U815" s="9">
        <f t="array" ref="U815">MMULT(TRANSPOSE($B$3:$B$6),TRANSPOSE(P815:S815))</f>
        <v>9.4212145479003875E-2</v>
      </c>
      <c r="V815" s="9">
        <f>INT(200*U815)/200</f>
        <v>0.09</v>
      </c>
      <c r="W815" s="9">
        <f t="array" ref="W815">SQRT(MMULT(MMULT(P815:S815,$K$3:$N$6),TRANSPOSE(P815:S815)))</f>
        <v>0.10485172970500957</v>
      </c>
      <c r="Y815" s="31">
        <f>U815/W815</f>
        <v>0.89852733706979215</v>
      </c>
      <c r="AA815" s="9">
        <f t="shared" si="99"/>
        <v>0.28001967446225445</v>
      </c>
      <c r="AB815" s="9">
        <f t="shared" si="100"/>
        <v>0.11363622279558674</v>
      </c>
      <c r="AC815" s="9">
        <f t="shared" si="101"/>
        <v>0.34701176967026598</v>
      </c>
      <c r="AD815" s="9">
        <f t="shared" si="102"/>
        <v>0.2593323330718928</v>
      </c>
      <c r="AE815" s="9"/>
      <c r="AF815" s="9">
        <f t="shared" si="103"/>
        <v>0.6082666403827881</v>
      </c>
      <c r="AG815" s="9">
        <f t="shared" si="104"/>
        <v>0.39555256908929887</v>
      </c>
      <c r="AH815" s="9">
        <f t="shared" si="105"/>
        <v>0.33664946181961924</v>
      </c>
      <c r="AI815" s="9">
        <f t="shared" si="106"/>
        <v>0.36281053952599918</v>
      </c>
    </row>
    <row r="816" spans="16:35" x14ac:dyDescent="0.3">
      <c r="P816" s="9">
        <v>0.24566247595767859</v>
      </c>
      <c r="Q816" s="9">
        <v>0.11882695606900062</v>
      </c>
      <c r="R816" s="9">
        <v>0.47361128838888789</v>
      </c>
      <c r="S816" s="9">
        <v>0.16189927958443276</v>
      </c>
      <c r="U816" s="9">
        <f t="array" ref="U816">MMULT(TRANSPOSE($B$3:$B$6),TRANSPOSE(P816:S816))</f>
        <v>8.6522190481433156E-2</v>
      </c>
      <c r="V816" s="9">
        <f>INT(200*U816)/200</f>
        <v>8.5000000000000006E-2</v>
      </c>
      <c r="W816" s="9">
        <f t="array" ref="W816">SQRT(MMULT(MMULT(P816:S816,$K$3:$N$6),TRANSPOSE(P816:S816)))</f>
        <v>9.6329133447891027E-2</v>
      </c>
      <c r="Y816" s="31">
        <f>U816/W816</f>
        <v>0.89819338537117732</v>
      </c>
      <c r="AA816" s="9">
        <f t="shared" si="99"/>
        <v>0.26717018370156531</v>
      </c>
      <c r="AB816" s="9">
        <f t="shared" si="100"/>
        <v>0.11918909762648232</v>
      </c>
      <c r="AC816" s="9">
        <f t="shared" si="101"/>
        <v>0.35899019984935088</v>
      </c>
      <c r="AD816" s="9">
        <f t="shared" si="102"/>
        <v>0.25465051882260165</v>
      </c>
      <c r="AE816" s="9"/>
      <c r="AF816" s="9">
        <f t="shared" si="103"/>
        <v>0.66077668278431545</v>
      </c>
      <c r="AG816" s="9">
        <f t="shared" si="104"/>
        <v>0.40638851163583156</v>
      </c>
      <c r="AH816" s="9">
        <f t="shared" si="105"/>
        <v>0.36700892133337959</v>
      </c>
      <c r="AI816" s="9">
        <f t="shared" si="106"/>
        <v>0.3886034065091023</v>
      </c>
    </row>
    <row r="817" spans="16:35" x14ac:dyDescent="0.3">
      <c r="P817" s="9">
        <v>0.40980472453126959</v>
      </c>
      <c r="Q817" s="9">
        <v>5.7477503641331681E-2</v>
      </c>
      <c r="R817" s="9">
        <v>0.32137058986373557</v>
      </c>
      <c r="S817" s="9">
        <v>0.21134718196366314</v>
      </c>
      <c r="U817" s="9">
        <f t="array" ref="U817">MMULT(TRANSPOSE($B$3:$B$6),TRANSPOSE(P817:S817))</f>
        <v>7.7888313951118365E-2</v>
      </c>
      <c r="V817" s="9">
        <f>INT(200*U817)/200</f>
        <v>7.4999999999999997E-2</v>
      </c>
      <c r="W817" s="9">
        <f t="array" ref="W817">SQRT(MMULT(MMULT(P817:S817,$K$3:$N$6),TRANSPOSE(P817:S817)))</f>
        <v>8.6739019575287832E-2</v>
      </c>
      <c r="Y817" s="31">
        <f>U817/W817</f>
        <v>0.89796165938344252</v>
      </c>
      <c r="AA817" s="9">
        <f t="shared" si="99"/>
        <v>0.27738515733356578</v>
      </c>
      <c r="AB817" s="9">
        <f t="shared" si="100"/>
        <v>0.11668001045595888</v>
      </c>
      <c r="AC817" s="9">
        <f t="shared" si="101"/>
        <v>0.34951270864737694</v>
      </c>
      <c r="AD817" s="9">
        <f t="shared" si="102"/>
        <v>0.25642212356309846</v>
      </c>
      <c r="AE817" s="9"/>
      <c r="AF817" s="9">
        <f t="shared" si="103"/>
        <v>0.68207551809612321</v>
      </c>
      <c r="AG817" s="9">
        <f t="shared" si="104"/>
        <v>0.44778085628966519</v>
      </c>
      <c r="AH817" s="9">
        <f t="shared" si="105"/>
        <v>0.39622979051759966</v>
      </c>
      <c r="AI817" s="9">
        <f t="shared" si="106"/>
        <v>0.38211998526976482</v>
      </c>
    </row>
    <row r="818" spans="16:35" x14ac:dyDescent="0.3">
      <c r="P818" s="9">
        <v>0.2789811872383483</v>
      </c>
      <c r="Q818" s="9">
        <v>0.11775232782836284</v>
      </c>
      <c r="R818" s="9">
        <v>0.21103971950868386</v>
      </c>
      <c r="S818" s="9">
        <v>0.392226765424605</v>
      </c>
      <c r="U818" s="9">
        <f t="array" ref="U818">MMULT(TRANSPOSE($B$3:$B$6),TRANSPOSE(P818:S818))</f>
        <v>8.5924382749303585E-2</v>
      </c>
      <c r="V818" s="9">
        <f>INT(200*U818)/200</f>
        <v>8.5000000000000006E-2</v>
      </c>
      <c r="W818" s="9">
        <f t="array" ref="W818">SQRT(MMULT(MMULT(P818:S818,$K$3:$N$6),TRANSPOSE(P818:S818)))</f>
        <v>9.5700937351590853E-2</v>
      </c>
      <c r="Y818" s="31">
        <f>U818/W818</f>
        <v>0.89784264529855462</v>
      </c>
      <c r="AA818" s="9">
        <f t="shared" si="99"/>
        <v>0.29574715114693095</v>
      </c>
      <c r="AB818" s="9">
        <f t="shared" si="100"/>
        <v>0.11070127783659325</v>
      </c>
      <c r="AC818" s="9">
        <f t="shared" si="101"/>
        <v>0.3467415694148081</v>
      </c>
      <c r="AD818" s="9">
        <f t="shared" si="102"/>
        <v>0.24681000160166772</v>
      </c>
      <c r="AE818" s="9"/>
      <c r="AF818" s="9">
        <f t="shared" si="103"/>
        <v>0.61698810159290207</v>
      </c>
      <c r="AG818" s="9">
        <f t="shared" si="104"/>
        <v>0.44617766584733187</v>
      </c>
      <c r="AH818" s="9">
        <f t="shared" si="105"/>
        <v>0.3927620539870349</v>
      </c>
      <c r="AI818" s="9">
        <f t="shared" si="106"/>
        <v>0.42399063595404368</v>
      </c>
    </row>
    <row r="819" spans="16:35" x14ac:dyDescent="0.3">
      <c r="P819" s="9">
        <v>0.33250497831230952</v>
      </c>
      <c r="Q819" s="9">
        <v>8.2979349142073222E-2</v>
      </c>
      <c r="R819" s="9">
        <v>0.4035833142292844</v>
      </c>
      <c r="S819" s="9">
        <v>0.18093235831633292</v>
      </c>
      <c r="U819" s="9">
        <f t="array" ref="U819">MMULT(TRANSPOSE($B$3:$B$6),TRANSPOSE(P819:S819))</f>
        <v>8.1823481439370627E-2</v>
      </c>
      <c r="V819" s="9">
        <f>INT(200*U819)/200</f>
        <v>0.08</v>
      </c>
      <c r="W819" s="9">
        <f t="array" ref="W819">SQRT(MMULT(MMULT(P819:S819,$K$3:$N$6),TRANSPOSE(P819:S819)))</f>
        <v>9.1292125002691113E-2</v>
      </c>
      <c r="Y819" s="31">
        <f>U819/W819</f>
        <v>0.89628192395520023</v>
      </c>
      <c r="AA819" s="9">
        <f t="shared" si="99"/>
        <v>0.29013731762129447</v>
      </c>
      <c r="AB819" s="9">
        <f t="shared" si="100"/>
        <v>0.11271044662620869</v>
      </c>
      <c r="AC819" s="9">
        <f t="shared" si="101"/>
        <v>0.34798738928672474</v>
      </c>
      <c r="AD819" s="9">
        <f t="shared" si="102"/>
        <v>0.24916484646577211</v>
      </c>
      <c r="AE819" s="9"/>
      <c r="AF819" s="9">
        <f t="shared" si="103"/>
        <v>0.65007587933356115</v>
      </c>
      <c r="AG819" s="9">
        <f t="shared" si="104"/>
        <v>0.45943774992644432</v>
      </c>
      <c r="AH819" s="9">
        <f t="shared" si="105"/>
        <v>0.39191269893525466</v>
      </c>
      <c r="AI819" s="9">
        <f t="shared" si="106"/>
        <v>0.43082938522858349</v>
      </c>
    </row>
    <row r="820" spans="16:35" x14ac:dyDescent="0.3">
      <c r="P820" s="9">
        <v>0.80714361864530293</v>
      </c>
      <c r="Q820" s="9">
        <v>5.7006248827313234E-2</v>
      </c>
      <c r="R820" s="9">
        <v>8.8831246525497384E-2</v>
      </c>
      <c r="S820" s="9">
        <v>4.7018886001886404E-2</v>
      </c>
      <c r="U820" s="9">
        <f t="array" ref="U820">MMULT(TRANSPOSE($B$3:$B$6),TRANSPOSE(P820:S820))</f>
        <v>6.0530920278577274E-2</v>
      </c>
      <c r="V820" s="9">
        <f>INT(200*U820)/200</f>
        <v>0.06</v>
      </c>
      <c r="W820" s="9">
        <f t="array" ref="W820">SQRT(MMULT(MMULT(P820:S820,$K$3:$N$6),TRANSPOSE(P820:S820)))</f>
        <v>6.7536427125644977E-2</v>
      </c>
      <c r="Y820" s="31">
        <f>U820/W820</f>
        <v>0.89627069205134824</v>
      </c>
      <c r="AA820" s="9">
        <f t="shared" si="99"/>
        <v>0.2912251019077961</v>
      </c>
      <c r="AB820" s="9">
        <f t="shared" si="100"/>
        <v>0.11131120567817818</v>
      </c>
      <c r="AC820" s="9">
        <f t="shared" si="101"/>
        <v>0.36627386390983302</v>
      </c>
      <c r="AD820" s="9">
        <f t="shared" si="102"/>
        <v>0.23118982850419265</v>
      </c>
      <c r="AE820" s="9"/>
      <c r="AF820" s="9">
        <f t="shared" si="103"/>
        <v>0.65070098067267101</v>
      </c>
      <c r="AG820" s="9">
        <f t="shared" si="104"/>
        <v>0.46996351529173941</v>
      </c>
      <c r="AH820" s="9">
        <f t="shared" si="105"/>
        <v>0.32756297771496462</v>
      </c>
      <c r="AI820" s="9">
        <f t="shared" si="106"/>
        <v>0.47851889166586331</v>
      </c>
    </row>
    <row r="821" spans="16:35" x14ac:dyDescent="0.3">
      <c r="P821" s="9">
        <v>0.36371364935474998</v>
      </c>
      <c r="Q821" s="9">
        <v>7.0157889506943891E-2</v>
      </c>
      <c r="R821" s="9">
        <v>0.37052472773666845</v>
      </c>
      <c r="S821" s="9">
        <v>0.19560373340163784</v>
      </c>
      <c r="U821" s="9">
        <f t="array" ref="U821">MMULT(TRANSPOSE($B$3:$B$6),TRANSPOSE(P821:S821))</f>
        <v>8.016533559752477E-2</v>
      </c>
      <c r="V821" s="9">
        <f>INT(200*U821)/200</f>
        <v>0.08</v>
      </c>
      <c r="W821" s="9">
        <f t="array" ref="W821">SQRT(MMULT(MMULT(P821:S821,$K$3:$N$6),TRANSPOSE(P821:S821)))</f>
        <v>8.9544761616949756E-2</v>
      </c>
      <c r="Y821" s="31">
        <f>U821/W821</f>
        <v>0.89525433034767754</v>
      </c>
      <c r="AA821" s="9">
        <f t="shared" si="99"/>
        <v>0.28708682469558261</v>
      </c>
      <c r="AB821" s="9">
        <f t="shared" si="100"/>
        <v>0.12025670192264622</v>
      </c>
      <c r="AC821" s="9">
        <f t="shared" si="101"/>
        <v>0.34394923378082209</v>
      </c>
      <c r="AD821" s="9">
        <f t="shared" si="102"/>
        <v>0.24870723960094909</v>
      </c>
      <c r="AE821" s="9"/>
      <c r="AF821" s="9">
        <f t="shared" si="103"/>
        <v>0.67881763825570152</v>
      </c>
      <c r="AG821" s="9">
        <f t="shared" si="104"/>
        <v>0.61809957708124641</v>
      </c>
      <c r="AH821" s="9">
        <f t="shared" si="105"/>
        <v>0.40364634209591876</v>
      </c>
      <c r="AI821" s="9">
        <f t="shared" si="106"/>
        <v>0.55945191664073746</v>
      </c>
    </row>
    <row r="822" spans="16:35" x14ac:dyDescent="0.3">
      <c r="P822" s="9">
        <v>0.14336243022668424</v>
      </c>
      <c r="Q822" s="9">
        <v>0.14407402201824973</v>
      </c>
      <c r="R822" s="9">
        <v>0.44301211256161049</v>
      </c>
      <c r="S822" s="9">
        <v>0.26955143519345554</v>
      </c>
      <c r="U822" s="9">
        <f t="array" ref="U822">MMULT(TRANSPOSE($B$3:$B$6),TRANSPOSE(P822:S822))</f>
        <v>9.2006207780668592E-2</v>
      </c>
      <c r="V822" s="9">
        <f>INT(200*U822)/200</f>
        <v>0.09</v>
      </c>
      <c r="W822" s="9">
        <f t="array" ref="W822">SQRT(MMULT(MMULT(P822:S822,$K$3:$N$6),TRANSPOSE(P822:S822)))</f>
        <v>0.10284005738414159</v>
      </c>
      <c r="Y822" s="31">
        <f>U822/W822</f>
        <v>0.89465340764051704</v>
      </c>
      <c r="AA822" s="9">
        <f t="shared" si="99"/>
        <v>0.28824726254510641</v>
      </c>
      <c r="AB822" s="9">
        <f t="shared" si="100"/>
        <v>0.1198506604056097</v>
      </c>
      <c r="AC822" s="9">
        <f t="shared" si="101"/>
        <v>0.33932986666614984</v>
      </c>
      <c r="AD822" s="9">
        <f t="shared" si="102"/>
        <v>0.2525722103831341</v>
      </c>
      <c r="AE822" s="9"/>
      <c r="AF822" s="9">
        <f t="shared" si="103"/>
        <v>0.67618400692688696</v>
      </c>
      <c r="AG822" s="9">
        <f t="shared" si="104"/>
        <v>0.62146769919183065</v>
      </c>
      <c r="AH822" s="9">
        <f t="shared" si="105"/>
        <v>0.4136720640975125</v>
      </c>
      <c r="AI822" s="9">
        <f t="shared" si="106"/>
        <v>0.55849773014685533</v>
      </c>
    </row>
    <row r="823" spans="16:35" x14ac:dyDescent="0.3">
      <c r="P823" s="9">
        <v>5.1616246531453427E-2</v>
      </c>
      <c r="Q823" s="9">
        <v>0.1917727394644696</v>
      </c>
      <c r="R823" s="9">
        <v>0.36392048805047872</v>
      </c>
      <c r="S823" s="9">
        <v>0.39269052595359832</v>
      </c>
      <c r="U823" s="9">
        <f t="array" ref="U823">MMULT(TRANSPOSE($B$3:$B$6),TRANSPOSE(P823:S823))</f>
        <v>9.7796210837988742E-2</v>
      </c>
      <c r="V823" s="9">
        <f>INT(200*U823)/200</f>
        <v>9.5000000000000001E-2</v>
      </c>
      <c r="W823" s="9">
        <f t="array" ref="W823">SQRT(MMULT(MMULT(P823:S823,$K$3:$N$6),TRANSPOSE(P823:S823)))</f>
        <v>0.10931376062347334</v>
      </c>
      <c r="Y823" s="31">
        <f>U823/W823</f>
        <v>0.89463769501850443</v>
      </c>
      <c r="AA823" s="9">
        <f t="shared" si="99"/>
        <v>0.28452912498661243</v>
      </c>
      <c r="AB823" s="9">
        <f t="shared" si="100"/>
        <v>0.12033355201136293</v>
      </c>
      <c r="AC823" s="9">
        <f t="shared" si="101"/>
        <v>0.33782934716925356</v>
      </c>
      <c r="AD823" s="9">
        <f t="shared" si="102"/>
        <v>0.25730797583277121</v>
      </c>
      <c r="AE823" s="9"/>
      <c r="AF823" s="9">
        <f t="shared" si="103"/>
        <v>0.68192916146182658</v>
      </c>
      <c r="AG823" s="9">
        <f t="shared" si="104"/>
        <v>0.61659379760115918</v>
      </c>
      <c r="AH823" s="9">
        <f t="shared" si="105"/>
        <v>0.41492479595501724</v>
      </c>
      <c r="AI823" s="9">
        <f t="shared" si="106"/>
        <v>0.54555378905420404</v>
      </c>
    </row>
    <row r="824" spans="16:35" x14ac:dyDescent="0.3">
      <c r="P824" s="9">
        <v>0.36803124910194046</v>
      </c>
      <c r="Q824" s="9">
        <v>6.4428459093499618E-2</v>
      </c>
      <c r="R824" s="9">
        <v>0.29469201953361668</v>
      </c>
      <c r="S824" s="9">
        <v>0.27284827227094327</v>
      </c>
      <c r="U824" s="9">
        <f t="array" ref="U824">MMULT(TRANSPOSE($B$3:$B$6),TRANSPOSE(P824:S824))</f>
        <v>8.008775206331406E-2</v>
      </c>
      <c r="V824" s="9">
        <f>INT(200*U824)/200</f>
        <v>0.08</v>
      </c>
      <c r="W824" s="9">
        <f t="array" ref="W824">SQRT(MMULT(MMULT(P824:S824,$K$3:$N$6),TRANSPOSE(P824:S824)))</f>
        <v>8.9664376059835751E-2</v>
      </c>
      <c r="Y824" s="31">
        <f>U824/W824</f>
        <v>0.89319477347245557</v>
      </c>
      <c r="AA824" s="9">
        <f t="shared" si="99"/>
        <v>0.29103723986274099</v>
      </c>
      <c r="AB824" s="9">
        <f t="shared" si="100"/>
        <v>0.11859139876633636</v>
      </c>
      <c r="AC824" s="9">
        <f t="shared" si="101"/>
        <v>0.32682743988544427</v>
      </c>
      <c r="AD824" s="9">
        <f t="shared" si="102"/>
        <v>0.26354392148547845</v>
      </c>
      <c r="AE824" s="9"/>
      <c r="AF824" s="9">
        <f t="shared" si="103"/>
        <v>0.67176305829827399</v>
      </c>
      <c r="AG824" s="9">
        <f t="shared" si="104"/>
        <v>0.6325041229873416</v>
      </c>
      <c r="AH824" s="9">
        <f t="shared" si="105"/>
        <v>0.44073410407030927</v>
      </c>
      <c r="AI824" s="9">
        <f t="shared" si="106"/>
        <v>0.53943127146184267</v>
      </c>
    </row>
    <row r="825" spans="16:35" x14ac:dyDescent="0.3">
      <c r="P825" s="9">
        <v>0.27030079738466278</v>
      </c>
      <c r="Q825" s="9">
        <v>9.5415279318649168E-2</v>
      </c>
      <c r="R825" s="9">
        <v>0.39750256788484956</v>
      </c>
      <c r="S825" s="9">
        <v>0.23678135541183853</v>
      </c>
      <c r="U825" s="9">
        <f t="array" ref="U825">MMULT(TRANSPOSE($B$3:$B$6),TRANSPOSE(P825:S825))</f>
        <v>8.503288481492427E-2</v>
      </c>
      <c r="V825" s="9">
        <f>INT(200*U825)/200</f>
        <v>8.5000000000000006E-2</v>
      </c>
      <c r="W825" s="9">
        <f t="array" ref="W825">SQRT(MMULT(MMULT(P825:S825,$K$3:$N$6),TRANSPOSE(P825:S825)))</f>
        <v>9.5264400091684992E-2</v>
      </c>
      <c r="Y825" s="31">
        <f>U825/W825</f>
        <v>0.89259875392157362</v>
      </c>
      <c r="AA825" s="9">
        <f t="shared" si="99"/>
        <v>0.29173660489424408</v>
      </c>
      <c r="AB825" s="9">
        <f t="shared" si="100"/>
        <v>0.11696671191740708</v>
      </c>
      <c r="AC825" s="9">
        <f t="shared" si="101"/>
        <v>0.32954262285699998</v>
      </c>
      <c r="AD825" s="9">
        <f t="shared" si="102"/>
        <v>0.26175406033134907</v>
      </c>
      <c r="AE825" s="9"/>
      <c r="AF825" s="9">
        <f t="shared" si="103"/>
        <v>0.66874124962860171</v>
      </c>
      <c r="AG825" s="9">
        <f t="shared" si="104"/>
        <v>0.63546653626330574</v>
      </c>
      <c r="AH825" s="9">
        <f t="shared" si="105"/>
        <v>0.43291610692757931</v>
      </c>
      <c r="AI825" s="9">
        <f t="shared" si="106"/>
        <v>0.53553809143222209</v>
      </c>
    </row>
    <row r="826" spans="16:35" x14ac:dyDescent="0.3">
      <c r="P826" s="9">
        <v>5.8807332928075814E-2</v>
      </c>
      <c r="Q826" s="9">
        <v>0.20265096497992832</v>
      </c>
      <c r="R826" s="9">
        <v>0.62632253843729668</v>
      </c>
      <c r="S826" s="9">
        <v>0.11221916365469926</v>
      </c>
      <c r="U826" s="9">
        <f t="array" ref="U826">MMULT(TRANSPOSE($B$3:$B$6),TRANSPOSE(P826:S826))</f>
        <v>9.6807333084860919E-2</v>
      </c>
      <c r="V826" s="9">
        <f>INT(200*U826)/200</f>
        <v>9.5000000000000001E-2</v>
      </c>
      <c r="W826" s="9">
        <f t="array" ref="W826">SQRT(MMULT(MMULT(P826:S826,$K$3:$N$6),TRANSPOSE(P826:S826)))</f>
        <v>0.10847594892662969</v>
      </c>
      <c r="Y826" s="31">
        <f>U826/W826</f>
        <v>0.89243130890091482</v>
      </c>
      <c r="AA826" s="9">
        <f t="shared" si="99"/>
        <v>0.30093946662331894</v>
      </c>
      <c r="AB826" s="9">
        <f t="shared" si="100"/>
        <v>0.11440360411013684</v>
      </c>
      <c r="AC826" s="9">
        <f t="shared" si="101"/>
        <v>0.31618304915377998</v>
      </c>
      <c r="AD826" s="9">
        <f t="shared" si="102"/>
        <v>0.2684738801127643</v>
      </c>
      <c r="AE826" s="9"/>
      <c r="AF826" s="9">
        <f t="shared" si="103"/>
        <v>0.63265187583985805</v>
      </c>
      <c r="AG826" s="9">
        <f t="shared" si="104"/>
        <v>0.64314913180800681</v>
      </c>
      <c r="AH826" s="9">
        <f t="shared" si="105"/>
        <v>0.4545368773138429</v>
      </c>
      <c r="AI826" s="9">
        <f t="shared" si="106"/>
        <v>0.53765437231549396</v>
      </c>
    </row>
    <row r="827" spans="16:35" x14ac:dyDescent="0.3">
      <c r="P827" s="9">
        <v>0.59534462466186666</v>
      </c>
      <c r="Q827" s="9">
        <v>1.878593495711909E-2</v>
      </c>
      <c r="R827" s="9">
        <v>0.16329325413068299</v>
      </c>
      <c r="S827" s="9">
        <v>0.22257618625033124</v>
      </c>
      <c r="U827" s="9">
        <f t="array" ref="U827">MMULT(TRANSPOSE($B$3:$B$6),TRANSPOSE(P827:S827))</f>
        <v>6.8914100336736367E-2</v>
      </c>
      <c r="V827" s="9">
        <f>INT(200*U827)/200</f>
        <v>6.5000000000000002E-2</v>
      </c>
      <c r="W827" s="9">
        <f t="array" ref="W827">SQRT(MMULT(MMULT(P827:S827,$K$3:$N$6),TRANSPOSE(P827:S827)))</f>
        <v>7.7273008430439313E-2</v>
      </c>
      <c r="Y827" s="31">
        <f>U827/W827</f>
        <v>0.89182628884926118</v>
      </c>
      <c r="AA827" s="9">
        <f t="shared" si="99"/>
        <v>0.2998666836960443</v>
      </c>
      <c r="AB827" s="9">
        <f t="shared" si="100"/>
        <v>0.11382661059739017</v>
      </c>
      <c r="AC827" s="9">
        <f t="shared" si="101"/>
        <v>0.30990960794994249</v>
      </c>
      <c r="AD827" s="9">
        <f t="shared" si="102"/>
        <v>0.27639709775662308</v>
      </c>
      <c r="AE827" s="9"/>
      <c r="AF827" s="9">
        <f t="shared" si="103"/>
        <v>0.63621615671855802</v>
      </c>
      <c r="AG827" s="9">
        <f t="shared" si="104"/>
        <v>0.64650669251841542</v>
      </c>
      <c r="AH827" s="9">
        <f t="shared" si="105"/>
        <v>0.44951516657528806</v>
      </c>
      <c r="AI827" s="9">
        <f t="shared" si="106"/>
        <v>0.51650896813047409</v>
      </c>
    </row>
    <row r="828" spans="16:35" x14ac:dyDescent="0.3">
      <c r="P828" s="9">
        <v>0.41454536677457193</v>
      </c>
      <c r="Q828" s="9">
        <v>7.402316039645189E-2</v>
      </c>
      <c r="R828" s="9">
        <v>0.42760941554659204</v>
      </c>
      <c r="S828" s="9">
        <v>8.3822057282384024E-2</v>
      </c>
      <c r="U828" s="9">
        <f t="array" ref="U828">MMULT(TRANSPOSE($B$3:$B$6),TRANSPOSE(P828:S828))</f>
        <v>7.7735398672441003E-2</v>
      </c>
      <c r="V828" s="9">
        <f>INT(200*U828)/200</f>
        <v>7.4999999999999997E-2</v>
      </c>
      <c r="W828" s="9">
        <f t="array" ref="W828">SQRT(MMULT(MMULT(P828:S828,$K$3:$N$6),TRANSPOSE(P828:S828)))</f>
        <v>8.7207384475586611E-2</v>
      </c>
      <c r="Y828" s="31">
        <f>U828/W828</f>
        <v>0.89138550754498025</v>
      </c>
      <c r="AA828" s="9">
        <f t="shared" si="99"/>
        <v>0.29700343296887144</v>
      </c>
      <c r="AB828" s="9">
        <f t="shared" si="100"/>
        <v>0.11503316412267595</v>
      </c>
      <c r="AC828" s="9">
        <f t="shared" si="101"/>
        <v>0.31648218443250176</v>
      </c>
      <c r="AD828" s="9">
        <f t="shared" si="102"/>
        <v>0.27148121847595086</v>
      </c>
      <c r="AE828" s="9"/>
      <c r="AF828" s="9">
        <f t="shared" si="103"/>
        <v>0.63802104821559746</v>
      </c>
      <c r="AG828" s="9">
        <f t="shared" si="104"/>
        <v>0.6330636293285028</v>
      </c>
      <c r="AH828" s="9">
        <f t="shared" si="105"/>
        <v>0.45210040738625734</v>
      </c>
      <c r="AI828" s="9">
        <f t="shared" si="106"/>
        <v>0.54085821123231292</v>
      </c>
    </row>
    <row r="829" spans="16:35" x14ac:dyDescent="0.3">
      <c r="P829" s="9">
        <v>4.0670341738537459E-2</v>
      </c>
      <c r="Q829" s="9">
        <v>0.19013717588622162</v>
      </c>
      <c r="R829" s="9">
        <v>0.38063075145327452</v>
      </c>
      <c r="S829" s="9">
        <v>0.38856173092196639</v>
      </c>
      <c r="U829" s="9">
        <f t="array" ref="U829">MMULT(TRANSPOSE($B$3:$B$6),TRANSPOSE(P829:S829))</f>
        <v>9.8191846715373177E-2</v>
      </c>
      <c r="V829" s="9">
        <f>INT(200*U829)/200</f>
        <v>9.5000000000000001E-2</v>
      </c>
      <c r="W829" s="9">
        <f t="array" ref="W829">SQRT(MMULT(MMULT(P829:S829,$K$3:$N$6),TRANSPOSE(P829:S829)))</f>
        <v>0.11028493446382988</v>
      </c>
      <c r="Y829" s="31">
        <f>U829/W829</f>
        <v>0.89034687460033024</v>
      </c>
      <c r="AA829" s="9">
        <f t="shared" si="99"/>
        <v>0.29039668047011735</v>
      </c>
      <c r="AB829" s="9">
        <f t="shared" si="100"/>
        <v>0.11679258126851776</v>
      </c>
      <c r="AC829" s="9">
        <f t="shared" si="101"/>
        <v>0.31976265837192547</v>
      </c>
      <c r="AD829" s="9">
        <f t="shared" si="102"/>
        <v>0.27304807988943935</v>
      </c>
      <c r="AE829" s="9"/>
      <c r="AF829" s="9">
        <f t="shared" si="103"/>
        <v>0.66305244097628568</v>
      </c>
      <c r="AG829" s="9">
        <f t="shared" si="104"/>
        <v>0.62792355106325737</v>
      </c>
      <c r="AH829" s="9">
        <f t="shared" si="105"/>
        <v>0.44195983618062162</v>
      </c>
      <c r="AI829" s="9">
        <f t="shared" si="106"/>
        <v>0.54332350505417215</v>
      </c>
    </row>
    <row r="830" spans="16:35" x14ac:dyDescent="0.3">
      <c r="P830" s="9">
        <v>0.44928383949541439</v>
      </c>
      <c r="Q830" s="9">
        <v>7.8586595891871835E-2</v>
      </c>
      <c r="R830" s="9">
        <v>0.43963725861802705</v>
      </c>
      <c r="S830" s="9">
        <v>3.2492305994686853E-2</v>
      </c>
      <c r="U830" s="9">
        <f t="array" ref="U830">MMULT(TRANSPOSE($B$3:$B$6),TRANSPOSE(P830:S830))</f>
        <v>7.6225551587203066E-2</v>
      </c>
      <c r="V830" s="9">
        <f>INT(200*U830)/200</f>
        <v>7.4999999999999997E-2</v>
      </c>
      <c r="W830" s="9">
        <f t="array" ref="W830">SQRT(MMULT(MMULT(P830:S830,$K$3:$N$6),TRANSPOSE(P830:S830)))</f>
        <v>8.5753194663837046E-2</v>
      </c>
      <c r="Y830" s="31">
        <f>U830/W830</f>
        <v>0.88889459904107948</v>
      </c>
      <c r="AA830" s="9">
        <f t="shared" si="99"/>
        <v>0.29408240560621379</v>
      </c>
      <c r="AB830" s="9">
        <f t="shared" si="100"/>
        <v>0.11589370080819597</v>
      </c>
      <c r="AC830" s="9">
        <f t="shared" si="101"/>
        <v>0.30816630391972233</v>
      </c>
      <c r="AD830" s="9">
        <f t="shared" si="102"/>
        <v>0.28185758966586782</v>
      </c>
      <c r="AE830" s="9"/>
      <c r="AF830" s="9">
        <f t="shared" si="103"/>
        <v>0.66011722782129745</v>
      </c>
      <c r="AG830" s="9">
        <f t="shared" si="104"/>
        <v>0.63752912222646163</v>
      </c>
      <c r="AH830" s="9">
        <f t="shared" si="105"/>
        <v>0.46749119169017134</v>
      </c>
      <c r="AI830" s="9">
        <f t="shared" si="106"/>
        <v>0.52545165772348479</v>
      </c>
    </row>
    <row r="831" spans="16:35" x14ac:dyDescent="0.3">
      <c r="P831" s="9">
        <v>7.7818912510309547E-3</v>
      </c>
      <c r="Q831" s="9">
        <v>0.35814888814961066</v>
      </c>
      <c r="R831" s="9">
        <v>1.6607449468505807E-2</v>
      </c>
      <c r="S831" s="9">
        <v>0.61746177113085254</v>
      </c>
      <c r="U831" s="9">
        <f t="array" ref="U831">MMULT(TRANSPOSE($B$3:$B$6),TRANSPOSE(P831:S831))</f>
        <v>0.10560753265586434</v>
      </c>
      <c r="V831" s="9">
        <f>INT(200*U831)/200</f>
        <v>0.105</v>
      </c>
      <c r="W831" s="9">
        <f t="array" ref="W831">SQRT(MMULT(MMULT(P831:S831,$K$3:$N$6),TRANSPOSE(P831:S831)))</f>
        <v>0.11884918357052542</v>
      </c>
      <c r="Y831" s="31">
        <f>U831/W831</f>
        <v>0.88858441836242441</v>
      </c>
      <c r="AA831" s="9">
        <f t="shared" si="99"/>
        <v>0.26851400238983458</v>
      </c>
      <c r="AB831" s="9">
        <f t="shared" si="100"/>
        <v>0.11773985759004534</v>
      </c>
      <c r="AC831" s="9">
        <f t="shared" si="101"/>
        <v>0.31674032973772914</v>
      </c>
      <c r="AD831" s="9">
        <f t="shared" si="102"/>
        <v>0.29700581028239087</v>
      </c>
      <c r="AE831" s="9"/>
      <c r="AF831" s="9">
        <f t="shared" si="103"/>
        <v>0.57534373815066431</v>
      </c>
      <c r="AG831" s="9">
        <f t="shared" si="104"/>
        <v>0.6184589707373116</v>
      </c>
      <c r="AH831" s="9">
        <f t="shared" si="105"/>
        <v>0.42766761969149175</v>
      </c>
      <c r="AI831" s="9">
        <f t="shared" si="106"/>
        <v>0.46754005259140907</v>
      </c>
    </row>
    <row r="832" spans="16:35" x14ac:dyDescent="0.3">
      <c r="P832" s="9">
        <v>0.30442442662873537</v>
      </c>
      <c r="Q832" s="9">
        <v>8.9140934809656694E-2</v>
      </c>
      <c r="R832" s="9">
        <v>0.2488856373326537</v>
      </c>
      <c r="S832" s="9">
        <v>0.35754900122895411</v>
      </c>
      <c r="U832" s="9">
        <f t="array" ref="U832">MMULT(TRANSPOSE($B$3:$B$6),TRANSPOSE(P832:S832))</f>
        <v>8.3841051305287864E-2</v>
      </c>
      <c r="V832" s="9">
        <f>INT(200*U832)/200</f>
        <v>0.08</v>
      </c>
      <c r="W832" s="9">
        <f t="array" ref="W832">SQRT(MMULT(MMULT(P832:S832,$K$3:$N$6),TRANSPOSE(P832:S832)))</f>
        <v>9.4394584402468035E-2</v>
      </c>
      <c r="Y832" s="31">
        <f>U832/W832</f>
        <v>0.88819768460250526</v>
      </c>
      <c r="AA832" s="9">
        <f t="shared" si="99"/>
        <v>0.26170568433358876</v>
      </c>
      <c r="AB832" s="9">
        <f t="shared" si="100"/>
        <v>0.12122181634908999</v>
      </c>
      <c r="AC832" s="9">
        <f t="shared" si="101"/>
        <v>0.30761476983743624</v>
      </c>
      <c r="AD832" s="9">
        <f t="shared" si="102"/>
        <v>0.30945772947988492</v>
      </c>
      <c r="AE832" s="9"/>
      <c r="AF832" s="9">
        <f t="shared" si="103"/>
        <v>0.58549714638992412</v>
      </c>
      <c r="AG832" s="9">
        <f t="shared" si="104"/>
        <v>0.59538494776097417</v>
      </c>
      <c r="AH832" s="9">
        <f t="shared" si="105"/>
        <v>0.44888839595895819</v>
      </c>
      <c r="AI832" s="9">
        <f t="shared" si="106"/>
        <v>0.45570650453495065</v>
      </c>
    </row>
    <row r="833" spans="16:35" x14ac:dyDescent="0.3">
      <c r="P833" s="9">
        <v>0.29115651698670686</v>
      </c>
      <c r="Q833" s="9">
        <v>8.3172483771245712E-2</v>
      </c>
      <c r="R833" s="9">
        <v>0.34040898642031781</v>
      </c>
      <c r="S833" s="9">
        <v>0.28526201282172964</v>
      </c>
      <c r="U833" s="9">
        <f t="array" ref="U833">MMULT(TRANSPOSE($B$3:$B$6),TRANSPOSE(P833:S833))</f>
        <v>8.3952132382804245E-2</v>
      </c>
      <c r="V833" s="9">
        <f>INT(200*U833)/200</f>
        <v>0.08</v>
      </c>
      <c r="W833" s="9">
        <f t="array" ref="W833">SQRT(MMULT(MMULT(P833:S833,$K$3:$N$6),TRANSPOSE(P833:S833)))</f>
        <v>9.4560750848273964E-2</v>
      </c>
      <c r="Y833" s="31">
        <f>U833/W833</f>
        <v>0.88781160925327662</v>
      </c>
      <c r="AA833" s="9">
        <f t="shared" si="99"/>
        <v>0.27833126523502766</v>
      </c>
      <c r="AB833" s="9">
        <f t="shared" si="100"/>
        <v>0.11737712746478979</v>
      </c>
      <c r="AC833" s="9">
        <f t="shared" si="101"/>
        <v>0.28963046230233441</v>
      </c>
      <c r="AD833" s="9">
        <f t="shared" si="102"/>
        <v>0.3146611449978482</v>
      </c>
      <c r="AE833" s="9"/>
      <c r="AF833" s="9">
        <f t="shared" si="103"/>
        <v>0.56979791219352105</v>
      </c>
      <c r="AG833" s="9">
        <f t="shared" si="104"/>
        <v>0.62227371832836786</v>
      </c>
      <c r="AH833" s="9">
        <f t="shared" si="105"/>
        <v>0.49730476469580071</v>
      </c>
      <c r="AI833" s="9">
        <f t="shared" si="106"/>
        <v>0.44966145273246277</v>
      </c>
    </row>
    <row r="834" spans="16:35" x14ac:dyDescent="0.3">
      <c r="P834" s="9">
        <v>0.39828293699596851</v>
      </c>
      <c r="Q834" s="9">
        <v>6.802828856895167E-2</v>
      </c>
      <c r="R834" s="9">
        <v>0.16919813733715833</v>
      </c>
      <c r="S834" s="9">
        <v>0.36449063709792162</v>
      </c>
      <c r="U834" s="9">
        <f t="array" ref="U834">MMULT(TRANSPOSE($B$3:$B$6),TRANSPOSE(P834:S834))</f>
        <v>7.9258272153554965E-2</v>
      </c>
      <c r="V834" s="9">
        <f>INT(200*U834)/200</f>
        <v>7.4999999999999997E-2</v>
      </c>
      <c r="W834" s="9">
        <f t="array" ref="W834">SQRT(MMULT(MMULT(P834:S834,$K$3:$N$6),TRANSPOSE(P834:S834)))</f>
        <v>8.9414832049412266E-2</v>
      </c>
      <c r="Y834" s="31">
        <f>U834/W834</f>
        <v>0.88641079267201883</v>
      </c>
      <c r="AA834" s="9">
        <f t="shared" si="99"/>
        <v>0.3019140390372666</v>
      </c>
      <c r="AB834" s="9">
        <f t="shared" si="100"/>
        <v>0.10912122644529437</v>
      </c>
      <c r="AC834" s="9">
        <f t="shared" si="101"/>
        <v>0.28512715796370053</v>
      </c>
      <c r="AD834" s="9">
        <f t="shared" si="102"/>
        <v>0.30383757655373855</v>
      </c>
      <c r="AE834" s="9"/>
      <c r="AF834" s="9">
        <f t="shared" si="103"/>
        <v>0.5299821978250483</v>
      </c>
      <c r="AG834" s="9">
        <f t="shared" si="104"/>
        <v>0.67817435124879966</v>
      </c>
      <c r="AH834" s="9">
        <f t="shared" si="105"/>
        <v>0.50177933669472441</v>
      </c>
      <c r="AI834" s="9">
        <f t="shared" si="106"/>
        <v>0.47359759704129745</v>
      </c>
    </row>
    <row r="835" spans="16:35" x14ac:dyDescent="0.3">
      <c r="P835" s="9">
        <v>0.1892179541976077</v>
      </c>
      <c r="Q835" s="9">
        <v>0.13053267877131872</v>
      </c>
      <c r="R835" s="9">
        <v>0.28731941091914609</v>
      </c>
      <c r="S835" s="9">
        <v>0.39292995611192749</v>
      </c>
      <c r="U835" s="9">
        <f t="array" ref="U835">MMULT(TRANSPOSE($B$3:$B$6),TRANSPOSE(P835:S835))</f>
        <v>9.0104787015602678E-2</v>
      </c>
      <c r="V835" s="9">
        <f>INT(200*U835)/200</f>
        <v>0.09</v>
      </c>
      <c r="W835" s="9">
        <f t="array" ref="W835">SQRT(MMULT(MMULT(P835:S835,$K$3:$N$6),TRANSPOSE(P835:S835)))</f>
        <v>0.10169721596215092</v>
      </c>
      <c r="Y835" s="31">
        <f>U835/W835</f>
        <v>0.88601036088477936</v>
      </c>
      <c r="AA835" s="9">
        <f t="shared" si="99"/>
        <v>0.3012774583594931</v>
      </c>
      <c r="AB835" s="9">
        <f t="shared" si="100"/>
        <v>0.10885407144379679</v>
      </c>
      <c r="AC835" s="9">
        <f t="shared" si="101"/>
        <v>0.28548768070598607</v>
      </c>
      <c r="AD835" s="9">
        <f t="shared" si="102"/>
        <v>0.30438078949072406</v>
      </c>
      <c r="AE835" s="9"/>
      <c r="AF835" s="9">
        <f t="shared" si="103"/>
        <v>0.53027289489000207</v>
      </c>
      <c r="AG835" s="9">
        <f t="shared" si="104"/>
        <v>0.6814860981574814</v>
      </c>
      <c r="AH835" s="9">
        <f t="shared" si="105"/>
        <v>0.50126771884662991</v>
      </c>
      <c r="AI835" s="9">
        <f t="shared" si="106"/>
        <v>0.47241945835159027</v>
      </c>
    </row>
    <row r="836" spans="16:35" x14ac:dyDescent="0.3">
      <c r="P836" s="9">
        <v>0.29909221014678344</v>
      </c>
      <c r="Q836" s="9">
        <v>0.10937780522060382</v>
      </c>
      <c r="R836" s="9">
        <v>0.17184311828241056</v>
      </c>
      <c r="S836" s="9">
        <v>0.41968686635020219</v>
      </c>
      <c r="U836" s="9">
        <f t="array" ref="U836">MMULT(TRANSPOSE($B$3:$B$6),TRANSPOSE(P836:S836))</f>
        <v>8.491801817368938E-2</v>
      </c>
      <c r="V836" s="9">
        <f>INT(200*U836)/200</f>
        <v>0.08</v>
      </c>
      <c r="W836" s="9">
        <f t="array" ref="W836">SQRT(MMULT(MMULT(P836:S836,$K$3:$N$6),TRANSPOSE(P836:S836)))</f>
        <v>9.5885378818627839E-2</v>
      </c>
      <c r="Y836" s="31">
        <f>U836/W836</f>
        <v>0.88562009369870887</v>
      </c>
      <c r="AA836" s="9">
        <f t="shared" si="99"/>
        <v>0.29234671957602376</v>
      </c>
      <c r="AB836" s="9">
        <f t="shared" si="100"/>
        <v>0.11285317726931557</v>
      </c>
      <c r="AC836" s="9">
        <f t="shared" si="101"/>
        <v>0.2804429607259073</v>
      </c>
      <c r="AD836" s="9">
        <f t="shared" si="102"/>
        <v>0.31435714242875334</v>
      </c>
      <c r="AE836" s="9"/>
      <c r="AF836" s="9">
        <f t="shared" si="103"/>
        <v>0.57011081481371717</v>
      </c>
      <c r="AG836" s="9">
        <f t="shared" si="104"/>
        <v>0.67052244176437925</v>
      </c>
      <c r="AH836" s="9">
        <f t="shared" si="105"/>
        <v>0.50209295650667074</v>
      </c>
      <c r="AI836" s="9">
        <f t="shared" si="106"/>
        <v>0.46482069210562227</v>
      </c>
    </row>
    <row r="837" spans="16:35" x14ac:dyDescent="0.3">
      <c r="P837" s="9">
        <v>0.22313403448491037</v>
      </c>
      <c r="Q837" s="9">
        <v>0.10671009230132029</v>
      </c>
      <c r="R837" s="9">
        <v>0.34186902310830208</v>
      </c>
      <c r="S837" s="9">
        <v>0.32828685010546726</v>
      </c>
      <c r="U837" s="9">
        <f t="array" ref="U837">MMULT(TRANSPOSE($B$3:$B$6),TRANSPOSE(P837:S837))</f>
        <v>8.7703280548504653E-2</v>
      </c>
      <c r="V837" s="9">
        <f>INT(200*U837)/200</f>
        <v>8.5000000000000006E-2</v>
      </c>
      <c r="W837" s="9">
        <f t="array" ref="W837">SQRT(MMULT(MMULT(P837:S837,$K$3:$N$6),TRANSPOSE(P837:S837)))</f>
        <v>9.9044133880989718E-2</v>
      </c>
      <c r="Y837" s="31">
        <f>U837/W837</f>
        <v>0.88549697101584934</v>
      </c>
      <c r="AA837" s="9">
        <f t="shared" si="99"/>
        <v>0.3072923472438655</v>
      </c>
      <c r="AB837" s="9">
        <f t="shared" si="100"/>
        <v>0.106554482429532</v>
      </c>
      <c r="AC837" s="9">
        <f t="shared" si="101"/>
        <v>0.25941996015822816</v>
      </c>
      <c r="AD837" s="9">
        <f t="shared" si="102"/>
        <v>0.32673321016837426</v>
      </c>
      <c r="AE837" s="9"/>
      <c r="AF837" s="9">
        <f t="shared" si="103"/>
        <v>0.51597642607871497</v>
      </c>
      <c r="AG837" s="9">
        <f t="shared" si="104"/>
        <v>0.68781585691088176</v>
      </c>
      <c r="AH837" s="9">
        <f t="shared" si="105"/>
        <v>0.4534592377228342</v>
      </c>
      <c r="AI837" s="9">
        <f t="shared" si="106"/>
        <v>0.42534605448488289</v>
      </c>
    </row>
    <row r="838" spans="16:35" x14ac:dyDescent="0.3">
      <c r="P838" s="9">
        <v>0.34967645926064106</v>
      </c>
      <c r="Q838" s="9">
        <v>8.2815127672332733E-2</v>
      </c>
      <c r="R838" s="9">
        <v>0.45939469599748023</v>
      </c>
      <c r="S838" s="9">
        <v>0.10811371706954608</v>
      </c>
      <c r="U838" s="9">
        <f t="array" ref="U838">MMULT(TRANSPOSE($B$3:$B$6),TRANSPOSE(P838:S838))</f>
        <v>8.0829392891647173E-2</v>
      </c>
      <c r="V838" s="9">
        <f>INT(200*U838)/200</f>
        <v>0.08</v>
      </c>
      <c r="W838" s="9">
        <f t="array" ref="W838">SQRT(MMULT(MMULT(P838:S838,$K$3:$N$6),TRANSPOSE(P838:S838)))</f>
        <v>9.1350070228018138E-2</v>
      </c>
      <c r="Y838" s="31">
        <f>U838/W838</f>
        <v>0.88483120691521755</v>
      </c>
      <c r="AA838" s="9">
        <f t="shared" si="99"/>
        <v>0.29308977539298969</v>
      </c>
      <c r="AB838" s="9">
        <f t="shared" si="100"/>
        <v>0.10931110862947221</v>
      </c>
      <c r="AC838" s="9">
        <f t="shared" si="101"/>
        <v>0.2664402946138556</v>
      </c>
      <c r="AD838" s="9">
        <f t="shared" si="102"/>
        <v>0.33115882136368247</v>
      </c>
      <c r="AE838" s="9"/>
      <c r="AF838" s="9">
        <f t="shared" si="103"/>
        <v>0.49189222404221483</v>
      </c>
      <c r="AG838" s="9">
        <f t="shared" si="104"/>
        <v>0.64835502747869034</v>
      </c>
      <c r="AH838" s="9">
        <f t="shared" si="105"/>
        <v>0.4353717975491766</v>
      </c>
      <c r="AI838" s="9">
        <f t="shared" si="106"/>
        <v>0.41356933116973049</v>
      </c>
    </row>
    <row r="839" spans="16:35" x14ac:dyDescent="0.3">
      <c r="P839" s="9">
        <v>0.14023938476451211</v>
      </c>
      <c r="Q839" s="9">
        <v>0.15470008789104123</v>
      </c>
      <c r="R839" s="9">
        <v>0.27992967223658105</v>
      </c>
      <c r="S839" s="9">
        <v>0.42513085510786552</v>
      </c>
      <c r="U839" s="9">
        <f t="array" ref="U839">MMULT(TRANSPOSE($B$3:$B$6),TRANSPOSE(P839:S839))</f>
        <v>9.3033448655860773E-2</v>
      </c>
      <c r="V839" s="9">
        <f>INT(200*U839)/200</f>
        <v>0.09</v>
      </c>
      <c r="W839" s="9">
        <f t="array" ref="W839">SQRT(MMULT(MMULT(P839:S839,$K$3:$N$6),TRANSPOSE(P839:S839)))</f>
        <v>0.10518259036365514</v>
      </c>
      <c r="Y839" s="31">
        <f>U839/W839</f>
        <v>0.88449474703189679</v>
      </c>
      <c r="AA839" s="9">
        <f t="shared" si="99"/>
        <v>0.29544218603382422</v>
      </c>
      <c r="AB839" s="9">
        <f t="shared" si="100"/>
        <v>0.10782685806236963</v>
      </c>
      <c r="AC839" s="9">
        <f t="shared" si="101"/>
        <v>0.26383936123121576</v>
      </c>
      <c r="AD839" s="9">
        <f t="shared" si="102"/>
        <v>0.33289159467259033</v>
      </c>
      <c r="AE839" s="9"/>
      <c r="AF839" s="9">
        <f t="shared" si="103"/>
        <v>0.49631189819173394</v>
      </c>
      <c r="AG839" s="9">
        <f t="shared" si="104"/>
        <v>0.66742479227072016</v>
      </c>
      <c r="AH839" s="9">
        <f t="shared" si="105"/>
        <v>0.42743305801970816</v>
      </c>
      <c r="AI839" s="9">
        <f t="shared" si="106"/>
        <v>0.40213301689099706</v>
      </c>
    </row>
    <row r="840" spans="16:35" x14ac:dyDescent="0.3">
      <c r="P840" s="9">
        <v>0.40990520617033532</v>
      </c>
      <c r="Q840" s="9">
        <v>6.410285947531566E-2</v>
      </c>
      <c r="R840" s="9">
        <v>0.16005987073301803</v>
      </c>
      <c r="S840" s="9">
        <v>0.36593206362133102</v>
      </c>
      <c r="U840" s="9">
        <f t="array" ref="U840">MMULT(TRANSPOSE($B$3:$B$6),TRANSPOSE(P840:S840))</f>
        <v>7.8652374859271318E-2</v>
      </c>
      <c r="V840" s="9">
        <f>INT(200*U840)/200</f>
        <v>7.4999999999999997E-2</v>
      </c>
      <c r="W840" s="9">
        <f t="array" ref="W840">SQRT(MMULT(MMULT(P840:S840,$K$3:$N$6),TRANSPOSE(P840:S840)))</f>
        <v>8.8954748994435423E-2</v>
      </c>
      <c r="Y840" s="31">
        <f>U840/W840</f>
        <v>0.88418410201114084</v>
      </c>
      <c r="AA840" s="9">
        <f t="shared" si="99"/>
        <v>0.30985434745358587</v>
      </c>
      <c r="AB840" s="9">
        <f t="shared" si="100"/>
        <v>0.10229784654098698</v>
      </c>
      <c r="AC840" s="9">
        <f t="shared" si="101"/>
        <v>0.25583971436017539</v>
      </c>
      <c r="AD840" s="9">
        <f t="shared" si="102"/>
        <v>0.33200809164525169</v>
      </c>
      <c r="AE840" s="9"/>
      <c r="AF840" s="9">
        <f t="shared" si="103"/>
        <v>0.43481392951215481</v>
      </c>
      <c r="AG840" s="9">
        <f t="shared" si="104"/>
        <v>0.68185768754096143</v>
      </c>
      <c r="AH840" s="9">
        <f t="shared" si="105"/>
        <v>0.42995265398446103</v>
      </c>
      <c r="AI840" s="9">
        <f t="shared" si="106"/>
        <v>0.40222437118574134</v>
      </c>
    </row>
    <row r="841" spans="16:35" x14ac:dyDescent="0.3">
      <c r="P841" s="9">
        <v>0.27020715110133847</v>
      </c>
      <c r="Q841" s="9">
        <v>9.5775541246150092E-2</v>
      </c>
      <c r="R841" s="9">
        <v>0.26888578870364138</v>
      </c>
      <c r="S841" s="9">
        <v>0.36513151894887003</v>
      </c>
      <c r="U841" s="9">
        <f t="array" ref="U841">MMULT(TRANSPOSE($B$3:$B$6),TRANSPOSE(P841:S841))</f>
        <v>8.5515770507513716E-2</v>
      </c>
      <c r="V841" s="9">
        <f>INT(200*U841)/200</f>
        <v>8.5000000000000006E-2</v>
      </c>
      <c r="W841" s="9">
        <f t="array" ref="W841">SQRT(MMULT(MMULT(P841:S841,$K$3:$N$6),TRANSPOSE(P841:S841)))</f>
        <v>9.6759211766625164E-2</v>
      </c>
      <c r="Y841" s="31">
        <f>U841/W841</f>
        <v>0.88379978449773178</v>
      </c>
      <c r="AA841" s="9">
        <f t="shared" si="99"/>
        <v>0.29591099680095073</v>
      </c>
      <c r="AB841" s="9">
        <f t="shared" si="100"/>
        <v>0.10465856700112368</v>
      </c>
      <c r="AC841" s="9">
        <f t="shared" si="101"/>
        <v>0.25172100275606246</v>
      </c>
      <c r="AD841" s="9">
        <f t="shared" si="102"/>
        <v>0.34770943344186311</v>
      </c>
      <c r="AE841" s="9"/>
      <c r="AF841" s="9">
        <f t="shared" si="103"/>
        <v>0.45530387207051881</v>
      </c>
      <c r="AG841" s="9">
        <f t="shared" si="104"/>
        <v>0.66644210368777834</v>
      </c>
      <c r="AH841" s="9">
        <f t="shared" si="105"/>
        <v>0.41411526862576559</v>
      </c>
      <c r="AI841" s="9">
        <f t="shared" si="106"/>
        <v>0.32960477497874952</v>
      </c>
    </row>
    <row r="842" spans="16:35" x14ac:dyDescent="0.3">
      <c r="P842" s="9">
        <v>0.22073897017358715</v>
      </c>
      <c r="Q842" s="9">
        <v>0.14327902344688132</v>
      </c>
      <c r="R842" s="9">
        <v>0.1788879698305188</v>
      </c>
      <c r="S842" s="9">
        <v>0.45709403654901271</v>
      </c>
      <c r="U842" s="9">
        <f t="array" ref="U842">MMULT(TRANSPOSE($B$3:$B$6),TRANSPOSE(P842:S842))</f>
        <v>8.9404508361116561E-2</v>
      </c>
      <c r="V842" s="9">
        <f>INT(200*U842)/200</f>
        <v>8.5000000000000006E-2</v>
      </c>
      <c r="W842" s="9">
        <f t="array" ref="W842">SQRT(MMULT(MMULT(P842:S842,$K$3:$N$6),TRANSPOSE(P842:S842)))</f>
        <v>0.10122110078926301</v>
      </c>
      <c r="Y842" s="31">
        <f>U842/W842</f>
        <v>0.88325959374075602</v>
      </c>
      <c r="AA842" s="9">
        <f t="shared" si="99"/>
        <v>0.31897795442052529</v>
      </c>
      <c r="AB842" s="9">
        <f t="shared" si="100"/>
        <v>9.1322034941018426E-2</v>
      </c>
      <c r="AC842" s="9">
        <f t="shared" si="101"/>
        <v>0.25205967371382976</v>
      </c>
      <c r="AD842" s="9">
        <f t="shared" si="102"/>
        <v>0.33764033692462647</v>
      </c>
      <c r="AE842" s="9"/>
      <c r="AF842" s="9">
        <f t="shared" si="103"/>
        <v>0.38864858166172034</v>
      </c>
      <c r="AG842" s="9">
        <f t="shared" si="104"/>
        <v>0.42418636424159367</v>
      </c>
      <c r="AH842" s="9">
        <f t="shared" si="105"/>
        <v>0.41041070550384462</v>
      </c>
      <c r="AI842" s="9">
        <f t="shared" si="106"/>
        <v>0.2895821186949552</v>
      </c>
    </row>
    <row r="843" spans="16:35" x14ac:dyDescent="0.3">
      <c r="P843" s="9">
        <v>0.49249962915689993</v>
      </c>
      <c r="Q843" s="9">
        <v>6.3335555447945543E-2</v>
      </c>
      <c r="R843" s="9">
        <v>6.534165432447063E-2</v>
      </c>
      <c r="S843" s="9">
        <v>0.37882316107068398</v>
      </c>
      <c r="U843" s="9">
        <f t="array" ref="U843">MMULT(TRANSPOSE($B$3:$B$6),TRANSPOSE(P843:S843))</f>
        <v>7.5195096051652449E-2</v>
      </c>
      <c r="V843" s="9">
        <f>INT(200*U843)/200</f>
        <v>7.4999999999999997E-2</v>
      </c>
      <c r="W843" s="9">
        <f t="array" ref="W843">SQRT(MMULT(MMULT(P843:S843,$K$3:$N$6),TRANSPOSE(P843:S843)))</f>
        <v>8.5142523656735664E-2</v>
      </c>
      <c r="Y843" s="31">
        <f>U843/W843</f>
        <v>0.88316733897637678</v>
      </c>
      <c r="AA843" s="9">
        <f t="shared" si="99"/>
        <v>0.33274554736529988</v>
      </c>
      <c r="AB843" s="9">
        <f t="shared" si="100"/>
        <v>8.9426333300229796E-2</v>
      </c>
      <c r="AC843" s="9">
        <f t="shared" si="101"/>
        <v>0.25694699133653648</v>
      </c>
      <c r="AD843" s="9">
        <f t="shared" si="102"/>
        <v>0.32088112799793395</v>
      </c>
      <c r="AE843" s="9"/>
      <c r="AF843" s="9">
        <f t="shared" si="103"/>
        <v>0.41347012438160013</v>
      </c>
      <c r="AG843" s="9">
        <f t="shared" si="104"/>
        <v>0.44515865098836732</v>
      </c>
      <c r="AH843" s="9">
        <f t="shared" si="105"/>
        <v>0.41133250426348594</v>
      </c>
      <c r="AI843" s="9">
        <f t="shared" si="106"/>
        <v>0.37858388842306723</v>
      </c>
    </row>
    <row r="844" spans="16:35" x14ac:dyDescent="0.3">
      <c r="P844" s="9">
        <v>0.54685449637847172</v>
      </c>
      <c r="Q844" s="9">
        <v>1.8398818055065842E-2</v>
      </c>
      <c r="R844" s="9">
        <v>0.26935109693916748</v>
      </c>
      <c r="S844" s="9">
        <v>0.16539558862729498</v>
      </c>
      <c r="U844" s="9">
        <f t="array" ref="U844">MMULT(TRANSPOSE($B$3:$B$6),TRANSPOSE(P844:S844))</f>
        <v>7.0737100580705883E-2</v>
      </c>
      <c r="V844" s="9">
        <f>INT(200*U844)/200</f>
        <v>7.0000000000000007E-2</v>
      </c>
      <c r="W844" s="9">
        <f t="array" ref="W844">SQRT(MMULT(MMULT(P844:S844,$K$3:$N$6),TRANSPOSE(P844:S844)))</f>
        <v>8.0109549527894369E-2</v>
      </c>
      <c r="Y844" s="31">
        <f>U844/W844</f>
        <v>0.88300459804826426</v>
      </c>
      <c r="AA844" s="9">
        <f t="shared" si="99"/>
        <v>0.31916878256786319</v>
      </c>
      <c r="AB844" s="9">
        <f t="shared" si="100"/>
        <v>9.4964382343555129E-2</v>
      </c>
      <c r="AC844" s="9">
        <f t="shared" si="101"/>
        <v>0.25791932607203244</v>
      </c>
      <c r="AD844" s="9">
        <f t="shared" si="102"/>
        <v>0.32794750901654929</v>
      </c>
      <c r="AE844" s="9"/>
      <c r="AF844" s="9">
        <f t="shared" si="103"/>
        <v>0.48523205869676789</v>
      </c>
      <c r="AG844" s="9">
        <f t="shared" si="104"/>
        <v>0.4889589481565409</v>
      </c>
      <c r="AH844" s="9">
        <f t="shared" si="105"/>
        <v>0.4132571323603112</v>
      </c>
      <c r="AI844" s="9">
        <f t="shared" si="106"/>
        <v>0.37689668763995754</v>
      </c>
    </row>
    <row r="845" spans="16:35" x14ac:dyDescent="0.3">
      <c r="P845" s="9">
        <v>0.35466305486869593</v>
      </c>
      <c r="Q845" s="9">
        <v>5.8818204062050607E-2</v>
      </c>
      <c r="R845" s="9">
        <v>0.30226299712161342</v>
      </c>
      <c r="S845" s="9">
        <v>0.28425574394763997</v>
      </c>
      <c r="U845" s="9">
        <f t="array" ref="U845">MMULT(TRANSPOSE($B$3:$B$6),TRANSPOSE(P845:S845))</f>
        <v>8.0519177671283026E-2</v>
      </c>
      <c r="V845" s="9">
        <f>INT(200*U845)/200</f>
        <v>0.08</v>
      </c>
      <c r="W845" s="9">
        <f t="array" ref="W845">SQRT(MMULT(MMULT(P845:S845,$K$3:$N$6),TRANSPOSE(P845:S845)))</f>
        <v>9.1230736827392911E-2</v>
      </c>
      <c r="Y845" s="31">
        <f>U845/W845</f>
        <v>0.88258826434367199</v>
      </c>
      <c r="AA845" s="9">
        <f t="shared" si="99"/>
        <v>0.30568362545834948</v>
      </c>
      <c r="AB845" s="9">
        <f t="shared" si="100"/>
        <v>9.8733052605647215E-2</v>
      </c>
      <c r="AC845" s="9">
        <f t="shared" si="101"/>
        <v>0.2755577336121573</v>
      </c>
      <c r="AD845" s="9">
        <f t="shared" si="102"/>
        <v>0.32002558832384603</v>
      </c>
      <c r="AE845" s="9"/>
      <c r="AF845" s="9">
        <f t="shared" si="103"/>
        <v>0.52304290932627284</v>
      </c>
      <c r="AG845" s="9">
        <f t="shared" si="104"/>
        <v>0.47948474825746157</v>
      </c>
      <c r="AH845" s="9">
        <f t="shared" si="105"/>
        <v>0.43861248174925049</v>
      </c>
      <c r="AI845" s="9">
        <f t="shared" si="106"/>
        <v>0.39509863407201951</v>
      </c>
    </row>
    <row r="846" spans="16:35" x14ac:dyDescent="0.3">
      <c r="P846" s="9">
        <v>8.2755282931807131E-2</v>
      </c>
      <c r="Q846" s="9">
        <v>0.17939650165454382</v>
      </c>
      <c r="R846" s="9">
        <v>0.29156344830319525</v>
      </c>
      <c r="S846" s="9">
        <v>0.44628476711045373</v>
      </c>
      <c r="U846" s="9">
        <f t="array" ref="U846">MMULT(TRANSPOSE($B$3:$B$6),TRANSPOSE(P846:S846))</f>
        <v>9.629662966486216E-2</v>
      </c>
      <c r="V846" s="9">
        <f>INT(200*U846)/200</f>
        <v>9.5000000000000001E-2</v>
      </c>
      <c r="W846" s="9">
        <f t="array" ref="W846">SQRT(MMULT(MMULT(P846:S846,$K$3:$N$6),TRANSPOSE(P846:S846)))</f>
        <v>0.10911880906056218</v>
      </c>
      <c r="Y846" s="31">
        <f>U846/W846</f>
        <v>0.88249340781767915</v>
      </c>
      <c r="AA846" s="9">
        <f t="shared" ref="AA846:AA909" si="107">AVERAGE(P836:P856)</f>
        <v>0.29937395749496737</v>
      </c>
      <c r="AB846" s="9">
        <f t="shared" ref="AB846:AB909" si="108">AVERAGE(Q836:Q856)</f>
        <v>0.10165220538130486</v>
      </c>
      <c r="AC846" s="9">
        <f t="shared" ref="AC846:AC909" si="109">AVERAGE(R836:R856)</f>
        <v>0.27519595330183705</v>
      </c>
      <c r="AD846" s="9">
        <f t="shared" ref="AD846:AD909" si="110">AVERAGE(S836:S856)</f>
        <v>0.32377788382189082</v>
      </c>
      <c r="AE846" s="9"/>
      <c r="AF846" s="9">
        <f t="shared" ref="AF846:AF909" si="111">STDEV(P836:P856)/AA846</f>
        <v>0.55836731808590845</v>
      </c>
      <c r="AG846" s="9">
        <f t="shared" ref="AG846:AG909" si="112">STDEV(Q836:Q856)/AB846</f>
        <v>0.50306479732115683</v>
      </c>
      <c r="AH846" s="9">
        <f t="shared" ref="AH846:AH909" si="113">STDEV(R836:R856)/AC846</f>
        <v>0.43909607415458907</v>
      </c>
      <c r="AI846" s="9">
        <f t="shared" ref="AI846:AI909" si="114">STDEV(S836:S856)/AD846</f>
        <v>0.40100635967369747</v>
      </c>
    </row>
    <row r="847" spans="16:35" x14ac:dyDescent="0.3">
      <c r="P847" s="9">
        <v>0.37266551395275321</v>
      </c>
      <c r="Q847" s="9">
        <v>7.0378373344472819E-2</v>
      </c>
      <c r="R847" s="9">
        <v>0.18483952651603577</v>
      </c>
      <c r="S847" s="9">
        <v>0.37211658618673821</v>
      </c>
      <c r="U847" s="9">
        <f t="array" ref="U847">MMULT(TRANSPOSE($B$3:$B$6),TRANSPOSE(P847:S847))</f>
        <v>8.0438259297058362E-2</v>
      </c>
      <c r="V847" s="9">
        <f>INT(200*U847)/200</f>
        <v>0.08</v>
      </c>
      <c r="W847" s="9">
        <f t="array" ref="W847">SQRT(MMULT(MMULT(P847:S847,$K$3:$N$6),TRANSPOSE(P847:S847)))</f>
        <v>9.1194197627548323E-2</v>
      </c>
      <c r="Y847" s="31">
        <f>U847/W847</f>
        <v>0.88205457572619994</v>
      </c>
      <c r="AA847" s="9">
        <f t="shared" si="107"/>
        <v>0.30191963339284827</v>
      </c>
      <c r="AB847" s="9">
        <f t="shared" si="108"/>
        <v>9.8972103034939821E-2</v>
      </c>
      <c r="AC847" s="9">
        <f t="shared" si="109"/>
        <v>0.28328075070255782</v>
      </c>
      <c r="AD847" s="9">
        <f t="shared" si="110"/>
        <v>0.31582751286965416</v>
      </c>
      <c r="AE847" s="9"/>
      <c r="AF847" s="9">
        <f t="shared" si="111"/>
        <v>0.55499109467456176</v>
      </c>
      <c r="AG847" s="9">
        <f t="shared" si="112"/>
        <v>0.52718703285998714</v>
      </c>
      <c r="AH847" s="9">
        <f t="shared" si="113"/>
        <v>0.42094627808371393</v>
      </c>
      <c r="AI847" s="9">
        <f t="shared" si="114"/>
        <v>0.40774753969905275</v>
      </c>
    </row>
    <row r="848" spans="16:35" x14ac:dyDescent="0.3">
      <c r="P848" s="9">
        <v>0.29709061579347479</v>
      </c>
      <c r="Q848" s="9">
        <v>7.6675085155863326E-2</v>
      </c>
      <c r="R848" s="9">
        <v>0.31072027769885868</v>
      </c>
      <c r="S848" s="9">
        <v>0.31551402135180312</v>
      </c>
      <c r="U848" s="9">
        <f t="array" ref="U848">MMULT(TRANSPOSE($B$3:$B$6),TRANSPOSE(P848:S848))</f>
        <v>8.3611407210032421E-2</v>
      </c>
      <c r="V848" s="9">
        <f>INT(200*U848)/200</f>
        <v>0.08</v>
      </c>
      <c r="W848" s="9">
        <f t="array" ref="W848">SQRT(MMULT(MMULT(P848:S848,$K$3:$N$6),TRANSPOSE(P848:S848)))</f>
        <v>9.4903728312101213E-2</v>
      </c>
      <c r="Y848" s="31">
        <f>U848/W848</f>
        <v>0.88101288218169083</v>
      </c>
      <c r="AA848" s="9">
        <f t="shared" si="107"/>
        <v>0.3011072312089163</v>
      </c>
      <c r="AB848" s="9">
        <f t="shared" si="108"/>
        <v>9.9691321557247262E-2</v>
      </c>
      <c r="AC848" s="9">
        <f t="shared" si="109"/>
        <v>0.27892521081455429</v>
      </c>
      <c r="AD848" s="9">
        <f t="shared" si="110"/>
        <v>0.32027623641928227</v>
      </c>
      <c r="AE848" s="9"/>
      <c r="AF848" s="9">
        <f t="shared" si="111"/>
        <v>0.55795591826189284</v>
      </c>
      <c r="AG848" s="9">
        <f t="shared" si="112"/>
        <v>0.52554680095185002</v>
      </c>
      <c r="AH848" s="9">
        <f t="shared" si="113"/>
        <v>0.42544751200340836</v>
      </c>
      <c r="AI848" s="9">
        <f t="shared" si="114"/>
        <v>0.40848240736757591</v>
      </c>
    </row>
    <row r="849" spans="16:35" x14ac:dyDescent="0.3">
      <c r="P849" s="9">
        <v>0.46394599023209754</v>
      </c>
      <c r="Q849" s="9">
        <v>4.2853898487297912E-2</v>
      </c>
      <c r="R849" s="9">
        <v>0.37298981451115409</v>
      </c>
      <c r="S849" s="9">
        <v>0.12021029676945044</v>
      </c>
      <c r="U849" s="9">
        <f t="array" ref="U849">MMULT(TRANSPOSE($B$3:$B$6),TRANSPOSE(P849:S849))</f>
        <v>7.4822418088413695E-2</v>
      </c>
      <c r="V849" s="9">
        <f>INT(200*U849)/200</f>
        <v>7.0000000000000007E-2</v>
      </c>
      <c r="W849" s="9">
        <f t="array" ref="W849">SQRT(MMULT(MMULT(P849:S849,$K$3:$N$6),TRANSPOSE(P849:S849)))</f>
        <v>8.4936363229479978E-2</v>
      </c>
      <c r="Y849" s="31">
        <f>U849/W849</f>
        <v>0.88092326117448005</v>
      </c>
      <c r="AA849" s="9">
        <f t="shared" si="107"/>
        <v>0.28946875998102656</v>
      </c>
      <c r="AB849" s="9">
        <f t="shared" si="108"/>
        <v>0.10263621395920343</v>
      </c>
      <c r="AC849" s="9">
        <f t="shared" si="109"/>
        <v>0.27495213637827731</v>
      </c>
      <c r="AD849" s="9">
        <f t="shared" si="110"/>
        <v>0.33294288968149272</v>
      </c>
      <c r="AE849" s="9"/>
      <c r="AF849" s="9">
        <f t="shared" si="111"/>
        <v>0.59718703822795993</v>
      </c>
      <c r="AG849" s="9">
        <f t="shared" si="112"/>
        <v>0.51764672885197027</v>
      </c>
      <c r="AH849" s="9">
        <f t="shared" si="113"/>
        <v>0.41320916760381887</v>
      </c>
      <c r="AI849" s="9">
        <f t="shared" si="114"/>
        <v>0.36590651459641083</v>
      </c>
    </row>
    <row r="850" spans="16:35" x14ac:dyDescent="0.3">
      <c r="P850" s="9">
        <v>0.34332573155353197</v>
      </c>
      <c r="Q850" s="9">
        <v>7.4027933937186249E-2</v>
      </c>
      <c r="R850" s="9">
        <v>0.21263816716142739</v>
      </c>
      <c r="S850" s="9">
        <v>0.37000816734785447</v>
      </c>
      <c r="U850" s="9">
        <f t="array" ref="U850">MMULT(TRANSPOSE($B$3:$B$6),TRANSPOSE(P850:S850))</f>
        <v>8.1779812209259756E-2</v>
      </c>
      <c r="V850" s="9">
        <f>INT(200*U850)/200</f>
        <v>0.08</v>
      </c>
      <c r="W850" s="9">
        <f t="array" ref="W850">SQRT(MMULT(MMULT(P850:S850,$K$3:$N$6),TRANSPOSE(P850:S850)))</f>
        <v>9.288752919841449E-2</v>
      </c>
      <c r="Y850" s="31">
        <f>U850/W850</f>
        <v>0.88041756428435247</v>
      </c>
      <c r="AA850" s="9">
        <f t="shared" si="107"/>
        <v>0.30376922050464272</v>
      </c>
      <c r="AB850" s="9">
        <f t="shared" si="108"/>
        <v>9.7045224422482396E-2</v>
      </c>
      <c r="AC850" s="9">
        <f t="shared" si="109"/>
        <v>0.27896849586784256</v>
      </c>
      <c r="AD850" s="9">
        <f t="shared" si="110"/>
        <v>0.32021705920503241</v>
      </c>
      <c r="AE850" s="9"/>
      <c r="AF850" s="9">
        <f t="shared" si="111"/>
        <v>0.56729068909474045</v>
      </c>
      <c r="AG850" s="9">
        <f t="shared" si="112"/>
        <v>0.55183118965229305</v>
      </c>
      <c r="AH850" s="9">
        <f t="shared" si="113"/>
        <v>0.41322284109860147</v>
      </c>
      <c r="AI850" s="9">
        <f t="shared" si="114"/>
        <v>0.39227665529952488</v>
      </c>
    </row>
    <row r="851" spans="16:35" x14ac:dyDescent="0.3">
      <c r="P851" s="9">
        <v>0.15647347579007559</v>
      </c>
      <c r="Q851" s="9">
        <v>0.12816172555474251</v>
      </c>
      <c r="R851" s="9">
        <v>0.35314431493165549</v>
      </c>
      <c r="S851" s="9">
        <v>0.36222048372352644</v>
      </c>
      <c r="U851" s="9">
        <f t="array" ref="U851">MMULT(TRANSPOSE($B$3:$B$6),TRANSPOSE(P851:S851))</f>
        <v>9.1299396944202416E-2</v>
      </c>
      <c r="V851" s="9">
        <f>INT(200*U851)/200</f>
        <v>0.09</v>
      </c>
      <c r="W851" s="9">
        <f t="array" ref="W851">SQRT(MMULT(MMULT(P851:S851,$K$3:$N$6),TRANSPOSE(P851:S851)))</f>
        <v>0.10380691137489684</v>
      </c>
      <c r="Y851" s="31">
        <f>U851/W851</f>
        <v>0.87951173707958852</v>
      </c>
      <c r="AA851" s="9">
        <f t="shared" si="107"/>
        <v>0.31095315342022906</v>
      </c>
      <c r="AB851" s="9">
        <f t="shared" si="108"/>
        <v>9.4270407211877641E-2</v>
      </c>
      <c r="AC851" s="9">
        <f t="shared" si="109"/>
        <v>0.28117457549057639</v>
      </c>
      <c r="AD851" s="9">
        <f t="shared" si="110"/>
        <v>0.31360186387731692</v>
      </c>
      <c r="AE851" s="9"/>
      <c r="AF851" s="9">
        <f t="shared" si="111"/>
        <v>0.57869595731478984</v>
      </c>
      <c r="AG851" s="9">
        <f t="shared" si="112"/>
        <v>0.60208206990121549</v>
      </c>
      <c r="AH851" s="9">
        <f t="shared" si="113"/>
        <v>0.40300003388560623</v>
      </c>
      <c r="AI851" s="9">
        <f t="shared" si="114"/>
        <v>0.40413893647441879</v>
      </c>
    </row>
    <row r="852" spans="16:35" x14ac:dyDescent="0.3">
      <c r="P852" s="9">
        <v>0.49218800126209644</v>
      </c>
      <c r="Q852" s="9">
        <v>7.8081714887400525E-2</v>
      </c>
      <c r="R852" s="9">
        <v>2.3719539581618935E-2</v>
      </c>
      <c r="S852" s="9">
        <v>0.40601074426888401</v>
      </c>
      <c r="U852" s="9">
        <f t="array" ref="U852">MMULT(TRANSPOSE($B$3:$B$6),TRANSPOSE(P852:S852))</f>
        <v>7.5763319991895839E-2</v>
      </c>
      <c r="V852" s="9">
        <f>INT(200*U852)/200</f>
        <v>7.4999999999999997E-2</v>
      </c>
      <c r="W852" s="9">
        <f t="array" ref="W852">SQRT(MMULT(MMULT(P852:S852,$K$3:$N$6),TRANSPOSE(P852:S852)))</f>
        <v>8.6161422646360522E-2</v>
      </c>
      <c r="Y852" s="31">
        <f>U852/W852</f>
        <v>0.8793183499633882</v>
      </c>
      <c r="AA852" s="9">
        <f t="shared" si="107"/>
        <v>0.31070335957964812</v>
      </c>
      <c r="AB852" s="9">
        <f t="shared" si="108"/>
        <v>9.391237678184125E-2</v>
      </c>
      <c r="AC852" s="9">
        <f t="shared" si="109"/>
        <v>0.28121498242004411</v>
      </c>
      <c r="AD852" s="9">
        <f t="shared" si="110"/>
        <v>0.31416928121846655</v>
      </c>
      <c r="AE852" s="9"/>
      <c r="AF852" s="9">
        <f t="shared" si="111"/>
        <v>0.57936403560205152</v>
      </c>
      <c r="AG852" s="9">
        <f t="shared" si="112"/>
        <v>0.60452377822461889</v>
      </c>
      <c r="AH852" s="9">
        <f t="shared" si="113"/>
        <v>0.4029263037874275</v>
      </c>
      <c r="AI852" s="9">
        <f t="shared" si="114"/>
        <v>0.40426406113233354</v>
      </c>
    </row>
    <row r="853" spans="16:35" x14ac:dyDescent="0.3">
      <c r="P853" s="9">
        <v>0.59354387846900114</v>
      </c>
      <c r="Q853" s="9">
        <v>4.933120035309578E-2</v>
      </c>
      <c r="R853" s="9">
        <v>0.35151930740949389</v>
      </c>
      <c r="S853" s="9">
        <v>5.6056137684092162E-3</v>
      </c>
      <c r="U853" s="9">
        <f t="array" ref="U853">MMULT(TRANSPOSE($B$3:$B$6),TRANSPOSE(P853:S853))</f>
        <v>6.9143752338368086E-2</v>
      </c>
      <c r="V853" s="9">
        <f>INT(200*U853)/200</f>
        <v>6.5000000000000002E-2</v>
      </c>
      <c r="W853" s="9">
        <f t="array" ref="W853">SQRT(MMULT(MMULT(P853:S853,$K$3:$N$6),TRANSPOSE(P853:S853)))</f>
        <v>7.8633618690687745E-2</v>
      </c>
      <c r="Y853" s="31">
        <f>U853/W853</f>
        <v>0.8793154059251822</v>
      </c>
      <c r="AA853" s="9">
        <f t="shared" si="107"/>
        <v>0.31919810649653502</v>
      </c>
      <c r="AB853" s="9">
        <f t="shared" si="108"/>
        <v>8.9005518540325637E-2</v>
      </c>
      <c r="AC853" s="9">
        <f t="shared" si="109"/>
        <v>0.28456211219517896</v>
      </c>
      <c r="AD853" s="9">
        <f t="shared" si="110"/>
        <v>0.3072342627679604</v>
      </c>
      <c r="AE853" s="9"/>
      <c r="AF853" s="9">
        <f t="shared" si="111"/>
        <v>0.56316622543152628</v>
      </c>
      <c r="AG853" s="9">
        <f t="shared" si="112"/>
        <v>0.63754707985255576</v>
      </c>
      <c r="AH853" s="9">
        <f t="shared" si="113"/>
        <v>0.39060966030743433</v>
      </c>
      <c r="AI853" s="9">
        <f t="shared" si="114"/>
        <v>0.39942350784342795</v>
      </c>
    </row>
    <row r="854" spans="16:35" x14ac:dyDescent="0.3">
      <c r="P854" s="9">
        <v>6.0444562405377921E-3</v>
      </c>
      <c r="Q854" s="9">
        <v>0.1994715136810776</v>
      </c>
      <c r="R854" s="9">
        <v>0.36082801586573293</v>
      </c>
      <c r="S854" s="9">
        <v>0.43365601421265171</v>
      </c>
      <c r="U854" s="9">
        <f t="array" ref="U854">MMULT(TRANSPOSE($B$3:$B$6),TRANSPOSE(P854:S854))</f>
        <v>0.10010398904040142</v>
      </c>
      <c r="V854" s="9">
        <f>INT(200*U854)/200</f>
        <v>0.1</v>
      </c>
      <c r="W854" s="9">
        <f t="array" ref="W854">SQRT(MMULT(MMULT(P854:S854,$K$3:$N$6),TRANSPOSE(P854:S854)))</f>
        <v>0.11392514876054363</v>
      </c>
      <c r="Y854" s="31">
        <f>U854/W854</f>
        <v>0.87868210074324715</v>
      </c>
      <c r="AA854" s="9">
        <f t="shared" si="107"/>
        <v>0.30880688170852932</v>
      </c>
      <c r="AB854" s="9">
        <f t="shared" si="108"/>
        <v>8.9532726424616974E-2</v>
      </c>
      <c r="AC854" s="9">
        <f t="shared" si="109"/>
        <v>0.29811135549444329</v>
      </c>
      <c r="AD854" s="9">
        <f t="shared" si="110"/>
        <v>0.30354903637241037</v>
      </c>
      <c r="AE854" s="9"/>
      <c r="AF854" s="9">
        <f t="shared" si="111"/>
        <v>0.56831447930340262</v>
      </c>
      <c r="AG854" s="9">
        <f t="shared" si="112"/>
        <v>0.63156649486791905</v>
      </c>
      <c r="AH854" s="9">
        <f t="shared" si="113"/>
        <v>0.33498486125428328</v>
      </c>
      <c r="AI854" s="9">
        <f t="shared" si="114"/>
        <v>0.40064809273040225</v>
      </c>
    </row>
    <row r="855" spans="16:35" x14ac:dyDescent="0.3">
      <c r="P855" s="9">
        <v>0.11509463769617946</v>
      </c>
      <c r="Q855" s="9">
        <v>0.14717036407288553</v>
      </c>
      <c r="R855" s="9">
        <v>0.5396046956797802</v>
      </c>
      <c r="S855" s="9">
        <v>0.19813030255115488</v>
      </c>
      <c r="U855" s="9">
        <f t="array" ref="U855">MMULT(TRANSPOSE($B$3:$B$6),TRANSPOSE(P855:S855))</f>
        <v>9.3032854940696949E-2</v>
      </c>
      <c r="V855" s="9">
        <f>INT(200*U855)/200</f>
        <v>0.09</v>
      </c>
      <c r="W855" s="9">
        <f t="array" ref="W855">SQRT(MMULT(MMULT(P855:S855,$K$3:$N$6),TRANSPOSE(P855:S855)))</f>
        <v>0.10589743795634705</v>
      </c>
      <c r="Y855" s="31">
        <f>U855/W855</f>
        <v>0.87851846783155285</v>
      </c>
      <c r="AA855" s="9">
        <f t="shared" si="107"/>
        <v>0.283447805237318</v>
      </c>
      <c r="AB855" s="9">
        <f t="shared" si="108"/>
        <v>9.7322207368973804E-2</v>
      </c>
      <c r="AC855" s="9">
        <f t="shared" si="109"/>
        <v>0.30409740656785827</v>
      </c>
      <c r="AD855" s="9">
        <f t="shared" si="110"/>
        <v>0.31513258082584994</v>
      </c>
      <c r="AE855" s="9"/>
      <c r="AF855" s="9">
        <f t="shared" si="111"/>
        <v>0.62742421637744727</v>
      </c>
      <c r="AG855" s="9">
        <f t="shared" si="112"/>
        <v>0.59097994872473103</v>
      </c>
      <c r="AH855" s="9">
        <f t="shared" si="113"/>
        <v>0.33476582911181529</v>
      </c>
      <c r="AI855" s="9">
        <f t="shared" si="114"/>
        <v>0.3787722482272583</v>
      </c>
    </row>
    <row r="856" spans="16:35" x14ac:dyDescent="0.3">
      <c r="P856" s="9">
        <v>5.6714926966582646E-2</v>
      </c>
      <c r="Q856" s="9">
        <v>0.19183488706012922</v>
      </c>
      <c r="R856" s="9">
        <v>0.27972202440242055</v>
      </c>
      <c r="S856" s="9">
        <v>0.47172816157086755</v>
      </c>
      <c r="U856" s="9">
        <f t="array" ref="U856">MMULT(TRANSPOSE($B$3:$B$6),TRANSPOSE(P856:S856))</f>
        <v>9.7871342989569288E-2</v>
      </c>
      <c r="V856" s="9">
        <f>INT(200*U856)/200</f>
        <v>9.5000000000000001E-2</v>
      </c>
      <c r="W856" s="9">
        <f t="array" ref="W856">SQRT(MMULT(MMULT(P856:S856,$K$3:$N$6),TRANSPOSE(P856:S856)))</f>
        <v>0.11150860844795103</v>
      </c>
      <c r="Y856" s="31">
        <f>U856/W856</f>
        <v>0.87770212857828622</v>
      </c>
      <c r="AA856" s="9">
        <f t="shared" si="107"/>
        <v>0.28208860114724121</v>
      </c>
      <c r="AB856" s="9">
        <f t="shared" si="108"/>
        <v>9.7460626046171464E-2</v>
      </c>
      <c r="AC856" s="9">
        <f t="shared" si="109"/>
        <v>0.30266495016482109</v>
      </c>
      <c r="AD856" s="9">
        <f t="shared" si="110"/>
        <v>0.3177858226417663</v>
      </c>
      <c r="AE856" s="9"/>
      <c r="AF856" s="9">
        <f t="shared" si="111"/>
        <v>0.62880596080608098</v>
      </c>
      <c r="AG856" s="9">
        <f t="shared" si="112"/>
        <v>0.5891773770027573</v>
      </c>
      <c r="AH856" s="9">
        <f t="shared" si="113"/>
        <v>0.33713809309276244</v>
      </c>
      <c r="AI856" s="9">
        <f t="shared" si="114"/>
        <v>0.37529061159086996</v>
      </c>
    </row>
    <row r="857" spans="16:35" x14ac:dyDescent="0.3">
      <c r="P857" s="9">
        <v>0.35255140400228369</v>
      </c>
      <c r="Q857" s="9">
        <v>5.3095655946937922E-2</v>
      </c>
      <c r="R857" s="9">
        <v>0.34162386369754688</v>
      </c>
      <c r="S857" s="9">
        <v>0.25272907635323161</v>
      </c>
      <c r="U857" s="9">
        <f t="array" ref="U857">MMULT(TRANSPOSE($B$3:$B$6),TRANSPOSE(P857:S857))</f>
        <v>8.0316296760647277E-2</v>
      </c>
      <c r="V857" s="9">
        <f>INT(200*U857)/200</f>
        <v>0.08</v>
      </c>
      <c r="W857" s="9">
        <f t="array" ref="W857">SQRT(MMULT(MMULT(P857:S857,$K$3:$N$6),TRANSPOSE(P857:S857)))</f>
        <v>9.1658886797529482E-2</v>
      </c>
      <c r="Y857" s="31">
        <f>U857/W857</f>
        <v>0.87625215150236879</v>
      </c>
      <c r="AA857" s="9">
        <f t="shared" si="107"/>
        <v>0.29225699409404388</v>
      </c>
      <c r="AB857" s="9">
        <f t="shared" si="108"/>
        <v>9.2292548474989175E-2</v>
      </c>
      <c r="AC857" s="9">
        <f t="shared" si="109"/>
        <v>0.30936008667633164</v>
      </c>
      <c r="AD857" s="9">
        <f t="shared" si="110"/>
        <v>0.3060903707546353</v>
      </c>
      <c r="AE857" s="9"/>
      <c r="AF857" s="9">
        <f t="shared" si="111"/>
        <v>0.58647192606575027</v>
      </c>
      <c r="AG857" s="9">
        <f t="shared" si="112"/>
        <v>0.59037756507409322</v>
      </c>
      <c r="AH857" s="9">
        <f t="shared" si="113"/>
        <v>0.34205333809360672</v>
      </c>
      <c r="AI857" s="9">
        <f t="shared" si="114"/>
        <v>0.3857270655223507</v>
      </c>
    </row>
    <row r="858" spans="16:35" x14ac:dyDescent="0.3">
      <c r="P858" s="9">
        <v>0.20607358862233799</v>
      </c>
      <c r="Q858" s="9">
        <v>0.12181368126977635</v>
      </c>
      <c r="R858" s="9">
        <v>0.25040268546022826</v>
      </c>
      <c r="S858" s="9">
        <v>0.42171004464765738</v>
      </c>
      <c r="U858" s="9">
        <f t="array" ref="U858">MMULT(TRANSPOSE($B$3:$B$6),TRANSPOSE(P858:S858))</f>
        <v>8.9229763407595142E-2</v>
      </c>
      <c r="V858" s="9">
        <f>INT(200*U858)/200</f>
        <v>8.5000000000000006E-2</v>
      </c>
      <c r="W858" s="9">
        <f t="array" ref="W858">SQRT(MMULT(MMULT(P858:S858,$K$3:$N$6),TRANSPOSE(P858:S858)))</f>
        <v>0.10185646758707793</v>
      </c>
      <c r="Y858" s="31">
        <f>U858/W858</f>
        <v>0.87603434049302642</v>
      </c>
      <c r="AA858" s="9">
        <f t="shared" si="107"/>
        <v>0.28686958574922661</v>
      </c>
      <c r="AB858" s="9">
        <f t="shared" si="108"/>
        <v>9.3765986581343219E-2</v>
      </c>
      <c r="AC858" s="9">
        <f t="shared" si="109"/>
        <v>0.32554231697042835</v>
      </c>
      <c r="AD858" s="9">
        <f t="shared" si="110"/>
        <v>0.29382211069900183</v>
      </c>
      <c r="AE858" s="9"/>
      <c r="AF858" s="9">
        <f t="shared" si="111"/>
        <v>0.59442533728224511</v>
      </c>
      <c r="AG858" s="9">
        <f t="shared" si="112"/>
        <v>0.57892213393365077</v>
      </c>
      <c r="AH858" s="9">
        <f t="shared" si="113"/>
        <v>0.34295606689811881</v>
      </c>
      <c r="AI858" s="9">
        <f t="shared" si="114"/>
        <v>0.42234719163917173</v>
      </c>
    </row>
    <row r="859" spans="16:35" x14ac:dyDescent="0.3">
      <c r="P859" s="9">
        <v>0.10526856347495829</v>
      </c>
      <c r="Q859" s="9">
        <v>0.14465786811341216</v>
      </c>
      <c r="R859" s="9">
        <v>0.37596013283566498</v>
      </c>
      <c r="S859" s="9">
        <v>0.37411343557596455</v>
      </c>
      <c r="U859" s="9">
        <f t="array" ref="U859">MMULT(TRANSPOSE($B$3:$B$6),TRANSPOSE(P859:S859))</f>
        <v>9.4010638805888586E-2</v>
      </c>
      <c r="V859" s="9">
        <f>INT(200*U859)/200</f>
        <v>0.09</v>
      </c>
      <c r="W859" s="9">
        <f t="array" ref="W859">SQRT(MMULT(MMULT(P859:S859,$K$3:$N$6),TRANSPOSE(P859:S859)))</f>
        <v>0.10735591128448636</v>
      </c>
      <c r="Y859" s="31">
        <f>U859/W859</f>
        <v>0.87569131202068928</v>
      </c>
      <c r="AA859" s="9">
        <f t="shared" si="107"/>
        <v>0.28273156473007099</v>
      </c>
      <c r="AB859" s="9">
        <f t="shared" si="108"/>
        <v>9.4954560319690864E-2</v>
      </c>
      <c r="AC859" s="9">
        <f t="shared" si="109"/>
        <v>0.33426971900162894</v>
      </c>
      <c r="AD859" s="9">
        <f t="shared" si="110"/>
        <v>0.28804415594860927</v>
      </c>
      <c r="AE859" s="9"/>
      <c r="AF859" s="9">
        <f t="shared" si="111"/>
        <v>0.60592685508371535</v>
      </c>
      <c r="AG859" s="9">
        <f t="shared" si="112"/>
        <v>0.57041392128684187</v>
      </c>
      <c r="AH859" s="9">
        <f t="shared" si="113"/>
        <v>0.35134198794104826</v>
      </c>
      <c r="AI859" s="9">
        <f t="shared" si="114"/>
        <v>0.43690127186282851</v>
      </c>
    </row>
    <row r="860" spans="16:35" x14ac:dyDescent="0.3">
      <c r="P860" s="9">
        <v>0.4405490557604505</v>
      </c>
      <c r="Q860" s="9">
        <v>3.7289307619899667E-2</v>
      </c>
      <c r="R860" s="9">
        <v>0.36427322151744934</v>
      </c>
      <c r="S860" s="9">
        <v>0.15788841510220047</v>
      </c>
      <c r="U860" s="9">
        <f t="array" ref="U860">MMULT(TRANSPOSE($B$3:$B$6),TRANSPOSE(P860:S860))</f>
        <v>7.5773616532542165E-2</v>
      </c>
      <c r="V860" s="9">
        <f>INT(200*U860)/200</f>
        <v>7.4999999999999997E-2</v>
      </c>
      <c r="W860" s="9">
        <f t="array" ref="W860">SQRT(MMULT(MMULT(P860:S860,$K$3:$N$6),TRANSPOSE(P860:S860)))</f>
        <v>8.6530618735689721E-2</v>
      </c>
      <c r="Y860" s="31">
        <f>U860/W860</f>
        <v>0.87568559707165472</v>
      </c>
      <c r="AA860" s="9">
        <f t="shared" si="107"/>
        <v>0.27935985564976323</v>
      </c>
      <c r="AB860" s="9">
        <f t="shared" si="108"/>
        <v>9.4667730210674192E-2</v>
      </c>
      <c r="AC860" s="9">
        <f t="shared" si="109"/>
        <v>0.32935058964559905</v>
      </c>
      <c r="AD860" s="9">
        <f t="shared" si="110"/>
        <v>0.29662182449396363</v>
      </c>
      <c r="AE860" s="9"/>
      <c r="AF860" s="9">
        <f t="shared" si="111"/>
        <v>0.60223018972751541</v>
      </c>
      <c r="AG860" s="9">
        <f t="shared" si="112"/>
        <v>0.5753618077135304</v>
      </c>
      <c r="AH860" s="9">
        <f t="shared" si="113"/>
        <v>0.35798510811125772</v>
      </c>
      <c r="AI860" s="9">
        <f t="shared" si="114"/>
        <v>0.40398379568237186</v>
      </c>
    </row>
    <row r="861" spans="16:35" x14ac:dyDescent="0.3">
      <c r="P861" s="9">
        <v>0.56076779739764837</v>
      </c>
      <c r="Q861" s="9">
        <v>5.8316980526156763E-3</v>
      </c>
      <c r="R861" s="9">
        <v>0.20638754281043015</v>
      </c>
      <c r="S861" s="9">
        <v>0.2270129617393058</v>
      </c>
      <c r="U861" s="9">
        <f t="array" ref="U861">MMULT(TRANSPOSE($B$3:$B$6),TRANSPOSE(P861:S861))</f>
        <v>6.9986752501150357E-2</v>
      </c>
      <c r="V861" s="9">
        <f>INT(200*U861)/200</f>
        <v>6.5000000000000002E-2</v>
      </c>
      <c r="W861" s="9">
        <f t="array" ref="W861">SQRT(MMULT(MMULT(P861:S861,$K$3:$N$6),TRANSPOSE(P861:S861)))</f>
        <v>8.0087446174059607E-2</v>
      </c>
      <c r="Y861" s="31">
        <f>U861/W861</f>
        <v>0.87387918886866844</v>
      </c>
      <c r="AA861" s="9">
        <f t="shared" si="107"/>
        <v>0.28752437507385309</v>
      </c>
      <c r="AB861" s="9">
        <f t="shared" si="108"/>
        <v>9.2210121448603868E-2</v>
      </c>
      <c r="AC861" s="9">
        <f t="shared" si="109"/>
        <v>0.33572833736218372</v>
      </c>
      <c r="AD861" s="9">
        <f t="shared" si="110"/>
        <v>0.2845371661153594</v>
      </c>
      <c r="AE861" s="9"/>
      <c r="AF861" s="9">
        <f t="shared" si="111"/>
        <v>0.61038961011113013</v>
      </c>
      <c r="AG861" s="9">
        <f t="shared" si="112"/>
        <v>0.61348800073550613</v>
      </c>
      <c r="AH861" s="9">
        <f t="shared" si="113"/>
        <v>0.34211190487470006</v>
      </c>
      <c r="AI861" s="9">
        <f t="shared" si="114"/>
        <v>0.43844821082792407</v>
      </c>
    </row>
    <row r="862" spans="16:35" x14ac:dyDescent="0.3">
      <c r="P862" s="9">
        <v>0.26496148044913864</v>
      </c>
      <c r="Q862" s="9">
        <v>8.825690221538636E-2</v>
      </c>
      <c r="R862" s="9">
        <v>0.26973433422246401</v>
      </c>
      <c r="S862" s="9">
        <v>0.37704728311301094</v>
      </c>
      <c r="U862" s="9">
        <f t="array" ref="U862">MMULT(TRANSPOSE($B$3:$B$6),TRANSPOSE(P862:S862))</f>
        <v>8.554775122726857E-2</v>
      </c>
      <c r="V862" s="9">
        <f>INT(200*U862)/200</f>
        <v>8.5000000000000006E-2</v>
      </c>
      <c r="W862" s="9">
        <f t="array" ref="W862">SQRT(MMULT(MMULT(P862:S862,$K$3:$N$6),TRANSPOSE(P862:S862)))</f>
        <v>9.7959546450480536E-2</v>
      </c>
      <c r="Y862" s="31">
        <f>U862/W862</f>
        <v>0.87329672632277611</v>
      </c>
      <c r="AA862" s="9">
        <f t="shared" si="107"/>
        <v>0.29031124129747948</v>
      </c>
      <c r="AB862" s="9">
        <f t="shared" si="108"/>
        <v>9.3213116096984766E-2</v>
      </c>
      <c r="AC862" s="9">
        <f t="shared" si="109"/>
        <v>0.32537682819020769</v>
      </c>
      <c r="AD862" s="9">
        <f t="shared" si="110"/>
        <v>0.29109881441532798</v>
      </c>
      <c r="AE862" s="9"/>
      <c r="AF862" s="9">
        <f t="shared" si="111"/>
        <v>0.59857475002625637</v>
      </c>
      <c r="AG862" s="9">
        <f t="shared" si="112"/>
        <v>0.61600181053542014</v>
      </c>
      <c r="AH862" s="9">
        <f t="shared" si="113"/>
        <v>0.37720640557225715</v>
      </c>
      <c r="AI862" s="9">
        <f t="shared" si="114"/>
        <v>0.45493988856589912</v>
      </c>
    </row>
    <row r="863" spans="16:35" x14ac:dyDescent="0.3">
      <c r="P863" s="9">
        <v>0.39912865542821258</v>
      </c>
      <c r="Q863" s="9">
        <v>4.0235000375052836E-2</v>
      </c>
      <c r="R863" s="9">
        <v>0.24917769510835019</v>
      </c>
      <c r="S863" s="9">
        <v>0.31145864908838439</v>
      </c>
      <c r="U863" s="9">
        <f t="array" ref="U863">MMULT(TRANSPOSE($B$3:$B$6),TRANSPOSE(P863:S863))</f>
        <v>7.8169884946314327E-2</v>
      </c>
      <c r="V863" s="9">
        <f>INT(200*U863)/200</f>
        <v>7.4999999999999997E-2</v>
      </c>
      <c r="W863" s="9">
        <f t="array" ref="W863">SQRT(MMULT(MMULT(P863:S863,$K$3:$N$6),TRANSPOSE(P863:S863)))</f>
        <v>8.9587500825743266E-2</v>
      </c>
      <c r="Y863" s="31">
        <f>U863/W863</f>
        <v>0.87255347259170279</v>
      </c>
      <c r="AA863" s="9">
        <f t="shared" si="107"/>
        <v>0.2851179085904218</v>
      </c>
      <c r="AB863" s="9">
        <f t="shared" si="108"/>
        <v>9.3724560794261585E-2</v>
      </c>
      <c r="AC863" s="9">
        <f t="shared" si="109"/>
        <v>0.34867249160982311</v>
      </c>
      <c r="AD863" s="9">
        <f t="shared" si="110"/>
        <v>0.27248503900549348</v>
      </c>
      <c r="AE863" s="9"/>
      <c r="AF863" s="9">
        <f t="shared" si="111"/>
        <v>0.59274517285143524</v>
      </c>
      <c r="AG863" s="9">
        <f t="shared" si="112"/>
        <v>0.61163997367675793</v>
      </c>
      <c r="AH863" s="9">
        <f t="shared" si="113"/>
        <v>0.31026091131922295</v>
      </c>
      <c r="AI863" s="9">
        <f t="shared" si="114"/>
        <v>0.52317367694974248</v>
      </c>
    </row>
    <row r="864" spans="16:35" x14ac:dyDescent="0.3">
      <c r="P864" s="9">
        <v>0.27428390860878127</v>
      </c>
      <c r="Q864" s="9">
        <v>7.4406921018064023E-2</v>
      </c>
      <c r="R864" s="9">
        <v>0.3498757636090209</v>
      </c>
      <c r="S864" s="9">
        <v>0.30143340676413388</v>
      </c>
      <c r="U864" s="9">
        <f t="array" ref="U864">MMULT(TRANSPOSE($B$3:$B$6),TRANSPOSE(P864:S864))</f>
        <v>8.4451024602632416E-2</v>
      </c>
      <c r="V864" s="9">
        <f>INT(200*U864)/200</f>
        <v>0.08</v>
      </c>
      <c r="W864" s="9">
        <f t="array" ref="W864">SQRT(MMULT(MMULT(P864:S864,$K$3:$N$6),TRANSPOSE(P864:S864)))</f>
        <v>9.6789228543030972E-2</v>
      </c>
      <c r="Y864" s="31">
        <f>U864/W864</f>
        <v>0.87252503066585363</v>
      </c>
      <c r="AA864" s="9">
        <f t="shared" si="107"/>
        <v>0.28111407506335373</v>
      </c>
      <c r="AB864" s="9">
        <f t="shared" si="108"/>
        <v>9.2420855040838176E-2</v>
      </c>
      <c r="AC864" s="9">
        <f t="shared" si="109"/>
        <v>0.33845746007185601</v>
      </c>
      <c r="AD864" s="9">
        <f t="shared" si="110"/>
        <v>0.28800760982395207</v>
      </c>
      <c r="AE864" s="9"/>
      <c r="AF864" s="9">
        <f t="shared" si="111"/>
        <v>0.57694948228311693</v>
      </c>
      <c r="AG864" s="9">
        <f t="shared" si="112"/>
        <v>0.6349330686499558</v>
      </c>
      <c r="AH864" s="9">
        <f t="shared" si="113"/>
        <v>0.34749953019486279</v>
      </c>
      <c r="AI864" s="9">
        <f t="shared" si="114"/>
        <v>0.4484680588418013</v>
      </c>
    </row>
    <row r="865" spans="16:35" x14ac:dyDescent="0.3">
      <c r="P865" s="9">
        <v>1.4313890483033489E-2</v>
      </c>
      <c r="Q865" s="9">
        <v>0.18197791788655907</v>
      </c>
      <c r="R865" s="9">
        <v>0.39505816948088235</v>
      </c>
      <c r="S865" s="9">
        <v>0.40865002214952517</v>
      </c>
      <c r="U865" s="9">
        <f t="array" ref="U865">MMULT(TRANSPOSE($B$3:$B$6),TRANSPOSE(P865:S865))</f>
        <v>9.9123413759091825E-2</v>
      </c>
      <c r="V865" s="9">
        <f>INT(200*U865)/200</f>
        <v>9.5000000000000001E-2</v>
      </c>
      <c r="W865" s="9">
        <f t="array" ref="W865">SQRT(MMULT(MMULT(P865:S865,$K$3:$N$6),TRANSPOSE(P865:S865)))</f>
        <v>0.11365564008420632</v>
      </c>
      <c r="Y865" s="31">
        <f>U865/W865</f>
        <v>0.87213809790391639</v>
      </c>
      <c r="AA865" s="9">
        <f t="shared" si="107"/>
        <v>0.29336940716594967</v>
      </c>
      <c r="AB865" s="9">
        <f t="shared" si="108"/>
        <v>8.6330564210886446E-2</v>
      </c>
      <c r="AC865" s="9">
        <f t="shared" si="109"/>
        <v>0.33970986659930424</v>
      </c>
      <c r="AD865" s="9">
        <f t="shared" si="110"/>
        <v>0.28059016202385961</v>
      </c>
      <c r="AE865" s="9"/>
      <c r="AF865" s="9">
        <f t="shared" si="111"/>
        <v>0.50993499772884165</v>
      </c>
      <c r="AG865" s="9">
        <f t="shared" si="112"/>
        <v>0.61873643588830296</v>
      </c>
      <c r="AH865" s="9">
        <f t="shared" si="113"/>
        <v>0.34736499540230181</v>
      </c>
      <c r="AI865" s="9">
        <f t="shared" si="114"/>
        <v>0.44469847839924931</v>
      </c>
    </row>
    <row r="866" spans="16:35" x14ac:dyDescent="0.3">
      <c r="P866" s="9">
        <v>0.32611976897708267</v>
      </c>
      <c r="Q866" s="9">
        <v>6.1724996283201237E-2</v>
      </c>
      <c r="R866" s="9">
        <v>0.2721814126578318</v>
      </c>
      <c r="S866" s="9">
        <v>0.33997382208188426</v>
      </c>
      <c r="U866" s="9">
        <f t="array" ref="U866">MMULT(TRANSPOSE($B$3:$B$6),TRANSPOSE(P866:S866))</f>
        <v>8.2014957965888285E-2</v>
      </c>
      <c r="V866" s="9">
        <f>INT(200*U866)/200</f>
        <v>0.08</v>
      </c>
      <c r="W866" s="9">
        <f t="array" ref="W866">SQRT(MMULT(MMULT(P866:S866,$K$3:$N$6),TRANSPOSE(P866:S866)))</f>
        <v>9.4109893878053685E-2</v>
      </c>
      <c r="Y866" s="31">
        <f>U866/W866</f>
        <v>0.87148071883028733</v>
      </c>
      <c r="AA866" s="9">
        <f t="shared" si="107"/>
        <v>0.30255472932171912</v>
      </c>
      <c r="AB866" s="9">
        <f t="shared" si="108"/>
        <v>8.2444156724838041E-2</v>
      </c>
      <c r="AC866" s="9">
        <f t="shared" si="109"/>
        <v>0.33520332301466305</v>
      </c>
      <c r="AD866" s="9">
        <f t="shared" si="110"/>
        <v>0.27979779093877977</v>
      </c>
      <c r="AE866" s="9"/>
      <c r="AF866" s="9">
        <f t="shared" si="111"/>
        <v>0.47568244152203726</v>
      </c>
      <c r="AG866" s="9">
        <f t="shared" si="112"/>
        <v>0.62720969784522485</v>
      </c>
      <c r="AH866" s="9">
        <f t="shared" si="113"/>
        <v>0.33299851223261184</v>
      </c>
      <c r="AI866" s="9">
        <f t="shared" si="114"/>
        <v>0.44810655971807312</v>
      </c>
    </row>
    <row r="867" spans="16:35" x14ac:dyDescent="0.3">
      <c r="P867" s="9">
        <v>0.29629153481466419</v>
      </c>
      <c r="Q867" s="9">
        <v>7.0866872659715821E-2</v>
      </c>
      <c r="R867" s="9">
        <v>0.43216131504491823</v>
      </c>
      <c r="S867" s="9">
        <v>0.2006802774807018</v>
      </c>
      <c r="U867" s="9">
        <f t="array" ref="U867">MMULT(TRANSPOSE($B$3:$B$6),TRANSPOSE(P867:S867))</f>
        <v>8.304693547172444E-2</v>
      </c>
      <c r="V867" s="9">
        <f>INT(200*U867)/200</f>
        <v>0.08</v>
      </c>
      <c r="W867" s="9">
        <f t="array" ref="W867">SQRT(MMULT(MMULT(P867:S867,$K$3:$N$6),TRANSPOSE(P867:S867)))</f>
        <v>9.5346379421061653E-2</v>
      </c>
      <c r="Y867" s="31">
        <f>U867/W867</f>
        <v>0.87100250660781453</v>
      </c>
      <c r="AA867" s="9">
        <f t="shared" si="107"/>
        <v>0.30895195532000069</v>
      </c>
      <c r="AB867" s="9">
        <f t="shared" si="108"/>
        <v>8.333079797429313E-2</v>
      </c>
      <c r="AC867" s="9">
        <f t="shared" si="109"/>
        <v>0.32346389413905119</v>
      </c>
      <c r="AD867" s="9">
        <f t="shared" si="110"/>
        <v>0.28425335256665496</v>
      </c>
      <c r="AE867" s="9"/>
      <c r="AF867" s="9">
        <f t="shared" si="111"/>
        <v>0.43749689512582168</v>
      </c>
      <c r="AG867" s="9">
        <f t="shared" si="112"/>
        <v>0.64558052639795094</v>
      </c>
      <c r="AH867" s="9">
        <f t="shared" si="113"/>
        <v>0.39977009956700593</v>
      </c>
      <c r="AI867" s="9">
        <f t="shared" si="114"/>
        <v>0.47110414806087536</v>
      </c>
    </row>
    <row r="868" spans="16:35" x14ac:dyDescent="0.3">
      <c r="P868" s="9">
        <v>0.25952993871159075</v>
      </c>
      <c r="Q868" s="9">
        <v>0.10132057357790783</v>
      </c>
      <c r="R868" s="9">
        <v>0.52466636269206546</v>
      </c>
      <c r="S868" s="9">
        <v>0.11448312501843608</v>
      </c>
      <c r="U868" s="9">
        <f t="array" ref="U868">MMULT(TRANSPOSE($B$3:$B$6),TRANSPOSE(P868:S868))</f>
        <v>8.5223639925012543E-2</v>
      </c>
      <c r="V868" s="9">
        <f>INT(200*U868)/200</f>
        <v>8.5000000000000006E-2</v>
      </c>
      <c r="W868" s="9">
        <f t="array" ref="W868">SQRT(MMULT(MMULT(P868:S868,$K$3:$N$6),TRANSPOSE(P868:S868)))</f>
        <v>9.7866951833432164E-2</v>
      </c>
      <c r="Y868" s="31">
        <f>U868/W868</f>
        <v>0.87081122205646788</v>
      </c>
      <c r="AA868" s="9">
        <f t="shared" si="107"/>
        <v>0.31189642772886839</v>
      </c>
      <c r="AB868" s="9">
        <f t="shared" si="108"/>
        <v>8.2664327329901865E-2</v>
      </c>
      <c r="AC868" s="9">
        <f t="shared" si="109"/>
        <v>0.31630469917246556</v>
      </c>
      <c r="AD868" s="9">
        <f t="shared" si="110"/>
        <v>0.28913454576876424</v>
      </c>
      <c r="AE868" s="9"/>
      <c r="AF868" s="9">
        <f t="shared" si="111"/>
        <v>0.4386907887931083</v>
      </c>
      <c r="AG868" s="9">
        <f t="shared" si="112"/>
        <v>0.65656634687693904</v>
      </c>
      <c r="AH868" s="9">
        <f t="shared" si="113"/>
        <v>0.41852328195853161</v>
      </c>
      <c r="AI868" s="9">
        <f t="shared" si="114"/>
        <v>0.46543368743891916</v>
      </c>
    </row>
    <row r="869" spans="16:35" x14ac:dyDescent="0.3">
      <c r="P869" s="9">
        <v>0.21019217439120566</v>
      </c>
      <c r="Q869" s="9">
        <v>0.10163513366116382</v>
      </c>
      <c r="R869" s="9">
        <v>0.49399572035407235</v>
      </c>
      <c r="S869" s="9">
        <v>0.19417697159355812</v>
      </c>
      <c r="U869" s="9">
        <f t="array" ref="U869">MMULT(TRANSPOSE($B$3:$B$6),TRANSPOSE(P869:S869))</f>
        <v>8.7602925273789239E-2</v>
      </c>
      <c r="V869" s="9">
        <f>INT(200*U869)/200</f>
        <v>8.5000000000000006E-2</v>
      </c>
      <c r="W869" s="9">
        <f t="array" ref="W869">SQRT(MMULT(MMULT(P869:S869,$K$3:$N$6),TRANSPOSE(P869:S869)))</f>
        <v>0.10074417133002041</v>
      </c>
      <c r="Y869" s="31">
        <f>U869/W869</f>
        <v>0.86955824954693683</v>
      </c>
      <c r="AA869" s="9">
        <f t="shared" si="107"/>
        <v>0.31264012208156661</v>
      </c>
      <c r="AB869" s="9">
        <f t="shared" si="108"/>
        <v>8.1551702271744117E-2</v>
      </c>
      <c r="AC869" s="9">
        <f t="shared" si="109"/>
        <v>0.31747733514149429</v>
      </c>
      <c r="AD869" s="9">
        <f t="shared" si="110"/>
        <v>0.28833084050519509</v>
      </c>
      <c r="AE869" s="9"/>
      <c r="AF869" s="9">
        <f t="shared" si="111"/>
        <v>0.43584756421314313</v>
      </c>
      <c r="AG869" s="9">
        <f t="shared" si="112"/>
        <v>0.65808596792534491</v>
      </c>
      <c r="AH869" s="9">
        <f t="shared" si="113"/>
        <v>0.41538723739543204</v>
      </c>
      <c r="AI869" s="9">
        <f t="shared" si="114"/>
        <v>0.46401457750697778</v>
      </c>
    </row>
    <row r="870" spans="16:35" x14ac:dyDescent="0.3">
      <c r="P870" s="9">
        <v>0.39314009954563539</v>
      </c>
      <c r="Q870" s="9">
        <v>3.6830466197947893E-2</v>
      </c>
      <c r="R870" s="9">
        <v>0.26968809803452493</v>
      </c>
      <c r="S870" s="9">
        <v>0.30034133622189174</v>
      </c>
      <c r="U870" s="9">
        <f t="array" ref="U870">MMULT(TRANSPOSE($B$3:$B$6),TRANSPOSE(P870:S870))</f>
        <v>7.8276444090816133E-2</v>
      </c>
      <c r="V870" s="9">
        <f>INT(200*U870)/200</f>
        <v>7.4999999999999997E-2</v>
      </c>
      <c r="W870" s="9">
        <f t="array" ref="W870">SQRT(MMULT(MMULT(P870:S870,$K$3:$N$6),TRANSPOSE(P870:S870)))</f>
        <v>9.0079268269276994E-2</v>
      </c>
      <c r="Y870" s="31">
        <f>U870/W870</f>
        <v>0.86897291235561236</v>
      </c>
      <c r="AA870" s="9">
        <f t="shared" si="107"/>
        <v>0.32513142543870704</v>
      </c>
      <c r="AB870" s="9">
        <f t="shared" si="108"/>
        <v>7.8387693811834566E-2</v>
      </c>
      <c r="AC870" s="9">
        <f t="shared" si="109"/>
        <v>0.30528404360849948</v>
      </c>
      <c r="AD870" s="9">
        <f t="shared" si="110"/>
        <v>0.29119683714095901</v>
      </c>
      <c r="AE870" s="9"/>
      <c r="AF870" s="9">
        <f t="shared" si="111"/>
        <v>0.39393549402770595</v>
      </c>
      <c r="AG870" s="9">
        <f t="shared" si="112"/>
        <v>0.65933175786005016</v>
      </c>
      <c r="AH870" s="9">
        <f t="shared" si="113"/>
        <v>0.45170544124681178</v>
      </c>
      <c r="AI870" s="9">
        <f t="shared" si="114"/>
        <v>0.4682040597742626</v>
      </c>
    </row>
    <row r="871" spans="16:35" x14ac:dyDescent="0.3">
      <c r="P871" s="9">
        <v>0.51478063945941877</v>
      </c>
      <c r="Q871" s="9">
        <v>2.2418149933709441E-2</v>
      </c>
      <c r="R871" s="9">
        <v>0.34657086920970465</v>
      </c>
      <c r="S871" s="9">
        <v>0.11623034139716709</v>
      </c>
      <c r="U871" s="9">
        <f t="array" ref="U871">MMULT(TRANSPOSE($B$3:$B$6),TRANSPOSE(P871:S871))</f>
        <v>7.2033793770106269E-2</v>
      </c>
      <c r="V871" s="9">
        <f>INT(200*U871)/200</f>
        <v>7.0000000000000007E-2</v>
      </c>
      <c r="W871" s="9">
        <f t="array" ref="W871">SQRT(MMULT(MMULT(P871:S871,$K$3:$N$6),TRANSPOSE(P871:S871)))</f>
        <v>8.2899027664940061E-2</v>
      </c>
      <c r="Y871" s="31">
        <f>U871/W871</f>
        <v>0.8689341214139602</v>
      </c>
      <c r="AA871" s="9">
        <f t="shared" si="107"/>
        <v>0.31321044214903537</v>
      </c>
      <c r="AB871" s="9">
        <f t="shared" si="108"/>
        <v>8.1332144682775193E-2</v>
      </c>
      <c r="AC871" s="9">
        <f t="shared" si="109"/>
        <v>0.30474522608708743</v>
      </c>
      <c r="AD871" s="9">
        <f t="shared" si="110"/>
        <v>0.30071218708110203</v>
      </c>
      <c r="AE871" s="9"/>
      <c r="AF871" s="9">
        <f t="shared" si="111"/>
        <v>0.41011045521039974</v>
      </c>
      <c r="AG871" s="9">
        <f t="shared" si="112"/>
        <v>0.62683214174866719</v>
      </c>
      <c r="AH871" s="9">
        <f t="shared" si="113"/>
        <v>0.4517819032265516</v>
      </c>
      <c r="AI871" s="9">
        <f t="shared" si="114"/>
        <v>0.44399341577058093</v>
      </c>
    </row>
    <row r="872" spans="16:35" x14ac:dyDescent="0.3">
      <c r="P872" s="9">
        <v>0.21499766648623073</v>
      </c>
      <c r="Q872" s="9">
        <v>0.14922461317074129</v>
      </c>
      <c r="R872" s="9">
        <v>0.1357626223201614</v>
      </c>
      <c r="S872" s="9">
        <v>0.5000150980228667</v>
      </c>
      <c r="U872" s="9">
        <f t="array" ref="U872">MMULT(TRANSPOSE($B$3:$B$6),TRANSPOSE(P872:S872))</f>
        <v>8.9986739835901774E-2</v>
      </c>
      <c r="V872" s="9">
        <f>INT(200*U872)/200</f>
        <v>8.5000000000000006E-2</v>
      </c>
      <c r="W872" s="9">
        <f t="array" ref="W872">SQRT(MMULT(MMULT(P872:S872,$K$3:$N$6),TRANSPOSE(P872:S872)))</f>
        <v>0.10361090437590738</v>
      </c>
      <c r="Y872" s="31">
        <f>U872/W872</f>
        <v>0.86850646056928316</v>
      </c>
      <c r="AA872" s="9">
        <f t="shared" si="107"/>
        <v>0.29713898073278106</v>
      </c>
      <c r="AB872" s="9">
        <f t="shared" si="108"/>
        <v>8.5047616247998115E-2</v>
      </c>
      <c r="AC872" s="9">
        <f t="shared" si="109"/>
        <v>0.31344612559571872</v>
      </c>
      <c r="AD872" s="9">
        <f t="shared" si="110"/>
        <v>0.30436727742350222</v>
      </c>
      <c r="AE872" s="9"/>
      <c r="AF872" s="9">
        <f t="shared" si="111"/>
        <v>0.39202084432406459</v>
      </c>
      <c r="AG872" s="9">
        <f t="shared" si="112"/>
        <v>0.56389119607243043</v>
      </c>
      <c r="AH872" s="9">
        <f t="shared" si="113"/>
        <v>0.43683181763792311</v>
      </c>
      <c r="AI872" s="9">
        <f t="shared" si="114"/>
        <v>0.43513910277545459</v>
      </c>
    </row>
    <row r="873" spans="16:35" x14ac:dyDescent="0.3">
      <c r="P873" s="9">
        <v>0.38312801441388383</v>
      </c>
      <c r="Q873" s="9">
        <v>8.8822053530213552E-2</v>
      </c>
      <c r="R873" s="9">
        <v>0.51292847139354192</v>
      </c>
      <c r="S873" s="9">
        <v>1.5121460662360761E-2</v>
      </c>
      <c r="U873" s="9">
        <f t="array" ref="U873">MMULT(TRANSPOSE($B$3:$B$6),TRANSPOSE(P873:S873))</f>
        <v>7.9266566535185976E-2</v>
      </c>
      <c r="V873" s="9">
        <f>INT(200*U873)/200</f>
        <v>7.4999999999999997E-2</v>
      </c>
      <c r="W873" s="9">
        <f t="array" ref="W873">SQRT(MMULT(MMULT(P873:S873,$K$3:$N$6),TRANSPOSE(P873:S873)))</f>
        <v>9.1354084238769964E-2</v>
      </c>
      <c r="Y873" s="31">
        <f>U873/W873</f>
        <v>0.86768497758686813</v>
      </c>
      <c r="AA873" s="9">
        <f t="shared" si="107"/>
        <v>0.29927580363491513</v>
      </c>
      <c r="AB873" s="9">
        <f t="shared" si="108"/>
        <v>8.3547594157058355E-2</v>
      </c>
      <c r="AC873" s="9">
        <f t="shared" si="109"/>
        <v>0.31554161733243019</v>
      </c>
      <c r="AD873" s="9">
        <f t="shared" si="110"/>
        <v>0.30163498487559642</v>
      </c>
      <c r="AE873" s="9"/>
      <c r="AF873" s="9">
        <f t="shared" si="111"/>
        <v>0.38852551401395602</v>
      </c>
      <c r="AG873" s="9">
        <f t="shared" si="112"/>
        <v>0.57863173004997925</v>
      </c>
      <c r="AH873" s="9">
        <f t="shared" si="113"/>
        <v>0.43277037212795394</v>
      </c>
      <c r="AI873" s="9">
        <f t="shared" si="114"/>
        <v>0.43581126965083733</v>
      </c>
    </row>
    <row r="874" spans="16:35" x14ac:dyDescent="0.3">
      <c r="P874" s="9">
        <v>0.50946337440057199</v>
      </c>
      <c r="Q874" s="9">
        <v>2.1953379531204235E-2</v>
      </c>
      <c r="R874" s="9">
        <v>0.13700364511218474</v>
      </c>
      <c r="S874" s="9">
        <v>0.33157960095603911</v>
      </c>
      <c r="U874" s="9">
        <f t="array" ref="U874">MMULT(TRANSPOSE($B$3:$B$6),TRANSPOSE(P874:S874))</f>
        <v>7.3028376711288145E-2</v>
      </c>
      <c r="V874" s="9">
        <f>INT(200*U874)/200</f>
        <v>7.0000000000000007E-2</v>
      </c>
      <c r="W874" s="9">
        <f t="array" ref="W874">SQRT(MMULT(MMULT(P874:S874,$K$3:$N$6),TRANSPOSE(P874:S874)))</f>
        <v>8.4181293596498494E-2</v>
      </c>
      <c r="Y874" s="31">
        <f>U874/W874</f>
        <v>0.86751312068606357</v>
      </c>
      <c r="AA874" s="9">
        <f t="shared" si="107"/>
        <v>0.28195430722139186</v>
      </c>
      <c r="AB874" s="9">
        <f t="shared" si="108"/>
        <v>9.5597640537969902E-2</v>
      </c>
      <c r="AC874" s="9">
        <f t="shared" si="109"/>
        <v>0.3060354623449727</v>
      </c>
      <c r="AD874" s="9">
        <f t="shared" si="110"/>
        <v>0.31641258989566562</v>
      </c>
      <c r="AE874" s="9"/>
      <c r="AF874" s="9">
        <f t="shared" si="111"/>
        <v>0.45126087510104979</v>
      </c>
      <c r="AG874" s="9">
        <f t="shared" si="112"/>
        <v>0.68516895571224512</v>
      </c>
      <c r="AH874" s="9">
        <f t="shared" si="113"/>
        <v>0.48323254301500262</v>
      </c>
      <c r="AI874" s="9">
        <f t="shared" si="114"/>
        <v>0.4705906242483231</v>
      </c>
    </row>
    <row r="875" spans="16:35" x14ac:dyDescent="0.3">
      <c r="P875" s="9">
        <v>0.26340643039505196</v>
      </c>
      <c r="Q875" s="9">
        <v>7.1575406252091481E-2</v>
      </c>
      <c r="R875" s="9">
        <v>0.38712855294214693</v>
      </c>
      <c r="S875" s="9">
        <v>0.27788961041070959</v>
      </c>
      <c r="U875" s="9">
        <f t="array" ref="U875">MMULT(TRANSPOSE($B$3:$B$6),TRANSPOSE(P875:S875))</f>
        <v>8.4736032106906875E-2</v>
      </c>
      <c r="V875" s="9">
        <f>INT(200*U875)/200</f>
        <v>0.08</v>
      </c>
      <c r="W875" s="9">
        <f t="array" ref="W875">SQRT(MMULT(MMULT(P875:S875,$K$3:$N$6),TRANSPOSE(P875:S875)))</f>
        <v>9.7821821543913209E-2</v>
      </c>
      <c r="Y875" s="31">
        <f>U875/W875</f>
        <v>0.86622831970950376</v>
      </c>
      <c r="AA875" s="9">
        <f t="shared" si="107"/>
        <v>0.28336487623572731</v>
      </c>
      <c r="AB875" s="9">
        <f t="shared" si="108"/>
        <v>9.4858477552385426E-2</v>
      </c>
      <c r="AC875" s="9">
        <f t="shared" si="109"/>
        <v>0.30382545573248809</v>
      </c>
      <c r="AD875" s="9">
        <f t="shared" si="110"/>
        <v>0.31795119047939924</v>
      </c>
      <c r="AE875" s="9"/>
      <c r="AF875" s="9">
        <f t="shared" si="111"/>
        <v>0.44927881691672866</v>
      </c>
      <c r="AG875" s="9">
        <f t="shared" si="112"/>
        <v>0.6940691093706467</v>
      </c>
      <c r="AH875" s="9">
        <f t="shared" si="113"/>
        <v>0.48562346624235847</v>
      </c>
      <c r="AI875" s="9">
        <f t="shared" si="114"/>
        <v>0.46832726689225301</v>
      </c>
    </row>
    <row r="876" spans="16:35" x14ac:dyDescent="0.3">
      <c r="P876" s="9">
        <v>0.30798640296733837</v>
      </c>
      <c r="Q876" s="9">
        <v>6.555580686586876E-2</v>
      </c>
      <c r="R876" s="9">
        <v>0.44496728040231481</v>
      </c>
      <c r="S876" s="9">
        <v>0.18149050976447817</v>
      </c>
      <c r="U876" s="9">
        <f t="array" ref="U876">MMULT(TRANSPOSE($B$3:$B$6),TRANSPOSE(P876:S876))</f>
        <v>8.2319935593263532E-2</v>
      </c>
      <c r="V876" s="9">
        <f>INT(200*U876)/200</f>
        <v>0.08</v>
      </c>
      <c r="W876" s="9">
        <f t="array" ref="W876">SQRT(MMULT(MMULT(P876:S876,$K$3:$N$6),TRANSPOSE(P876:S876)))</f>
        <v>9.5054556377235061E-2</v>
      </c>
      <c r="Y876" s="31">
        <f>U876/W876</f>
        <v>0.8660282971240989</v>
      </c>
      <c r="AA876" s="9">
        <f t="shared" si="107"/>
        <v>0.28399726907215905</v>
      </c>
      <c r="AB876" s="9">
        <f t="shared" si="108"/>
        <v>9.3801460466823222E-2</v>
      </c>
      <c r="AC876" s="9">
        <f t="shared" si="109"/>
        <v>0.31095603648605918</v>
      </c>
      <c r="AD876" s="9">
        <f t="shared" si="110"/>
        <v>0.31124523397495857</v>
      </c>
      <c r="AE876" s="9"/>
      <c r="AF876" s="9">
        <f t="shared" si="111"/>
        <v>0.44342704689325879</v>
      </c>
      <c r="AG876" s="9">
        <f t="shared" si="112"/>
        <v>0.68799580849614472</v>
      </c>
      <c r="AH876" s="9">
        <f t="shared" si="113"/>
        <v>0.50030946729689751</v>
      </c>
      <c r="AI876" s="9">
        <f t="shared" si="114"/>
        <v>0.47481259975058382</v>
      </c>
    </row>
    <row r="877" spans="16:35" x14ac:dyDescent="0.3">
      <c r="P877" s="9">
        <v>0.19105667293049527</v>
      </c>
      <c r="Q877" s="9">
        <v>0.2104543532986862</v>
      </c>
      <c r="R877" s="9">
        <v>3.3194018014570753E-2</v>
      </c>
      <c r="S877" s="9">
        <v>0.56529495575624766</v>
      </c>
      <c r="U877" s="9">
        <f t="array" ref="U877">MMULT(TRANSPOSE($B$3:$B$6),TRANSPOSE(P877:S877))</f>
        <v>9.3126971799371711E-2</v>
      </c>
      <c r="V877" s="9">
        <f>INT(200*U877)/200</f>
        <v>0.09</v>
      </c>
      <c r="W877" s="9">
        <f t="array" ref="W877">SQRT(MMULT(MMULT(P877:S877,$K$3:$N$6),TRANSPOSE(P877:S877)))</f>
        <v>0.10755216215478759</v>
      </c>
      <c r="Y877" s="31">
        <f>U877/W877</f>
        <v>0.86587726302837742</v>
      </c>
      <c r="AA877" s="9">
        <f t="shared" si="107"/>
        <v>0.28724955882322939</v>
      </c>
      <c r="AB877" s="9">
        <f t="shared" si="108"/>
        <v>9.3059870406195414E-2</v>
      </c>
      <c r="AC877" s="9">
        <f t="shared" si="109"/>
        <v>0.30657485189859074</v>
      </c>
      <c r="AD877" s="9">
        <f t="shared" si="110"/>
        <v>0.31311571887198436</v>
      </c>
      <c r="AE877" s="9"/>
      <c r="AF877" s="9">
        <f t="shared" si="111"/>
        <v>0.4453974494261117</v>
      </c>
      <c r="AG877" s="9">
        <f t="shared" si="112"/>
        <v>0.69858010587383046</v>
      </c>
      <c r="AH877" s="9">
        <f t="shared" si="113"/>
        <v>0.51536325539542782</v>
      </c>
      <c r="AI877" s="9">
        <f t="shared" si="114"/>
        <v>0.47398515006150266</v>
      </c>
    </row>
    <row r="878" spans="16:35" x14ac:dyDescent="0.3">
      <c r="P878" s="9">
        <v>0.41438532458850436</v>
      </c>
      <c r="Q878" s="9">
        <v>3.9099772414721568E-2</v>
      </c>
      <c r="R878" s="9">
        <v>0.19128076939924785</v>
      </c>
      <c r="S878" s="9">
        <v>0.35523413359752626</v>
      </c>
      <c r="U878" s="9">
        <f t="array" ref="U878">MMULT(TRANSPOSE($B$3:$B$6),TRANSPOSE(P878:S878))</f>
        <v>7.7651411498906558E-2</v>
      </c>
      <c r="V878" s="9">
        <f>INT(200*U878)/200</f>
        <v>7.4999999999999997E-2</v>
      </c>
      <c r="W878" s="9">
        <f t="array" ref="W878">SQRT(MMULT(MMULT(P878:S878,$K$3:$N$6),TRANSPOSE(P878:S878)))</f>
        <v>8.9683982034642146E-2</v>
      </c>
      <c r="Y878" s="31">
        <f>U878/W878</f>
        <v>0.86583367215911777</v>
      </c>
      <c r="AA878" s="9">
        <f t="shared" si="107"/>
        <v>0.2875980769413839</v>
      </c>
      <c r="AB878" s="9">
        <f t="shared" si="108"/>
        <v>9.2341762428086643E-2</v>
      </c>
      <c r="AC878" s="9">
        <f t="shared" si="109"/>
        <v>0.30159340760670333</v>
      </c>
      <c r="AD878" s="9">
        <f t="shared" si="110"/>
        <v>0.31846675302382599</v>
      </c>
      <c r="AE878" s="9"/>
      <c r="AF878" s="9">
        <f t="shared" si="111"/>
        <v>0.44498227627039616</v>
      </c>
      <c r="AG878" s="9">
        <f t="shared" si="112"/>
        <v>0.70769258062312934</v>
      </c>
      <c r="AH878" s="9">
        <f t="shared" si="113"/>
        <v>0.51549117493773366</v>
      </c>
      <c r="AI878" s="9">
        <f t="shared" si="114"/>
        <v>0.45896280271468265</v>
      </c>
    </row>
    <row r="879" spans="16:35" x14ac:dyDescent="0.3">
      <c r="P879" s="9">
        <v>0.22169117002900018</v>
      </c>
      <c r="Q879" s="9">
        <v>9.8448555048463407E-2</v>
      </c>
      <c r="R879" s="9">
        <v>0.27502804080983179</v>
      </c>
      <c r="S879" s="9">
        <v>0.40483223411270469</v>
      </c>
      <c r="U879" s="9">
        <f t="array" ref="U879">MMULT(TRANSPOSE($B$3:$B$6),TRANSPOSE(P879:S879))</f>
        <v>8.7787593907940928E-2</v>
      </c>
      <c r="V879" s="9">
        <f>INT(200*U879)/200</f>
        <v>8.5000000000000006E-2</v>
      </c>
      <c r="W879" s="9">
        <f t="array" ref="W879">SQRT(MMULT(MMULT(P879:S879,$K$3:$N$6),TRANSPOSE(P879:S879)))</f>
        <v>0.10147847634583497</v>
      </c>
      <c r="Y879" s="31">
        <f>U879/W879</f>
        <v>0.86508584942450251</v>
      </c>
      <c r="AA879" s="9">
        <f t="shared" si="107"/>
        <v>0.29380861017192111</v>
      </c>
      <c r="AB879" s="9">
        <f t="shared" si="108"/>
        <v>8.9289731217623042E-2</v>
      </c>
      <c r="AC879" s="9">
        <f t="shared" si="109"/>
        <v>0.2874547174193382</v>
      </c>
      <c r="AD879" s="9">
        <f t="shared" si="110"/>
        <v>0.32944694119111756</v>
      </c>
      <c r="AE879" s="9"/>
      <c r="AF879" s="9">
        <f t="shared" si="111"/>
        <v>0.44143984418461168</v>
      </c>
      <c r="AG879" s="9">
        <f t="shared" si="112"/>
        <v>0.74361895133945555</v>
      </c>
      <c r="AH879" s="9">
        <f t="shared" si="113"/>
        <v>0.51299359757391139</v>
      </c>
      <c r="AI879" s="9">
        <f t="shared" si="114"/>
        <v>0.42051219796249301</v>
      </c>
    </row>
    <row r="880" spans="16:35" x14ac:dyDescent="0.3">
      <c r="P880" s="9">
        <v>0.36758593397490846</v>
      </c>
      <c r="Q880" s="9">
        <v>7.8213690455311555E-2</v>
      </c>
      <c r="R880" s="9">
        <v>0.1199010106427732</v>
      </c>
      <c r="S880" s="9">
        <v>0.43429936492700666</v>
      </c>
      <c r="U880" s="9">
        <f t="array" ref="U880">MMULT(TRANSPOSE($B$3:$B$6),TRANSPOSE(P880:S880))</f>
        <v>8.1121245784474244E-2</v>
      </c>
      <c r="V880" s="9">
        <f>INT(200*U880)/200</f>
        <v>0.08</v>
      </c>
      <c r="W880" s="9">
        <f t="array" ref="W880">SQRT(MMULT(MMULT(P880:S880,$K$3:$N$6),TRANSPOSE(P880:S880)))</f>
        <v>9.3780213410360719E-2</v>
      </c>
      <c r="Y880" s="31">
        <f>U880/W880</f>
        <v>0.86501451462374335</v>
      </c>
      <c r="AA880" s="9">
        <f t="shared" si="107"/>
        <v>0.29863988745440573</v>
      </c>
      <c r="AB880" s="9">
        <f t="shared" si="108"/>
        <v>8.6961041703995101E-2</v>
      </c>
      <c r="AC880" s="9">
        <f t="shared" si="109"/>
        <v>0.28224866313363228</v>
      </c>
      <c r="AD880" s="9">
        <f t="shared" si="110"/>
        <v>0.33215040770796683</v>
      </c>
      <c r="AE880" s="9"/>
      <c r="AF880" s="9">
        <f t="shared" si="111"/>
        <v>0.42964985431283464</v>
      </c>
      <c r="AG880" s="9">
        <f t="shared" si="112"/>
        <v>0.76815141562193301</v>
      </c>
      <c r="AH880" s="9">
        <f t="shared" si="113"/>
        <v>0.50175680469708139</v>
      </c>
      <c r="AI880" s="9">
        <f t="shared" si="114"/>
        <v>0.4103582278260226</v>
      </c>
    </row>
    <row r="881" spans="16:35" x14ac:dyDescent="0.3">
      <c r="P881" s="9">
        <v>0.19020840667734601</v>
      </c>
      <c r="Q881" s="9">
        <v>9.9122775909652822E-2</v>
      </c>
      <c r="R881" s="9">
        <v>0.35295805356779741</v>
      </c>
      <c r="S881" s="9">
        <v>0.35771076384520367</v>
      </c>
      <c r="U881" s="9">
        <f t="array" ref="U881">MMULT(TRANSPOSE($B$3:$B$6),TRANSPOSE(P881:S881))</f>
        <v>8.8963385197021655E-2</v>
      </c>
      <c r="V881" s="9">
        <f>INT(200*U881)/200</f>
        <v>8.5000000000000006E-2</v>
      </c>
      <c r="W881" s="9">
        <f t="array" ref="W881">SQRT(MMULT(MMULT(P881:S881,$K$3:$N$6),TRANSPOSE(P881:S881)))</f>
        <v>0.10288195432571359</v>
      </c>
      <c r="Y881" s="31">
        <f>U881/W881</f>
        <v>0.86471321214770869</v>
      </c>
      <c r="AA881" s="9">
        <f t="shared" si="107"/>
        <v>0.28122823427566157</v>
      </c>
      <c r="AB881" s="9">
        <f t="shared" si="108"/>
        <v>9.2670746839138424E-2</v>
      </c>
      <c r="AC881" s="9">
        <f t="shared" si="109"/>
        <v>0.29276360856169009</v>
      </c>
      <c r="AD881" s="9">
        <f t="shared" si="110"/>
        <v>0.33333741032350989</v>
      </c>
      <c r="AE881" s="9"/>
      <c r="AF881" s="9">
        <f t="shared" si="111"/>
        <v>0.49494730258910563</v>
      </c>
      <c r="AG881" s="9">
        <f t="shared" si="112"/>
        <v>0.72753902814823301</v>
      </c>
      <c r="AH881" s="9">
        <f t="shared" si="113"/>
        <v>0.50779286612931496</v>
      </c>
      <c r="AI881" s="9">
        <f t="shared" si="114"/>
        <v>0.40834962071276698</v>
      </c>
    </row>
    <row r="882" spans="16:35" x14ac:dyDescent="0.3">
      <c r="P882" s="9">
        <v>0.22326710765630728</v>
      </c>
      <c r="Q882" s="9">
        <v>8.3856600922297131E-2</v>
      </c>
      <c r="R882" s="9">
        <v>0.38910643249168692</v>
      </c>
      <c r="S882" s="9">
        <v>0.3037698589297087</v>
      </c>
      <c r="U882" s="9">
        <f t="array" ref="U882">MMULT(TRANSPOSE($B$3:$B$6),TRANSPOSE(P882:S882))</f>
        <v>8.6901608334074704E-2</v>
      </c>
      <c r="V882" s="9">
        <f>INT(200*U882)/200</f>
        <v>8.5000000000000006E-2</v>
      </c>
      <c r="W882" s="9">
        <f t="array" ref="W882">SQRT(MMULT(MMULT(P882:S882,$K$3:$N$6),TRANSPOSE(P882:S882)))</f>
        <v>0.10050082412962216</v>
      </c>
      <c r="Y882" s="31">
        <f>U882/W882</f>
        <v>0.86468552956334266</v>
      </c>
      <c r="AA882" s="9">
        <f t="shared" si="107"/>
        <v>0.28477313545234428</v>
      </c>
      <c r="AB882" s="9">
        <f t="shared" si="108"/>
        <v>9.2600284747344497E-2</v>
      </c>
      <c r="AC882" s="9">
        <f t="shared" si="109"/>
        <v>0.2924684660310567</v>
      </c>
      <c r="AD882" s="9">
        <f t="shared" si="110"/>
        <v>0.33015811376925452</v>
      </c>
      <c r="AE882" s="9"/>
      <c r="AF882" s="9">
        <f t="shared" si="111"/>
        <v>0.51342498792686453</v>
      </c>
      <c r="AG882" s="9">
        <f t="shared" si="112"/>
        <v>0.72893301997204996</v>
      </c>
      <c r="AH882" s="9">
        <f t="shared" si="113"/>
        <v>0.5079426965412307</v>
      </c>
      <c r="AI882" s="9">
        <f t="shared" si="114"/>
        <v>0.43037365046506137</v>
      </c>
    </row>
    <row r="883" spans="16:35" x14ac:dyDescent="0.3">
      <c r="P883" s="9">
        <v>0.30983476139395433</v>
      </c>
      <c r="Q883" s="9">
        <v>5.6756438305651205E-2</v>
      </c>
      <c r="R883" s="9">
        <v>0.31373966069340498</v>
      </c>
      <c r="S883" s="9">
        <v>0.31966913960698951</v>
      </c>
      <c r="U883" s="9">
        <f t="array" ref="U883">MMULT(TRANSPOSE($B$3:$B$6),TRANSPOSE(P883:S883))</f>
        <v>8.2473560206262383E-2</v>
      </c>
      <c r="V883" s="9">
        <f>INT(200*U883)/200</f>
        <v>0.08</v>
      </c>
      <c r="W883" s="9">
        <f t="array" ref="W883">SQRT(MMULT(MMULT(P883:S883,$K$3:$N$6),TRANSPOSE(P883:S883)))</f>
        <v>9.5381839843360544E-2</v>
      </c>
      <c r="Y883" s="31">
        <f>U883/W883</f>
        <v>0.86466732390257306</v>
      </c>
      <c r="AA883" s="9">
        <f t="shared" si="107"/>
        <v>0.28296217090491582</v>
      </c>
      <c r="AB883" s="9">
        <f t="shared" si="108"/>
        <v>9.0112572106693142E-2</v>
      </c>
      <c r="AC883" s="9">
        <f t="shared" si="109"/>
        <v>0.30465310658533812</v>
      </c>
      <c r="AD883" s="9">
        <f t="shared" si="110"/>
        <v>0.3222721504030529</v>
      </c>
      <c r="AE883" s="9"/>
      <c r="AF883" s="9">
        <f t="shared" si="111"/>
        <v>0.52073459137903233</v>
      </c>
      <c r="AG883" s="9">
        <f t="shared" si="112"/>
        <v>0.73529651592840495</v>
      </c>
      <c r="AH883" s="9">
        <f t="shared" si="113"/>
        <v>0.4776715905905391</v>
      </c>
      <c r="AI883" s="9">
        <f t="shared" si="114"/>
        <v>0.42413137402954837</v>
      </c>
    </row>
    <row r="884" spans="16:35" x14ac:dyDescent="0.3">
      <c r="P884" s="9">
        <v>3.537723074422456E-2</v>
      </c>
      <c r="Q884" s="9">
        <v>0.29328597437419573</v>
      </c>
      <c r="R884" s="9">
        <v>4.9548440371742317E-2</v>
      </c>
      <c r="S884" s="9">
        <v>0.62178835450983749</v>
      </c>
      <c r="U884" s="9">
        <f t="array" ref="U884">MMULT(TRANSPOSE($B$3:$B$6),TRANSPOSE(P884:S884))</f>
        <v>0.10245465143335283</v>
      </c>
      <c r="V884" s="9">
        <f>INT(200*U884)/200</f>
        <v>0.1</v>
      </c>
      <c r="W884" s="9">
        <f t="array" ref="W884">SQRT(MMULT(MMULT(P884:S884,$K$3:$N$6),TRANSPOSE(P884:S884)))</f>
        <v>0.11850819090306082</v>
      </c>
      <c r="Y884" s="31">
        <f>U884/W884</f>
        <v>0.86453645653202393</v>
      </c>
      <c r="AA884" s="9">
        <f t="shared" si="107"/>
        <v>0.28937655888149472</v>
      </c>
      <c r="AB884" s="9">
        <f t="shared" si="108"/>
        <v>8.6911877025396211E-2</v>
      </c>
      <c r="AC884" s="9">
        <f t="shared" si="109"/>
        <v>0.28528429171648539</v>
      </c>
      <c r="AD884" s="9">
        <f t="shared" si="110"/>
        <v>0.33842727237662368</v>
      </c>
      <c r="AE884" s="9"/>
      <c r="AF884" s="9">
        <f t="shared" si="111"/>
        <v>0.5345158607741628</v>
      </c>
      <c r="AG884" s="9">
        <f t="shared" si="112"/>
        <v>0.78156569038239199</v>
      </c>
      <c r="AH884" s="9">
        <f t="shared" si="113"/>
        <v>0.50290558005920249</v>
      </c>
      <c r="AI884" s="9">
        <f t="shared" si="114"/>
        <v>0.34640328588143932</v>
      </c>
    </row>
    <row r="885" spans="16:35" x14ac:dyDescent="0.3">
      <c r="P885" s="9">
        <v>0.30390585790982527</v>
      </c>
      <c r="Q885" s="9">
        <v>5.8884498320789916E-2</v>
      </c>
      <c r="R885" s="9">
        <v>0.30346562474684474</v>
      </c>
      <c r="S885" s="9">
        <v>0.33374401902254003</v>
      </c>
      <c r="U885" s="9">
        <f t="array" ref="U885">MMULT(TRANSPOSE($B$3:$B$6),TRANSPOSE(P885:S885))</f>
        <v>8.2840510305173962E-2</v>
      </c>
      <c r="V885" s="9">
        <f>INT(200*U885)/200</f>
        <v>0.08</v>
      </c>
      <c r="W885" s="9">
        <f t="array" ref="W885">SQRT(MMULT(MMULT(P885:S885,$K$3:$N$6),TRANSPOSE(P885:S885)))</f>
        <v>9.5921374604230988E-2</v>
      </c>
      <c r="Y885" s="31">
        <f>U885/W885</f>
        <v>0.86362930730477627</v>
      </c>
      <c r="AA885" s="9">
        <f t="shared" si="107"/>
        <v>0.27384222820620802</v>
      </c>
      <c r="AB885" s="9">
        <f t="shared" si="108"/>
        <v>9.0439661568182797E-2</v>
      </c>
      <c r="AC885" s="9">
        <f t="shared" si="109"/>
        <v>0.29614867324375754</v>
      </c>
      <c r="AD885" s="9">
        <f t="shared" si="110"/>
        <v>0.3395694369818516</v>
      </c>
      <c r="AE885" s="9"/>
      <c r="AF885" s="9">
        <f t="shared" si="111"/>
        <v>0.53932974019855318</v>
      </c>
      <c r="AG885" s="9">
        <f t="shared" si="112"/>
        <v>0.73296445344534678</v>
      </c>
      <c r="AH885" s="9">
        <f t="shared" si="113"/>
        <v>0.47369478160827039</v>
      </c>
      <c r="AI885" s="9">
        <f t="shared" si="114"/>
        <v>0.34537590341988822</v>
      </c>
    </row>
    <row r="886" spans="16:35" x14ac:dyDescent="0.3">
      <c r="P886" s="9">
        <v>2.7594140048100277E-2</v>
      </c>
      <c r="Q886" s="9">
        <v>0.1597805590897528</v>
      </c>
      <c r="R886" s="9">
        <v>0.54480036530587594</v>
      </c>
      <c r="S886" s="9">
        <v>0.26782493555627102</v>
      </c>
      <c r="U886" s="9">
        <f t="array" ref="U886">MMULT(TRANSPOSE($B$3:$B$6),TRANSPOSE(P886:S886))</f>
        <v>9.7364099250141639E-2</v>
      </c>
      <c r="V886" s="9">
        <f>INT(200*U886)/200</f>
        <v>9.5000000000000001E-2</v>
      </c>
      <c r="W886" s="9">
        <f t="array" ref="W886">SQRT(MMULT(MMULT(P886:S886,$K$3:$N$6),TRANSPOSE(P886:S886)))</f>
        <v>0.11287766905630731</v>
      </c>
      <c r="Y886" s="31">
        <f>U886/W886</f>
        <v>0.86256298578927104</v>
      </c>
      <c r="AA886" s="9">
        <f t="shared" si="107"/>
        <v>0.28287756840460687</v>
      </c>
      <c r="AB886" s="9">
        <f t="shared" si="108"/>
        <v>8.7987662821760931E-2</v>
      </c>
      <c r="AC886" s="9">
        <f t="shared" si="109"/>
        <v>0.28698061343705161</v>
      </c>
      <c r="AD886" s="9">
        <f t="shared" si="110"/>
        <v>0.3421541553365805</v>
      </c>
      <c r="AE886" s="9"/>
      <c r="AF886" s="9">
        <f t="shared" si="111"/>
        <v>0.53994597601982086</v>
      </c>
      <c r="AG886" s="9">
        <f t="shared" si="112"/>
        <v>0.77230337084253631</v>
      </c>
      <c r="AH886" s="9">
        <f t="shared" si="113"/>
        <v>0.48899525064272553</v>
      </c>
      <c r="AI886" s="9">
        <f t="shared" si="114"/>
        <v>0.34033474154879012</v>
      </c>
    </row>
    <row r="887" spans="16:35" x14ac:dyDescent="0.3">
      <c r="P887" s="9">
        <v>0.39441785374956079</v>
      </c>
      <c r="Q887" s="9">
        <v>4.6151605010016972E-2</v>
      </c>
      <c r="R887" s="9">
        <v>0.18017653632099545</v>
      </c>
      <c r="S887" s="9">
        <v>0.37925400491942679</v>
      </c>
      <c r="U887" s="9">
        <f t="array" ref="U887">MMULT(TRANSPOSE($B$3:$B$6),TRANSPOSE(P887:S887))</f>
        <v>7.8798454217270913E-2</v>
      </c>
      <c r="V887" s="9">
        <f>INT(200*U887)/200</f>
        <v>7.4999999999999997E-2</v>
      </c>
      <c r="W887" s="9">
        <f t="array" ref="W887">SQRT(MMULT(MMULT(P887:S887,$K$3:$N$6),TRANSPOSE(P887:S887)))</f>
        <v>9.1364377312612863E-2</v>
      </c>
      <c r="Y887" s="31">
        <f>U887/W887</f>
        <v>0.86246364868939762</v>
      </c>
      <c r="AA887" s="9">
        <f t="shared" si="107"/>
        <v>0.29067200313990149</v>
      </c>
      <c r="AB887" s="9">
        <f t="shared" si="108"/>
        <v>8.614561123091391E-2</v>
      </c>
      <c r="AC887" s="9">
        <f t="shared" si="109"/>
        <v>0.27226400996544359</v>
      </c>
      <c r="AD887" s="9">
        <f t="shared" si="110"/>
        <v>0.35091837566374096</v>
      </c>
      <c r="AE887" s="9"/>
      <c r="AF887" s="9">
        <f t="shared" si="111"/>
        <v>0.54413261669063229</v>
      </c>
      <c r="AG887" s="9">
        <f t="shared" si="112"/>
        <v>0.80220186175737651</v>
      </c>
      <c r="AH887" s="9">
        <f t="shared" si="113"/>
        <v>0.51103177432768676</v>
      </c>
      <c r="AI887" s="9">
        <f t="shared" si="114"/>
        <v>0.31496142294509388</v>
      </c>
    </row>
    <row r="888" spans="16:35" x14ac:dyDescent="0.3">
      <c r="P888" s="9">
        <v>0.30361041529590943</v>
      </c>
      <c r="Q888" s="9">
        <v>5.5786605119431863E-2</v>
      </c>
      <c r="R888" s="9">
        <v>0.32755098491528306</v>
      </c>
      <c r="S888" s="9">
        <v>0.31305199466937567</v>
      </c>
      <c r="U888" s="9">
        <f t="array" ref="U888">MMULT(TRANSPOSE($B$3:$B$6),TRANSPOSE(P888:S888))</f>
        <v>8.2681746554628635E-2</v>
      </c>
      <c r="V888" s="9">
        <f>INT(200*U888)/200</f>
        <v>0.08</v>
      </c>
      <c r="W888" s="9">
        <f t="array" ref="W888">SQRT(MMULT(MMULT(P888:S888,$K$3:$N$6),TRANSPOSE(P888:S888)))</f>
        <v>9.5876450456401391E-2</v>
      </c>
      <c r="Y888" s="31">
        <f>U888/W888</f>
        <v>0.86237805176389082</v>
      </c>
      <c r="AA888" s="9">
        <f t="shared" si="107"/>
        <v>0.28916850478694933</v>
      </c>
      <c r="AB888" s="9">
        <f t="shared" si="108"/>
        <v>8.1150100458628277E-2</v>
      </c>
      <c r="AC888" s="9">
        <f t="shared" si="109"/>
        <v>0.28761411849461677</v>
      </c>
      <c r="AD888" s="9">
        <f t="shared" si="110"/>
        <v>0.34206727625980565</v>
      </c>
      <c r="AE888" s="9"/>
      <c r="AF888" s="9">
        <f t="shared" si="111"/>
        <v>0.55090494522544908</v>
      </c>
      <c r="AG888" s="9">
        <f t="shared" si="112"/>
        <v>0.77894121644893544</v>
      </c>
      <c r="AH888" s="9">
        <f t="shared" si="113"/>
        <v>0.4479697561785696</v>
      </c>
      <c r="AI888" s="9">
        <f t="shared" si="114"/>
        <v>0.2905284491099579</v>
      </c>
    </row>
    <row r="889" spans="16:35" x14ac:dyDescent="0.3">
      <c r="P889" s="9">
        <v>0.38995113655287139</v>
      </c>
      <c r="Q889" s="9">
        <v>3.7227918158172016E-2</v>
      </c>
      <c r="R889" s="9">
        <v>0.22775386875739739</v>
      </c>
      <c r="S889" s="9">
        <v>0.34506707653155927</v>
      </c>
      <c r="U889" s="9">
        <f t="array" ref="U889">MMULT(TRANSPOSE($B$3:$B$6),TRANSPOSE(P889:S889))</f>
        <v>7.8586130079442207E-2</v>
      </c>
      <c r="V889" s="9">
        <f>INT(200*U889)/200</f>
        <v>7.4999999999999997E-2</v>
      </c>
      <c r="W889" s="9">
        <f t="array" ref="W889">SQRT(MMULT(MMULT(P889:S889,$K$3:$N$6),TRANSPOSE(P889:S889)))</f>
        <v>9.1165904648059251E-2</v>
      </c>
      <c r="Y889" s="31">
        <f>U889/W889</f>
        <v>0.86201228828715581</v>
      </c>
      <c r="AA889" s="9">
        <f t="shared" si="107"/>
        <v>0.28884996069480107</v>
      </c>
      <c r="AB889" s="9">
        <f t="shared" si="108"/>
        <v>8.3874834425677627E-2</v>
      </c>
      <c r="AC889" s="9">
        <f t="shared" si="109"/>
        <v>0.27958112066002816</v>
      </c>
      <c r="AD889" s="9">
        <f t="shared" si="110"/>
        <v>0.3476940842194931</v>
      </c>
      <c r="AE889" s="9"/>
      <c r="AF889" s="9">
        <f t="shared" si="111"/>
        <v>0.55062475557534152</v>
      </c>
      <c r="AG889" s="9">
        <f t="shared" si="112"/>
        <v>0.74560597841834153</v>
      </c>
      <c r="AH889" s="9">
        <f t="shared" si="113"/>
        <v>0.50050068556882776</v>
      </c>
      <c r="AI889" s="9">
        <f t="shared" si="114"/>
        <v>0.29746215906118639</v>
      </c>
    </row>
    <row r="890" spans="16:35" x14ac:dyDescent="0.3">
      <c r="P890" s="9">
        <v>0.31164899732338164</v>
      </c>
      <c r="Q890" s="9">
        <v>5.2732653874977255E-2</v>
      </c>
      <c r="R890" s="9">
        <v>0.3846685803542475</v>
      </c>
      <c r="S890" s="9">
        <v>0.25094976844739353</v>
      </c>
      <c r="U890" s="9">
        <f t="array" ref="U890">MMULT(TRANSPOSE($B$3:$B$6),TRANSPOSE(P890:S890))</f>
        <v>8.20222170768726E-2</v>
      </c>
      <c r="V890" s="9">
        <f>INT(200*U890)/200</f>
        <v>0.08</v>
      </c>
      <c r="W890" s="9">
        <f t="array" ref="W890">SQRT(MMULT(MMULT(P890:S890,$K$3:$N$6),TRANSPOSE(P890:S890)))</f>
        <v>9.5159152169949746E-2</v>
      </c>
      <c r="Y890" s="31">
        <f>U890/W890</f>
        <v>0.86194774970656318</v>
      </c>
      <c r="AA890" s="9">
        <f t="shared" si="107"/>
        <v>0.29779094934150968</v>
      </c>
      <c r="AB890" s="9">
        <f t="shared" si="108"/>
        <v>8.1268829685867974E-2</v>
      </c>
      <c r="AC890" s="9">
        <f t="shared" si="109"/>
        <v>0.27371465734827199</v>
      </c>
      <c r="AD890" s="9">
        <f t="shared" si="110"/>
        <v>0.34722556362435042</v>
      </c>
      <c r="AE890" s="9"/>
      <c r="AF890" s="9">
        <f t="shared" si="111"/>
        <v>0.53848501539430427</v>
      </c>
      <c r="AG890" s="9">
        <f t="shared" si="112"/>
        <v>0.77567443926700119</v>
      </c>
      <c r="AH890" s="9">
        <f t="shared" si="113"/>
        <v>0.52129568986744357</v>
      </c>
      <c r="AI890" s="9">
        <f t="shared" si="114"/>
        <v>0.29714413014292873</v>
      </c>
    </row>
    <row r="891" spans="16:35" x14ac:dyDescent="0.3">
      <c r="P891" s="9">
        <v>2.7495382792008839E-2</v>
      </c>
      <c r="Q891" s="9">
        <v>0.15673427403595785</v>
      </c>
      <c r="R891" s="9">
        <v>0.49050195202373809</v>
      </c>
      <c r="S891" s="9">
        <v>0.3252683911482952</v>
      </c>
      <c r="U891" s="9">
        <f t="array" ref="U891">MMULT(TRANSPOSE($B$3:$B$6),TRANSPOSE(P891:S891))</f>
        <v>9.7483424098573024E-2</v>
      </c>
      <c r="V891" s="9">
        <f>INT(200*U891)/200</f>
        <v>9.5000000000000001E-2</v>
      </c>
      <c r="W891" s="9">
        <f t="array" ref="W891">SQRT(MMULT(MMULT(P891:S891,$K$3:$N$6),TRANSPOSE(P891:S891)))</f>
        <v>0.11310788816605769</v>
      </c>
      <c r="Y891" s="31">
        <f>U891/W891</f>
        <v>0.86186229518717705</v>
      </c>
      <c r="AA891" s="9">
        <f t="shared" si="107"/>
        <v>0.29400274291393758</v>
      </c>
      <c r="AB891" s="9">
        <f t="shared" si="108"/>
        <v>8.0445554600843336E-2</v>
      </c>
      <c r="AC891" s="9">
        <f t="shared" si="109"/>
        <v>0.28171621501058142</v>
      </c>
      <c r="AD891" s="9">
        <f t="shared" si="110"/>
        <v>0.34383548747463766</v>
      </c>
      <c r="AE891" s="9"/>
      <c r="AF891" s="9">
        <f t="shared" si="111"/>
        <v>0.54272419834618679</v>
      </c>
      <c r="AG891" s="9">
        <f t="shared" si="112"/>
        <v>0.78553445079205308</v>
      </c>
      <c r="AH891" s="9">
        <f t="shared" si="113"/>
        <v>0.49082244010022202</v>
      </c>
      <c r="AI891" s="9">
        <f t="shared" si="114"/>
        <v>0.29469023235851005</v>
      </c>
    </row>
    <row r="892" spans="16:35" x14ac:dyDescent="0.3">
      <c r="P892" s="9">
        <v>0.58922356416975363</v>
      </c>
      <c r="Q892" s="9">
        <v>2.0938446006037E-2</v>
      </c>
      <c r="R892" s="9">
        <v>0.34037287606640393</v>
      </c>
      <c r="S892" s="9">
        <v>4.9465113757805476E-2</v>
      </c>
      <c r="U892" s="9">
        <f t="array" ref="U892">MMULT(TRANSPOSE($B$3:$B$6),TRANSPOSE(P892:S892))</f>
        <v>6.8607665851843344E-2</v>
      </c>
      <c r="V892" s="9">
        <f>INT(200*U892)/200</f>
        <v>6.5000000000000002E-2</v>
      </c>
      <c r="W892" s="9">
        <f t="array" ref="W892">SQRT(MMULT(MMULT(P892:S892,$K$3:$N$6),TRANSPOSE(P892:S892)))</f>
        <v>7.9686081536109607E-2</v>
      </c>
      <c r="Y892" s="31">
        <f>U892/W892</f>
        <v>0.8609742696502638</v>
      </c>
      <c r="AA892" s="9">
        <f t="shared" si="107"/>
        <v>0.3080927797632762</v>
      </c>
      <c r="AB892" s="9">
        <f t="shared" si="108"/>
        <v>7.6605428496074671E-2</v>
      </c>
      <c r="AC892" s="9">
        <f t="shared" si="109"/>
        <v>0.2716283106154328</v>
      </c>
      <c r="AD892" s="9">
        <f t="shared" si="110"/>
        <v>0.34367348112521623</v>
      </c>
      <c r="AE892" s="9"/>
      <c r="AF892" s="9">
        <f t="shared" si="111"/>
        <v>0.52895281018071905</v>
      </c>
      <c r="AG892" s="9">
        <f t="shared" si="112"/>
        <v>0.84118053388525649</v>
      </c>
      <c r="AH892" s="9">
        <f t="shared" si="113"/>
        <v>0.51734166718811392</v>
      </c>
      <c r="AI892" s="9">
        <f t="shared" si="114"/>
        <v>0.29476927618485127</v>
      </c>
    </row>
    <row r="893" spans="16:35" x14ac:dyDescent="0.3">
      <c r="P893" s="9">
        <v>0.17696741099023408</v>
      </c>
      <c r="Q893" s="9">
        <v>9.6982647717062831E-2</v>
      </c>
      <c r="R893" s="9">
        <v>0.39164007396007161</v>
      </c>
      <c r="S893" s="9">
        <v>0.33440986733263162</v>
      </c>
      <c r="U893" s="9">
        <f t="array" ref="U893">MMULT(TRANSPOSE($B$3:$B$6),TRANSPOSE(P893:S893))</f>
        <v>8.9370256822434768E-2</v>
      </c>
      <c r="V893" s="9">
        <f>INT(200*U893)/200</f>
        <v>8.5000000000000006E-2</v>
      </c>
      <c r="W893" s="9">
        <f t="array" ref="W893">SQRT(MMULT(MMULT(P893:S893,$K$3:$N$6),TRANSPOSE(P893:S893)))</f>
        <v>0.10387254774107885</v>
      </c>
      <c r="Y893" s="31">
        <f>U893/W893</f>
        <v>0.86038379500622564</v>
      </c>
      <c r="AA893" s="9">
        <f t="shared" si="107"/>
        <v>0.31237375405119722</v>
      </c>
      <c r="AB893" s="9">
        <f t="shared" si="108"/>
        <v>7.4969945110938171E-2</v>
      </c>
      <c r="AC893" s="9">
        <f t="shared" si="109"/>
        <v>0.26695185438102331</v>
      </c>
      <c r="AD893" s="9">
        <f t="shared" si="110"/>
        <v>0.34570444645684123</v>
      </c>
      <c r="AE893" s="9"/>
      <c r="AF893" s="9">
        <f t="shared" si="111"/>
        <v>0.51798041731645106</v>
      </c>
      <c r="AG893" s="9">
        <f t="shared" si="112"/>
        <v>0.86276102845114166</v>
      </c>
      <c r="AH893" s="9">
        <f t="shared" si="113"/>
        <v>0.51706560490868225</v>
      </c>
      <c r="AI893" s="9">
        <f t="shared" si="114"/>
        <v>0.29184199755882734</v>
      </c>
    </row>
    <row r="894" spans="16:35" x14ac:dyDescent="0.3">
      <c r="P894" s="9">
        <v>0.51783016192204145</v>
      </c>
      <c r="Q894" s="9">
        <v>2.1607456822978155E-2</v>
      </c>
      <c r="R894" s="9">
        <v>0.10618335914763358</v>
      </c>
      <c r="S894" s="9">
        <v>0.35437902210734679</v>
      </c>
      <c r="U894" s="9">
        <f t="array" ref="U894">MMULT(TRANSPOSE($B$3:$B$6),TRANSPOSE(P894:S894))</f>
        <v>7.2748199770042321E-2</v>
      </c>
      <c r="V894" s="9">
        <f>INT(200*U894)/200</f>
        <v>7.0000000000000007E-2</v>
      </c>
      <c r="W894" s="9">
        <f t="array" ref="W894">SQRT(MMULT(MMULT(P894:S894,$K$3:$N$6),TRANSPOSE(P894:S894)))</f>
        <v>8.4576893089155461E-2</v>
      </c>
      <c r="Y894" s="31">
        <f>U894/W894</f>
        <v>0.86014273063159108</v>
      </c>
      <c r="AA894" s="9">
        <f t="shared" si="107"/>
        <v>0.31873132652454256</v>
      </c>
      <c r="AB894" s="9">
        <f t="shared" si="108"/>
        <v>7.2922933304499907E-2</v>
      </c>
      <c r="AC894" s="9">
        <f t="shared" si="109"/>
        <v>0.26834910726301053</v>
      </c>
      <c r="AD894" s="9">
        <f t="shared" si="110"/>
        <v>0.33999663290794696</v>
      </c>
      <c r="AE894" s="9"/>
      <c r="AF894" s="9">
        <f t="shared" si="111"/>
        <v>0.51548856909305718</v>
      </c>
      <c r="AG894" s="9">
        <f t="shared" si="112"/>
        <v>0.90443540506678621</v>
      </c>
      <c r="AH894" s="9">
        <f t="shared" si="113"/>
        <v>0.51677432946425284</v>
      </c>
      <c r="AI894" s="9">
        <f t="shared" si="114"/>
        <v>0.31092370298271976</v>
      </c>
    </row>
    <row r="895" spans="16:35" x14ac:dyDescent="0.3">
      <c r="P895" s="9">
        <v>0.18324243021955028</v>
      </c>
      <c r="Q895" s="9">
        <v>9.6036854929722332E-2</v>
      </c>
      <c r="R895" s="9">
        <v>0.36515565718490128</v>
      </c>
      <c r="S895" s="9">
        <v>0.35556505766582602</v>
      </c>
      <c r="U895" s="9">
        <f t="array" ref="U895">MMULT(TRANSPOSE($B$3:$B$6),TRANSPOSE(P895:S895))</f>
        <v>8.9153684408373957E-2</v>
      </c>
      <c r="V895" s="9">
        <f>INT(200*U895)/200</f>
        <v>8.5000000000000006E-2</v>
      </c>
      <c r="W895" s="9">
        <f t="array" ref="W895">SQRT(MMULT(MMULT(P895:S895,$K$3:$N$6),TRANSPOSE(P895:S895)))</f>
        <v>0.10367388802334722</v>
      </c>
      <c r="Y895" s="31">
        <f>U895/W895</f>
        <v>0.85994348343815052</v>
      </c>
      <c r="AA895" s="9">
        <f t="shared" si="107"/>
        <v>0.33239316598651503</v>
      </c>
      <c r="AB895" s="9">
        <f t="shared" si="108"/>
        <v>6.2256286112412837E-2</v>
      </c>
      <c r="AC895" s="9">
        <f t="shared" si="109"/>
        <v>0.27454734343479348</v>
      </c>
      <c r="AD895" s="9">
        <f t="shared" si="110"/>
        <v>0.33080320446627864</v>
      </c>
      <c r="AE895" s="9"/>
      <c r="AF895" s="9">
        <f t="shared" si="111"/>
        <v>0.45412623683033776</v>
      </c>
      <c r="AG895" s="9">
        <f t="shared" si="112"/>
        <v>0.68207450888511212</v>
      </c>
      <c r="AH895" s="9">
        <f t="shared" si="113"/>
        <v>0.47754952760287156</v>
      </c>
      <c r="AI895" s="9">
        <f t="shared" si="114"/>
        <v>0.2619659951683343</v>
      </c>
    </row>
    <row r="896" spans="16:35" x14ac:dyDescent="0.3">
      <c r="P896" s="9">
        <v>0.45314857456142887</v>
      </c>
      <c r="Q896" s="9">
        <v>2.0083432577232607E-2</v>
      </c>
      <c r="R896" s="9">
        <v>0.19459929700132184</v>
      </c>
      <c r="S896" s="9">
        <v>0.33216869586001679</v>
      </c>
      <c r="U896" s="9">
        <f t="array" ref="U896">MMULT(TRANSPOSE($B$3:$B$6),TRANSPOSE(P896:S896))</f>
        <v>7.5345808791280416E-2</v>
      </c>
      <c r="V896" s="9">
        <f>INT(200*U896)/200</f>
        <v>7.4999999999999997E-2</v>
      </c>
      <c r="W896" s="9">
        <f t="array" ref="W896">SQRT(MMULT(MMULT(P896:S896,$K$3:$N$6),TRANSPOSE(P896:S896)))</f>
        <v>8.7661413379750197E-2</v>
      </c>
      <c r="Y896" s="31">
        <f>U896/W896</f>
        <v>0.85950939970453766</v>
      </c>
      <c r="AA896" s="9">
        <f t="shared" si="107"/>
        <v>0.32591571605223912</v>
      </c>
      <c r="AB896" s="9">
        <f t="shared" si="108"/>
        <v>6.3908790420671158E-2</v>
      </c>
      <c r="AC896" s="9">
        <f t="shared" si="109"/>
        <v>0.27905192006487817</v>
      </c>
      <c r="AD896" s="9">
        <f t="shared" si="110"/>
        <v>0.33112357346221161</v>
      </c>
      <c r="AE896" s="9"/>
      <c r="AF896" s="9">
        <f t="shared" si="111"/>
        <v>0.47587046195092431</v>
      </c>
      <c r="AG896" s="9">
        <f t="shared" si="112"/>
        <v>0.67279526666834766</v>
      </c>
      <c r="AH896" s="9">
        <f t="shared" si="113"/>
        <v>0.47930722909979662</v>
      </c>
      <c r="AI896" s="9">
        <f t="shared" si="114"/>
        <v>0.26178455907896991</v>
      </c>
    </row>
    <row r="897" spans="16:35" x14ac:dyDescent="0.3">
      <c r="P897" s="9">
        <v>0.47166953240852505</v>
      </c>
      <c r="Q897" s="9">
        <v>2.6872723458081248E-2</v>
      </c>
      <c r="R897" s="9">
        <v>0.13591860749854609</v>
      </c>
      <c r="S897" s="9">
        <v>0.36553913663484755</v>
      </c>
      <c r="U897" s="9">
        <f t="array" ref="U897">MMULT(TRANSPOSE($B$3:$B$6),TRANSPOSE(P897:S897))</f>
        <v>7.4896907526905171E-2</v>
      </c>
      <c r="V897" s="9">
        <f>INT(200*U897)/200</f>
        <v>7.0000000000000007E-2</v>
      </c>
      <c r="W897" s="9">
        <f t="array" ref="W897">SQRT(MMULT(MMULT(P897:S897,$K$3:$N$6),TRANSPOSE(P897:S897)))</f>
        <v>8.7218774276520236E-2</v>
      </c>
      <c r="Y897" s="31">
        <f>U897/W897</f>
        <v>0.85872460543243179</v>
      </c>
      <c r="AA897" s="9">
        <f t="shared" si="107"/>
        <v>0.34509873398868568</v>
      </c>
      <c r="AB897" s="9">
        <f t="shared" si="108"/>
        <v>5.6860164546931977E-2</v>
      </c>
      <c r="AC897" s="9">
        <f t="shared" si="109"/>
        <v>0.26755234909250558</v>
      </c>
      <c r="AD897" s="9">
        <f t="shared" si="110"/>
        <v>0.3304887523718768</v>
      </c>
      <c r="AE897" s="9"/>
      <c r="AF897" s="9">
        <f t="shared" si="111"/>
        <v>0.4073758231992391</v>
      </c>
      <c r="AG897" s="9">
        <f t="shared" si="112"/>
        <v>0.67499019508555069</v>
      </c>
      <c r="AH897" s="9">
        <f t="shared" si="113"/>
        <v>0.44615178950104722</v>
      </c>
      <c r="AI897" s="9">
        <f t="shared" si="114"/>
        <v>0.2639029424682614</v>
      </c>
    </row>
    <row r="898" spans="16:35" x14ac:dyDescent="0.3">
      <c r="P898" s="9">
        <v>0.15948320751849912</v>
      </c>
      <c r="Q898" s="9">
        <v>0.10554862708068788</v>
      </c>
      <c r="R898" s="9">
        <v>0.35554629712720753</v>
      </c>
      <c r="S898" s="9">
        <v>0.37942186827360547</v>
      </c>
      <c r="U898" s="9">
        <f t="array" ref="U898">MMULT(TRANSPOSE($B$3:$B$6),TRANSPOSE(P898:S898))</f>
        <v>9.0535987186662392E-2</v>
      </c>
      <c r="V898" s="9">
        <f>INT(200*U898)/200</f>
        <v>0.09</v>
      </c>
      <c r="W898" s="9">
        <f t="array" ref="W898">SQRT(MMULT(MMULT(P898:S898,$K$3:$N$6),TRANSPOSE(P898:S898)))</f>
        <v>0.10547879655435687</v>
      </c>
      <c r="Y898" s="31">
        <f>U898/W898</f>
        <v>0.85833352431174237</v>
      </c>
      <c r="AA898" s="9">
        <f t="shared" si="107"/>
        <v>0.34221739107104182</v>
      </c>
      <c r="AB898" s="9">
        <f t="shared" si="108"/>
        <v>5.6430916783746773E-2</v>
      </c>
      <c r="AC898" s="9">
        <f t="shared" si="109"/>
        <v>0.2750513562243419</v>
      </c>
      <c r="AD898" s="9">
        <f t="shared" si="110"/>
        <v>0.32630033592086949</v>
      </c>
      <c r="AE898" s="9"/>
      <c r="AF898" s="9">
        <f t="shared" si="111"/>
        <v>0.40951425572374572</v>
      </c>
      <c r="AG898" s="9">
        <f t="shared" si="112"/>
        <v>0.68323918247044657</v>
      </c>
      <c r="AH898" s="9">
        <f t="shared" si="113"/>
        <v>0.43100729514366365</v>
      </c>
      <c r="AI898" s="9">
        <f t="shared" si="114"/>
        <v>0.26622494360749199</v>
      </c>
    </row>
    <row r="899" spans="16:35" x14ac:dyDescent="0.3">
      <c r="P899" s="9">
        <v>0.40769589865339112</v>
      </c>
      <c r="Q899" s="9">
        <v>9.6319185722758063E-2</v>
      </c>
      <c r="R899" s="9">
        <v>2.2587814872887319E-2</v>
      </c>
      <c r="S899" s="9">
        <v>0.47339710075096353</v>
      </c>
      <c r="U899" s="9">
        <f t="array" ref="U899">MMULT(TRANSPOSE($B$3:$B$6),TRANSPOSE(P899:S899))</f>
        <v>8.0133391696980444E-2</v>
      </c>
      <c r="V899" s="9">
        <f>INT(200*U899)/200</f>
        <v>0.08</v>
      </c>
      <c r="W899" s="9">
        <f t="array" ref="W899">SQRT(MMULT(MMULT(P899:S899,$K$3:$N$6),TRANSPOSE(P899:S899)))</f>
        <v>9.339832337983095E-2</v>
      </c>
      <c r="Y899" s="31">
        <f>U899/W899</f>
        <v>0.85797462735059093</v>
      </c>
      <c r="AA899" s="9">
        <f t="shared" si="107"/>
        <v>0.34346649082515668</v>
      </c>
      <c r="AB899" s="9">
        <f t="shared" si="108"/>
        <v>5.9621867810858209E-2</v>
      </c>
      <c r="AC899" s="9">
        <f t="shared" si="109"/>
        <v>0.26106569846291572</v>
      </c>
      <c r="AD899" s="9">
        <f t="shared" si="110"/>
        <v>0.33584594290106945</v>
      </c>
      <c r="AE899" s="9"/>
      <c r="AF899" s="9">
        <f t="shared" si="111"/>
        <v>0.40731273339792118</v>
      </c>
      <c r="AG899" s="9">
        <f t="shared" si="112"/>
        <v>0.69074041877031267</v>
      </c>
      <c r="AH899" s="9">
        <f t="shared" si="113"/>
        <v>0.4938101069049865</v>
      </c>
      <c r="AI899" s="9">
        <f t="shared" si="114"/>
        <v>0.2855069285163766</v>
      </c>
    </row>
    <row r="900" spans="16:35" x14ac:dyDescent="0.3">
      <c r="P900" s="9">
        <v>0.40945193160988086</v>
      </c>
      <c r="Q900" s="9">
        <v>4.3722455512460311E-2</v>
      </c>
      <c r="R900" s="9">
        <v>0.15183231126295074</v>
      </c>
      <c r="S900" s="9">
        <v>0.39499330161470814</v>
      </c>
      <c r="U900" s="9">
        <f t="array" ref="U900">MMULT(TRANSPOSE($B$3:$B$6),TRANSPOSE(P900:S900))</f>
        <v>7.8147164628096621E-2</v>
      </c>
      <c r="V900" s="9">
        <f>INT(200*U900)/200</f>
        <v>7.4999999999999997E-2</v>
      </c>
      <c r="W900" s="9">
        <f t="array" ref="W900">SQRT(MMULT(MMULT(P900:S900,$K$3:$N$6),TRANSPOSE(P900:S900)))</f>
        <v>9.1146456250456837E-2</v>
      </c>
      <c r="Y900" s="31">
        <f>U900/W900</f>
        <v>0.85738017519145115</v>
      </c>
      <c r="AA900" s="9">
        <f t="shared" si="107"/>
        <v>0.34439244703915622</v>
      </c>
      <c r="AB900" s="9">
        <f t="shared" si="108"/>
        <v>5.9870585802704802E-2</v>
      </c>
      <c r="AC900" s="9">
        <f t="shared" si="109"/>
        <v>0.27185654209342325</v>
      </c>
      <c r="AD900" s="9">
        <f t="shared" si="110"/>
        <v>0.32388042506471593</v>
      </c>
      <c r="AE900" s="9"/>
      <c r="AF900" s="9">
        <f t="shared" si="111"/>
        <v>0.40734095129113312</v>
      </c>
      <c r="AG900" s="9">
        <f t="shared" si="112"/>
        <v>0.68575921184033661</v>
      </c>
      <c r="AH900" s="9">
        <f t="shared" si="113"/>
        <v>0.49774181994593847</v>
      </c>
      <c r="AI900" s="9">
        <f t="shared" si="114"/>
        <v>0.33778987506466207</v>
      </c>
    </row>
    <row r="901" spans="16:35" x14ac:dyDescent="0.3">
      <c r="P901" s="9">
        <v>0.28803359899589481</v>
      </c>
      <c r="Q901" s="9">
        <v>6.0924913669794183E-2</v>
      </c>
      <c r="R901" s="9">
        <v>0.28793372155127178</v>
      </c>
      <c r="S901" s="9">
        <v>0.36310776578303933</v>
      </c>
      <c r="U901" s="9">
        <f t="array" ref="U901">MMULT(TRANSPOSE($B$3:$B$6),TRANSPOSE(P901:S901))</f>
        <v>8.3679487375120598E-2</v>
      </c>
      <c r="V901" s="9">
        <f>INT(200*U901)/200</f>
        <v>0.08</v>
      </c>
      <c r="W901" s="9">
        <f t="array" ref="W901">SQRT(MMULT(MMULT(P901:S901,$K$3:$N$6),TRANSPOSE(P901:S901)))</f>
        <v>9.761440490942204E-2</v>
      </c>
      <c r="Y901" s="31">
        <f>U901/W901</f>
        <v>0.85724527494449332</v>
      </c>
      <c r="AA901" s="9">
        <f t="shared" si="107"/>
        <v>0.34749069092233192</v>
      </c>
      <c r="AB901" s="9">
        <f t="shared" si="108"/>
        <v>5.8865820606468236E-2</v>
      </c>
      <c r="AC901" s="9">
        <f t="shared" si="109"/>
        <v>0.27298703106996253</v>
      </c>
      <c r="AD901" s="9">
        <f t="shared" si="110"/>
        <v>0.32065645740123744</v>
      </c>
      <c r="AE901" s="9"/>
      <c r="AF901" s="9">
        <f t="shared" si="111"/>
        <v>0.40359154238977674</v>
      </c>
      <c r="AG901" s="9">
        <f t="shared" si="112"/>
        <v>0.70492621353659624</v>
      </c>
      <c r="AH901" s="9">
        <f t="shared" si="113"/>
        <v>0.49965308063589925</v>
      </c>
      <c r="AI901" s="9">
        <f t="shared" si="114"/>
        <v>0.35118800477888434</v>
      </c>
    </row>
    <row r="902" spans="16:35" x14ac:dyDescent="0.3">
      <c r="P902" s="9">
        <v>0.48609918051345741</v>
      </c>
      <c r="Q902" s="9">
        <v>1.8480127709510814E-2</v>
      </c>
      <c r="R902" s="9">
        <v>0.14111206126967829</v>
      </c>
      <c r="S902" s="9">
        <v>0.35430863050735351</v>
      </c>
      <c r="U902" s="9">
        <f t="array" ref="U902">MMULT(TRANSPOSE($B$3:$B$6),TRANSPOSE(P902:S902))</f>
        <v>7.398838166957078E-2</v>
      </c>
      <c r="V902" s="9">
        <f>INT(200*U902)/200</f>
        <v>7.0000000000000007E-2</v>
      </c>
      <c r="W902" s="9">
        <f t="array" ref="W902">SQRT(MMULT(MMULT(P902:S902,$K$3:$N$6),TRANSPOSE(P902:S902)))</f>
        <v>8.643174947861039E-2</v>
      </c>
      <c r="Y902" s="31">
        <f>U902/W902</f>
        <v>0.85603244312300975</v>
      </c>
      <c r="AA902" s="9">
        <f t="shared" si="107"/>
        <v>0.35585448898976757</v>
      </c>
      <c r="AB902" s="9">
        <f t="shared" si="108"/>
        <v>5.5775775902365515E-2</v>
      </c>
      <c r="AC902" s="9">
        <f t="shared" si="109"/>
        <v>0.2750695588333143</v>
      </c>
      <c r="AD902" s="9">
        <f t="shared" si="110"/>
        <v>0.3133001762745527</v>
      </c>
      <c r="AE902" s="9"/>
      <c r="AF902" s="9">
        <f t="shared" si="111"/>
        <v>0.35005210695086658</v>
      </c>
      <c r="AG902" s="9">
        <f t="shared" si="112"/>
        <v>0.64328675144424319</v>
      </c>
      <c r="AH902" s="9">
        <f t="shared" si="113"/>
        <v>0.50957166309590118</v>
      </c>
      <c r="AI902" s="9">
        <f t="shared" si="114"/>
        <v>0.37422504063148343</v>
      </c>
    </row>
    <row r="903" spans="16:35" x14ac:dyDescent="0.3">
      <c r="P903" s="9">
        <v>0.31316756770264847</v>
      </c>
      <c r="Q903" s="9">
        <v>4.951144983443078E-2</v>
      </c>
      <c r="R903" s="9">
        <v>0.29090085156908685</v>
      </c>
      <c r="S903" s="9">
        <v>0.34642013089383389</v>
      </c>
      <c r="U903" s="9">
        <f t="array" ref="U903">MMULT(TRANSPOSE($B$3:$B$6),TRANSPOSE(P903:S903))</f>
        <v>8.2206575510759092E-2</v>
      </c>
      <c r="V903" s="9">
        <f>INT(200*U903)/200</f>
        <v>0.08</v>
      </c>
      <c r="W903" s="9">
        <f t="array" ref="W903">SQRT(MMULT(MMULT(P903:S903,$K$3:$N$6),TRANSPOSE(P903:S903)))</f>
        <v>9.6081328240648883E-2</v>
      </c>
      <c r="Y903" s="31">
        <f>U903/W903</f>
        <v>0.85559366232803769</v>
      </c>
      <c r="AA903" s="9">
        <f t="shared" si="107"/>
        <v>0.34210290426129408</v>
      </c>
      <c r="AB903" s="9">
        <f t="shared" si="108"/>
        <v>5.6883158801768377E-2</v>
      </c>
      <c r="AC903" s="9">
        <f t="shared" si="109"/>
        <v>0.27669161690753519</v>
      </c>
      <c r="AD903" s="9">
        <f t="shared" si="110"/>
        <v>0.32432232002940242</v>
      </c>
      <c r="AE903" s="9"/>
      <c r="AF903" s="9">
        <f t="shared" si="111"/>
        <v>0.33005130926976067</v>
      </c>
      <c r="AG903" s="9">
        <f t="shared" si="112"/>
        <v>0.61707667710991343</v>
      </c>
      <c r="AH903" s="9">
        <f t="shared" si="113"/>
        <v>0.51015193672952319</v>
      </c>
      <c r="AI903" s="9">
        <f t="shared" si="114"/>
        <v>0.31126161072704683</v>
      </c>
    </row>
    <row r="904" spans="16:35" x14ac:dyDescent="0.3">
      <c r="P904" s="9">
        <v>0.44334378333420638</v>
      </c>
      <c r="Q904" s="9">
        <v>1.3769190370447649E-2</v>
      </c>
      <c r="R904" s="9">
        <v>0.34308197121513606</v>
      </c>
      <c r="S904" s="9">
        <v>0.19980505508021001</v>
      </c>
      <c r="U904" s="9">
        <f t="array" ref="U904">MMULT(TRANSPOSE($B$3:$B$6),TRANSPOSE(P904:S904))</f>
        <v>7.508129887799031E-2</v>
      </c>
      <c r="V904" s="9">
        <f>INT(200*U904)/200</f>
        <v>7.4999999999999997E-2</v>
      </c>
      <c r="W904" s="9">
        <f t="array" ref="W904">SQRT(MMULT(MMULT(P904:S904,$K$3:$N$6),TRANSPOSE(P904:S904)))</f>
        <v>8.7777603782122737E-2</v>
      </c>
      <c r="Y904" s="31">
        <f>U904/W904</f>
        <v>0.8553582650120346</v>
      </c>
      <c r="AA904" s="9">
        <f t="shared" si="107"/>
        <v>0.34800201461320607</v>
      </c>
      <c r="AB904" s="9">
        <f t="shared" si="108"/>
        <v>5.6309775913199314E-2</v>
      </c>
      <c r="AC904" s="9">
        <f t="shared" si="109"/>
        <v>0.28428778576520647</v>
      </c>
      <c r="AD904" s="9">
        <f t="shared" si="110"/>
        <v>0.31140042370838816</v>
      </c>
      <c r="AE904" s="9"/>
      <c r="AF904" s="9">
        <f t="shared" si="111"/>
        <v>0.30726905949743022</v>
      </c>
      <c r="AG904" s="9">
        <f t="shared" si="112"/>
        <v>0.6128030382636892</v>
      </c>
      <c r="AH904" s="9">
        <f t="shared" si="113"/>
        <v>0.53311737836463713</v>
      </c>
      <c r="AI904" s="9">
        <f t="shared" si="114"/>
        <v>0.37206013499883711</v>
      </c>
    </row>
    <row r="905" spans="16:35" x14ac:dyDescent="0.3">
      <c r="P905" s="9">
        <v>0.32227585944564596</v>
      </c>
      <c r="Q905" s="9">
        <v>6.928638334036713E-2</v>
      </c>
      <c r="R905" s="9">
        <v>0.17971139997918542</v>
      </c>
      <c r="S905" s="9">
        <v>0.42872635723480162</v>
      </c>
      <c r="U905" s="9">
        <f t="array" ref="U905">MMULT(TRANSPOSE($B$3:$B$6),TRANSPOSE(P905:S905))</f>
        <v>8.2734241373709619E-2</v>
      </c>
      <c r="V905" s="9">
        <f>INT(200*U905)/200</f>
        <v>0.08</v>
      </c>
      <c r="W905" s="9">
        <f t="array" ref="W905">SQRT(MMULT(MMULT(P905:S905,$K$3:$N$6),TRANSPOSE(P905:S905)))</f>
        <v>9.6745505729611991E-2</v>
      </c>
      <c r="Y905" s="31">
        <f>U905/W905</f>
        <v>0.85517400265536281</v>
      </c>
      <c r="AA905" s="9">
        <f t="shared" si="107"/>
        <v>0.3247928141783275</v>
      </c>
      <c r="AB905" s="9">
        <f t="shared" si="108"/>
        <v>6.3514610686207937E-2</v>
      </c>
      <c r="AC905" s="9">
        <f t="shared" si="109"/>
        <v>0.29315431629502897</v>
      </c>
      <c r="AD905" s="9">
        <f t="shared" si="110"/>
        <v>0.31853825884043563</v>
      </c>
      <c r="AE905" s="9"/>
      <c r="AF905" s="9">
        <f t="shared" si="111"/>
        <v>0.37034756797484586</v>
      </c>
      <c r="AG905" s="9">
        <f t="shared" si="112"/>
        <v>0.65972088518301109</v>
      </c>
      <c r="AH905" s="9">
        <f t="shared" si="113"/>
        <v>0.4978994992062642</v>
      </c>
      <c r="AI905" s="9">
        <f t="shared" si="114"/>
        <v>0.38624877846351058</v>
      </c>
    </row>
    <row r="906" spans="16:35" x14ac:dyDescent="0.3">
      <c r="P906" s="9">
        <v>0.16787940929003128</v>
      </c>
      <c r="Q906" s="9">
        <v>9.3587088794214554E-2</v>
      </c>
      <c r="R906" s="9">
        <v>0.39806173397862205</v>
      </c>
      <c r="S906" s="9">
        <v>0.34047176793713219</v>
      </c>
      <c r="U906" s="9">
        <f t="array" ref="U906">MMULT(TRANSPOSE($B$3:$B$6),TRANSPOSE(P906:S906))</f>
        <v>8.9670317624984952E-2</v>
      </c>
      <c r="V906" s="9">
        <f>INT(200*U906)/200</f>
        <v>8.5000000000000006E-2</v>
      </c>
      <c r="W906" s="9">
        <f t="array" ref="W906">SQRT(MMULT(MMULT(P906:S906,$K$3:$N$6),TRANSPOSE(P906:S906)))</f>
        <v>0.10501840754519914</v>
      </c>
      <c r="Y906" s="31">
        <f>U906/W906</f>
        <v>0.8538533360105609</v>
      </c>
      <c r="AA906" s="9">
        <f t="shared" si="107"/>
        <v>0.33482546637894783</v>
      </c>
      <c r="AB906" s="9">
        <f t="shared" si="108"/>
        <v>6.0693636067535195E-2</v>
      </c>
      <c r="AC906" s="9">
        <f t="shared" si="109"/>
        <v>0.28392966142546705</v>
      </c>
      <c r="AD906" s="9">
        <f t="shared" si="110"/>
        <v>0.32055123612804998</v>
      </c>
      <c r="AE906" s="9"/>
      <c r="AF906" s="9">
        <f t="shared" si="111"/>
        <v>0.34830118181352737</v>
      </c>
      <c r="AG906" s="9">
        <f t="shared" si="112"/>
        <v>0.68534285787956317</v>
      </c>
      <c r="AH906" s="9">
        <f t="shared" si="113"/>
        <v>0.51878594439014603</v>
      </c>
      <c r="AI906" s="9">
        <f t="shared" si="114"/>
        <v>0.38687426090932742</v>
      </c>
    </row>
    <row r="907" spans="16:35" x14ac:dyDescent="0.3">
      <c r="P907" s="9">
        <v>0.43043751671347857</v>
      </c>
      <c r="Q907" s="9">
        <v>1.1759415741230092E-2</v>
      </c>
      <c r="R907" s="9">
        <v>0.30330937488605159</v>
      </c>
      <c r="S907" s="9">
        <v>0.25449369265923966</v>
      </c>
      <c r="U907" s="9">
        <f t="array" ref="U907">MMULT(TRANSPOSE($B$3:$B$6),TRANSPOSE(P907:S907))</f>
        <v>7.5762345074084039E-2</v>
      </c>
      <c r="V907" s="9">
        <f>INT(200*U907)/200</f>
        <v>7.4999999999999997E-2</v>
      </c>
      <c r="W907" s="9">
        <f t="array" ref="W907">SQRT(MMULT(MMULT(P907:S907,$K$3:$N$6),TRANSPOSE(P907:S907)))</f>
        <v>8.8750402433381156E-2</v>
      </c>
      <c r="Y907" s="31">
        <f>U907/W907</f>
        <v>0.85365635531572537</v>
      </c>
      <c r="AA907" s="9">
        <f t="shared" si="107"/>
        <v>0.32750211093290221</v>
      </c>
      <c r="AB907" s="9">
        <f t="shared" si="108"/>
        <v>6.1789972373298925E-2</v>
      </c>
      <c r="AC907" s="9">
        <f t="shared" si="109"/>
        <v>0.29176357958824994</v>
      </c>
      <c r="AD907" s="9">
        <f t="shared" si="110"/>
        <v>0.31894433710554904</v>
      </c>
      <c r="AE907" s="9"/>
      <c r="AF907" s="9">
        <f t="shared" si="111"/>
        <v>0.34689291825313495</v>
      </c>
      <c r="AG907" s="9">
        <f t="shared" si="112"/>
        <v>0.6597709517013518</v>
      </c>
      <c r="AH907" s="9">
        <f t="shared" si="113"/>
        <v>0.50274832830339711</v>
      </c>
      <c r="AI907" s="9">
        <f t="shared" si="114"/>
        <v>0.38901324807022808</v>
      </c>
    </row>
    <row r="908" spans="16:35" x14ac:dyDescent="0.3">
      <c r="P908" s="9">
        <v>0.33390965247903975</v>
      </c>
      <c r="Q908" s="9">
        <v>3.7137401983127628E-2</v>
      </c>
      <c r="R908" s="9">
        <v>0.33765568608955771</v>
      </c>
      <c r="S908" s="9">
        <v>0.29129725944827489</v>
      </c>
      <c r="U908" s="9">
        <f t="array" ref="U908">MMULT(TRANSPOSE($B$3:$B$6),TRANSPOSE(P908:S908))</f>
        <v>8.0748948246362182E-2</v>
      </c>
      <c r="V908" s="9">
        <f>INT(200*U908)/200</f>
        <v>0.08</v>
      </c>
      <c r="W908" s="9">
        <f t="array" ref="W908">SQRT(MMULT(MMULT(P908:S908,$K$3:$N$6),TRANSPOSE(P908:S908)))</f>
        <v>9.4617655717427321E-2</v>
      </c>
      <c r="Y908" s="31">
        <f>U908/W908</f>
        <v>0.85342368328714879</v>
      </c>
      <c r="AA908" s="9">
        <f t="shared" si="107"/>
        <v>0.3201049942566298</v>
      </c>
      <c r="AB908" s="9">
        <f t="shared" si="108"/>
        <v>6.6858242945540866E-2</v>
      </c>
      <c r="AC908" s="9">
        <f t="shared" si="109"/>
        <v>0.28623918112165259</v>
      </c>
      <c r="AD908" s="9">
        <f t="shared" si="110"/>
        <v>0.32679758167617684</v>
      </c>
      <c r="AE908" s="9"/>
      <c r="AF908" s="9">
        <f t="shared" si="111"/>
        <v>0.33958614044839591</v>
      </c>
      <c r="AG908" s="9">
        <f t="shared" si="112"/>
        <v>0.63979765081448492</v>
      </c>
      <c r="AH908" s="9">
        <f t="shared" si="113"/>
        <v>0.54082843259301305</v>
      </c>
      <c r="AI908" s="9">
        <f t="shared" si="114"/>
        <v>0.40431164843625383</v>
      </c>
    </row>
    <row r="909" spans="16:35" x14ac:dyDescent="0.3">
      <c r="P909" s="9">
        <v>0.32984151013232144</v>
      </c>
      <c r="Q909" s="9">
        <v>0.12279657668877203</v>
      </c>
      <c r="R909" s="9">
        <v>3.3852171925333636E-2</v>
      </c>
      <c r="S909" s="9">
        <v>0.51350974125357296</v>
      </c>
      <c r="U909" s="9">
        <f t="array" ref="U909">MMULT(TRANSPOSE($B$3:$B$6),TRANSPOSE(P909:S909))</f>
        <v>8.4379151057526386E-2</v>
      </c>
      <c r="V909" s="9">
        <f>INT(200*U909)/200</f>
        <v>0.08</v>
      </c>
      <c r="W909" s="9">
        <f t="array" ref="W909">SQRT(MMULT(MMULT(P909:S909,$K$3:$N$6),TRANSPOSE(P909:S909)))</f>
        <v>9.897336394509762E-2</v>
      </c>
      <c r="Y909" s="31">
        <f>U909/W909</f>
        <v>0.8525440350227268</v>
      </c>
      <c r="AA909" s="9">
        <f t="shared" si="107"/>
        <v>0.3187367798937436</v>
      </c>
      <c r="AB909" s="9">
        <f t="shared" si="108"/>
        <v>6.8313973661129471E-2</v>
      </c>
      <c r="AC909" s="9">
        <f t="shared" si="109"/>
        <v>0.28060804097185066</v>
      </c>
      <c r="AD909" s="9">
        <f t="shared" si="110"/>
        <v>0.33234120547327628</v>
      </c>
      <c r="AE909" s="9"/>
      <c r="AF909" s="9">
        <f t="shared" si="111"/>
        <v>0.34819615404474352</v>
      </c>
      <c r="AG909" s="9">
        <f t="shared" si="112"/>
        <v>0.65342308128696314</v>
      </c>
      <c r="AH909" s="9">
        <f t="shared" si="113"/>
        <v>0.54990986124939434</v>
      </c>
      <c r="AI909" s="9">
        <f t="shared" si="114"/>
        <v>0.4116425861922195</v>
      </c>
    </row>
    <row r="910" spans="16:35" x14ac:dyDescent="0.3">
      <c r="P910" s="9">
        <v>0.40939621704686108</v>
      </c>
      <c r="Q910" s="9">
        <v>4.2450995986950547E-2</v>
      </c>
      <c r="R910" s="9">
        <v>0.45436158499805362</v>
      </c>
      <c r="S910" s="9">
        <v>9.3791201968134771E-2</v>
      </c>
      <c r="U910" s="9">
        <f t="array" ref="U910">MMULT(TRANSPOSE($B$3:$B$6),TRANSPOSE(P910:S910))</f>
        <v>7.7012400806319728E-2</v>
      </c>
      <c r="V910" s="9">
        <f>INT(200*U910)/200</f>
        <v>7.4999999999999997E-2</v>
      </c>
      <c r="W910" s="9">
        <f t="array" ref="W910">SQRT(MMULT(MMULT(P910:S910,$K$3:$N$6),TRANSPOSE(P910:S910)))</f>
        <v>9.0371841755900545E-2</v>
      </c>
      <c r="Y910" s="31">
        <f>U910/W910</f>
        <v>0.85217252752615769</v>
      </c>
      <c r="AA910" s="9">
        <f t="shared" ref="AA910:AA973" si="115">AVERAGE(P900:P920)</f>
        <v>0.32523588336202536</v>
      </c>
      <c r="AB910" s="9">
        <f t="shared" ref="AB910:AB973" si="116">AVERAGE(Q900:Q920)</f>
        <v>6.5643468345819925E-2</v>
      </c>
      <c r="AC910" s="9">
        <f t="shared" ref="AC910:AC973" si="117">AVERAGE(R900:R920)</f>
        <v>0.27990744875423579</v>
      </c>
      <c r="AD910" s="9">
        <f t="shared" ref="AD910:AD973" si="118">AVERAGE(S900:S920)</f>
        <v>0.32921319953791894</v>
      </c>
      <c r="AE910" s="9"/>
      <c r="AF910" s="9">
        <f t="shared" ref="AF910:AF973" si="119">STDEV(P900:P920)/AA910</f>
        <v>0.36919784126272109</v>
      </c>
      <c r="AG910" s="9">
        <f t="shared" ref="AG910:AG973" si="120">STDEV(Q900:Q920)/AB910</f>
        <v>0.67876029501647928</v>
      </c>
      <c r="AH910" s="9">
        <f t="shared" ref="AH910:AH973" si="121">STDEV(R900:R920)/AC910</f>
        <v>0.55578167264970213</v>
      </c>
      <c r="AI910" s="9">
        <f t="shared" ref="AI910:AI973" si="122">STDEV(S900:S920)/AD910</f>
        <v>0.40746978123858202</v>
      </c>
    </row>
    <row r="911" spans="16:35" x14ac:dyDescent="0.3">
      <c r="P911" s="9">
        <v>0.37671211887007217</v>
      </c>
      <c r="Q911" s="9">
        <v>3.1632584754009277E-2</v>
      </c>
      <c r="R911" s="9">
        <v>0.40840884886157264</v>
      </c>
      <c r="S911" s="9">
        <v>0.18324644751434591</v>
      </c>
      <c r="U911" s="9">
        <f t="array" ref="U911">MMULT(TRANSPOSE($B$3:$B$6),TRANSPOSE(P911:S911))</f>
        <v>7.8381207697791916E-2</v>
      </c>
      <c r="V911" s="9">
        <f>INT(200*U911)/200</f>
        <v>7.4999999999999997E-2</v>
      </c>
      <c r="W911" s="9">
        <f t="array" ref="W911">SQRT(MMULT(MMULT(P911:S911,$K$3:$N$6),TRANSPOSE(P911:S911)))</f>
        <v>9.1985630236585431E-2</v>
      </c>
      <c r="Y911" s="31">
        <f>U911/W911</f>
        <v>0.85210274144121012</v>
      </c>
      <c r="AA911" s="9">
        <f t="shared" si="115"/>
        <v>0.3061413717830393</v>
      </c>
      <c r="AB911" s="9">
        <f t="shared" si="116"/>
        <v>7.2841068868336994E-2</v>
      </c>
      <c r="AC911" s="9">
        <f t="shared" si="117"/>
        <v>0.28483764606931766</v>
      </c>
      <c r="AD911" s="9">
        <f t="shared" si="118"/>
        <v>0.33617991327930608</v>
      </c>
      <c r="AE911" s="9"/>
      <c r="AF911" s="9">
        <f t="shared" si="119"/>
        <v>0.44665858377713458</v>
      </c>
      <c r="AG911" s="9">
        <f t="shared" si="120"/>
        <v>0.71885971229543899</v>
      </c>
      <c r="AH911" s="9">
        <f t="shared" si="121"/>
        <v>0.53688018150985062</v>
      </c>
      <c r="AI911" s="9">
        <f t="shared" si="122"/>
        <v>0.42042268575249442</v>
      </c>
    </row>
    <row r="912" spans="16:35" x14ac:dyDescent="0.3">
      <c r="P912" s="9">
        <v>0.20313514220815812</v>
      </c>
      <c r="Q912" s="9">
        <v>9.1843335249800775E-2</v>
      </c>
      <c r="R912" s="9">
        <v>0.53423503505412573</v>
      </c>
      <c r="S912" s="9">
        <v>0.17078648748791525</v>
      </c>
      <c r="U912" s="9">
        <f t="array" ref="U912">MMULT(TRANSPOSE($B$3:$B$6),TRANSPOSE(P912:S912))</f>
        <v>8.7512262159030657E-2</v>
      </c>
      <c r="V912" s="9">
        <f>INT(200*U912)/200</f>
        <v>8.5000000000000006E-2</v>
      </c>
      <c r="W912" s="9">
        <f t="array" ref="W912">SQRT(MMULT(MMULT(P912:S912,$K$3:$N$6),TRANSPOSE(P912:S912)))</f>
        <v>0.10283731531207202</v>
      </c>
      <c r="Y912" s="31">
        <f>U912/W912</f>
        <v>0.85097770097813552</v>
      </c>
      <c r="AA912" s="9">
        <f t="shared" si="115"/>
        <v>0.31270618367717151</v>
      </c>
      <c r="AB912" s="9">
        <f t="shared" si="116"/>
        <v>7.0281466711246701E-2</v>
      </c>
      <c r="AC912" s="9">
        <f t="shared" si="117"/>
        <v>0.28540955805387297</v>
      </c>
      <c r="AD912" s="9">
        <f t="shared" si="118"/>
        <v>0.33160279155770872</v>
      </c>
      <c r="AE912" s="9"/>
      <c r="AF912" s="9">
        <f t="shared" si="119"/>
        <v>0.44487935326657196</v>
      </c>
      <c r="AG912" s="9">
        <f t="shared" si="120"/>
        <v>0.77194922681309253</v>
      </c>
      <c r="AH912" s="9">
        <f t="shared" si="121"/>
        <v>0.5359256366618913</v>
      </c>
      <c r="AI912" s="9">
        <f t="shared" si="122"/>
        <v>0.42815368426106104</v>
      </c>
    </row>
    <row r="913" spans="16:35" x14ac:dyDescent="0.3">
      <c r="P913" s="9">
        <v>0.30044028487180968</v>
      </c>
      <c r="Q913" s="9">
        <v>4.419348689349694E-2</v>
      </c>
      <c r="R913" s="9">
        <v>0.3744360956250436</v>
      </c>
      <c r="S913" s="9">
        <v>0.28093013260964972</v>
      </c>
      <c r="U913" s="9">
        <f t="array" ref="U913">MMULT(TRANSPOSE($B$3:$B$6),TRANSPOSE(P913:S913))</f>
        <v>8.2339762869950789E-2</v>
      </c>
      <c r="V913" s="9">
        <f>INT(200*U913)/200</f>
        <v>0.08</v>
      </c>
      <c r="W913" s="9">
        <f t="array" ref="W913">SQRT(MMULT(MMULT(P913:S913,$K$3:$N$6),TRANSPOSE(P913:S913)))</f>
        <v>9.6837601748170285E-2</v>
      </c>
      <c r="Y913" s="31">
        <f>U913/W913</f>
        <v>0.85028709285963466</v>
      </c>
      <c r="AA913" s="9">
        <f t="shared" si="115"/>
        <v>0.30876844248588647</v>
      </c>
      <c r="AB913" s="9">
        <f t="shared" si="116"/>
        <v>7.2405628497310581E-2</v>
      </c>
      <c r="AC913" s="9">
        <f t="shared" si="117"/>
        <v>0.30292460315850789</v>
      </c>
      <c r="AD913" s="9">
        <f t="shared" si="118"/>
        <v>0.31590132585829506</v>
      </c>
      <c r="AE913" s="9"/>
      <c r="AF913" s="9">
        <f t="shared" si="119"/>
        <v>0.43746305935609536</v>
      </c>
      <c r="AG913" s="9">
        <f t="shared" si="120"/>
        <v>0.73174589707207249</v>
      </c>
      <c r="AH913" s="9">
        <f t="shared" si="121"/>
        <v>0.51703938763479518</v>
      </c>
      <c r="AI913" s="9">
        <f t="shared" si="122"/>
        <v>0.49635541880817285</v>
      </c>
    </row>
    <row r="914" spans="16:35" x14ac:dyDescent="0.3">
      <c r="P914" s="9">
        <v>0.30084872838038584</v>
      </c>
      <c r="Q914" s="9">
        <v>8.4941607057112622E-2</v>
      </c>
      <c r="R914" s="9">
        <v>0.55115961997116913</v>
      </c>
      <c r="S914" s="9">
        <v>6.3050044591332441E-2</v>
      </c>
      <c r="U914" s="9">
        <f t="array" ref="U914">MMULT(TRANSPOSE($B$3:$B$6),TRANSPOSE(P914:S914))</f>
        <v>8.278851128920621E-2</v>
      </c>
      <c r="V914" s="9">
        <f>INT(200*U914)/200</f>
        <v>0.08</v>
      </c>
      <c r="W914" s="9">
        <f t="array" ref="W914">SQRT(MMULT(MMULT(P914:S914,$K$3:$N$6),TRANSPOSE(P914:S914)))</f>
        <v>9.7380128006837582E-2</v>
      </c>
      <c r="Y914" s="31">
        <f>U914/W914</f>
        <v>0.85015816865010885</v>
      </c>
      <c r="AA914" s="9">
        <f t="shared" si="115"/>
        <v>0.29710487766482657</v>
      </c>
      <c r="AB914" s="9">
        <f t="shared" si="116"/>
        <v>7.5914869100064133E-2</v>
      </c>
      <c r="AC914" s="9">
        <f t="shared" si="117"/>
        <v>0.3120426148682694</v>
      </c>
      <c r="AD914" s="9">
        <f t="shared" si="118"/>
        <v>0.31493763836683997</v>
      </c>
      <c r="AE914" s="9"/>
      <c r="AF914" s="9">
        <f t="shared" si="119"/>
        <v>0.48768626430058271</v>
      </c>
      <c r="AG914" s="9">
        <f t="shared" si="120"/>
        <v>0.70900695232861799</v>
      </c>
      <c r="AH914" s="9">
        <f t="shared" si="121"/>
        <v>0.51720502012407843</v>
      </c>
      <c r="AI914" s="9">
        <f t="shared" si="122"/>
        <v>0.4974461628825656</v>
      </c>
    </row>
    <row r="915" spans="16:35" x14ac:dyDescent="0.3">
      <c r="P915" s="9">
        <v>3.0436952789590972E-2</v>
      </c>
      <c r="Q915" s="9">
        <v>0.17290898705615906</v>
      </c>
      <c r="R915" s="9">
        <v>0.29238050027390672</v>
      </c>
      <c r="S915" s="9">
        <v>0.50427355988034317</v>
      </c>
      <c r="U915" s="9">
        <f t="array" ref="U915">MMULT(TRANSPOSE($B$3:$B$6),TRANSPOSE(P915:S915))</f>
        <v>9.8512064554109408E-2</v>
      </c>
      <c r="V915" s="9">
        <f>INT(200*U915)/200</f>
        <v>9.5000000000000001E-2</v>
      </c>
      <c r="W915" s="9">
        <f t="array" ref="W915">SQRT(MMULT(MMULT(P915:S915,$K$3:$N$6),TRANSPOSE(P915:S915)))</f>
        <v>0.11595234786308521</v>
      </c>
      <c r="Y915" s="31">
        <f>U915/W915</f>
        <v>0.84959094291416137</v>
      </c>
      <c r="AA915" s="9">
        <f t="shared" si="115"/>
        <v>0.27828061997641196</v>
      </c>
      <c r="AB915" s="9">
        <f t="shared" si="116"/>
        <v>8.356378919267593E-2</v>
      </c>
      <c r="AC915" s="9">
        <f t="shared" si="117"/>
        <v>0.32900948414349118</v>
      </c>
      <c r="AD915" s="9">
        <f t="shared" si="118"/>
        <v>0.30914610668742087</v>
      </c>
      <c r="AE915" s="9"/>
      <c r="AF915" s="9">
        <f t="shared" si="119"/>
        <v>0.54087419102511214</v>
      </c>
      <c r="AG915" s="9">
        <f t="shared" si="120"/>
        <v>0.66923121558344778</v>
      </c>
      <c r="AH915" s="9">
        <f t="shared" si="121"/>
        <v>0.55379349975150916</v>
      </c>
      <c r="AI915" s="9">
        <f t="shared" si="122"/>
        <v>0.52804621347249459</v>
      </c>
    </row>
    <row r="916" spans="16:35" x14ac:dyDescent="0.3">
      <c r="P916" s="9">
        <v>0.39392812643257735</v>
      </c>
      <c r="Q916" s="9">
        <v>3.6796387937594655E-2</v>
      </c>
      <c r="R916" s="9">
        <v>0.1714379049241003</v>
      </c>
      <c r="S916" s="9">
        <v>0.39783758070572772</v>
      </c>
      <c r="U916" s="9">
        <f t="array" ref="U916">MMULT(TRANSPOSE($B$3:$B$6),TRANSPOSE(P916:S916))</f>
        <v>7.8597528138316164E-2</v>
      </c>
      <c r="V916" s="9">
        <f>INT(200*U916)/200</f>
        <v>7.4999999999999997E-2</v>
      </c>
      <c r="W916" s="9">
        <f t="array" ref="W916">SQRT(MMULT(MMULT(P916:S916,$K$3:$N$6),TRANSPOSE(P916:S916)))</f>
        <v>9.2584151206192539E-2</v>
      </c>
      <c r="Y916" s="31">
        <f>U916/W916</f>
        <v>0.84893069833597101</v>
      </c>
      <c r="AA916" s="9">
        <f t="shared" si="115"/>
        <v>0.28518448992769646</v>
      </c>
      <c r="AB916" s="9">
        <f t="shared" si="116"/>
        <v>8.2164098152870998E-2</v>
      </c>
      <c r="AC916" s="9">
        <f t="shared" si="117"/>
        <v>0.32373563578871251</v>
      </c>
      <c r="AD916" s="9">
        <f t="shared" si="118"/>
        <v>0.30891577613071997</v>
      </c>
      <c r="AE916" s="9"/>
      <c r="AF916" s="9">
        <f t="shared" si="119"/>
        <v>0.54653631686756987</v>
      </c>
      <c r="AG916" s="9">
        <f t="shared" si="120"/>
        <v>0.68961599641632698</v>
      </c>
      <c r="AH916" s="9">
        <f t="shared" si="121"/>
        <v>0.581472933394792</v>
      </c>
      <c r="AI916" s="9">
        <f t="shared" si="122"/>
        <v>0.52787718820276031</v>
      </c>
    </row>
    <row r="917" spans="16:35" x14ac:dyDescent="0.3">
      <c r="P917" s="9">
        <v>0.29935811019447151</v>
      </c>
      <c r="Q917" s="9">
        <v>4.3106494998271044E-2</v>
      </c>
      <c r="R917" s="9">
        <v>0.35911157841976188</v>
      </c>
      <c r="S917" s="9">
        <v>0.29842381638749566</v>
      </c>
      <c r="U917" s="9">
        <f t="array" ref="U917">MMULT(TRANSPOSE($B$3:$B$6),TRANSPOSE(P917:S917))</f>
        <v>8.2415511706892375E-2</v>
      </c>
      <c r="V917" s="9">
        <f>INT(200*U917)/200</f>
        <v>0.08</v>
      </c>
      <c r="W917" s="9">
        <f t="array" ref="W917">SQRT(MMULT(MMULT(P917:S917,$K$3:$N$6),TRANSPOSE(P917:S917)))</f>
        <v>9.7089398013769784E-2</v>
      </c>
      <c r="Y917" s="31">
        <f>U917/W917</f>
        <v>0.84886211463793115</v>
      </c>
      <c r="AA917" s="9">
        <f t="shared" si="115"/>
        <v>0.29217669312210143</v>
      </c>
      <c r="AB917" s="9">
        <f t="shared" si="116"/>
        <v>8.0567090843283409E-2</v>
      </c>
      <c r="AC917" s="9">
        <f t="shared" si="117"/>
        <v>0.31394655357738566</v>
      </c>
      <c r="AD917" s="9">
        <f t="shared" si="118"/>
        <v>0.31330966245722941</v>
      </c>
      <c r="AE917" s="9"/>
      <c r="AF917" s="9">
        <f t="shared" si="119"/>
        <v>0.52576244654329674</v>
      </c>
      <c r="AG917" s="9">
        <f t="shared" si="120"/>
        <v>0.70495389284257393</v>
      </c>
      <c r="AH917" s="9">
        <f t="shared" si="121"/>
        <v>0.60368820459889783</v>
      </c>
      <c r="AI917" s="9">
        <f t="shared" si="122"/>
        <v>0.52724735588003524</v>
      </c>
    </row>
    <row r="918" spans="16:35" x14ac:dyDescent="0.3">
      <c r="P918" s="9">
        <v>0.31633008220680425</v>
      </c>
      <c r="Q918" s="9">
        <v>0.13330640547516173</v>
      </c>
      <c r="R918" s="9">
        <v>1.9906239700001934E-2</v>
      </c>
      <c r="S918" s="9">
        <v>0.53045727261803211</v>
      </c>
      <c r="U918" s="9">
        <f t="array" ref="U918">MMULT(TRANSPOSE($B$3:$B$6),TRANSPOSE(P918:S918))</f>
        <v>8.53352919377421E-2</v>
      </c>
      <c r="V918" s="9">
        <f>INT(200*U918)/200</f>
        <v>8.5000000000000006E-2</v>
      </c>
      <c r="W918" s="9">
        <f t="array" ref="W918">SQRT(MMULT(MMULT(P918:S918,$K$3:$N$6),TRANSPOSE(P918:S918)))</f>
        <v>0.10054621376495379</v>
      </c>
      <c r="Y918" s="31">
        <f>U918/W918</f>
        <v>0.8487171096987286</v>
      </c>
      <c r="AA918" s="9">
        <f t="shared" si="115"/>
        <v>0.29182079768589742</v>
      </c>
      <c r="AB918" s="9">
        <f t="shared" si="116"/>
        <v>8.07264518105901E-2</v>
      </c>
      <c r="AC918" s="9">
        <f t="shared" si="117"/>
        <v>0.31815934964740061</v>
      </c>
      <c r="AD918" s="9">
        <f t="shared" si="118"/>
        <v>0.30929340085611184</v>
      </c>
      <c r="AE918" s="9"/>
      <c r="AF918" s="9">
        <f t="shared" si="119"/>
        <v>0.52527956804382725</v>
      </c>
      <c r="AG918" s="9">
        <f t="shared" si="120"/>
        <v>0.7011049641282916</v>
      </c>
      <c r="AH918" s="9">
        <f t="shared" si="121"/>
        <v>0.59800031208013482</v>
      </c>
      <c r="AI918" s="9">
        <f t="shared" si="122"/>
        <v>0.54220173497573254</v>
      </c>
    </row>
    <row r="919" spans="16:35" x14ac:dyDescent="0.3">
      <c r="P919" s="9">
        <v>0.13075070589788959</v>
      </c>
      <c r="Q919" s="9">
        <v>0.13611897210804863</v>
      </c>
      <c r="R919" s="9">
        <v>0.23729235398136772</v>
      </c>
      <c r="S919" s="9">
        <v>0.49583796801269414</v>
      </c>
      <c r="U919" s="9">
        <f t="array" ref="U919">MMULT(TRANSPOSE($B$3:$B$6),TRANSPOSE(P919:S919))</f>
        <v>9.3116418213025381E-2</v>
      </c>
      <c r="V919" s="9">
        <f>INT(200*U919)/200</f>
        <v>0.09</v>
      </c>
      <c r="W919" s="9">
        <f t="array" ref="W919">SQRT(MMULT(MMULT(P919:S919,$K$3:$N$6),TRANSPOSE(P919:S919)))</f>
        <v>0.10975024556793929</v>
      </c>
      <c r="Y919" s="31">
        <f>U919/W919</f>
        <v>0.84843926982726448</v>
      </c>
      <c r="AA919" s="9">
        <f t="shared" si="115"/>
        <v>0.2887064769909089</v>
      </c>
      <c r="AB919" s="9">
        <f t="shared" si="116"/>
        <v>8.498881886088909E-2</v>
      </c>
      <c r="AC919" s="9">
        <f t="shared" si="117"/>
        <v>0.30534451603713991</v>
      </c>
      <c r="AD919" s="9">
        <f t="shared" si="118"/>
        <v>0.32096018811106203</v>
      </c>
      <c r="AE919" s="9"/>
      <c r="AF919" s="9">
        <f t="shared" si="119"/>
        <v>0.53013644093804801</v>
      </c>
      <c r="AG919" s="9">
        <f t="shared" si="120"/>
        <v>0.66504426793139582</v>
      </c>
      <c r="AH919" s="9">
        <f t="shared" si="121"/>
        <v>0.64777420825694398</v>
      </c>
      <c r="AI919" s="9">
        <f t="shared" si="122"/>
        <v>0.54448692561576895</v>
      </c>
    </row>
    <row r="920" spans="16:35" x14ac:dyDescent="0.3">
      <c r="P920" s="9">
        <v>0.54417707148730787</v>
      </c>
      <c r="Q920" s="9">
        <v>4.0238574101257668E-2</v>
      </c>
      <c r="R920" s="9">
        <v>7.8753783029744569E-3</v>
      </c>
      <c r="S920" s="9">
        <v>0.40770897610845996</v>
      </c>
      <c r="U920" s="9">
        <f t="array" ref="U920">MMULT(TRANSPOSE($B$3:$B$6),TRANSPOSE(P920:S920))</f>
        <v>7.2408448198834269E-2</v>
      </c>
      <c r="V920" s="9">
        <f>INT(200*U920)/200</f>
        <v>7.0000000000000007E-2</v>
      </c>
      <c r="W920" s="9">
        <f t="array" ref="W920">SQRT(MMULT(MMULT(P920:S920,$K$3:$N$6),TRANSPOSE(P920:S920)))</f>
        <v>8.5348843195619695E-2</v>
      </c>
      <c r="Y920" s="31">
        <f>U920/W920</f>
        <v>0.84838230358757161</v>
      </c>
      <c r="AA920" s="9">
        <f t="shared" si="115"/>
        <v>0.28315597410884547</v>
      </c>
      <c r="AB920" s="9">
        <f t="shared" si="116"/>
        <v>8.2242117833317668E-2</v>
      </c>
      <c r="AC920" s="9">
        <f t="shared" si="117"/>
        <v>0.32135775330317606</v>
      </c>
      <c r="AD920" s="9">
        <f t="shared" si="118"/>
        <v>0.31324415475466078</v>
      </c>
      <c r="AE920" s="9"/>
      <c r="AF920" s="9">
        <f t="shared" si="119"/>
        <v>0.54245733258026629</v>
      </c>
      <c r="AG920" s="9">
        <f t="shared" si="120"/>
        <v>0.68080928684432396</v>
      </c>
      <c r="AH920" s="9">
        <f t="shared" si="121"/>
        <v>0.58529740671303432</v>
      </c>
      <c r="AI920" s="9">
        <f t="shared" si="122"/>
        <v>0.54055177481075634</v>
      </c>
    </row>
    <row r="921" spans="16:35" x14ac:dyDescent="0.3">
      <c r="P921" s="9">
        <v>8.467188451173141E-3</v>
      </c>
      <c r="Q921" s="9">
        <v>0.19487206648531896</v>
      </c>
      <c r="R921" s="9">
        <v>0.25536645487967019</v>
      </c>
      <c r="S921" s="9">
        <v>0.54129429018383768</v>
      </c>
      <c r="U921" s="9">
        <f t="array" ref="U921">MMULT(TRANSPOSE($B$3:$B$6),TRANSPOSE(P921:S921))</f>
        <v>0.1002519745819351</v>
      </c>
      <c r="V921" s="9">
        <f>INT(200*U921)/200</f>
        <v>0.1</v>
      </c>
      <c r="W921" s="9">
        <f t="array" ref="W921">SQRT(MMULT(MMULT(P921:S921,$K$3:$N$6),TRANSPOSE(P921:S921)))</f>
        <v>0.11823831523664988</v>
      </c>
      <c r="Y921" s="31">
        <f>U921/W921</f>
        <v>0.84788060774787144</v>
      </c>
      <c r="AA921" s="9">
        <f t="shared" si="115"/>
        <v>0.28820052006801555</v>
      </c>
      <c r="AB921" s="9">
        <f t="shared" si="116"/>
        <v>8.1775664389897085E-2</v>
      </c>
      <c r="AC921" s="9">
        <f t="shared" si="117"/>
        <v>0.32047601403968012</v>
      </c>
      <c r="AD921" s="9">
        <f t="shared" si="118"/>
        <v>0.30954780150240724</v>
      </c>
      <c r="AE921" s="9"/>
      <c r="AF921" s="9">
        <f t="shared" si="119"/>
        <v>0.55369998467205772</v>
      </c>
      <c r="AG921" s="9">
        <f t="shared" si="120"/>
        <v>0.68943159683892175</v>
      </c>
      <c r="AH921" s="9">
        <f t="shared" si="121"/>
        <v>0.58499724651912643</v>
      </c>
      <c r="AI921" s="9">
        <f t="shared" si="122"/>
        <v>0.56567520143436478</v>
      </c>
    </row>
    <row r="922" spans="16:35" x14ac:dyDescent="0.3">
      <c r="P922" s="9">
        <v>0.4258946487726728</v>
      </c>
      <c r="Q922" s="9">
        <v>7.1732683708980467E-3</v>
      </c>
      <c r="R922" s="9">
        <v>0.29994387322693328</v>
      </c>
      <c r="S922" s="9">
        <v>0.26698820962949571</v>
      </c>
      <c r="U922" s="9">
        <f t="array" ref="U922">MMULT(TRANSPOSE($B$3:$B$6),TRANSPOSE(P922:S922))</f>
        <v>7.5857501574119718E-2</v>
      </c>
      <c r="V922" s="9">
        <f>INT(200*U922)/200</f>
        <v>7.4999999999999997E-2</v>
      </c>
      <c r="W922" s="9">
        <f t="array" ref="W922">SQRT(MMULT(MMULT(P922:S922,$K$3:$N$6),TRANSPOSE(P922:S922)))</f>
        <v>8.9502639291072481E-2</v>
      </c>
      <c r="Y922" s="31">
        <f>U922/W922</f>
        <v>0.8475448564977256</v>
      </c>
      <c r="AA922" s="9">
        <f t="shared" si="115"/>
        <v>0.27271037781454155</v>
      </c>
      <c r="AB922" s="9">
        <f t="shared" si="116"/>
        <v>8.6735121849665447E-2</v>
      </c>
      <c r="AC922" s="9">
        <f t="shared" si="117"/>
        <v>0.31831505768228563</v>
      </c>
      <c r="AD922" s="9">
        <f t="shared" si="118"/>
        <v>0.32223944265350746</v>
      </c>
      <c r="AE922" s="9"/>
      <c r="AF922" s="9">
        <f t="shared" si="119"/>
        <v>0.6094584173422074</v>
      </c>
      <c r="AG922" s="9">
        <f t="shared" si="120"/>
        <v>0.6494259780864351</v>
      </c>
      <c r="AH922" s="9">
        <f t="shared" si="121"/>
        <v>0.58644150830858932</v>
      </c>
      <c r="AI922" s="9">
        <f t="shared" si="122"/>
        <v>0.54354090275058664</v>
      </c>
    </row>
    <row r="923" spans="16:35" x14ac:dyDescent="0.3">
      <c r="P923" s="9">
        <v>0.40340661549646945</v>
      </c>
      <c r="Q923" s="9">
        <v>6.3087525216852333E-2</v>
      </c>
      <c r="R923" s="9">
        <v>0.50892800846701169</v>
      </c>
      <c r="S923" s="9">
        <v>2.4577850819666548E-2</v>
      </c>
      <c r="U923" s="9">
        <f t="array" ref="U923">MMULT(TRANSPOSE($B$3:$B$6),TRANSPOSE(P923:S923))</f>
        <v>7.7650691858888413E-2</v>
      </c>
      <c r="V923" s="9">
        <f>INT(200*U923)/200</f>
        <v>7.4999999999999997E-2</v>
      </c>
      <c r="W923" s="9">
        <f t="array" ref="W923">SQRT(MMULT(MMULT(P923:S923,$K$3:$N$6),TRANSPOSE(P923:S923)))</f>
        <v>9.1698593578278545E-2</v>
      </c>
      <c r="Y923" s="31">
        <f>U923/W923</f>
        <v>0.8468035204117047</v>
      </c>
      <c r="AA923" s="9">
        <f t="shared" si="115"/>
        <v>0.28075989875168939</v>
      </c>
      <c r="AB923" s="9">
        <f t="shared" si="116"/>
        <v>8.3072176146582022E-2</v>
      </c>
      <c r="AC923" s="9">
        <f t="shared" si="117"/>
        <v>0.30981841230890883</v>
      </c>
      <c r="AD923" s="9">
        <f t="shared" si="118"/>
        <v>0.32634951279281971</v>
      </c>
      <c r="AE923" s="9"/>
      <c r="AF923" s="9">
        <f t="shared" si="119"/>
        <v>0.59395953985686112</v>
      </c>
      <c r="AG923" s="9">
        <f t="shared" si="120"/>
        <v>0.70349307683413398</v>
      </c>
      <c r="AH923" s="9">
        <f t="shared" si="121"/>
        <v>0.58197332069927865</v>
      </c>
      <c r="AI923" s="9">
        <f t="shared" si="122"/>
        <v>0.52829826485766163</v>
      </c>
    </row>
    <row r="924" spans="16:35" x14ac:dyDescent="0.3">
      <c r="P924" s="9">
        <v>6.8232706460391868E-2</v>
      </c>
      <c r="Q924" s="9">
        <v>0.1232055024922553</v>
      </c>
      <c r="R924" s="9">
        <v>0.48237909747407648</v>
      </c>
      <c r="S924" s="9">
        <v>0.32618269357327634</v>
      </c>
      <c r="U924" s="9">
        <f t="array" ref="U924">MMULT(TRANSPOSE($B$3:$B$6),TRANSPOSE(P924:S924))</f>
        <v>9.473325947718883E-2</v>
      </c>
      <c r="V924" s="9">
        <f>INT(200*U924)/200</f>
        <v>0.09</v>
      </c>
      <c r="W924" s="9">
        <f t="array" ref="W924">SQRT(MMULT(MMULT(P924:S924,$K$3:$N$6),TRANSPOSE(P924:S924)))</f>
        <v>0.11188569119334742</v>
      </c>
      <c r="Y924" s="31">
        <f>U924/W924</f>
        <v>0.84669682482885311</v>
      </c>
      <c r="AA924" s="9">
        <f t="shared" si="115"/>
        <v>0.28056783977689281</v>
      </c>
      <c r="AB924" s="9">
        <f t="shared" si="116"/>
        <v>8.3787469913267618E-2</v>
      </c>
      <c r="AC924" s="9">
        <f t="shared" si="117"/>
        <v>0.30167047623590793</v>
      </c>
      <c r="AD924" s="9">
        <f t="shared" si="118"/>
        <v>0.33397421407393157</v>
      </c>
      <c r="AE924" s="9"/>
      <c r="AF924" s="9">
        <f t="shared" si="119"/>
        <v>0.59428957432783702</v>
      </c>
      <c r="AG924" s="9">
        <f t="shared" si="120"/>
        <v>0.6926040469862258</v>
      </c>
      <c r="AH924" s="9">
        <f t="shared" si="121"/>
        <v>0.60033833655628366</v>
      </c>
      <c r="AI924" s="9">
        <f t="shared" si="122"/>
        <v>0.5205057041779807</v>
      </c>
    </row>
    <row r="925" spans="16:35" x14ac:dyDescent="0.3">
      <c r="P925" s="9">
        <v>4.8034371877499912E-2</v>
      </c>
      <c r="Q925" s="9">
        <v>0.17439651231529529</v>
      </c>
      <c r="R925" s="9">
        <v>0.69938622599479427</v>
      </c>
      <c r="S925" s="9">
        <v>7.8182889812410533E-2</v>
      </c>
      <c r="U925" s="9">
        <f t="array" ref="U925">MMULT(TRANSPOSE($B$3:$B$6),TRANSPOSE(P925:S925))</f>
        <v>9.6263531016094139E-2</v>
      </c>
      <c r="V925" s="9">
        <f>INT(200*U925)/200</f>
        <v>9.5000000000000001E-2</v>
      </c>
      <c r="W925" s="9">
        <f t="array" ref="W925">SQRT(MMULT(MMULT(P925:S925,$K$3:$N$6),TRANSPOSE(P925:S925)))</f>
        <v>0.11372274302893323</v>
      </c>
      <c r="Y925" s="31">
        <f>U925/W925</f>
        <v>0.84647563409196758</v>
      </c>
      <c r="AA925" s="9">
        <f t="shared" si="115"/>
        <v>0.28772059707052838</v>
      </c>
      <c r="AB925" s="9">
        <f t="shared" si="116"/>
        <v>7.9761610593297741E-2</v>
      </c>
      <c r="AC925" s="9">
        <f t="shared" si="117"/>
        <v>0.29311086701336181</v>
      </c>
      <c r="AD925" s="9">
        <f t="shared" si="118"/>
        <v>0.33940692532281197</v>
      </c>
      <c r="AE925" s="9"/>
      <c r="AF925" s="9">
        <f t="shared" si="119"/>
        <v>0.59371425097051189</v>
      </c>
      <c r="AG925" s="9">
        <f t="shared" si="120"/>
        <v>0.7624385495614977</v>
      </c>
      <c r="AH925" s="9">
        <f t="shared" si="121"/>
        <v>0.58946831353391638</v>
      </c>
      <c r="AI925" s="9">
        <f t="shared" si="122"/>
        <v>0.49078658683178877</v>
      </c>
    </row>
    <row r="926" spans="16:35" x14ac:dyDescent="0.3">
      <c r="P926" s="9">
        <v>0.46725712842261991</v>
      </c>
      <c r="Q926" s="9">
        <v>3.9892871504463641E-2</v>
      </c>
      <c r="R926" s="9">
        <v>6.8960584528832802E-2</v>
      </c>
      <c r="S926" s="9">
        <v>0.4238894155440836</v>
      </c>
      <c r="U926" s="9">
        <f t="array" ref="U926">MMULT(TRANSPOSE($B$3:$B$6),TRANSPOSE(P926:S926))</f>
        <v>7.5698143323214284E-2</v>
      </c>
      <c r="V926" s="9">
        <f>INT(200*U926)/200</f>
        <v>7.4999999999999997E-2</v>
      </c>
      <c r="W926" s="9">
        <f t="array" ref="W926">SQRT(MMULT(MMULT(P926:S926,$K$3:$N$6),TRANSPOSE(P926:S926)))</f>
        <v>8.9509410952226157E-2</v>
      </c>
      <c r="Y926" s="31">
        <f>U926/W926</f>
        <v>0.84570038522113211</v>
      </c>
      <c r="AA926" s="9">
        <f t="shared" si="115"/>
        <v>0.28967813518846613</v>
      </c>
      <c r="AB926" s="9">
        <f t="shared" si="116"/>
        <v>7.9342684153262746E-2</v>
      </c>
      <c r="AC926" s="9">
        <f t="shared" si="117"/>
        <v>0.28937128963343217</v>
      </c>
      <c r="AD926" s="9">
        <f t="shared" si="118"/>
        <v>0.34160789102483896</v>
      </c>
      <c r="AE926" s="9"/>
      <c r="AF926" s="9">
        <f t="shared" si="119"/>
        <v>0.57974438088756219</v>
      </c>
      <c r="AG926" s="9">
        <f t="shared" si="120"/>
        <v>0.75831109256953044</v>
      </c>
      <c r="AH926" s="9">
        <f t="shared" si="121"/>
        <v>0.60007284948987172</v>
      </c>
      <c r="AI926" s="9">
        <f t="shared" si="122"/>
        <v>0.49515584849456706</v>
      </c>
    </row>
    <row r="927" spans="16:35" x14ac:dyDescent="0.3">
      <c r="P927" s="9">
        <v>0.31471567637253506</v>
      </c>
      <c r="Q927" s="9">
        <v>6.0049935292875216E-2</v>
      </c>
      <c r="R927" s="9">
        <v>0.19249100754075965</v>
      </c>
      <c r="S927" s="9">
        <v>0.43274338079383007</v>
      </c>
      <c r="U927" s="9">
        <f t="array" ref="U927">MMULT(TRANSPOSE($B$3:$B$6),TRANSPOSE(P927:S927))</f>
        <v>8.2781846760055011E-2</v>
      </c>
      <c r="V927" s="9">
        <f>INT(200*U927)/200</f>
        <v>0.08</v>
      </c>
      <c r="W927" s="9">
        <f t="array" ref="W927">SQRT(MMULT(MMULT(P927:S927,$K$3:$N$6),TRANSPOSE(P927:S927)))</f>
        <v>9.7902535818983602E-2</v>
      </c>
      <c r="Y927" s="31">
        <f>U927/W927</f>
        <v>0.84555365259500614</v>
      </c>
      <c r="AA927" s="9">
        <f t="shared" si="115"/>
        <v>0.2877961986771978</v>
      </c>
      <c r="AB927" s="9">
        <f t="shared" si="116"/>
        <v>7.9068653621717166E-2</v>
      </c>
      <c r="AC927" s="9">
        <f t="shared" si="117"/>
        <v>0.30327037226116971</v>
      </c>
      <c r="AD927" s="9">
        <f t="shared" si="118"/>
        <v>0.32986477543991527</v>
      </c>
      <c r="AE927" s="9"/>
      <c r="AF927" s="9">
        <f t="shared" si="119"/>
        <v>0.58003211372549501</v>
      </c>
      <c r="AG927" s="9">
        <f t="shared" si="120"/>
        <v>0.76367332745505323</v>
      </c>
      <c r="AH927" s="9">
        <f t="shared" si="121"/>
        <v>0.57837735489885622</v>
      </c>
      <c r="AI927" s="9">
        <f t="shared" si="122"/>
        <v>0.52613422060325221</v>
      </c>
    </row>
    <row r="928" spans="16:35" x14ac:dyDescent="0.3">
      <c r="P928" s="9">
        <v>0.42296371255319437</v>
      </c>
      <c r="Q928" s="9">
        <v>1.5105996054670619E-2</v>
      </c>
      <c r="R928" s="9">
        <v>0.39177809235636446</v>
      </c>
      <c r="S928" s="9">
        <v>0.17015219903577053</v>
      </c>
      <c r="U928" s="9">
        <f t="array" ref="U928">MMULT(TRANSPOSE($B$3:$B$6),TRANSPOSE(P928:S928))</f>
        <v>7.5873379198350355E-2</v>
      </c>
      <c r="V928" s="9">
        <f>INT(200*U928)/200</f>
        <v>7.4999999999999997E-2</v>
      </c>
      <c r="W928" s="9">
        <f t="array" ref="W928">SQRT(MMULT(MMULT(P928:S928,$K$3:$N$6),TRANSPOSE(P928:S928)))</f>
        <v>8.9759411677066456E-2</v>
      </c>
      <c r="Y928" s="31">
        <f>U928/W928</f>
        <v>0.8452971981514894</v>
      </c>
      <c r="AA928" s="9">
        <f t="shared" si="115"/>
        <v>0.28895829680108864</v>
      </c>
      <c r="AB928" s="9">
        <f t="shared" si="116"/>
        <v>7.8111590110952145E-2</v>
      </c>
      <c r="AC928" s="9">
        <f t="shared" si="117"/>
        <v>0.30217328556369294</v>
      </c>
      <c r="AD928" s="9">
        <f t="shared" si="118"/>
        <v>0.33075682752426633</v>
      </c>
      <c r="AE928" s="9"/>
      <c r="AF928" s="9">
        <f t="shared" si="119"/>
        <v>0.57828555740838772</v>
      </c>
      <c r="AG928" s="9">
        <f t="shared" si="120"/>
        <v>0.78267135838571722</v>
      </c>
      <c r="AH928" s="9">
        <f t="shared" si="121"/>
        <v>0.57950122570767348</v>
      </c>
      <c r="AI928" s="9">
        <f t="shared" si="122"/>
        <v>0.5243476421826142</v>
      </c>
    </row>
    <row r="929" spans="16:35" x14ac:dyDescent="0.3">
      <c r="P929" s="9">
        <v>0.268508917884281</v>
      </c>
      <c r="Q929" s="9">
        <v>0.12664711003940649</v>
      </c>
      <c r="R929" s="9">
        <v>6.8544180274083627E-2</v>
      </c>
      <c r="S929" s="9">
        <v>0.53629979180222886</v>
      </c>
      <c r="U929" s="9">
        <f t="array" ref="U929">MMULT(TRANSPOSE($B$3:$B$6),TRANSPOSE(P929:S929))</f>
        <v>8.7165845903030004E-2</v>
      </c>
      <c r="V929" s="9">
        <f>INT(200*U929)/200</f>
        <v>8.5000000000000006E-2</v>
      </c>
      <c r="W929" s="9">
        <f t="array" ref="W929">SQRT(MMULT(MMULT(P929:S929,$K$3:$N$6),TRANSPOSE(P929:S929)))</f>
        <v>0.10350430903582684</v>
      </c>
      <c r="Y929" s="31">
        <f>U929/W929</f>
        <v>0.84214702474713909</v>
      </c>
      <c r="AA929" s="9">
        <f t="shared" si="115"/>
        <v>0.28878239486787305</v>
      </c>
      <c r="AB929" s="9">
        <f t="shared" si="116"/>
        <v>7.2984983182178165E-2</v>
      </c>
      <c r="AC929" s="9">
        <f t="shared" si="117"/>
        <v>0.31977315061523165</v>
      </c>
      <c r="AD929" s="9">
        <f t="shared" si="118"/>
        <v>0.31845947133471714</v>
      </c>
      <c r="AE929" s="9"/>
      <c r="AF929" s="9">
        <f t="shared" si="119"/>
        <v>0.57853975993176088</v>
      </c>
      <c r="AG929" s="9">
        <f t="shared" si="120"/>
        <v>0.83289459434065494</v>
      </c>
      <c r="AH929" s="9">
        <f t="shared" si="121"/>
        <v>0.51133380207591617</v>
      </c>
      <c r="AI929" s="9">
        <f t="shared" si="122"/>
        <v>0.52635215457199092</v>
      </c>
    </row>
    <row r="930" spans="16:35" x14ac:dyDescent="0.3">
      <c r="P930" s="9">
        <v>0.21328094960898819</v>
      </c>
      <c r="Q930" s="9">
        <v>6.5115855109772205E-2</v>
      </c>
      <c r="R930" s="9">
        <v>0.3701301545120928</v>
      </c>
      <c r="S930" s="9">
        <v>0.35147304076914682</v>
      </c>
      <c r="U930" s="9">
        <f t="array" ref="U930">MMULT(TRANSPOSE($B$3:$B$6),TRANSPOSE(P930:S930))</f>
        <v>8.6916762782867307E-2</v>
      </c>
      <c r="V930" s="9">
        <f>INT(200*U930)/200</f>
        <v>8.5000000000000006E-2</v>
      </c>
      <c r="W930" s="9">
        <f t="array" ref="W930">SQRT(MMULT(MMULT(P930:S930,$K$3:$N$6),TRANSPOSE(P930:S930)))</f>
        <v>0.10331557969742176</v>
      </c>
      <c r="Y930" s="31">
        <f>U930/W930</f>
        <v>0.84127450126513992</v>
      </c>
      <c r="AA930" s="9">
        <f t="shared" si="115"/>
        <v>0.29984243765327684</v>
      </c>
      <c r="AB930" s="9">
        <f t="shared" si="116"/>
        <v>6.7381238904948029E-2</v>
      </c>
      <c r="AC930" s="9">
        <f t="shared" si="117"/>
        <v>0.32860559908631565</v>
      </c>
      <c r="AD930" s="9">
        <f t="shared" si="118"/>
        <v>0.30417072435545961</v>
      </c>
      <c r="AE930" s="9"/>
      <c r="AF930" s="9">
        <f t="shared" si="119"/>
        <v>0.54609348364420329</v>
      </c>
      <c r="AG930" s="9">
        <f t="shared" si="120"/>
        <v>0.89190963890860464</v>
      </c>
      <c r="AH930" s="9">
        <f t="shared" si="121"/>
        <v>0.49859750018397664</v>
      </c>
      <c r="AI930" s="9">
        <f t="shared" si="122"/>
        <v>0.54083345978383313</v>
      </c>
    </row>
    <row r="931" spans="16:35" x14ac:dyDescent="0.3">
      <c r="P931" s="9">
        <v>0.51533168218943282</v>
      </c>
      <c r="Q931" s="9">
        <v>3.2655473675118153E-2</v>
      </c>
      <c r="R931" s="9">
        <v>0.43584506046463894</v>
      </c>
      <c r="S931" s="9">
        <v>1.6167783670810187E-2</v>
      </c>
      <c r="U931" s="9">
        <f t="array" ref="U931">MMULT(TRANSPOSE($B$3:$B$6),TRANSPOSE(P931:S931))</f>
        <v>7.1962446606574026E-2</v>
      </c>
      <c r="V931" s="9">
        <f>INT(200*U931)/200</f>
        <v>7.0000000000000007E-2</v>
      </c>
      <c r="W931" s="9">
        <f t="array" ref="W931">SQRT(MMULT(MMULT(P931:S931,$K$3:$N$6),TRANSPOSE(P931:S931)))</f>
        <v>8.5562498678611612E-2</v>
      </c>
      <c r="Y931" s="31">
        <f>U931/W931</f>
        <v>0.84105125163394456</v>
      </c>
      <c r="AA931" s="9">
        <f t="shared" si="115"/>
        <v>0.2907760087329434</v>
      </c>
      <c r="AB931" s="9">
        <f t="shared" si="116"/>
        <v>6.8814907390400873E-2</v>
      </c>
      <c r="AC931" s="9">
        <f t="shared" si="117"/>
        <v>0.3323062194236957</v>
      </c>
      <c r="AD931" s="9">
        <f t="shared" si="118"/>
        <v>0.30810286445296003</v>
      </c>
      <c r="AE931" s="9"/>
      <c r="AF931" s="9">
        <f t="shared" si="119"/>
        <v>0.53150803840529048</v>
      </c>
      <c r="AG931" s="9">
        <f t="shared" si="120"/>
        <v>0.86865404770668642</v>
      </c>
      <c r="AH931" s="9">
        <f t="shared" si="121"/>
        <v>0.47236256708353547</v>
      </c>
      <c r="AI931" s="9">
        <f t="shared" si="122"/>
        <v>0.54544425545222142</v>
      </c>
    </row>
    <row r="932" spans="16:35" x14ac:dyDescent="0.3">
      <c r="P932" s="9">
        <v>5.1419131547118073E-2</v>
      </c>
      <c r="Q932" s="9">
        <v>0.13578119140914513</v>
      </c>
      <c r="R932" s="9">
        <v>0.36302876535628736</v>
      </c>
      <c r="S932" s="9">
        <v>0.44977091168744943</v>
      </c>
      <c r="U932" s="9">
        <f t="array" ref="U932">MMULT(TRANSPOSE($B$3:$B$6),TRANSPOSE(P932:S932))</f>
        <v>9.6281110672642861E-2</v>
      </c>
      <c r="V932" s="9">
        <f>INT(200*U932)/200</f>
        <v>9.5000000000000001E-2</v>
      </c>
      <c r="W932" s="9">
        <f t="array" ref="W932">SQRT(MMULT(MMULT(P932:S932,$K$3:$N$6),TRANSPOSE(P932:S932)))</f>
        <v>0.11450936330135188</v>
      </c>
      <c r="Y932" s="31">
        <f>U932/W932</f>
        <v>0.84081430458452455</v>
      </c>
      <c r="AA932" s="9">
        <f t="shared" si="115"/>
        <v>0.29629839902252608</v>
      </c>
      <c r="AB932" s="9">
        <f t="shared" si="116"/>
        <v>6.4055959807134466E-2</v>
      </c>
      <c r="AC932" s="9">
        <f t="shared" si="117"/>
        <v>0.33747685963906943</v>
      </c>
      <c r="AD932" s="9">
        <f t="shared" si="118"/>
        <v>0.30216878153127003</v>
      </c>
      <c r="AE932" s="9"/>
      <c r="AF932" s="9">
        <f t="shared" si="119"/>
        <v>0.4920077093049201</v>
      </c>
      <c r="AG932" s="9">
        <f t="shared" si="120"/>
        <v>0.82445402790281686</v>
      </c>
      <c r="AH932" s="9">
        <f t="shared" si="121"/>
        <v>0.46253191761978857</v>
      </c>
      <c r="AI932" s="9">
        <f t="shared" si="122"/>
        <v>0.53439868101264298</v>
      </c>
    </row>
    <row r="933" spans="16:35" x14ac:dyDescent="0.3">
      <c r="P933" s="9">
        <v>0.37217508188826276</v>
      </c>
      <c r="Q933" s="9">
        <v>1.4921475485048817E-2</v>
      </c>
      <c r="R933" s="9">
        <v>0.35580548221321434</v>
      </c>
      <c r="S933" s="9">
        <v>0.25709796041347405</v>
      </c>
      <c r="U933" s="9">
        <f t="array" ref="U933">MMULT(TRANSPOSE($B$3:$B$6),TRANSPOSE(P933:S933))</f>
        <v>7.8324802022096712E-2</v>
      </c>
      <c r="V933" s="9">
        <f>INT(200*U933)/200</f>
        <v>7.4999999999999997E-2</v>
      </c>
      <c r="W933" s="9">
        <f t="array" ref="W933">SQRT(MMULT(MMULT(P933:S933,$K$3:$N$6),TRANSPOSE(P933:S933)))</f>
        <v>9.3164191464652185E-2</v>
      </c>
      <c r="Y933" s="31">
        <f>U933/W933</f>
        <v>0.8407178851738788</v>
      </c>
      <c r="AA933" s="9">
        <f t="shared" si="115"/>
        <v>0.29412151022279298</v>
      </c>
      <c r="AB933" s="9">
        <f t="shared" si="116"/>
        <v>6.4360677859061965E-2</v>
      </c>
      <c r="AC933" s="9">
        <f t="shared" si="117"/>
        <v>0.34282956401383435</v>
      </c>
      <c r="AD933" s="9">
        <f t="shared" si="118"/>
        <v>0.29868824790431076</v>
      </c>
      <c r="AE933" s="9"/>
      <c r="AF933" s="9">
        <f t="shared" si="119"/>
        <v>0.48986736562673033</v>
      </c>
      <c r="AG933" s="9">
        <f t="shared" si="120"/>
        <v>0.81546718665005613</v>
      </c>
      <c r="AH933" s="9">
        <f t="shared" si="121"/>
        <v>0.45698697461856885</v>
      </c>
      <c r="AI933" s="9">
        <f t="shared" si="122"/>
        <v>0.54590301943144548</v>
      </c>
    </row>
    <row r="934" spans="16:35" x14ac:dyDescent="0.3">
      <c r="P934" s="9">
        <v>0.29640704640108301</v>
      </c>
      <c r="Q934" s="9">
        <v>5.9214655993894312E-2</v>
      </c>
      <c r="R934" s="9">
        <v>0.2033294380920245</v>
      </c>
      <c r="S934" s="9">
        <v>0.44104885951299816</v>
      </c>
      <c r="U934" s="9">
        <f t="array" ref="U934">MMULT(TRANSPOSE($B$3:$B$6),TRANSPOSE(P934:S934))</f>
        <v>8.3557815251070172E-2</v>
      </c>
      <c r="V934" s="9">
        <f>INT(200*U934)/200</f>
        <v>0.08</v>
      </c>
      <c r="W934" s="9">
        <f t="array" ref="W934">SQRT(MMULT(MMULT(P934:S934,$K$3:$N$6),TRANSPOSE(P934:S934)))</f>
        <v>9.9537445898669877E-2</v>
      </c>
      <c r="Y934" s="31">
        <f>U934/W934</f>
        <v>0.83946111432407933</v>
      </c>
      <c r="AA934" s="9">
        <f t="shared" si="115"/>
        <v>0.29021739983938666</v>
      </c>
      <c r="AB934" s="9">
        <f t="shared" si="116"/>
        <v>6.2966933207632234E-2</v>
      </c>
      <c r="AC934" s="9">
        <f t="shared" si="117"/>
        <v>0.32990764971505354</v>
      </c>
      <c r="AD934" s="9">
        <f t="shared" si="118"/>
        <v>0.31690801723792772</v>
      </c>
      <c r="AE934" s="9"/>
      <c r="AF934" s="9">
        <f t="shared" si="119"/>
        <v>0.48952241083374137</v>
      </c>
      <c r="AG934" s="9">
        <f t="shared" si="120"/>
        <v>0.84022583226692915</v>
      </c>
      <c r="AH934" s="9">
        <f t="shared" si="121"/>
        <v>0.46510453023723791</v>
      </c>
      <c r="AI934" s="9">
        <f t="shared" si="122"/>
        <v>0.47928299303788852</v>
      </c>
    </row>
    <row r="935" spans="16:35" x14ac:dyDescent="0.3">
      <c r="P935" s="9">
        <v>0.45105663154673231</v>
      </c>
      <c r="Q935" s="9">
        <v>3.985613377452979E-4</v>
      </c>
      <c r="R935" s="9">
        <v>0.37140782629770186</v>
      </c>
      <c r="S935" s="9">
        <v>0.17713698081782051</v>
      </c>
      <c r="U935" s="9">
        <f t="array" ref="U935">MMULT(TRANSPOSE($B$3:$B$6),TRANSPOSE(P935:S935))</f>
        <v>7.4260195275637278E-2</v>
      </c>
      <c r="V935" s="9">
        <f>INT(200*U935)/200</f>
        <v>7.0000000000000007E-2</v>
      </c>
      <c r="W935" s="9">
        <f t="array" ref="W935">SQRT(MMULT(MMULT(P935:S935,$K$3:$N$6),TRANSPOSE(P935:S935)))</f>
        <v>8.8637708329922918E-2</v>
      </c>
      <c r="Y935" s="31">
        <f>U935/W935</f>
        <v>0.83779462121504356</v>
      </c>
      <c r="AA935" s="9">
        <f t="shared" si="115"/>
        <v>0.29015730202995887</v>
      </c>
      <c r="AB935" s="9">
        <f t="shared" si="116"/>
        <v>6.7339043690323896E-2</v>
      </c>
      <c r="AC935" s="9">
        <f t="shared" si="117"/>
        <v>0.31121784546811454</v>
      </c>
      <c r="AD935" s="9">
        <f t="shared" si="118"/>
        <v>0.33128580881160274</v>
      </c>
      <c r="AE935" s="9"/>
      <c r="AF935" s="9">
        <f t="shared" si="119"/>
        <v>0.48996441707413324</v>
      </c>
      <c r="AG935" s="9">
        <f t="shared" si="120"/>
        <v>0.90982213824290725</v>
      </c>
      <c r="AH935" s="9">
        <f t="shared" si="121"/>
        <v>0.50698598503894776</v>
      </c>
      <c r="AI935" s="9">
        <f t="shared" si="122"/>
        <v>0.50230678555612773</v>
      </c>
    </row>
    <row r="936" spans="16:35" x14ac:dyDescent="0.3">
      <c r="P936" s="9">
        <v>7.1545253266283276E-2</v>
      </c>
      <c r="Q936" s="9">
        <v>0.16411153181542398</v>
      </c>
      <c r="R936" s="9">
        <v>0.21384937529538259</v>
      </c>
      <c r="S936" s="9">
        <v>0.55049383962291021</v>
      </c>
      <c r="U936" s="9">
        <f t="array" ref="U936">MMULT(TRANSPOSE($B$3:$B$6),TRANSPOSE(P936:S936))</f>
        <v>9.667616992836911E-2</v>
      </c>
      <c r="V936" s="9">
        <f>INT(200*U936)/200</f>
        <v>9.5000000000000001E-2</v>
      </c>
      <c r="W936" s="9">
        <f t="array" ref="W936">SQRT(MMULT(MMULT(P936:S936,$K$3:$N$6),TRANSPOSE(P936:S936)))</f>
        <v>0.11542752280249054</v>
      </c>
      <c r="Y936" s="31">
        <f>U936/W936</f>
        <v>0.83754868493360024</v>
      </c>
      <c r="AA936" s="9">
        <f t="shared" si="115"/>
        <v>0.29886754243881097</v>
      </c>
      <c r="AB936" s="9">
        <f t="shared" si="116"/>
        <v>6.2451999206114349E-2</v>
      </c>
      <c r="AC936" s="9">
        <f t="shared" si="117"/>
        <v>0.28902243661742438</v>
      </c>
      <c r="AD936" s="9">
        <f t="shared" si="118"/>
        <v>0.34965802173765032</v>
      </c>
      <c r="AE936" s="9"/>
      <c r="AF936" s="9">
        <f t="shared" si="119"/>
        <v>0.44105625970305329</v>
      </c>
      <c r="AG936" s="9">
        <f t="shared" si="120"/>
        <v>0.89960460984385671</v>
      </c>
      <c r="AH936" s="9">
        <f t="shared" si="121"/>
        <v>0.45308286891149757</v>
      </c>
      <c r="AI936" s="9">
        <f t="shared" si="122"/>
        <v>0.45232691022428723</v>
      </c>
    </row>
    <row r="937" spans="16:35" x14ac:dyDescent="0.3">
      <c r="P937" s="9">
        <v>0.35440745969594267</v>
      </c>
      <c r="Q937" s="9">
        <v>3.1041746775137671E-2</v>
      </c>
      <c r="R937" s="9">
        <v>0.46331864010658896</v>
      </c>
      <c r="S937" s="9">
        <v>0.15123215342233085</v>
      </c>
      <c r="U937" s="9">
        <f t="array" ref="U937">MMULT(TRANSPOSE($B$3:$B$6),TRANSPOSE(P937:S937))</f>
        <v>7.9186174311862034E-2</v>
      </c>
      <c r="V937" s="9">
        <f>INT(200*U937)/200</f>
        <v>7.4999999999999997E-2</v>
      </c>
      <c r="W937" s="9">
        <f t="array" ref="W937">SQRT(MMULT(MMULT(P937:S937,$K$3:$N$6),TRANSPOSE(P937:S937)))</f>
        <v>9.4723834528288475E-2</v>
      </c>
      <c r="Y937" s="31">
        <f>U937/W937</f>
        <v>0.8359688425431484</v>
      </c>
      <c r="AA937" s="9">
        <f t="shared" si="115"/>
        <v>0.27760520073859002</v>
      </c>
      <c r="AB937" s="9">
        <f t="shared" si="116"/>
        <v>6.6495060615775176E-2</v>
      </c>
      <c r="AC937" s="9">
        <f t="shared" si="117"/>
        <v>0.30774177966273508</v>
      </c>
      <c r="AD937" s="9">
        <f t="shared" si="118"/>
        <v>0.34815795898289975</v>
      </c>
      <c r="AE937" s="9"/>
      <c r="AF937" s="9">
        <f t="shared" si="119"/>
        <v>0.50109847172362776</v>
      </c>
      <c r="AG937" s="9">
        <f t="shared" si="120"/>
        <v>0.86497636055337968</v>
      </c>
      <c r="AH937" s="9">
        <f t="shared" si="121"/>
        <v>0.40917769530301418</v>
      </c>
      <c r="AI937" s="9">
        <f t="shared" si="122"/>
        <v>0.45257838525338268</v>
      </c>
    </row>
    <row r="938" spans="16:35" x14ac:dyDescent="0.3">
      <c r="P938" s="9">
        <v>0.32376217079617892</v>
      </c>
      <c r="Q938" s="9">
        <v>2.30081612722054E-2</v>
      </c>
      <c r="R938" s="9">
        <v>0.33607275777274942</v>
      </c>
      <c r="S938" s="9">
        <v>0.31715691015886627</v>
      </c>
      <c r="U938" s="9">
        <f t="array" ref="U938">MMULT(TRANSPOSE($B$3:$B$6),TRANSPOSE(P938:S938))</f>
        <v>8.0833890913875037E-2</v>
      </c>
      <c r="V938" s="9">
        <f>INT(200*U938)/200</f>
        <v>0.08</v>
      </c>
      <c r="W938" s="9">
        <f t="array" ref="W938">SQRT(MMULT(MMULT(P938:S938,$K$3:$N$6),TRANSPOSE(P938:S938)))</f>
        <v>9.6773062954884484E-2</v>
      </c>
      <c r="Y938" s="31">
        <f>U938/W938</f>
        <v>0.83529329800752228</v>
      </c>
      <c r="AA938" s="9">
        <f t="shared" si="115"/>
        <v>0.2700017677925407</v>
      </c>
      <c r="AB938" s="9">
        <f t="shared" si="116"/>
        <v>6.7639482303587184E-2</v>
      </c>
      <c r="AC938" s="9">
        <f t="shared" si="117"/>
        <v>0.31384172048756348</v>
      </c>
      <c r="AD938" s="9">
        <f t="shared" si="118"/>
        <v>0.34851702941630874</v>
      </c>
      <c r="AE938" s="9"/>
      <c r="AF938" s="9">
        <f t="shared" si="119"/>
        <v>0.52341801600166415</v>
      </c>
      <c r="AG938" s="9">
        <f t="shared" si="120"/>
        <v>0.85188414146863778</v>
      </c>
      <c r="AH938" s="9">
        <f t="shared" si="121"/>
        <v>0.39233367391909862</v>
      </c>
      <c r="AI938" s="9">
        <f t="shared" si="122"/>
        <v>0.45271707450200782</v>
      </c>
    </row>
    <row r="939" spans="16:35" x14ac:dyDescent="0.3">
      <c r="P939" s="9">
        <v>0.31263614160927644</v>
      </c>
      <c r="Q939" s="9">
        <v>2.5647659970908388E-2</v>
      </c>
      <c r="R939" s="9">
        <v>0.38950340578231474</v>
      </c>
      <c r="S939" s="9">
        <v>0.27221279263750031</v>
      </c>
      <c r="U939" s="9">
        <f t="array" ref="U939">MMULT(TRANSPOSE($B$3:$B$6),TRANSPOSE(P939:S939))</f>
        <v>8.1220556679231504E-2</v>
      </c>
      <c r="V939" s="9">
        <f>INT(200*U939)/200</f>
        <v>0.08</v>
      </c>
      <c r="W939" s="9">
        <f t="array" ref="W939">SQRT(MMULT(MMULT(P939:S939,$K$3:$N$6),TRANSPOSE(P939:S939)))</f>
        <v>9.7329239125683878E-2</v>
      </c>
      <c r="Y939" s="31">
        <f>U939/W939</f>
        <v>0.8344928760241227</v>
      </c>
      <c r="AA939" s="9">
        <f t="shared" si="115"/>
        <v>0.26647689245039352</v>
      </c>
      <c r="AB939" s="9">
        <f t="shared" si="116"/>
        <v>6.7581966074711078E-2</v>
      </c>
      <c r="AC939" s="9">
        <f t="shared" si="117"/>
        <v>0.30850132438337807</v>
      </c>
      <c r="AD939" s="9">
        <f t="shared" si="118"/>
        <v>0.35743981709151751</v>
      </c>
      <c r="AE939" s="9"/>
      <c r="AF939" s="9">
        <f t="shared" si="119"/>
        <v>0.51864395517207196</v>
      </c>
      <c r="AG939" s="9">
        <f t="shared" si="120"/>
        <v>0.85343237976089781</v>
      </c>
      <c r="AH939" s="9">
        <f t="shared" si="121"/>
        <v>0.39548726584730759</v>
      </c>
      <c r="AI939" s="9">
        <f t="shared" si="122"/>
        <v>0.42635088868330601</v>
      </c>
    </row>
    <row r="940" spans="16:35" x14ac:dyDescent="0.3">
      <c r="P940" s="9">
        <v>0.36301160439136809</v>
      </c>
      <c r="Q940" s="9">
        <v>1.8440342286215647E-2</v>
      </c>
      <c r="R940" s="9">
        <v>0.42277377187413107</v>
      </c>
      <c r="S940" s="9">
        <v>0.19577428144828524</v>
      </c>
      <c r="U940" s="9">
        <f t="array" ref="U940">MMULT(TRANSPOSE($B$3:$B$6),TRANSPOSE(P940:S940))</f>
        <v>7.8596260015504821E-2</v>
      </c>
      <c r="V940" s="9">
        <f>INT(200*U940)/200</f>
        <v>7.4999999999999997E-2</v>
      </c>
      <c r="W940" s="9">
        <f t="array" ref="W940">SQRT(MMULT(MMULT(P940:S940,$K$3:$N$6),TRANSPOSE(P940:S940)))</f>
        <v>9.4202092823538044E-2</v>
      </c>
      <c r="Y940" s="31">
        <f>U940/W940</f>
        <v>0.83433666556361441</v>
      </c>
      <c r="AA940" s="9">
        <f t="shared" si="115"/>
        <v>0.26370157693882179</v>
      </c>
      <c r="AB940" s="9">
        <f t="shared" si="116"/>
        <v>6.5032181151875132E-2</v>
      </c>
      <c r="AC940" s="9">
        <f t="shared" si="117"/>
        <v>0.33213328041360679</v>
      </c>
      <c r="AD940" s="9">
        <f t="shared" si="118"/>
        <v>0.33913296149569638</v>
      </c>
      <c r="AE940" s="9"/>
      <c r="AF940" s="9">
        <f t="shared" si="119"/>
        <v>0.52615498232205793</v>
      </c>
      <c r="AG940" s="9">
        <f t="shared" si="120"/>
        <v>0.86260143394524291</v>
      </c>
      <c r="AH940" s="9">
        <f t="shared" si="121"/>
        <v>0.36511334177169996</v>
      </c>
      <c r="AI940" s="9">
        <f t="shared" si="122"/>
        <v>0.45092847295541827</v>
      </c>
    </row>
    <row r="941" spans="16:35" x14ac:dyDescent="0.3">
      <c r="P941" s="9">
        <v>0.35378206416030722</v>
      </c>
      <c r="Q941" s="9">
        <v>7.0345612295767232E-2</v>
      </c>
      <c r="R941" s="9">
        <v>8.5588405387956965E-2</v>
      </c>
      <c r="S941" s="9">
        <v>0.49028391815596867</v>
      </c>
      <c r="U941" s="9">
        <f t="array" ref="U941">MMULT(TRANSPOSE($B$3:$B$6),TRANSPOSE(P941:S941))</f>
        <v>8.1663681732922738E-2</v>
      </c>
      <c r="V941" s="9">
        <f>INT(200*U941)/200</f>
        <v>0.08</v>
      </c>
      <c r="W941" s="9">
        <f t="array" ref="W941">SQRT(MMULT(MMULT(P941:S941,$K$3:$N$6),TRANSPOSE(P941:S941)))</f>
        <v>9.7895821587992315E-2</v>
      </c>
      <c r="Y941" s="31">
        <f>U941/W941</f>
        <v>0.83418965598567918</v>
      </c>
      <c r="AA941" s="9">
        <f t="shared" si="115"/>
        <v>0.2717424152056685</v>
      </c>
      <c r="AB941" s="9">
        <f t="shared" si="116"/>
        <v>6.1968234493745479E-2</v>
      </c>
      <c r="AC941" s="9">
        <f t="shared" si="117"/>
        <v>0.33221694844089961</v>
      </c>
      <c r="AD941" s="9">
        <f t="shared" si="118"/>
        <v>0.33407240185968651</v>
      </c>
      <c r="AE941" s="9"/>
      <c r="AF941" s="9">
        <f t="shared" si="119"/>
        <v>0.51725758182166104</v>
      </c>
      <c r="AG941" s="9">
        <f t="shared" si="120"/>
        <v>0.93310184952312458</v>
      </c>
      <c r="AH941" s="9">
        <f t="shared" si="121"/>
        <v>0.36510606162887932</v>
      </c>
      <c r="AI941" s="9">
        <f t="shared" si="122"/>
        <v>0.46172197226351586</v>
      </c>
    </row>
    <row r="942" spans="16:35" x14ac:dyDescent="0.3">
      <c r="P942" s="9">
        <v>0.12443738453240955</v>
      </c>
      <c r="Q942" s="9">
        <v>9.4934167236724543E-2</v>
      </c>
      <c r="R942" s="9">
        <v>0.3639498994025186</v>
      </c>
      <c r="S942" s="9">
        <v>0.41667854882834721</v>
      </c>
      <c r="U942" s="9">
        <f t="array" ref="U942">MMULT(TRANSPOSE($B$3:$B$6),TRANSPOSE(P942:S942))</f>
        <v>9.1820375667123783E-2</v>
      </c>
      <c r="V942" s="9">
        <f>INT(200*U942)/200</f>
        <v>0.09</v>
      </c>
      <c r="W942" s="9">
        <f t="array" ref="W942">SQRT(MMULT(MMULT(P942:S942,$K$3:$N$6),TRANSPOSE(P942:S942)))</f>
        <v>0.11007293794472116</v>
      </c>
      <c r="Y942" s="31">
        <f>U942/W942</f>
        <v>0.83417756790716491</v>
      </c>
      <c r="AA942" s="9">
        <f t="shared" si="115"/>
        <v>0.25965653736227934</v>
      </c>
      <c r="AB942" s="9">
        <f t="shared" si="116"/>
        <v>6.1975949780954581E-2</v>
      </c>
      <c r="AC942" s="9">
        <f t="shared" si="117"/>
        <v>0.32969421368972174</v>
      </c>
      <c r="AD942" s="9">
        <f t="shared" si="118"/>
        <v>0.34867329916704443</v>
      </c>
      <c r="AE942" s="9"/>
      <c r="AF942" s="9">
        <f t="shared" si="119"/>
        <v>0.49683108664254561</v>
      </c>
      <c r="AG942" s="9">
        <f t="shared" si="120"/>
        <v>0.932919597366479</v>
      </c>
      <c r="AH942" s="9">
        <f t="shared" si="121"/>
        <v>0.36266945184363097</v>
      </c>
      <c r="AI942" s="9">
        <f t="shared" si="122"/>
        <v>0.39032374537555364</v>
      </c>
    </row>
    <row r="943" spans="16:35" x14ac:dyDescent="0.3">
      <c r="P943" s="9">
        <v>0.38017998397827718</v>
      </c>
      <c r="Q943" s="9">
        <v>1.3572347461375485E-2</v>
      </c>
      <c r="R943" s="9">
        <v>0.4123506650969963</v>
      </c>
      <c r="S943" s="9">
        <v>0.19389700346335106</v>
      </c>
      <c r="U943" s="9">
        <f t="array" ref="U943">MMULT(TRANSPOSE($B$3:$B$6),TRANSPOSE(P943:S943))</f>
        <v>7.7715406164228173E-2</v>
      </c>
      <c r="V943" s="9">
        <f>INT(200*U943)/200</f>
        <v>7.4999999999999997E-2</v>
      </c>
      <c r="W943" s="9">
        <f t="array" ref="W943">SQRT(MMULT(MMULT(P943:S943,$K$3:$N$6),TRANSPOSE(P943:S943)))</f>
        <v>9.3167536293511807E-2</v>
      </c>
      <c r="Y943" s="31">
        <f>U943/W943</f>
        <v>0.83414684187200383</v>
      </c>
      <c r="AA943" s="9">
        <f t="shared" si="115"/>
        <v>0.25833494175802024</v>
      </c>
      <c r="AB943" s="9">
        <f t="shared" si="116"/>
        <v>6.0999272549096893E-2</v>
      </c>
      <c r="AC943" s="9">
        <f t="shared" si="117"/>
        <v>0.33569393323807839</v>
      </c>
      <c r="AD943" s="9">
        <f t="shared" si="118"/>
        <v>0.34497185245480461</v>
      </c>
      <c r="AE943" s="9"/>
      <c r="AF943" s="9">
        <f t="shared" si="119"/>
        <v>0.50851020922408785</v>
      </c>
      <c r="AG943" s="9">
        <f t="shared" si="120"/>
        <v>0.92904985602949752</v>
      </c>
      <c r="AH943" s="9">
        <f t="shared" si="121"/>
        <v>0.37054637811834157</v>
      </c>
      <c r="AI943" s="9">
        <f t="shared" si="122"/>
        <v>0.38917074877357655</v>
      </c>
    </row>
    <row r="944" spans="16:35" x14ac:dyDescent="0.3">
      <c r="P944" s="9">
        <v>0.3214202974449365</v>
      </c>
      <c r="Q944" s="9">
        <v>3.3818887536828046E-2</v>
      </c>
      <c r="R944" s="9">
        <v>0.23756780819261344</v>
      </c>
      <c r="S944" s="9">
        <v>0.40719300682562193</v>
      </c>
      <c r="U944" s="9">
        <f t="array" ref="U944">MMULT(TRANSPOSE($B$3:$B$6),TRANSPOSE(P944:S944))</f>
        <v>8.1595037160467718E-2</v>
      </c>
      <c r="V944" s="9">
        <f>INT(200*U944)/200</f>
        <v>0.08</v>
      </c>
      <c r="W944" s="9">
        <f t="array" ref="W944">SQRT(MMULT(MMULT(P944:S944,$K$3:$N$6),TRANSPOSE(P944:S944)))</f>
        <v>9.8035702427362995E-2</v>
      </c>
      <c r="Y944" s="31">
        <f>U944/W944</f>
        <v>0.83229920467926921</v>
      </c>
      <c r="AA944" s="9">
        <f t="shared" si="115"/>
        <v>0.26099873960437431</v>
      </c>
      <c r="AB944" s="9">
        <f t="shared" si="116"/>
        <v>6.1408376513250096E-2</v>
      </c>
      <c r="AC944" s="9">
        <f t="shared" si="117"/>
        <v>0.32352847957998671</v>
      </c>
      <c r="AD944" s="9">
        <f t="shared" si="118"/>
        <v>0.35406440430238878</v>
      </c>
      <c r="AE944" s="9"/>
      <c r="AF944" s="9">
        <f t="shared" si="119"/>
        <v>0.51465251966182668</v>
      </c>
      <c r="AG944" s="9">
        <f t="shared" si="120"/>
        <v>0.91766331471529528</v>
      </c>
      <c r="AH944" s="9">
        <f t="shared" si="121"/>
        <v>0.41546214509182355</v>
      </c>
      <c r="AI944" s="9">
        <f t="shared" si="122"/>
        <v>0.37978906890652631</v>
      </c>
    </row>
    <row r="945" spans="16:35" x14ac:dyDescent="0.3">
      <c r="P945" s="9">
        <v>6.6970652462407562E-2</v>
      </c>
      <c r="Q945" s="9">
        <v>0.21501982262878025</v>
      </c>
      <c r="R945" s="9">
        <v>8.9893208288360157E-2</v>
      </c>
      <c r="S945" s="9">
        <v>0.62811631662045198</v>
      </c>
      <c r="U945" s="9">
        <f t="array" ref="U945">MMULT(TRANSPOSE($B$3:$B$6),TRANSPOSE(P945:S945))</f>
        <v>9.8726111721580231E-2</v>
      </c>
      <c r="V945" s="9">
        <f>INT(200*U945)/200</f>
        <v>9.5000000000000001E-2</v>
      </c>
      <c r="W945" s="9">
        <f t="array" ref="W945">SQRT(MMULT(MMULT(P945:S945,$K$3:$N$6),TRANSPOSE(P945:S945)))</f>
        <v>0.11878772635522672</v>
      </c>
      <c r="Y945" s="31">
        <f>U945/W945</f>
        <v>0.83111374172064223</v>
      </c>
      <c r="AA945" s="9">
        <f t="shared" si="115"/>
        <v>0.25900366826075188</v>
      </c>
      <c r="AB945" s="9">
        <f t="shared" si="116"/>
        <v>6.012895183865373E-2</v>
      </c>
      <c r="AC945" s="9">
        <f t="shared" si="117"/>
        <v>0.33121841489088549</v>
      </c>
      <c r="AD945" s="9">
        <f t="shared" si="118"/>
        <v>0.34964896500970888</v>
      </c>
      <c r="AE945" s="9"/>
      <c r="AF945" s="9">
        <f t="shared" si="119"/>
        <v>0.51768523793870991</v>
      </c>
      <c r="AG945" s="9">
        <f t="shared" si="120"/>
        <v>0.94311291415572851</v>
      </c>
      <c r="AH945" s="9">
        <f t="shared" si="121"/>
        <v>0.39788577456895274</v>
      </c>
      <c r="AI945" s="9">
        <f t="shared" si="122"/>
        <v>0.38033834683433798</v>
      </c>
    </row>
    <row r="946" spans="16:35" x14ac:dyDescent="0.3">
      <c r="P946" s="9">
        <v>0.23094942046339506</v>
      </c>
      <c r="Q946" s="9">
        <v>7.1768578146894857E-2</v>
      </c>
      <c r="R946" s="9">
        <v>0.23328264013030034</v>
      </c>
      <c r="S946" s="9">
        <v>0.46399936125940983</v>
      </c>
      <c r="U946" s="9">
        <f t="array" ref="U946">MMULT(TRANSPOSE($B$3:$B$6),TRANSPOSE(P946:S946))</f>
        <v>8.6788062344345843E-2</v>
      </c>
      <c r="V946" s="9">
        <f>INT(200*U946)/200</f>
        <v>8.5000000000000006E-2</v>
      </c>
      <c r="W946" s="9">
        <f t="array" ref="W946">SQRT(MMULT(MMULT(P946:S946,$K$3:$N$6),TRANSPOSE(P946:S946)))</f>
        <v>0.10443464212764181</v>
      </c>
      <c r="Y946" s="31">
        <f>U946/W946</f>
        <v>0.83102752665415358</v>
      </c>
      <c r="AA946" s="9">
        <f t="shared" si="115"/>
        <v>0.24644581003659219</v>
      </c>
      <c r="AB946" s="9">
        <f t="shared" si="116"/>
        <v>6.3846191410997746E-2</v>
      </c>
      <c r="AC946" s="9">
        <f t="shared" si="117"/>
        <v>0.32535175467765592</v>
      </c>
      <c r="AD946" s="9">
        <f t="shared" si="118"/>
        <v>0.36435624387475413</v>
      </c>
      <c r="AE946" s="9"/>
      <c r="AF946" s="9">
        <f t="shared" si="119"/>
        <v>0.51685847132919649</v>
      </c>
      <c r="AG946" s="9">
        <f t="shared" si="120"/>
        <v>0.86354284360294387</v>
      </c>
      <c r="AH946" s="9">
        <f t="shared" si="121"/>
        <v>0.40770625339566036</v>
      </c>
      <c r="AI946" s="9">
        <f t="shared" si="122"/>
        <v>0.35678616367408772</v>
      </c>
    </row>
    <row r="947" spans="16:35" x14ac:dyDescent="0.3">
      <c r="P947" s="9">
        <v>2.0747952717979901E-2</v>
      </c>
      <c r="Q947" s="9">
        <v>0.1247971611073411</v>
      </c>
      <c r="R947" s="9">
        <v>0.46206678848035726</v>
      </c>
      <c r="S947" s="9">
        <v>0.3923880976943217</v>
      </c>
      <c r="U947" s="9">
        <f t="array" ref="U947">MMULT(TRANSPOSE($B$3:$B$6),TRANSPOSE(P947:S947))</f>
        <v>9.7024789580169191E-2</v>
      </c>
      <c r="V947" s="9">
        <f>INT(200*U947)/200</f>
        <v>9.5000000000000001E-2</v>
      </c>
      <c r="W947" s="9">
        <f t="array" ref="W947">SQRT(MMULT(MMULT(P947:S947,$K$3:$N$6),TRANSPOSE(P947:S947)))</f>
        <v>0.11690839574932886</v>
      </c>
      <c r="Y947" s="31">
        <f>U947/W947</f>
        <v>0.82992148646198649</v>
      </c>
      <c r="AA947" s="9">
        <f t="shared" si="115"/>
        <v>0.26035839488910401</v>
      </c>
      <c r="AB947" s="9">
        <f t="shared" si="116"/>
        <v>5.6151438020893576E-2</v>
      </c>
      <c r="AC947" s="9">
        <f t="shared" si="117"/>
        <v>0.32817205654644277</v>
      </c>
      <c r="AD947" s="9">
        <f t="shared" si="118"/>
        <v>0.35531811054355955</v>
      </c>
      <c r="AE947" s="9"/>
      <c r="AF947" s="9">
        <f t="shared" si="119"/>
        <v>0.4732189010292539</v>
      </c>
      <c r="AG947" s="9">
        <f t="shared" si="120"/>
        <v>0.91901207698707055</v>
      </c>
      <c r="AH947" s="9">
        <f t="shared" si="121"/>
        <v>0.39849552443717201</v>
      </c>
      <c r="AI947" s="9">
        <f t="shared" si="122"/>
        <v>0.34562857789035284</v>
      </c>
    </row>
    <row r="948" spans="16:35" x14ac:dyDescent="0.3">
      <c r="P948" s="9">
        <v>0.15504358450549885</v>
      </c>
      <c r="Q948" s="9">
        <v>8.4082790736927218E-2</v>
      </c>
      <c r="R948" s="9">
        <v>0.32058976486215551</v>
      </c>
      <c r="S948" s="9">
        <v>0.44028385989541852</v>
      </c>
      <c r="U948" s="9">
        <f t="array" ref="U948">MMULT(TRANSPOSE($B$3:$B$6),TRANSPOSE(P948:S948))</f>
        <v>9.0281101225677229E-2</v>
      </c>
      <c r="V948" s="9">
        <f>INT(200*U948)/200</f>
        <v>0.09</v>
      </c>
      <c r="W948" s="9">
        <f t="array" ref="W948">SQRT(MMULT(MMULT(P948:S948,$K$3:$N$6),TRANSPOSE(P948:S948)))</f>
        <v>0.10881975557752674</v>
      </c>
      <c r="Y948" s="31">
        <f>U948/W948</f>
        <v>0.8296388899840712</v>
      </c>
      <c r="AA948" s="9">
        <f t="shared" si="115"/>
        <v>0.25578131874331583</v>
      </c>
      <c r="AB948" s="9">
        <f t="shared" si="116"/>
        <v>5.6000222598676548E-2</v>
      </c>
      <c r="AC948" s="9">
        <f t="shared" si="117"/>
        <v>0.32422409856032275</v>
      </c>
      <c r="AD948" s="9">
        <f t="shared" si="118"/>
        <v>0.36399436009768471</v>
      </c>
      <c r="AE948" s="9"/>
      <c r="AF948" s="9">
        <f t="shared" si="119"/>
        <v>0.47426723944002286</v>
      </c>
      <c r="AG948" s="9">
        <f t="shared" si="120"/>
        <v>0.92295518176718749</v>
      </c>
      <c r="AH948" s="9">
        <f t="shared" si="121"/>
        <v>0.39388376778779716</v>
      </c>
      <c r="AI948" s="9">
        <f t="shared" si="122"/>
        <v>0.31256663183872962</v>
      </c>
    </row>
    <row r="949" spans="16:35" x14ac:dyDescent="0.3">
      <c r="P949" s="9">
        <v>0.3489413303681031</v>
      </c>
      <c r="Q949" s="9">
        <v>1.3898155248272709E-2</v>
      </c>
      <c r="R949" s="9">
        <v>0.27962977416846979</v>
      </c>
      <c r="S949" s="9">
        <v>0.35753074021515446</v>
      </c>
      <c r="U949" s="9">
        <f t="array" ref="U949">MMULT(TRANSPOSE($B$3:$B$6),TRANSPOSE(P949:S949))</f>
        <v>7.9638277804433111E-2</v>
      </c>
      <c r="V949" s="9">
        <f>INT(200*U949)/200</f>
        <v>7.4999999999999997E-2</v>
      </c>
      <c r="W949" s="9">
        <f t="array" ref="W949">SQRT(MMULT(MMULT(P949:S949,$K$3:$N$6),TRANSPOSE(P949:S949)))</f>
        <v>9.6030314373688835E-2</v>
      </c>
      <c r="Y949" s="31">
        <f>U949/W949</f>
        <v>0.82930352070421887</v>
      </c>
      <c r="AA949" s="9">
        <f t="shared" si="115"/>
        <v>0.24675579843710421</v>
      </c>
      <c r="AB949" s="9">
        <f t="shared" si="116"/>
        <v>5.7961916533560712E-2</v>
      </c>
      <c r="AC949" s="9">
        <f t="shared" si="117"/>
        <v>0.33112017151223438</v>
      </c>
      <c r="AD949" s="9">
        <f t="shared" si="118"/>
        <v>0.36416211351710054</v>
      </c>
      <c r="AE949" s="9"/>
      <c r="AF949" s="9">
        <f t="shared" si="119"/>
        <v>0.49861643792796501</v>
      </c>
      <c r="AG949" s="9">
        <f t="shared" si="120"/>
        <v>0.88247414917584255</v>
      </c>
      <c r="AH949" s="9">
        <f t="shared" si="121"/>
        <v>0.39927822965423493</v>
      </c>
      <c r="AI949" s="9">
        <f t="shared" si="122"/>
        <v>0.31223059575358597</v>
      </c>
    </row>
    <row r="950" spans="16:35" x14ac:dyDescent="0.3">
      <c r="P950" s="9">
        <v>0.21022729214127589</v>
      </c>
      <c r="Q950" s="9">
        <v>7.3101626659851399E-2</v>
      </c>
      <c r="R950" s="9">
        <v>0.56481525690888679</v>
      </c>
      <c r="S950" s="9">
        <v>0.1518558242899859</v>
      </c>
      <c r="U950" s="9">
        <f t="array" ref="U950">MMULT(TRANSPOSE($B$3:$B$6),TRANSPOSE(P950:S950))</f>
        <v>8.6564844665446838E-2</v>
      </c>
      <c r="V950" s="9">
        <f>INT(200*U950)/200</f>
        <v>8.5000000000000006E-2</v>
      </c>
      <c r="W950" s="9">
        <f t="array" ref="W950">SQRT(MMULT(MMULT(P950:S950,$K$3:$N$6),TRANSPOSE(P950:S950)))</f>
        <v>0.10448099578719869</v>
      </c>
      <c r="Y950" s="31">
        <f>U950/W950</f>
        <v>0.82852239312264486</v>
      </c>
      <c r="AA950" s="9">
        <f t="shared" si="115"/>
        <v>0.24711971654302789</v>
      </c>
      <c r="AB950" s="9">
        <f t="shared" si="116"/>
        <v>5.6962379099389296E-2</v>
      </c>
      <c r="AC950" s="9">
        <f t="shared" si="117"/>
        <v>0.32825734749815588</v>
      </c>
      <c r="AD950" s="9">
        <f t="shared" si="118"/>
        <v>0.36766055685942689</v>
      </c>
      <c r="AE950" s="9"/>
      <c r="AF950" s="9">
        <f t="shared" si="119"/>
        <v>0.49875508280431796</v>
      </c>
      <c r="AG950" s="9">
        <f t="shared" si="120"/>
        <v>0.91307237251376228</v>
      </c>
      <c r="AH950" s="9">
        <f t="shared" si="121"/>
        <v>0.40069419341320495</v>
      </c>
      <c r="AI950" s="9">
        <f t="shared" si="122"/>
        <v>0.30421283621168049</v>
      </c>
    </row>
    <row r="951" spans="16:35" x14ac:dyDescent="0.3">
      <c r="P951" s="9">
        <v>0.38213855321276913</v>
      </c>
      <c r="Q951" s="9">
        <v>7.7297528904949936E-4</v>
      </c>
      <c r="R951" s="9">
        <v>0.3718871830852426</v>
      </c>
      <c r="S951" s="9">
        <v>0.24520128841293884</v>
      </c>
      <c r="U951" s="9">
        <f t="array" ref="U951">MMULT(TRANSPOSE($B$3:$B$6),TRANSPOSE(P951:S951))</f>
        <v>7.7424061198893154E-2</v>
      </c>
      <c r="V951" s="9">
        <f>INT(200*U951)/200</f>
        <v>7.4999999999999997E-2</v>
      </c>
      <c r="W951" s="9">
        <f t="array" ref="W951">SQRT(MMULT(MMULT(P951:S951,$K$3:$N$6),TRANSPOSE(P951:S951)))</f>
        <v>9.3581543373986512E-2</v>
      </c>
      <c r="Y951" s="31">
        <f>U951/W951</f>
        <v>0.8273432816712365</v>
      </c>
      <c r="AA951" s="9">
        <f t="shared" si="115"/>
        <v>0.23720456394842179</v>
      </c>
      <c r="AB951" s="9">
        <f t="shared" si="116"/>
        <v>5.996425912435055E-2</v>
      </c>
      <c r="AC951" s="9">
        <f t="shared" si="117"/>
        <v>0.32053715457788146</v>
      </c>
      <c r="AD951" s="9">
        <f t="shared" si="118"/>
        <v>0.38229402234934617</v>
      </c>
      <c r="AE951" s="9"/>
      <c r="AF951" s="9">
        <f t="shared" si="119"/>
        <v>0.51360722696034278</v>
      </c>
      <c r="AG951" s="9">
        <f t="shared" si="120"/>
        <v>0.85872619784397275</v>
      </c>
      <c r="AH951" s="9">
        <f t="shared" si="121"/>
        <v>0.40700230946536881</v>
      </c>
      <c r="AI951" s="9">
        <f t="shared" si="122"/>
        <v>0.28323747015234724</v>
      </c>
    </row>
    <row r="952" spans="16:35" x14ac:dyDescent="0.3">
      <c r="P952" s="9">
        <v>0.26152824747825976</v>
      </c>
      <c r="Q952" s="9">
        <v>3.2817494706509159E-2</v>
      </c>
      <c r="R952" s="9">
        <v>0.38286763068990426</v>
      </c>
      <c r="S952" s="9">
        <v>0.32278662712532674</v>
      </c>
      <c r="U952" s="9">
        <f t="array" ref="U952">MMULT(TRANSPOSE($B$3:$B$6),TRANSPOSE(P952:S952))</f>
        <v>8.3780289754538981E-2</v>
      </c>
      <c r="V952" s="9">
        <f>INT(200*U952)/200</f>
        <v>0.08</v>
      </c>
      <c r="W952" s="9">
        <f t="array" ref="W952">SQRT(MMULT(MMULT(P952:S952,$K$3:$N$6),TRANSPOSE(P952:S952)))</f>
        <v>0.10135274053353426</v>
      </c>
      <c r="Y952" s="31">
        <f>U952/W952</f>
        <v>0.82662086208531149</v>
      </c>
      <c r="AA952" s="9">
        <f t="shared" si="115"/>
        <v>0.22423694338928271</v>
      </c>
      <c r="AB952" s="9">
        <f t="shared" si="116"/>
        <v>6.1046534335608547E-2</v>
      </c>
      <c r="AC952" s="9">
        <f t="shared" si="117"/>
        <v>0.33295168753887683</v>
      </c>
      <c r="AD952" s="9">
        <f t="shared" si="118"/>
        <v>0.3817648347362318</v>
      </c>
      <c r="AE952" s="9"/>
      <c r="AF952" s="9">
        <f t="shared" si="119"/>
        <v>0.54979891707922568</v>
      </c>
      <c r="AG952" s="9">
        <f t="shared" si="120"/>
        <v>0.85113305739762823</v>
      </c>
      <c r="AH952" s="9">
        <f t="shared" si="121"/>
        <v>0.35702969935851853</v>
      </c>
      <c r="AI952" s="9">
        <f t="shared" si="122"/>
        <v>0.28224626919283496</v>
      </c>
    </row>
    <row r="953" spans="16:35" x14ac:dyDescent="0.3">
      <c r="P953" s="9">
        <v>2.3665623857675889E-2</v>
      </c>
      <c r="Q953" s="9">
        <v>0.11527096954013373</v>
      </c>
      <c r="R953" s="9">
        <v>0.48902287587177645</v>
      </c>
      <c r="S953" s="9">
        <v>0.37204053073041388</v>
      </c>
      <c r="U953" s="9">
        <f t="array" ref="U953">MMULT(TRANSPOSE($B$3:$B$6),TRANSPOSE(P953:S953))</f>
        <v>9.6533095692092508E-2</v>
      </c>
      <c r="V953" s="9">
        <f>INT(200*U953)/200</f>
        <v>9.5000000000000001E-2</v>
      </c>
      <c r="W953" s="9">
        <f t="array" ref="W953">SQRT(MMULT(MMULT(P953:S953,$K$3:$N$6),TRANSPOSE(P953:S953)))</f>
        <v>0.11716295969740168</v>
      </c>
      <c r="Y953" s="31">
        <f>U953/W953</f>
        <v>0.82392162114553791</v>
      </c>
      <c r="AA953" s="9">
        <f t="shared" si="115"/>
        <v>0.23354433602717475</v>
      </c>
      <c r="AB953" s="9">
        <f t="shared" si="116"/>
        <v>5.7029293782475031E-2</v>
      </c>
      <c r="AC953" s="9">
        <f t="shared" si="117"/>
        <v>0.32784794195482825</v>
      </c>
      <c r="AD953" s="9">
        <f t="shared" si="118"/>
        <v>0.38157842823552185</v>
      </c>
      <c r="AE953" s="9"/>
      <c r="AF953" s="9">
        <f t="shared" si="119"/>
        <v>0.52560012899656028</v>
      </c>
      <c r="AG953" s="9">
        <f t="shared" si="120"/>
        <v>0.91999126014806865</v>
      </c>
      <c r="AH953" s="9">
        <f t="shared" si="121"/>
        <v>0.36533284568264535</v>
      </c>
      <c r="AI953" s="9">
        <f t="shared" si="122"/>
        <v>0.28222677749342545</v>
      </c>
    </row>
    <row r="954" spans="16:35" x14ac:dyDescent="0.3">
      <c r="P954" s="9">
        <v>0.42811483666170064</v>
      </c>
      <c r="Q954" s="9">
        <v>2.3512658732266063E-2</v>
      </c>
      <c r="R954" s="9">
        <v>0.10033095539329061</v>
      </c>
      <c r="S954" s="9">
        <v>0.44804154921274275</v>
      </c>
      <c r="U954" s="9">
        <f t="array" ref="U954">MMULT(TRANSPOSE($B$3:$B$6),TRANSPOSE(P954:S954))</f>
        <v>7.6929098493861814E-2</v>
      </c>
      <c r="V954" s="9">
        <f>INT(200*U954)/200</f>
        <v>7.4999999999999997E-2</v>
      </c>
      <c r="W954" s="9">
        <f t="array" ref="W954">SQRT(MMULT(MMULT(P954:S954,$K$3:$N$6),TRANSPOSE(P954:S954)))</f>
        <v>9.3431071925124162E-2</v>
      </c>
      <c r="Y954" s="31">
        <f>U954/W954</f>
        <v>0.82337810011976464</v>
      </c>
      <c r="AA954" s="9">
        <f t="shared" si="115"/>
        <v>0.22015168367500892</v>
      </c>
      <c r="AB954" s="9">
        <f t="shared" si="116"/>
        <v>6.1631575451068975E-2</v>
      </c>
      <c r="AC954" s="9">
        <f t="shared" si="117"/>
        <v>0.31991694055436254</v>
      </c>
      <c r="AD954" s="9">
        <f t="shared" si="118"/>
        <v>0.39829980031955953</v>
      </c>
      <c r="AE954" s="9"/>
      <c r="AF954" s="9">
        <f t="shared" si="119"/>
        <v>0.55092126368403238</v>
      </c>
      <c r="AG954" s="9">
        <f t="shared" si="120"/>
        <v>0.85511768562872292</v>
      </c>
      <c r="AH954" s="9">
        <f t="shared" si="121"/>
        <v>0.37325950885870657</v>
      </c>
      <c r="AI954" s="9">
        <f t="shared" si="122"/>
        <v>0.26186642493283124</v>
      </c>
    </row>
    <row r="955" spans="16:35" x14ac:dyDescent="0.3">
      <c r="P955" s="9">
        <v>0.25451054818501179</v>
      </c>
      <c r="Q955" s="9">
        <v>3.2346737827370464E-2</v>
      </c>
      <c r="R955" s="9">
        <v>0.36481807962089791</v>
      </c>
      <c r="S955" s="9">
        <v>0.34832463436671984</v>
      </c>
      <c r="U955" s="9">
        <f t="array" ref="U955">MMULT(TRANSPOSE($B$3:$B$6),TRANSPOSE(P955:S955))</f>
        <v>8.4154537347474023E-2</v>
      </c>
      <c r="V955" s="9">
        <f>INT(200*U955)/200</f>
        <v>0.08</v>
      </c>
      <c r="W955" s="9">
        <f t="array" ref="W955">SQRT(MMULT(MMULT(P955:S955,$K$3:$N$6),TRANSPOSE(P955:S955)))</f>
        <v>0.10223396978754518</v>
      </c>
      <c r="Y955" s="31">
        <f>U955/W955</f>
        <v>0.82315631020058744</v>
      </c>
      <c r="AA955" s="9">
        <f t="shared" si="115"/>
        <v>0.21806275988346127</v>
      </c>
      <c r="AB955" s="9">
        <f t="shared" si="116"/>
        <v>6.0350323780787397E-2</v>
      </c>
      <c r="AC955" s="9">
        <f t="shared" si="117"/>
        <v>0.32485833197019848</v>
      </c>
      <c r="AD955" s="9">
        <f t="shared" si="118"/>
        <v>0.39672858436555281</v>
      </c>
      <c r="AE955" s="9"/>
      <c r="AF955" s="9">
        <f t="shared" si="119"/>
        <v>0.54949238938229716</v>
      </c>
      <c r="AG955" s="9">
        <f t="shared" si="120"/>
        <v>0.89028968046368617</v>
      </c>
      <c r="AH955" s="9">
        <f t="shared" si="121"/>
        <v>0.36315006259397475</v>
      </c>
      <c r="AI955" s="9">
        <f t="shared" si="122"/>
        <v>0.26317525713083023</v>
      </c>
    </row>
    <row r="956" spans="16:35" x14ac:dyDescent="0.3">
      <c r="P956" s="9">
        <v>0.18734160883937928</v>
      </c>
      <c r="Q956" s="9">
        <v>7.8460592356969588E-2</v>
      </c>
      <c r="R956" s="9">
        <v>0.24820796181988056</v>
      </c>
      <c r="S956" s="9">
        <v>0.48598983698377052</v>
      </c>
      <c r="U956" s="9">
        <f t="array" ref="U956">MMULT(TRANSPOSE($B$3:$B$6),TRANSPOSE(P956:S956))</f>
        <v>8.8912787521741532E-2</v>
      </c>
      <c r="V956" s="9">
        <f>INT(200*U956)/200</f>
        <v>8.5000000000000006E-2</v>
      </c>
      <c r="W956" s="9">
        <f t="array" ref="W956">SQRT(MMULT(MMULT(P956:S956,$K$3:$N$6),TRANSPOSE(P956:S956)))</f>
        <v>0.108187466464111</v>
      </c>
      <c r="Y956" s="31">
        <f>U956/W956</f>
        <v>0.8218400007660458</v>
      </c>
      <c r="AA956" s="9">
        <f t="shared" si="115"/>
        <v>0.21967414289071602</v>
      </c>
      <c r="AB956" s="9">
        <f t="shared" si="116"/>
        <v>5.312305096296531E-2</v>
      </c>
      <c r="AC956" s="9">
        <f t="shared" si="117"/>
        <v>0.34161396391063298</v>
      </c>
      <c r="AD956" s="9">
        <f t="shared" si="118"/>
        <v>0.38558884223568557</v>
      </c>
      <c r="AE956" s="9"/>
      <c r="AF956" s="9">
        <f t="shared" si="119"/>
        <v>0.53671535163512862</v>
      </c>
      <c r="AG956" s="9">
        <f t="shared" si="120"/>
        <v>0.76145685584156086</v>
      </c>
      <c r="AH956" s="9">
        <f t="shared" si="121"/>
        <v>0.31453720395370177</v>
      </c>
      <c r="AI956" s="9">
        <f t="shared" si="122"/>
        <v>0.23332683936051685</v>
      </c>
    </row>
    <row r="957" spans="16:35" x14ac:dyDescent="0.3">
      <c r="P957" s="9">
        <v>0.36370953516903226</v>
      </c>
      <c r="Q957" s="9">
        <v>2.5217106232362408E-3</v>
      </c>
      <c r="R957" s="9">
        <v>0.27307571453990748</v>
      </c>
      <c r="S957" s="9">
        <v>0.36069303966782396</v>
      </c>
      <c r="U957" s="9">
        <f t="array" ref="U957">MMULT(TRANSPOSE($B$3:$B$6),TRANSPOSE(P957:S957))</f>
        <v>7.8675672024967142E-2</v>
      </c>
      <c r="V957" s="9">
        <f>INT(200*U957)/200</f>
        <v>7.4999999999999997E-2</v>
      </c>
      <c r="W957" s="9">
        <f t="array" ref="W957">SQRT(MMULT(MMULT(P957:S957,$K$3:$N$6),TRANSPOSE(P957:S957)))</f>
        <v>9.5771097488211152E-2</v>
      </c>
      <c r="Y957" s="31">
        <f>U957/W957</f>
        <v>0.82149702873198927</v>
      </c>
      <c r="AA957" s="9">
        <f t="shared" si="115"/>
        <v>0.21598408987423448</v>
      </c>
      <c r="AB957" s="9">
        <f t="shared" si="116"/>
        <v>5.1773719889891885E-2</v>
      </c>
      <c r="AC957" s="9">
        <f t="shared" si="117"/>
        <v>0.35202791714170545</v>
      </c>
      <c r="AD957" s="9">
        <f t="shared" si="118"/>
        <v>0.38021427309416811</v>
      </c>
      <c r="AE957" s="9"/>
      <c r="AF957" s="9">
        <f t="shared" si="119"/>
        <v>0.54977014989346051</v>
      </c>
      <c r="AG957" s="9">
        <f t="shared" si="120"/>
        <v>0.77780870620482823</v>
      </c>
      <c r="AH957" s="9">
        <f t="shared" si="121"/>
        <v>0.30401814506828007</v>
      </c>
      <c r="AI957" s="9">
        <f t="shared" si="122"/>
        <v>0.23252040661090953</v>
      </c>
    </row>
    <row r="958" spans="16:35" x14ac:dyDescent="0.3">
      <c r="P958" s="9">
        <v>0.25828886063439022</v>
      </c>
      <c r="Q958" s="9">
        <v>2.7866222908580228E-2</v>
      </c>
      <c r="R958" s="9">
        <v>0.38041152239806952</v>
      </c>
      <c r="S958" s="9">
        <v>0.33343339405896</v>
      </c>
      <c r="U958" s="9">
        <f t="array" ref="U958">MMULT(TRANSPOSE($B$3:$B$6),TRANSPOSE(P958:S958))</f>
        <v>8.3802492067160034E-2</v>
      </c>
      <c r="V958" s="9">
        <f>INT(200*U958)/200</f>
        <v>0.08</v>
      </c>
      <c r="W958" s="9">
        <f t="array" ref="W958">SQRT(MMULT(MMULT(P958:S958,$K$3:$N$6),TRANSPOSE(P958:S958)))</f>
        <v>0.10211763400429329</v>
      </c>
      <c r="Y958" s="31">
        <f>U958/W958</f>
        <v>0.82064662860908788</v>
      </c>
      <c r="AA958" s="9">
        <f t="shared" si="115"/>
        <v>0.22684955011748581</v>
      </c>
      <c r="AB958" s="9">
        <f t="shared" si="116"/>
        <v>4.7284056146311336E-2</v>
      </c>
      <c r="AC958" s="9">
        <f t="shared" si="117"/>
        <v>0.34198476346945827</v>
      </c>
      <c r="AD958" s="9">
        <f t="shared" si="118"/>
        <v>0.38388163026674443</v>
      </c>
      <c r="AE958" s="9"/>
      <c r="AF958" s="9">
        <f t="shared" si="119"/>
        <v>0.48538348835017331</v>
      </c>
      <c r="AG958" s="9">
        <f t="shared" si="120"/>
        <v>0.77892104851944666</v>
      </c>
      <c r="AH958" s="9">
        <f t="shared" si="121"/>
        <v>0.31016588969824549</v>
      </c>
      <c r="AI958" s="9">
        <f t="shared" si="122"/>
        <v>0.23577631368901686</v>
      </c>
    </row>
    <row r="959" spans="16:35" x14ac:dyDescent="0.3">
      <c r="P959" s="9">
        <v>0.13422624436573516</v>
      </c>
      <c r="Q959" s="9">
        <v>6.420373390477277E-2</v>
      </c>
      <c r="R959" s="9">
        <v>0.48089028976289344</v>
      </c>
      <c r="S959" s="9">
        <v>0.32067973196659871</v>
      </c>
      <c r="U959" s="9">
        <f t="array" ref="U959">MMULT(TRANSPOSE($B$3:$B$6),TRANSPOSE(P959:S959))</f>
        <v>9.010769576165048E-2</v>
      </c>
      <c r="V959" s="9">
        <f>INT(200*U959)/200</f>
        <v>0.09</v>
      </c>
      <c r="W959" s="9">
        <f t="array" ref="W959">SQRT(MMULT(MMULT(P959:S959,$K$3:$N$6),TRANSPOSE(P959:S959)))</f>
        <v>0.11048456646379778</v>
      </c>
      <c r="Y959" s="31">
        <f>U959/W959</f>
        <v>0.81556817070170484</v>
      </c>
      <c r="AA959" s="9">
        <f t="shared" si="115"/>
        <v>0.23118327660494148</v>
      </c>
      <c r="AB959" s="9">
        <f t="shared" si="116"/>
        <v>4.6489688553445499E-2</v>
      </c>
      <c r="AC959" s="9">
        <f t="shared" si="117"/>
        <v>0.35726602236749799</v>
      </c>
      <c r="AD959" s="9">
        <f t="shared" si="118"/>
        <v>0.36506101247411493</v>
      </c>
      <c r="AE959" s="9"/>
      <c r="AF959" s="9">
        <f t="shared" si="119"/>
        <v>0.4711680026722776</v>
      </c>
      <c r="AG959" s="9">
        <f t="shared" si="120"/>
        <v>0.77804728280594204</v>
      </c>
      <c r="AH959" s="9">
        <f t="shared" si="121"/>
        <v>0.34812325239683567</v>
      </c>
      <c r="AI959" s="9">
        <f t="shared" si="122"/>
        <v>0.31711003838198121</v>
      </c>
    </row>
    <row r="960" spans="16:35" x14ac:dyDescent="0.3">
      <c r="P960" s="9">
        <v>0.32027842183367211</v>
      </c>
      <c r="Q960" s="9">
        <v>4.6573738533088778E-3</v>
      </c>
      <c r="R960" s="9">
        <v>0.32938410148666569</v>
      </c>
      <c r="S960" s="9">
        <v>0.3456801028263532</v>
      </c>
      <c r="U960" s="9">
        <f t="array" ref="U960">MMULT(TRANSPOSE($B$3:$B$6),TRANSPOSE(P960:S960))</f>
        <v>8.0517186698808474E-2</v>
      </c>
      <c r="V960" s="9">
        <f>INT(200*U960)/200</f>
        <v>0.08</v>
      </c>
      <c r="W960" s="9">
        <f t="array" ref="W960">SQRT(MMULT(MMULT(P960:S960,$K$3:$N$6),TRANSPOSE(P960:S960)))</f>
        <v>9.8806188535978778E-2</v>
      </c>
      <c r="Y960" s="31">
        <f>U960/W960</f>
        <v>0.81490023946718038</v>
      </c>
      <c r="AA960" s="9">
        <f t="shared" si="115"/>
        <v>0.22607548616455789</v>
      </c>
      <c r="AB960" s="9">
        <f t="shared" si="116"/>
        <v>4.6802801614470618E-2</v>
      </c>
      <c r="AC960" s="9">
        <f t="shared" si="117"/>
        <v>0.3580647056662698</v>
      </c>
      <c r="AD960" s="9">
        <f t="shared" si="118"/>
        <v>0.36905700655470169</v>
      </c>
      <c r="AE960" s="9"/>
      <c r="AF960" s="9">
        <f t="shared" si="119"/>
        <v>0.46706530112134192</v>
      </c>
      <c r="AG960" s="9">
        <f t="shared" si="120"/>
        <v>0.76709947298799763</v>
      </c>
      <c r="AH960" s="9">
        <f t="shared" si="121"/>
        <v>0.34603267741172039</v>
      </c>
      <c r="AI960" s="9">
        <f t="shared" si="122"/>
        <v>0.31684533899946837</v>
      </c>
    </row>
    <row r="961" spans="16:35" x14ac:dyDescent="0.3">
      <c r="P961" s="9">
        <v>0.154793399904641</v>
      </c>
      <c r="Q961" s="9">
        <v>8.1479822810401975E-2</v>
      </c>
      <c r="R961" s="9">
        <v>0.26064972054836777</v>
      </c>
      <c r="S961" s="9">
        <v>0.5030770567365892</v>
      </c>
      <c r="U961" s="9">
        <f t="array" ref="U961">MMULT(TRANSPOSE($B$3:$B$6),TRANSPOSE(P961:S961))</f>
        <v>9.0440014345318259E-2</v>
      </c>
      <c r="V961" s="9">
        <f>INT(200*U961)/200</f>
        <v>0.09</v>
      </c>
      <c r="W961" s="9">
        <f t="array" ref="W961">SQRT(MMULT(MMULT(P961:S961,$K$3:$N$6),TRANSPOSE(P961:S961)))</f>
        <v>0.11119142744015524</v>
      </c>
      <c r="Y961" s="31">
        <f>U961/W961</f>
        <v>0.81337218549509427</v>
      </c>
      <c r="AA961" s="9">
        <f t="shared" si="115"/>
        <v>0.22737283046252127</v>
      </c>
      <c r="AB961" s="9">
        <f t="shared" si="116"/>
        <v>4.9570926600915201E-2</v>
      </c>
      <c r="AC961" s="9">
        <f t="shared" si="117"/>
        <v>0.331418416123402</v>
      </c>
      <c r="AD961" s="9">
        <f t="shared" si="118"/>
        <v>0.39163782681316145</v>
      </c>
      <c r="AE961" s="9"/>
      <c r="AF961" s="9">
        <f t="shared" si="119"/>
        <v>0.46423718249258267</v>
      </c>
      <c r="AG961" s="9">
        <f t="shared" si="120"/>
        <v>0.80762334220545962</v>
      </c>
      <c r="AH961" s="9">
        <f t="shared" si="121"/>
        <v>0.41253766411912451</v>
      </c>
      <c r="AI961" s="9">
        <f t="shared" si="122"/>
        <v>0.30300020934922745</v>
      </c>
    </row>
    <row r="962" spans="16:35" x14ac:dyDescent="0.3">
      <c r="P962" s="9">
        <v>8.1462032418385386E-2</v>
      </c>
      <c r="Q962" s="9">
        <v>9.3073391732185304E-2</v>
      </c>
      <c r="R962" s="9">
        <v>0.34629359756886069</v>
      </c>
      <c r="S962" s="9">
        <v>0.47917097828056859</v>
      </c>
      <c r="U962" s="9">
        <f t="array" ref="U962">MMULT(TRANSPOSE($B$3:$B$6),TRANSPOSE(P962:S962))</f>
        <v>9.380158558676957E-2</v>
      </c>
      <c r="V962" s="9">
        <f>INT(200*U962)/200</f>
        <v>0.09</v>
      </c>
      <c r="W962" s="9">
        <f t="array" ref="W962">SQRT(MMULT(MMULT(P962:S962,$K$3:$N$6),TRANSPOSE(P962:S962)))</f>
        <v>0.11559140444963636</v>
      </c>
      <c r="Y962" s="31">
        <f>U962/W962</f>
        <v>0.81149274060113441</v>
      </c>
      <c r="AA962" s="9">
        <f t="shared" si="115"/>
        <v>0.22732922298608202</v>
      </c>
      <c r="AB962" s="9">
        <f t="shared" si="116"/>
        <v>4.9560263661883056E-2</v>
      </c>
      <c r="AC962" s="9">
        <f t="shared" si="117"/>
        <v>0.32065253280987582</v>
      </c>
      <c r="AD962" s="9">
        <f t="shared" si="118"/>
        <v>0.40245798054215903</v>
      </c>
      <c r="AE962" s="9"/>
      <c r="AF962" s="9">
        <f t="shared" si="119"/>
        <v>0.46403165462427409</v>
      </c>
      <c r="AG962" s="9">
        <f t="shared" si="120"/>
        <v>0.80807301611074145</v>
      </c>
      <c r="AH962" s="9">
        <f t="shared" si="121"/>
        <v>0.4433750649005922</v>
      </c>
      <c r="AI962" s="9">
        <f t="shared" si="122"/>
        <v>0.2856135088946089</v>
      </c>
    </row>
    <row r="963" spans="16:35" x14ac:dyDescent="0.3">
      <c r="P963" s="9">
        <v>0.31989262992814255</v>
      </c>
      <c r="Q963" s="9">
        <v>1.0572115620920714E-2</v>
      </c>
      <c r="R963" s="9">
        <v>0.25677124213749758</v>
      </c>
      <c r="S963" s="9">
        <v>0.41276401231343918</v>
      </c>
      <c r="U963" s="9">
        <f t="array" ref="U963">MMULT(TRANSPOSE($B$3:$B$6),TRANSPOSE(P963:S963))</f>
        <v>8.0960849098065543E-2</v>
      </c>
      <c r="V963" s="9">
        <f>INT(200*U963)/200</f>
        <v>0.08</v>
      </c>
      <c r="W963" s="9">
        <f t="array" ref="W963">SQRT(MMULT(MMULT(P963:S963,$K$3:$N$6),TRANSPOSE(P963:S963)))</f>
        <v>9.9804364225650283E-2</v>
      </c>
      <c r="Y963" s="31">
        <f>U963/W963</f>
        <v>0.81119547953854054</v>
      </c>
      <c r="AA963" s="9">
        <f t="shared" si="115"/>
        <v>0.2168935870440738</v>
      </c>
      <c r="AB963" s="9">
        <f t="shared" si="116"/>
        <v>5.124750128345891E-2</v>
      </c>
      <c r="AC963" s="9">
        <f t="shared" si="117"/>
        <v>0.32520306824410417</v>
      </c>
      <c r="AD963" s="9">
        <f t="shared" si="118"/>
        <v>0.40665584342836297</v>
      </c>
      <c r="AE963" s="9"/>
      <c r="AF963" s="9">
        <f t="shared" si="119"/>
        <v>0.51887080194218504</v>
      </c>
      <c r="AG963" s="9">
        <f t="shared" si="120"/>
        <v>0.78158044201663102</v>
      </c>
      <c r="AH963" s="9">
        <f t="shared" si="121"/>
        <v>0.44816513196772528</v>
      </c>
      <c r="AI963" s="9">
        <f t="shared" si="122"/>
        <v>0.27908826471963899</v>
      </c>
    </row>
    <row r="964" spans="16:35" x14ac:dyDescent="0.3">
      <c r="P964" s="9">
        <v>9.893428458279413E-2</v>
      </c>
      <c r="Q964" s="9">
        <v>0.11022026250184835</v>
      </c>
      <c r="R964" s="9">
        <v>0.24579963568721666</v>
      </c>
      <c r="S964" s="9">
        <v>0.54504581722814083</v>
      </c>
      <c r="U964" s="9">
        <f t="array" ref="U964">MMULT(TRANSPOSE($B$3:$B$6),TRANSPOSE(P964:S964))</f>
        <v>9.3835637301555488E-2</v>
      </c>
      <c r="V964" s="9">
        <f>INT(200*U964)/200</f>
        <v>0.09</v>
      </c>
      <c r="W964" s="9">
        <f t="array" ref="W964">SQRT(MMULT(MMULT(P964:S964,$K$3:$N$6),TRANSPOSE(P964:S964)))</f>
        <v>0.11572977247688114</v>
      </c>
      <c r="Y964" s="31">
        <f>U964/W964</f>
        <v>0.81081674398263115</v>
      </c>
      <c r="AA964" s="9">
        <f t="shared" si="115"/>
        <v>0.22699796838723335</v>
      </c>
      <c r="AB964" s="9">
        <f t="shared" si="116"/>
        <v>4.5949693221844161E-2</v>
      </c>
      <c r="AC964" s="9">
        <f t="shared" si="117"/>
        <v>0.32479874446651802</v>
      </c>
      <c r="AD964" s="9">
        <f t="shared" si="118"/>
        <v>0.40225359392440446</v>
      </c>
      <c r="AE964" s="9"/>
      <c r="AF964" s="9">
        <f t="shared" si="119"/>
        <v>0.45588462640508154</v>
      </c>
      <c r="AG964" s="9">
        <f t="shared" si="120"/>
        <v>0.83764448997182828</v>
      </c>
      <c r="AH964" s="9">
        <f t="shared" si="121"/>
        <v>0.44728780352705616</v>
      </c>
      <c r="AI964" s="9">
        <f t="shared" si="122"/>
        <v>0.28999539984005407</v>
      </c>
    </row>
    <row r="965" spans="16:35" x14ac:dyDescent="0.3">
      <c r="P965" s="9">
        <v>0.27755289782243614</v>
      </c>
      <c r="Q965" s="9">
        <v>6.9126024609150608E-3</v>
      </c>
      <c r="R965" s="9">
        <v>0.34133702792516851</v>
      </c>
      <c r="S965" s="9">
        <v>0.37419747179148033</v>
      </c>
      <c r="U965" s="9">
        <f t="array" ref="U965">MMULT(TRANSPOSE($B$3:$B$6),TRANSPOSE(P965:S965))</f>
        <v>8.2491320418383418E-2</v>
      </c>
      <c r="V965" s="9">
        <f>INT(200*U965)/200</f>
        <v>0.08</v>
      </c>
      <c r="W965" s="9">
        <f t="array" ref="W965">SQRT(MMULT(MMULT(P965:S965,$K$3:$N$6),TRANSPOSE(P965:S965)))</f>
        <v>0.10259304462760231</v>
      </c>
      <c r="Y965" s="31">
        <f>U965/W965</f>
        <v>0.80406347933054134</v>
      </c>
      <c r="AA965" s="9">
        <f t="shared" si="115"/>
        <v>0.21711170362898574</v>
      </c>
      <c r="AB965" s="9">
        <f t="shared" si="116"/>
        <v>4.5127866015054384E-2</v>
      </c>
      <c r="AC965" s="9">
        <f t="shared" si="117"/>
        <v>0.34202238852779088</v>
      </c>
      <c r="AD965" s="9">
        <f t="shared" si="118"/>
        <v>0.39573804182816896</v>
      </c>
      <c r="AE965" s="9"/>
      <c r="AF965" s="9">
        <f t="shared" si="119"/>
        <v>0.4267931116475906</v>
      </c>
      <c r="AG965" s="9">
        <f t="shared" si="120"/>
        <v>0.86799489858021783</v>
      </c>
      <c r="AH965" s="9">
        <f t="shared" si="121"/>
        <v>0.40530726876017475</v>
      </c>
      <c r="AI965" s="9">
        <f t="shared" si="122"/>
        <v>0.29762636331207759</v>
      </c>
    </row>
    <row r="966" spans="16:35" x14ac:dyDescent="0.3">
      <c r="P966" s="9">
        <v>0.10080969561475794</v>
      </c>
      <c r="Q966" s="9">
        <v>6.3247093454516082E-2</v>
      </c>
      <c r="R966" s="9">
        <v>0.44176147903748508</v>
      </c>
      <c r="S966" s="9">
        <v>0.39418173189324074</v>
      </c>
      <c r="U966" s="9">
        <f t="array" ref="U966">MMULT(TRANSPOSE($B$3:$B$6),TRANSPOSE(P966:S966))</f>
        <v>9.1754182543938467E-2</v>
      </c>
      <c r="V966" s="9">
        <f>INT(200*U966)/200</f>
        <v>0.09</v>
      </c>
      <c r="W966" s="9">
        <f t="array" ref="W966">SQRT(MMULT(MMULT(P966:S966,$K$3:$N$6),TRANSPOSE(P966:S966)))</f>
        <v>0.11420671619996059</v>
      </c>
      <c r="Y966" s="31">
        <f>U966/W966</f>
        <v>0.80340443711987342</v>
      </c>
      <c r="AA966" s="9">
        <f t="shared" si="115"/>
        <v>0.20572604400812988</v>
      </c>
      <c r="AB966" s="9">
        <f t="shared" si="116"/>
        <v>4.7131115903457456E-2</v>
      </c>
      <c r="AC966" s="9">
        <f t="shared" si="117"/>
        <v>0.34797537072453882</v>
      </c>
      <c r="AD966" s="9">
        <f t="shared" si="118"/>
        <v>0.39916746936387376</v>
      </c>
      <c r="AE966" s="9"/>
      <c r="AF966" s="9">
        <f t="shared" si="119"/>
        <v>0.49605039234965187</v>
      </c>
      <c r="AG966" s="9">
        <f t="shared" si="120"/>
        <v>0.83932298905890712</v>
      </c>
      <c r="AH966" s="9">
        <f t="shared" si="121"/>
        <v>0.40890205534890517</v>
      </c>
      <c r="AI966" s="9">
        <f t="shared" si="122"/>
        <v>0.29406279967910109</v>
      </c>
    </row>
    <row r="967" spans="16:35" x14ac:dyDescent="0.3">
      <c r="P967" s="9">
        <v>0.15345830711728339</v>
      </c>
      <c r="Q967" s="9">
        <v>4.3432625612352879E-2</v>
      </c>
      <c r="R967" s="9">
        <v>0.45197565798282113</v>
      </c>
      <c r="S967" s="9">
        <v>0.3511334092875425</v>
      </c>
      <c r="U967" s="9">
        <f t="array" ref="U967">MMULT(TRANSPOSE($B$3:$B$6),TRANSPOSE(P967:S967))</f>
        <v>8.8765937008447149E-2</v>
      </c>
      <c r="V967" s="9">
        <f>INT(200*U967)/200</f>
        <v>8.5000000000000006E-2</v>
      </c>
      <c r="W967" s="9">
        <f t="array" ref="W967">SQRT(MMULT(MMULT(P967:S967,$K$3:$N$6),TRANSPOSE(P967:S967)))</f>
        <v>0.11051036956999617</v>
      </c>
      <c r="Y967" s="31">
        <f>U967/W967</f>
        <v>0.80323626962647776</v>
      </c>
      <c r="AA967" s="9">
        <f t="shared" si="115"/>
        <v>0.21358209283422913</v>
      </c>
      <c r="AB967" s="9">
        <f t="shared" si="116"/>
        <v>4.4020554619108282E-2</v>
      </c>
      <c r="AC967" s="9">
        <f t="shared" si="117"/>
        <v>0.34160042486286496</v>
      </c>
      <c r="AD967" s="9">
        <f t="shared" si="118"/>
        <v>0.40079692768379749</v>
      </c>
      <c r="AE967" s="9"/>
      <c r="AF967" s="9">
        <f t="shared" si="119"/>
        <v>0.50006007196818048</v>
      </c>
      <c r="AG967" s="9">
        <f t="shared" si="120"/>
        <v>0.89821089270019228</v>
      </c>
      <c r="AH967" s="9">
        <f t="shared" si="121"/>
        <v>0.43847376128061261</v>
      </c>
      <c r="AI967" s="9">
        <f t="shared" si="122"/>
        <v>0.2965936682016303</v>
      </c>
    </row>
    <row r="968" spans="16:35" x14ac:dyDescent="0.3">
      <c r="P968" s="9">
        <v>0.24892261782625785</v>
      </c>
      <c r="Q968" s="9">
        <v>3.0514222492149811E-2</v>
      </c>
      <c r="R968" s="9">
        <v>0.25116056136316811</v>
      </c>
      <c r="S968" s="9">
        <v>0.46940259831842429</v>
      </c>
      <c r="U968" s="9">
        <f t="array" ref="U968">MMULT(TRANSPOSE($B$3:$B$6),TRANSPOSE(P968:S968))</f>
        <v>8.4774639468932239E-2</v>
      </c>
      <c r="V968" s="9">
        <f>INT(200*U968)/200</f>
        <v>0.08</v>
      </c>
      <c r="W968" s="9">
        <f t="array" ref="W968">SQRT(MMULT(MMULT(P968:S968,$K$3:$N$6),TRANSPOSE(P968:S968)))</f>
        <v>0.10572459266119479</v>
      </c>
      <c r="Y968" s="31">
        <f>U968/W968</f>
        <v>0.80184408693444864</v>
      </c>
      <c r="AA968" s="9">
        <f t="shared" si="115"/>
        <v>0.21335704183867232</v>
      </c>
      <c r="AB968" s="9">
        <f t="shared" si="116"/>
        <v>4.5319163160002361E-2</v>
      </c>
      <c r="AC968" s="9">
        <f t="shared" si="117"/>
        <v>0.33171658150201494</v>
      </c>
      <c r="AD968" s="9">
        <f t="shared" si="118"/>
        <v>0.4096072134993104</v>
      </c>
      <c r="AE968" s="9"/>
      <c r="AF968" s="9">
        <f t="shared" si="119"/>
        <v>0.49905170908146362</v>
      </c>
      <c r="AG968" s="9">
        <f t="shared" si="120"/>
        <v>0.85049963011280671</v>
      </c>
      <c r="AH968" s="9">
        <f t="shared" si="121"/>
        <v>0.48523887996428622</v>
      </c>
      <c r="AI968" s="9">
        <f t="shared" si="122"/>
        <v>0.29919447499129581</v>
      </c>
    </row>
    <row r="969" spans="16:35" x14ac:dyDescent="0.3">
      <c r="P969" s="9">
        <v>0.24605184074206721</v>
      </c>
      <c r="Q969" s="9">
        <v>6.740107128674451E-2</v>
      </c>
      <c r="R969" s="9">
        <v>0.64149620172098964</v>
      </c>
      <c r="S969" s="9">
        <v>4.5050886250198707E-2</v>
      </c>
      <c r="U969" s="9">
        <f t="array" ref="U969">MMULT(TRANSPOSE($B$3:$B$6),TRANSPOSE(P969:S969))</f>
        <v>8.4489642081747515E-2</v>
      </c>
      <c r="V969" s="9">
        <f>INT(200*U969)/200</f>
        <v>0.08</v>
      </c>
      <c r="W969" s="9">
        <f t="array" ref="W969">SQRT(MMULT(MMULT(P969:S969,$K$3:$N$6),TRANSPOSE(P969:S969)))</f>
        <v>0.10560227550274504</v>
      </c>
      <c r="Y969" s="31">
        <f>U969/W969</f>
        <v>0.80007406733911979</v>
      </c>
      <c r="AA969" s="9">
        <f t="shared" si="115"/>
        <v>0.21056399597747721</v>
      </c>
      <c r="AB969" s="9">
        <f t="shared" si="116"/>
        <v>4.6500976850780661E-2</v>
      </c>
      <c r="AC969" s="9">
        <f t="shared" si="117"/>
        <v>0.32251355516362751</v>
      </c>
      <c r="AD969" s="9">
        <f t="shared" si="118"/>
        <v>0.42042147200811458</v>
      </c>
      <c r="AE969" s="9"/>
      <c r="AF969" s="9">
        <f t="shared" si="119"/>
        <v>0.50344261980537763</v>
      </c>
      <c r="AG969" s="9">
        <f t="shared" si="120"/>
        <v>0.82497390885672295</v>
      </c>
      <c r="AH969" s="9">
        <f t="shared" si="121"/>
        <v>0.50708778179837899</v>
      </c>
      <c r="AI969" s="9">
        <f t="shared" si="122"/>
        <v>0.29846072717574196</v>
      </c>
    </row>
    <row r="970" spans="16:35" x14ac:dyDescent="0.3">
      <c r="P970" s="9">
        <v>0.24167773112004737</v>
      </c>
      <c r="Q970" s="9">
        <v>2.0473529529800177E-2</v>
      </c>
      <c r="R970" s="9">
        <v>0.29640212344267686</v>
      </c>
      <c r="S970" s="9">
        <v>0.44144661590747569</v>
      </c>
      <c r="U970" s="9">
        <f t="array" ref="U970">MMULT(TRANSPOSE($B$3:$B$6),TRANSPOSE(P970:S970))</f>
        <v>8.4667555987680332E-2</v>
      </c>
      <c r="V970" s="9">
        <f>INT(200*U970)/200</f>
        <v>0.08</v>
      </c>
      <c r="W970" s="9">
        <f t="array" ref="W970">SQRT(MMULT(MMULT(P970:S970,$K$3:$N$6),TRANSPOSE(P970:S970)))</f>
        <v>0.10603573145219977</v>
      </c>
      <c r="Y970" s="31">
        <f>U970/W970</f>
        <v>0.79848136876245268</v>
      </c>
      <c r="AA970" s="9">
        <f t="shared" si="115"/>
        <v>0.20451327747843712</v>
      </c>
      <c r="AB970" s="9">
        <f t="shared" si="116"/>
        <v>4.8882410774346664E-2</v>
      </c>
      <c r="AC970" s="9">
        <f t="shared" si="117"/>
        <v>0.33574393004362241</v>
      </c>
      <c r="AD970" s="9">
        <f t="shared" si="118"/>
        <v>0.41086038170359385</v>
      </c>
      <c r="AE970" s="9"/>
      <c r="AF970" s="9">
        <f t="shared" si="119"/>
        <v>0.55699799278024364</v>
      </c>
      <c r="AG970" s="9">
        <f t="shared" si="120"/>
        <v>0.83831769534277878</v>
      </c>
      <c r="AH970" s="9">
        <f t="shared" si="121"/>
        <v>0.55580348719646511</v>
      </c>
      <c r="AI970" s="9">
        <f t="shared" si="122"/>
        <v>0.34133374345191753</v>
      </c>
    </row>
    <row r="971" spans="16:35" x14ac:dyDescent="0.3">
      <c r="P971" s="9">
        <v>0.23747152239850727</v>
      </c>
      <c r="Q971" s="9">
        <v>0.13123225137518751</v>
      </c>
      <c r="R971" s="9">
        <v>5.243176508662759E-3</v>
      </c>
      <c r="S971" s="9">
        <v>0.62605304971764242</v>
      </c>
      <c r="U971" s="9">
        <f t="array" ref="U971">MMULT(TRANSPOSE($B$3:$B$6),TRANSPOSE(P971:S971))</f>
        <v>8.8942676704750256E-2</v>
      </c>
      <c r="V971" s="9">
        <f>INT(200*U971)/200</f>
        <v>8.5000000000000006E-2</v>
      </c>
      <c r="W971" s="9">
        <f t="array" ref="W971">SQRT(MMULT(MMULT(P971:S971,$K$3:$N$6),TRANSPOSE(P971:S971)))</f>
        <v>0.11143103389705208</v>
      </c>
      <c r="Y971" s="31">
        <f>U971/W971</f>
        <v>0.79818586971850081</v>
      </c>
      <c r="AA971" s="9">
        <f t="shared" si="115"/>
        <v>0.19498640139957041</v>
      </c>
      <c r="AB971" s="9">
        <f t="shared" si="116"/>
        <v>5.1616443394084527E-2</v>
      </c>
      <c r="AC971" s="9">
        <f t="shared" si="117"/>
        <v>0.33280939131053233</v>
      </c>
      <c r="AD971" s="9">
        <f t="shared" si="118"/>
        <v>0.42058776389581287</v>
      </c>
      <c r="AE971" s="9"/>
      <c r="AF971" s="9">
        <f t="shared" si="119"/>
        <v>0.57490759611835196</v>
      </c>
      <c r="AG971" s="9">
        <f t="shared" si="120"/>
        <v>0.77065692180913403</v>
      </c>
      <c r="AH971" s="9">
        <f t="shared" si="121"/>
        <v>0.56247295952408516</v>
      </c>
      <c r="AI971" s="9">
        <f t="shared" si="122"/>
        <v>0.33895121210469564</v>
      </c>
    </row>
    <row r="972" spans="16:35" x14ac:dyDescent="0.3">
      <c r="P972" s="9">
        <v>0.38122279620754507</v>
      </c>
      <c r="Q972" s="9">
        <v>5.4905356937439006E-4</v>
      </c>
      <c r="R972" s="9">
        <v>0.14580363350119202</v>
      </c>
      <c r="S972" s="9">
        <v>0.47242451672188862</v>
      </c>
      <c r="U972" s="9">
        <f t="array" ref="U972">MMULT(TRANSPOSE($B$3:$B$6),TRANSPOSE(P972:S972))</f>
        <v>7.8283889254148697E-2</v>
      </c>
      <c r="V972" s="9">
        <f>INT(200*U972)/200</f>
        <v>7.4999999999999997E-2</v>
      </c>
      <c r="W972" s="9">
        <f t="array" ref="W972">SQRT(MMULT(MMULT(P972:S972,$K$3:$N$6),TRANSPOSE(P972:S972)))</f>
        <v>9.8415831471449167E-2</v>
      </c>
      <c r="Y972" s="31">
        <f>U972/W972</f>
        <v>0.79544000272821114</v>
      </c>
      <c r="AA972" s="9">
        <f t="shared" si="115"/>
        <v>0.20654611675969073</v>
      </c>
      <c r="AB972" s="9">
        <f t="shared" si="116"/>
        <v>4.7881922038846607E-2</v>
      </c>
      <c r="AC972" s="9">
        <f t="shared" si="117"/>
        <v>0.34663757923018601</v>
      </c>
      <c r="AD972" s="9">
        <f t="shared" si="118"/>
        <v>0.39893438197127667</v>
      </c>
      <c r="AE972" s="9"/>
      <c r="AF972" s="9">
        <f t="shared" si="119"/>
        <v>0.5809172466154523</v>
      </c>
      <c r="AG972" s="9">
        <f t="shared" si="120"/>
        <v>0.8460268535572455</v>
      </c>
      <c r="AH972" s="9">
        <f t="shared" si="121"/>
        <v>0.55463276252586347</v>
      </c>
      <c r="AI972" s="9">
        <f t="shared" si="122"/>
        <v>0.40742792318089538</v>
      </c>
    </row>
    <row r="973" spans="16:35" x14ac:dyDescent="0.3">
      <c r="P973" s="9">
        <v>4.2379892696087412E-2</v>
      </c>
      <c r="Q973" s="9">
        <v>6.8249484759602283E-2</v>
      </c>
      <c r="R973" s="9">
        <v>0.47842887480870055</v>
      </c>
      <c r="S973" s="9">
        <v>0.41094174773560976</v>
      </c>
      <c r="U973" s="9">
        <f t="array" ref="U973">MMULT(TRANSPOSE($B$3:$B$6),TRANSPOSE(P973:S973))</f>
        <v>9.4432195243713074E-2</v>
      </c>
      <c r="V973" s="9">
        <f>INT(200*U973)/200</f>
        <v>0.09</v>
      </c>
      <c r="W973" s="9">
        <f t="array" ref="W973">SQRT(MMULT(MMULT(P973:S973,$K$3:$N$6),TRANSPOSE(P973:S973)))</f>
        <v>0.11955737462366174</v>
      </c>
      <c r="Y973" s="31">
        <f>U973/W973</f>
        <v>0.78984835139583176</v>
      </c>
      <c r="AA973" s="9">
        <f t="shared" si="115"/>
        <v>0.21423378948346233</v>
      </c>
      <c r="AB973" s="9">
        <f t="shared" si="116"/>
        <v>4.5643798488071992E-2</v>
      </c>
      <c r="AC973" s="9">
        <f t="shared" si="117"/>
        <v>0.33676219258850121</v>
      </c>
      <c r="AD973" s="9">
        <f t="shared" si="118"/>
        <v>0.40336021943996447</v>
      </c>
      <c r="AE973" s="9"/>
      <c r="AF973" s="9">
        <f t="shared" si="119"/>
        <v>0.54472266807755609</v>
      </c>
      <c r="AG973" s="9">
        <f t="shared" si="120"/>
        <v>0.85803060995645009</v>
      </c>
      <c r="AH973" s="9">
        <f t="shared" si="121"/>
        <v>0.5865533761409909</v>
      </c>
      <c r="AI973" s="9">
        <f t="shared" si="122"/>
        <v>0.41168741030104267</v>
      </c>
    </row>
    <row r="974" spans="16:35" x14ac:dyDescent="0.3">
      <c r="P974" s="9">
        <v>0.23585763206402682</v>
      </c>
      <c r="Q974" s="9">
        <v>4.0170002462239316E-3</v>
      </c>
      <c r="R974" s="9">
        <v>0.4805320765424656</v>
      </c>
      <c r="S974" s="9">
        <v>0.27959329114728354</v>
      </c>
      <c r="U974" s="9">
        <f t="array" ref="U974">MMULT(TRANSPOSE($B$3:$B$6),TRANSPOSE(P974:S974))</f>
        <v>8.3814015729938574E-2</v>
      </c>
      <c r="V974" s="9">
        <f>INT(200*U974)/200</f>
        <v>0.08</v>
      </c>
      <c r="W974" s="9">
        <f t="array" ref="W974">SQRT(MMULT(MMULT(P974:S974,$K$3:$N$6),TRANSPOSE(P974:S974)))</f>
        <v>0.10629294853686048</v>
      </c>
      <c r="Y974" s="31">
        <f>U974/W974</f>
        <v>0.78851905873016004</v>
      </c>
      <c r="AA974" s="9">
        <f>AVERAGE(P964:P984)</f>
        <v>0.20676600601109255</v>
      </c>
      <c r="AB974" s="9">
        <f>AVERAGE(Q964:Q984)</f>
        <v>4.7260628557053576E-2</v>
      </c>
      <c r="AC974" s="9">
        <f>AVERAGE(R964:R984)</f>
        <v>0.33637127425159097</v>
      </c>
      <c r="AD974" s="9">
        <f>AVERAGE(S964:S984)</f>
        <v>0.40960209118026292</v>
      </c>
      <c r="AE974" s="9"/>
      <c r="AF974" s="9">
        <f t="shared" ref="AF974:AF1002" si="123">STDEV(P964:P984)/AA974</f>
        <v>0.55423723824513327</v>
      </c>
      <c r="AG974" s="9">
        <f t="shared" ref="AG974:AG1002" si="124">STDEV(Q964:Q984)/AB974</f>
        <v>0.81115289665732104</v>
      </c>
      <c r="AH974" s="9">
        <f t="shared" ref="AH974:AH1002" si="125">STDEV(R964:R984)/AC974</f>
        <v>0.58775312676701108</v>
      </c>
      <c r="AI974" s="9">
        <f t="shared" ref="AI974:AI1002" si="126">STDEV(S964:S984)/AD974</f>
        <v>0.4122762501537911</v>
      </c>
    </row>
    <row r="975" spans="16:35" x14ac:dyDescent="0.3">
      <c r="P975" s="9">
        <v>0.22050327673850076</v>
      </c>
      <c r="Q975" s="9">
        <v>6.2542873896806678E-3</v>
      </c>
      <c r="R975" s="9">
        <v>0.46202748068002081</v>
      </c>
      <c r="S975" s="9">
        <v>0.31121495519179776</v>
      </c>
      <c r="U975" s="9">
        <f t="array" ref="U975">MMULT(TRANSPOSE($B$3:$B$6),TRANSPOSE(P975:S975))</f>
        <v>8.4645485693525646E-2</v>
      </c>
      <c r="V975" s="9">
        <f>INT(200*U975)/200</f>
        <v>0.08</v>
      </c>
      <c r="W975" s="9">
        <f t="array" ref="W975">SQRT(MMULT(MMULT(P975:S975,$K$3:$N$6),TRANSPOSE(P975:S975)))</f>
        <v>0.10736997801156484</v>
      </c>
      <c r="Y975" s="31">
        <f>U975/W975</f>
        <v>0.78835338575191349</v>
      </c>
      <c r="AA975" s="9">
        <f>AVERAGE(P965:P985)</f>
        <v>0.20836135901380479</v>
      </c>
      <c r="AB975" s="9">
        <f>AVERAGE(Q965:Q985)</f>
        <v>4.5785177587632668E-2</v>
      </c>
      <c r="AC975" s="9">
        <f>AVERAGE(R965:R985)</f>
        <v>0.33280037227935672</v>
      </c>
      <c r="AD975" s="9">
        <f>AVERAGE(S965:S985)</f>
        <v>0.41305309111920591</v>
      </c>
      <c r="AE975" s="9"/>
      <c r="AF975" s="9">
        <f t="shared" si="123"/>
        <v>0.54350976374112936</v>
      </c>
      <c r="AG975" s="9">
        <f t="shared" si="124"/>
        <v>0.79360485531090386</v>
      </c>
      <c r="AH975" s="9">
        <f t="shared" si="125"/>
        <v>0.60121282290654043</v>
      </c>
      <c r="AI975" s="9">
        <f t="shared" si="126"/>
        <v>0.41756735288671837</v>
      </c>
    </row>
    <row r="976" spans="16:35" x14ac:dyDescent="0.3">
      <c r="P976" s="9">
        <v>1.5411696147038542E-2</v>
      </c>
      <c r="Q976" s="9">
        <v>7.4414985483835058E-2</v>
      </c>
      <c r="R976" s="9">
        <v>0.48983070575260523</v>
      </c>
      <c r="S976" s="9">
        <v>0.42034261261652128</v>
      </c>
      <c r="U976" s="9">
        <f t="array" ref="U976">MMULT(TRANSPOSE($B$3:$B$6),TRANSPOSE(P976:S976))</f>
        <v>9.5793558699649811E-2</v>
      </c>
      <c r="V976" s="9">
        <f>INT(200*U976)/200</f>
        <v>9.5000000000000001E-2</v>
      </c>
      <c r="W976" s="9">
        <f t="array" ref="W976">SQRT(MMULT(MMULT(P976:S976,$K$3:$N$6),TRANSPOSE(P976:S976)))</f>
        <v>0.12177514908347335</v>
      </c>
      <c r="Y976" s="31">
        <f>U976/W976</f>
        <v>0.78664291869588343</v>
      </c>
      <c r="AA976" s="9">
        <f>AVERAGE(P966:P986)</f>
        <v>0.20380138546634152</v>
      </c>
      <c r="AB976" s="9">
        <f>AVERAGE(Q966:Q986)</f>
        <v>4.7411829681706541E-2</v>
      </c>
      <c r="AC976" s="9">
        <f>AVERAGE(R966:R986)</f>
        <v>0.32641899309703803</v>
      </c>
      <c r="AD976" s="9">
        <f>AVERAGE(S966:S986)</f>
        <v>0.42236779175491407</v>
      </c>
      <c r="AE976" s="9"/>
      <c r="AF976" s="9">
        <f t="shared" si="123"/>
        <v>0.5507546364418312</v>
      </c>
      <c r="AG976" s="9">
        <f t="shared" si="124"/>
        <v>0.74362676597398503</v>
      </c>
      <c r="AH976" s="9">
        <f t="shared" si="125"/>
        <v>0.61861136319547183</v>
      </c>
      <c r="AI976" s="9">
        <f t="shared" si="126"/>
        <v>0.41558356892008402</v>
      </c>
    </row>
    <row r="977" spans="16:35" x14ac:dyDescent="0.3">
      <c r="P977" s="9">
        <v>0.35231863418746401</v>
      </c>
      <c r="Q977" s="9">
        <v>1.3138805385636913E-2</v>
      </c>
      <c r="R977" s="9">
        <v>0.11433409872472916</v>
      </c>
      <c r="S977" s="9">
        <v>0.52020846170216994</v>
      </c>
      <c r="U977" s="9">
        <f t="array" ref="U977">MMULT(TRANSPOSE($B$3:$B$6),TRANSPOSE(P977:S977))</f>
        <v>8.0065389143069307E-2</v>
      </c>
      <c r="V977" s="9">
        <f>INT(200*U977)/200</f>
        <v>0.08</v>
      </c>
      <c r="W977" s="9">
        <f t="array" ref="W977">SQRT(MMULT(MMULT(P977:S977,$K$3:$N$6),TRANSPOSE(P977:S977)))</f>
        <v>0.10197706155649837</v>
      </c>
      <c r="Y977" s="31">
        <f>U977/W977</f>
        <v>0.78513136112193882</v>
      </c>
      <c r="AA977" s="9">
        <f>AVERAGE(P967:P987)</f>
        <v>0.21386652720320537</v>
      </c>
      <c r="AB977" s="9">
        <f>AVERAGE(Q967:Q987)</f>
        <v>4.4625135489080828E-2</v>
      </c>
      <c r="AC977" s="9">
        <f>AVERAGE(R967:R987)</f>
        <v>0.33369186072004331</v>
      </c>
      <c r="AD977" s="9">
        <f>AVERAGE(S967:S987)</f>
        <v>0.40781647658767056</v>
      </c>
      <c r="AE977" s="9"/>
      <c r="AF977" s="9">
        <f t="shared" si="123"/>
        <v>0.52380329964720973</v>
      </c>
      <c r="AG977" s="9">
        <f t="shared" si="124"/>
        <v>0.81213169177291444</v>
      </c>
      <c r="AH977" s="9">
        <f t="shared" si="125"/>
        <v>0.62608056292808134</v>
      </c>
      <c r="AI977" s="9">
        <f t="shared" si="126"/>
        <v>0.46601410015472794</v>
      </c>
    </row>
    <row r="978" spans="16:35" x14ac:dyDescent="0.3">
      <c r="P978" s="9">
        <v>0.35898346426233896</v>
      </c>
      <c r="Q978" s="9">
        <v>2.9792489982011977E-2</v>
      </c>
      <c r="R978" s="9">
        <v>6.5515003962056603E-2</v>
      </c>
      <c r="S978" s="9">
        <v>0.54570904179359236</v>
      </c>
      <c r="U978" s="9">
        <f t="array" ref="U978">MMULT(TRANSPOSE($B$3:$B$6),TRANSPOSE(P978:S978))</f>
        <v>8.0392463089813931E-2</v>
      </c>
      <c r="V978" s="9">
        <f>INT(200*U978)/200</f>
        <v>0.08</v>
      </c>
      <c r="W978" s="9">
        <f t="array" ref="W978">SQRT(MMULT(MMULT(P978:S978,$K$3:$N$6),TRANSPOSE(P978:S978)))</f>
        <v>0.10243967009023068</v>
      </c>
      <c r="Y978" s="31">
        <f>U978/W978</f>
        <v>0.78477862159261957</v>
      </c>
      <c r="AA978" s="9">
        <f>AVERAGE(P968:P988)</f>
        <v>0.21405646161334344</v>
      </c>
      <c r="AB978" s="9">
        <f>AVERAGE(Q968:Q988)</f>
        <v>4.2925995411454643E-2</v>
      </c>
      <c r="AC978" s="9">
        <f>AVERAGE(R968:R988)</f>
        <v>0.33779179051937613</v>
      </c>
      <c r="AD978" s="9">
        <f>AVERAGE(S968:S988)</f>
        <v>0.40522575245582582</v>
      </c>
      <c r="AE978" s="9"/>
      <c r="AF978" s="9">
        <f t="shared" si="123"/>
        <v>0.52285169377846663</v>
      </c>
      <c r="AG978" s="9">
        <f t="shared" si="124"/>
        <v>0.86488046121070261</v>
      </c>
      <c r="AH978" s="9">
        <f t="shared" si="125"/>
        <v>0.6281229090630831</v>
      </c>
      <c r="AI978" s="9">
        <f t="shared" si="126"/>
        <v>0.47190172828268045</v>
      </c>
    </row>
    <row r="979" spans="16:35" x14ac:dyDescent="0.3">
      <c r="P979" s="9">
        <v>0.19963489754929234</v>
      </c>
      <c r="Q979" s="9">
        <v>5.268431041492453E-2</v>
      </c>
      <c r="R979" s="9">
        <v>0.18714796929193431</v>
      </c>
      <c r="S979" s="9">
        <v>0.56053282274384886</v>
      </c>
      <c r="U979" s="9">
        <f t="array" ref="U979">MMULT(TRANSPOSE($B$3:$B$6),TRANSPOSE(P979:S979))</f>
        <v>8.7869345030984661E-2</v>
      </c>
      <c r="V979" s="9">
        <f>INT(200*U979)/200</f>
        <v>8.5000000000000006E-2</v>
      </c>
      <c r="W979" s="9">
        <f t="array" ref="W979">SQRT(MMULT(MMULT(P979:S979,$K$3:$N$6),TRANSPOSE(P979:S979)))</f>
        <v>0.11208814754004254</v>
      </c>
      <c r="Y979" s="31">
        <f>U979/W979</f>
        <v>0.78393074521634043</v>
      </c>
      <c r="AA979" s="9">
        <f>AVERAGE(P969:P989)</f>
        <v>0.20761010555696546</v>
      </c>
      <c r="AB979" s="9">
        <f>AVERAGE(Q969:Q989)</f>
        <v>4.2673598304217589E-2</v>
      </c>
      <c r="AC979" s="9">
        <f>AVERAGE(R969:R989)</f>
        <v>0.35369697761853502</v>
      </c>
      <c r="AD979" s="9">
        <f>AVERAGE(S969:S989)</f>
        <v>0.39601931852028199</v>
      </c>
      <c r="AE979" s="9"/>
      <c r="AF979" s="9">
        <f t="shared" si="123"/>
        <v>0.54764040766718713</v>
      </c>
      <c r="AG979" s="9">
        <f t="shared" si="124"/>
        <v>0.87249071915913035</v>
      </c>
      <c r="AH979" s="9">
        <f t="shared" si="125"/>
        <v>0.61578266595880116</v>
      </c>
      <c r="AI979" s="9">
        <f t="shared" si="126"/>
        <v>0.48641900502217333</v>
      </c>
    </row>
    <row r="980" spans="16:35" x14ac:dyDescent="0.3">
      <c r="P980" s="9">
        <v>7.1611558858933793E-3</v>
      </c>
      <c r="Q980" s="9">
        <v>0.11421384629965868</v>
      </c>
      <c r="R980" s="9">
        <v>0.75872816224278461</v>
      </c>
      <c r="S980" s="9">
        <v>0.11989683557166335</v>
      </c>
      <c r="U980" s="9">
        <f t="array" ref="U980">MMULT(TRANSPOSE($B$3:$B$6),TRANSPOSE(P980:S980))</f>
        <v>9.6276915208794042E-2</v>
      </c>
      <c r="V980" s="9">
        <f>INT(200*U980)/200</f>
        <v>9.5000000000000001E-2</v>
      </c>
      <c r="W980" s="9">
        <f t="array" ref="W980">SQRT(MMULT(MMULT(P980:S980,$K$3:$N$6),TRANSPOSE(P980:S980)))</f>
        <v>0.12303018424920602</v>
      </c>
      <c r="Y980" s="31">
        <f>U980/W980</f>
        <v>0.78254711066496163</v>
      </c>
      <c r="AA980" s="9">
        <f>AVERAGE(P970:P990)</f>
        <v>0.21178486269696939</v>
      </c>
      <c r="AB980" s="9">
        <f>AVERAGE(Q970:Q990)</f>
        <v>4.1296808450961668E-2</v>
      </c>
      <c r="AC980" s="9">
        <f>AVERAGE(R970:R990)</f>
        <v>0.32481863438284841</v>
      </c>
      <c r="AD980" s="9">
        <f>AVERAGE(S970:S990)</f>
        <v>0.42209969446922058</v>
      </c>
      <c r="AE980" s="9"/>
      <c r="AF980" s="9">
        <f t="shared" si="123"/>
        <v>0.55125007955524641</v>
      </c>
      <c r="AG980" s="9">
        <f t="shared" si="124"/>
        <v>0.8912148317866937</v>
      </c>
      <c r="AH980" s="9">
        <f t="shared" si="125"/>
        <v>0.67095118169783252</v>
      </c>
      <c r="AI980" s="9">
        <f t="shared" si="126"/>
        <v>0.42491411147880681</v>
      </c>
    </row>
    <row r="981" spans="16:35" x14ac:dyDescent="0.3">
      <c r="P981" s="9">
        <v>0.12021402417747178</v>
      </c>
      <c r="Q981" s="9">
        <v>6.2072058867804002E-2</v>
      </c>
      <c r="R981" s="9">
        <v>0.26775878809177339</v>
      </c>
      <c r="S981" s="9">
        <v>0.54995512886295095</v>
      </c>
      <c r="U981" s="9">
        <f t="array" ref="U981">MMULT(TRANSPOSE($B$3:$B$6),TRANSPOSE(P981:S981))</f>
        <v>9.1467895176356145E-2</v>
      </c>
      <c r="V981" s="9">
        <f>INT(200*U981)/200</f>
        <v>0.09</v>
      </c>
      <c r="W981" s="9">
        <f t="array" ref="W981">SQRT(MMULT(MMULT(P981:S981,$K$3:$N$6),TRANSPOSE(P981:S981)))</f>
        <v>0.11693897267093196</v>
      </c>
      <c r="Y981" s="31">
        <f>U981/W981</f>
        <v>0.78218487034043116</v>
      </c>
      <c r="AA981" s="9">
        <f>AVERAGE(P971:P991)</f>
        <v>0.20250155386702534</v>
      </c>
      <c r="AB981" s="9">
        <f>AVERAGE(Q971:Q991)</f>
        <v>4.2821975003807036E-2</v>
      </c>
      <c r="AC981" s="9">
        <f>AVERAGE(R971:R991)</f>
        <v>0.32813163421320451</v>
      </c>
      <c r="AD981" s="9">
        <f>AVERAGE(S971:S991)</f>
        <v>0.42654483691596323</v>
      </c>
      <c r="AE981" s="9"/>
      <c r="AF981" s="9">
        <f t="shared" si="123"/>
        <v>0.60191262481660968</v>
      </c>
      <c r="AG981" s="9">
        <f t="shared" si="124"/>
        <v>0.8537927818966341</v>
      </c>
      <c r="AH981" s="9">
        <f t="shared" si="125"/>
        <v>0.66440612877456162</v>
      </c>
      <c r="AI981" s="9">
        <f t="shared" si="126"/>
        <v>0.42436038850861302</v>
      </c>
    </row>
    <row r="982" spans="16:35" x14ac:dyDescent="0.3">
      <c r="P982" s="9">
        <v>0.39754742246716651</v>
      </c>
      <c r="Q982" s="9">
        <v>3.0548743504057838E-3</v>
      </c>
      <c r="R982" s="9">
        <v>0.55104166686109535</v>
      </c>
      <c r="S982" s="9">
        <v>4.835603632133232E-2</v>
      </c>
      <c r="U982" s="9">
        <f t="array" ref="U982">MMULT(TRANSPOSE($B$3:$B$6),TRANSPOSE(P982:S982))</f>
        <v>7.6127850737594788E-2</v>
      </c>
      <c r="V982" s="9">
        <f>INT(200*U982)/200</f>
        <v>7.4999999999999997E-2</v>
      </c>
      <c r="W982" s="9">
        <f t="array" ref="W982">SQRT(MMULT(MMULT(P982:S982,$K$3:$N$6),TRANSPOSE(P982:S982)))</f>
        <v>9.7472649286774252E-2</v>
      </c>
      <c r="Y982" s="31">
        <f>U982/W982</f>
        <v>0.78101756025548319</v>
      </c>
      <c r="AA982" s="9">
        <f>AVERAGE(P972:P992)</f>
        <v>0.19190602569161733</v>
      </c>
      <c r="AB982" s="9">
        <f>AVERAGE(Q972:Q992)</f>
        <v>4.1383828852451059E-2</v>
      </c>
      <c r="AC982" s="9">
        <f>AVERAGE(R972:R992)</f>
        <v>0.36557866749273282</v>
      </c>
      <c r="AD982" s="9">
        <f>AVERAGE(S972:S992)</f>
        <v>0.40113147796319898</v>
      </c>
      <c r="AE982" s="9"/>
      <c r="AF982" s="9">
        <f t="shared" si="123"/>
        <v>0.66805501524162481</v>
      </c>
      <c r="AG982" s="9">
        <f t="shared" si="124"/>
        <v>0.80620214933839518</v>
      </c>
      <c r="AH982" s="9">
        <f t="shared" si="125"/>
        <v>0.62127587216719271</v>
      </c>
      <c r="AI982" s="9">
        <f t="shared" si="126"/>
        <v>0.47089285055070035</v>
      </c>
    </row>
    <row r="983" spans="16:35" x14ac:dyDescent="0.3">
      <c r="P983" s="9">
        <v>0.24290315961758954</v>
      </c>
      <c r="Q983" s="9">
        <v>4.6072797165918354E-2</v>
      </c>
      <c r="R983" s="9">
        <v>0.13891047809348009</v>
      </c>
      <c r="S983" s="9">
        <v>0.57211356512301192</v>
      </c>
      <c r="U983" s="9">
        <f t="array" ref="U983">MMULT(TRANSPOSE($B$3:$B$6),TRANSPOSE(P983:S983))</f>
        <v>8.5883775159663445E-2</v>
      </c>
      <c r="V983" s="9">
        <f>INT(200*U983)/200</f>
        <v>8.5000000000000006E-2</v>
      </c>
      <c r="W983" s="9">
        <f t="array" ref="W983">SQRT(MMULT(MMULT(P983:S983,$K$3:$N$6),TRANSPOSE(P983:S983)))</f>
        <v>0.1101495223779743</v>
      </c>
      <c r="Y983" s="31">
        <f>U983/W983</f>
        <v>0.77970174818331228</v>
      </c>
      <c r="AA983" s="9">
        <f>AVERAGE(P973:P993)</f>
        <v>0.17677503769463465</v>
      </c>
      <c r="AB983" s="9">
        <f>AVERAGE(Q973:Q993)</f>
        <v>4.396039438622331E-2</v>
      </c>
      <c r="AC983" s="9">
        <f>AVERAGE(R973:R993)</f>
        <v>0.37322759081482337</v>
      </c>
      <c r="AD983" s="9">
        <f>AVERAGE(S973:S993)</f>
        <v>0.40603697710431869</v>
      </c>
      <c r="AE983" s="9"/>
      <c r="AF983" s="9">
        <f t="shared" si="123"/>
        <v>0.69808478016077047</v>
      </c>
      <c r="AG983" s="9">
        <f t="shared" si="124"/>
        <v>0.73062524475287793</v>
      </c>
      <c r="AH983" s="9">
        <f t="shared" si="125"/>
        <v>0.59481312039852674</v>
      </c>
      <c r="AI983" s="9">
        <f t="shared" si="126"/>
        <v>0.47321712368236163</v>
      </c>
    </row>
    <row r="984" spans="16:35" x14ac:dyDescent="0.3">
      <c r="P984" s="9">
        <v>0.16306917700837686</v>
      </c>
      <c r="Q984" s="9">
        <v>4.4525547069534044E-2</v>
      </c>
      <c r="R984" s="9">
        <v>0.24856195706238313</v>
      </c>
      <c r="S984" s="9">
        <v>0.54384331885970594</v>
      </c>
      <c r="U984" s="9">
        <f t="array" ref="U984">MMULT(TRANSPOSE($B$3:$B$6),TRANSPOSE(P984:S984))</f>
        <v>8.909710244230476E-2</v>
      </c>
      <c r="V984" s="9">
        <f>INT(200*U984)/200</f>
        <v>8.5000000000000006E-2</v>
      </c>
      <c r="W984" s="9">
        <f t="array" ref="W984">SQRT(MMULT(MMULT(P984:S984,$K$3:$N$6),TRANSPOSE(P984:S984)))</f>
        <v>0.11437757073349065</v>
      </c>
      <c r="Y984" s="31">
        <f>U984/W984</f>
        <v>0.77897355111614053</v>
      </c>
      <c r="AA984" s="9">
        <f>AVERAGE(P974:P994)</f>
        <v>0.18363368052994017</v>
      </c>
      <c r="AB984" s="9">
        <f>AVERAGE(Q974:Q994)</f>
        <v>4.0711944304320333E-2</v>
      </c>
      <c r="AC984" s="9">
        <f>AVERAGE(R974:R994)</f>
        <v>0.36512852398192613</v>
      </c>
      <c r="AD984" s="9">
        <f>AVERAGE(S974:S994)</f>
        <v>0.41052585118381335</v>
      </c>
      <c r="AE984" s="9"/>
      <c r="AF984" s="9">
        <f t="shared" si="123"/>
        <v>0.65076200178622834</v>
      </c>
      <c r="AG984" s="9">
        <f t="shared" si="124"/>
        <v>0.81001813883942364</v>
      </c>
      <c r="AH984" s="9">
        <f t="shared" si="125"/>
        <v>0.60546160986667741</v>
      </c>
      <c r="AI984" s="9">
        <f t="shared" si="126"/>
        <v>0.47100867261421475</v>
      </c>
    </row>
    <row r="985" spans="16:35" x14ac:dyDescent="0.3">
      <c r="P985" s="9">
        <v>0.13243669763975072</v>
      </c>
      <c r="Q985" s="9">
        <v>7.9235792144009387E-2</v>
      </c>
      <c r="R985" s="9">
        <v>0.17081069427029724</v>
      </c>
      <c r="S985" s="9">
        <v>0.61751681594594265</v>
      </c>
      <c r="U985" s="9">
        <f t="array" ref="U985">MMULT(TRANSPOSE($B$3:$B$6),TRANSPOSE(P985:S985))</f>
        <v>9.1729834064655014E-2</v>
      </c>
      <c r="V985" s="9">
        <f>INT(200*U985)/200</f>
        <v>0.09</v>
      </c>
      <c r="W985" s="9">
        <f t="array" ref="W985">SQRT(MMULT(MMULT(P985:S985,$K$3:$N$6),TRANSPOSE(P985:S985)))</f>
        <v>0.11860095620674457</v>
      </c>
      <c r="Y985" s="31">
        <f>U985/W985</f>
        <v>0.77343250002767294</v>
      </c>
      <c r="AA985" s="9">
        <f>AVERAGE(P975:P995)</f>
        <v>0.19105093838738296</v>
      </c>
      <c r="AB985" s="9">
        <f>AVERAGE(Q975:Q995)</f>
        <v>4.120327496925761E-2</v>
      </c>
      <c r="AC985" s="9">
        <f>AVERAGE(R975:R995)</f>
        <v>0.34275904734302731</v>
      </c>
      <c r="AD985" s="9">
        <f>AVERAGE(S975:S995)</f>
        <v>0.42498673930033215</v>
      </c>
      <c r="AE985" s="9"/>
      <c r="AF985" s="9">
        <f t="shared" si="123"/>
        <v>0.66722206715774268</v>
      </c>
      <c r="AG985" s="9">
        <f t="shared" si="124"/>
        <v>0.78819990048683763</v>
      </c>
      <c r="AH985" s="9">
        <f t="shared" si="125"/>
        <v>0.67771239498117741</v>
      </c>
      <c r="AI985" s="9">
        <f t="shared" si="126"/>
        <v>0.45750185237336499</v>
      </c>
    </row>
    <row r="986" spans="16:35" x14ac:dyDescent="0.3">
      <c r="P986" s="9">
        <v>0.18179345332570748</v>
      </c>
      <c r="Q986" s="9">
        <v>4.1072296436466468E-2</v>
      </c>
      <c r="R986" s="9">
        <v>0.20732806509647431</v>
      </c>
      <c r="S986" s="9">
        <v>0.56980618514135173</v>
      </c>
      <c r="U986" s="9">
        <f t="array" ref="U986">MMULT(TRANSPOSE($B$3:$B$6),TRANSPOSE(P986:S986))</f>
        <v>8.8295900860774323E-2</v>
      </c>
      <c r="V986" s="9">
        <f>INT(200*U986)/200</f>
        <v>8.5000000000000006E-2</v>
      </c>
      <c r="W986" s="9">
        <f t="array" ref="W986">SQRT(MMULT(MMULT(P986:S986,$K$3:$N$6),TRANSPOSE(P986:S986)))</f>
        <v>0.11439460902834216</v>
      </c>
      <c r="Y986" s="31">
        <f>U986/W986</f>
        <v>0.77185368795568265</v>
      </c>
      <c r="AA986" s="9">
        <f>AVERAGE(P976:P996)</f>
        <v>0.18840552137142008</v>
      </c>
      <c r="AB986" s="9">
        <f>AVERAGE(Q976:Q996)</f>
        <v>4.111867166939473E-2</v>
      </c>
      <c r="AC986" s="9">
        <f>AVERAGE(R976:R996)</f>
        <v>0.33532360392501603</v>
      </c>
      <c r="AD986" s="9">
        <f>AVERAGE(S976:S996)</f>
        <v>0.43515220303416918</v>
      </c>
      <c r="AE986" s="9"/>
      <c r="AF986" s="9">
        <f t="shared" si="123"/>
        <v>0.67624373894633438</v>
      </c>
      <c r="AG986" s="9">
        <f t="shared" si="124"/>
        <v>0.79219925335900587</v>
      </c>
      <c r="AH986" s="9">
        <f t="shared" si="125"/>
        <v>0.68822349213421741</v>
      </c>
      <c r="AI986" s="9">
        <f t="shared" si="126"/>
        <v>0.44528301328055375</v>
      </c>
    </row>
    <row r="987" spans="16:35" x14ac:dyDescent="0.3">
      <c r="P987" s="9">
        <v>0.31217767208889946</v>
      </c>
      <c r="Q987" s="9">
        <v>4.7265154093759313E-3</v>
      </c>
      <c r="R987" s="9">
        <v>0.59449169912059718</v>
      </c>
      <c r="S987" s="9">
        <v>8.86041133811276E-2</v>
      </c>
      <c r="U987" s="9">
        <f t="array" ref="U987">MMULT(TRANSPOSE($B$3:$B$6),TRANSPOSE(P987:S987))</f>
        <v>7.9923724011242106E-2</v>
      </c>
      <c r="V987" s="9">
        <f>INT(200*U987)/200</f>
        <v>7.4999999999999997E-2</v>
      </c>
      <c r="W987" s="9">
        <f t="array" ref="W987">SQRT(MMULT(MMULT(P987:S987,$K$3:$N$6),TRANSPOSE(P987:S987)))</f>
        <v>0.10373505502282691</v>
      </c>
      <c r="Y987" s="31">
        <f>U987/W987</f>
        <v>0.77046013031616822</v>
      </c>
      <c r="AA987" s="9">
        <f>AVERAGE(P977:P997)</f>
        <v>0.19363619287786796</v>
      </c>
      <c r="AB987" s="9">
        <f>AVERAGE(Q977:Q997)</f>
        <v>3.8387947577499193E-2</v>
      </c>
      <c r="AC987" s="9">
        <f>AVERAGE(R977:R997)</f>
        <v>0.32623693931491154</v>
      </c>
      <c r="AD987" s="9">
        <f>AVERAGE(S977:S997)</f>
        <v>0.44173892022972133</v>
      </c>
      <c r="AE987" s="9"/>
      <c r="AF987" s="9">
        <f t="shared" si="123"/>
        <v>0.63053698396740454</v>
      </c>
      <c r="AG987" s="9">
        <f t="shared" si="124"/>
        <v>0.83470655921443593</v>
      </c>
      <c r="AH987" s="9">
        <f t="shared" si="125"/>
        <v>0.69928112354228922</v>
      </c>
      <c r="AI987" s="9">
        <f t="shared" si="126"/>
        <v>0.44274972088177483</v>
      </c>
    </row>
    <row r="988" spans="16:35" x14ac:dyDescent="0.3">
      <c r="P988" s="9">
        <v>0.15744692973018262</v>
      </c>
      <c r="Q988" s="9">
        <v>7.7506839822030519E-3</v>
      </c>
      <c r="R988" s="9">
        <v>0.53807418376881089</v>
      </c>
      <c r="S988" s="9">
        <v>0.29672820251880344</v>
      </c>
      <c r="U988" s="9">
        <f t="array" ref="U988">MMULT(TRANSPOSE($B$3:$B$6),TRANSPOSE(P988:S988))</f>
        <v>8.7296158755938991E-2</v>
      </c>
      <c r="V988" s="9">
        <f>INT(200*U988)/200</f>
        <v>8.5000000000000006E-2</v>
      </c>
      <c r="W988" s="9">
        <f t="array" ref="W988">SQRT(MMULT(MMULT(P988:S988,$K$3:$N$6),TRANSPOSE(P988:S988)))</f>
        <v>0.1134791035213647</v>
      </c>
      <c r="Y988" s="31">
        <f>U988/W988</f>
        <v>0.76927078243532077</v>
      </c>
      <c r="AA988" s="9">
        <f>AVERAGE(P978:P998)</f>
        <v>0.18038718473408275</v>
      </c>
      <c r="AB988" s="9">
        <f>AVERAGE(Q978:Q998)</f>
        <v>4.1362717271624924E-2</v>
      </c>
      <c r="AC988" s="9">
        <f>AVERAGE(R978:R998)</f>
        <v>0.32963248600265965</v>
      </c>
      <c r="AD988" s="9">
        <f>AVERAGE(S978:S998)</f>
        <v>0.4486176119916328</v>
      </c>
      <c r="AE988" s="9"/>
      <c r="AF988" s="9">
        <f t="shared" si="123"/>
        <v>0.66009697601076756</v>
      </c>
      <c r="AG988" s="9">
        <f t="shared" si="124"/>
        <v>0.78520539791082122</v>
      </c>
      <c r="AH988" s="9">
        <f t="shared" si="125"/>
        <v>0.68358900383466703</v>
      </c>
      <c r="AI988" s="9">
        <f t="shared" si="126"/>
        <v>0.44791886616599952</v>
      </c>
    </row>
    <row r="989" spans="16:35" x14ac:dyDescent="0.3">
      <c r="P989" s="9">
        <v>0.11354914064232059</v>
      </c>
      <c r="Q989" s="9">
        <v>2.5213883240171691E-2</v>
      </c>
      <c r="R989" s="9">
        <v>0.58516949044550393</v>
      </c>
      <c r="S989" s="9">
        <v>0.27606748567200379</v>
      </c>
      <c r="U989" s="9">
        <f t="array" ref="U989">MMULT(TRANSPOSE($B$3:$B$6),TRANSPOSE(P989:S989))</f>
        <v>8.9610733905798851E-2</v>
      </c>
      <c r="V989" s="9">
        <f>INT(200*U989)/200</f>
        <v>8.5000000000000006E-2</v>
      </c>
      <c r="W989" s="9">
        <f t="array" ref="W989">SQRT(MMULT(MMULT(P989:S989,$K$3:$N$6),TRANSPOSE(P989:S989)))</f>
        <v>0.11651188215282038</v>
      </c>
      <c r="Y989" s="31">
        <f>U989/W989</f>
        <v>0.76911240510442358</v>
      </c>
      <c r="AA989" s="9">
        <f>AVERAGE(P979:P999)</f>
        <v>0.16655955651505017</v>
      </c>
      <c r="AB989" s="9">
        <f>AVERAGE(Q979:Q999)</f>
        <v>4.0241363767625382E-2</v>
      </c>
      <c r="AC989" s="9">
        <f>AVERAGE(R979:R999)</f>
        <v>0.35345630342936291</v>
      </c>
      <c r="AD989" s="9">
        <f>AVERAGE(S979:S999)</f>
        <v>0.43974277628796149</v>
      </c>
      <c r="AE989" s="9"/>
      <c r="AF989" s="9">
        <f t="shared" si="123"/>
        <v>0.68474459188270809</v>
      </c>
      <c r="AG989" s="9">
        <f t="shared" si="124"/>
        <v>0.82735655758648041</v>
      </c>
      <c r="AH989" s="9">
        <f t="shared" si="125"/>
        <v>0.62933278433941109</v>
      </c>
      <c r="AI989" s="9">
        <f t="shared" si="126"/>
        <v>0.45607802701149713</v>
      </c>
    </row>
    <row r="990" spans="16:35" x14ac:dyDescent="0.3">
      <c r="P990" s="9">
        <v>0.33372174068214977</v>
      </c>
      <c r="Q990" s="9">
        <v>3.8488484368370157E-2</v>
      </c>
      <c r="R990" s="9">
        <v>3.5050993771571462E-2</v>
      </c>
      <c r="S990" s="9">
        <v>0.59273878117790868</v>
      </c>
      <c r="U990" s="9">
        <f t="array" ref="U990">MMULT(TRANSPOSE($B$3:$B$6),TRANSPOSE(P990:S990))</f>
        <v>8.1897313333740632E-2</v>
      </c>
      <c r="V990" s="9">
        <f>INT(200*U990)/200</f>
        <v>0.08</v>
      </c>
      <c r="W990" s="9">
        <f t="array" ref="W990">SQRT(MMULT(MMULT(P990:S990,$K$3:$N$6),TRANSPOSE(P990:S990)))</f>
        <v>0.1065648600803188</v>
      </c>
      <c r="Y990" s="31">
        <f>U990/W990</f>
        <v>0.76852081701241814</v>
      </c>
      <c r="AA990" s="9">
        <f>AVERAGE(P980:P1000)</f>
        <v>0.15952148442867845</v>
      </c>
      <c r="AB990" s="9">
        <f>AVERAGE(Q980:Q1000)</f>
        <v>3.7998624722401085E-2</v>
      </c>
      <c r="AC990" s="9">
        <f>AVERAGE(R980:R1000)</f>
        <v>0.36853938324123542</v>
      </c>
      <c r="AD990" s="9">
        <f>AVERAGE(S980:S1000)</f>
        <v>0.43394050760768499</v>
      </c>
      <c r="AE990" s="9"/>
      <c r="AF990" s="9">
        <f t="shared" si="123"/>
        <v>0.72995114125941529</v>
      </c>
      <c r="AG990" s="9">
        <f t="shared" si="124"/>
        <v>0.89458025623634285</v>
      </c>
      <c r="AH990" s="9">
        <f t="shared" si="125"/>
        <v>0.60057879422648697</v>
      </c>
      <c r="AI990" s="9">
        <f t="shared" si="126"/>
        <v>0.45776128341253031</v>
      </c>
    </row>
    <row r="991" spans="16:35" x14ac:dyDescent="0.3">
      <c r="P991" s="9">
        <v>4.6728245691221748E-2</v>
      </c>
      <c r="Q991" s="9">
        <v>5.250202713955289E-2</v>
      </c>
      <c r="R991" s="9">
        <v>0.36597511988015485</v>
      </c>
      <c r="S991" s="9">
        <v>0.53479460728907058</v>
      </c>
      <c r="U991" s="9">
        <f t="array" ref="U991">MMULT(TRANSPOSE($B$3:$B$6),TRANSPOSE(P991:S991))</f>
        <v>9.4213398230518525E-2</v>
      </c>
      <c r="V991" s="9">
        <f>INT(200*U991)/200</f>
        <v>0.09</v>
      </c>
      <c r="W991" s="9">
        <f t="array" ref="W991">SQRT(MMULT(MMULT(P991:S991,$K$3:$N$6),TRANSPOSE(P991:S991)))</f>
        <v>0.12303154249378311</v>
      </c>
      <c r="Y991" s="31">
        <f>U991/W991</f>
        <v>0.76576621182555049</v>
      </c>
      <c r="AA991" s="9">
        <f>AVERAGE(P981:P1001)</f>
        <v>0.16270081202014575</v>
      </c>
      <c r="AB991" s="9">
        <f>AVERAGE(Q981:Q1001)</f>
        <v>3.287398511921899E-2</v>
      </c>
      <c r="AC991" s="9">
        <f>AVERAGE(R981:R1001)</f>
        <v>0.35155526843666207</v>
      </c>
      <c r="AD991" s="9">
        <f>AVERAGE(S981:S1001)</f>
        <v>0.45286993442397305</v>
      </c>
      <c r="AE991" s="9"/>
      <c r="AF991" s="9">
        <f t="shared" si="123"/>
        <v>0.69411747024527326</v>
      </c>
      <c r="AG991" s="9">
        <f t="shared" si="124"/>
        <v>0.90586064151079904</v>
      </c>
      <c r="AH991" s="9">
        <f t="shared" si="125"/>
        <v>0.57688722302386741</v>
      </c>
      <c r="AI991" s="9">
        <f t="shared" si="126"/>
        <v>0.41013954581989809</v>
      </c>
    </row>
    <row r="992" spans="16:35" x14ac:dyDescent="0.3">
      <c r="P992" s="9">
        <v>1.4965430714938487E-2</v>
      </c>
      <c r="Q992" s="9">
        <v>0.1010311821967121</v>
      </c>
      <c r="R992" s="9">
        <v>0.79163087537875709</v>
      </c>
      <c r="S992" s="9">
        <v>9.2372511709592431E-2</v>
      </c>
      <c r="U992" s="9">
        <f t="array" ref="U992">MMULT(TRANSPOSE($B$3:$B$6),TRANSPOSE(P992:S992))</f>
        <v>9.5440071779244906E-2</v>
      </c>
      <c r="V992" s="9">
        <f>INT(200*U992)/200</f>
        <v>9.5000000000000001E-2</v>
      </c>
      <c r="W992" s="9">
        <f t="array" ref="W992">SQRT(MMULT(MMULT(P992:S992,$K$3:$N$6),TRANSPOSE(P992:S992)))</f>
        <v>0.12475680463108722</v>
      </c>
      <c r="Y992" s="31">
        <f>U992/W992</f>
        <v>0.76500894729923941</v>
      </c>
      <c r="AA992" s="9">
        <f>AVERAGE(P982:P1002)</f>
        <v>0.1635327165599349</v>
      </c>
      <c r="AB992" s="9">
        <f>AVERAGE(Q982:Q1002)</f>
        <v>3.001181627245161E-2</v>
      </c>
      <c r="AC992" s="9">
        <f>AVERAGE(R982:R1002)</f>
        <v>0.37472603960537032</v>
      </c>
      <c r="AD992" s="9">
        <f>AVERAGE(S982:S1002)</f>
        <v>0.43172942756224297</v>
      </c>
      <c r="AE992" s="9"/>
      <c r="AF992" s="9">
        <f t="shared" si="123"/>
        <v>0.68896850301840529</v>
      </c>
      <c r="AG992" s="9">
        <f t="shared" si="124"/>
        <v>0.99031075353274545</v>
      </c>
      <c r="AH992" s="9">
        <f t="shared" si="125"/>
        <v>0.58665956069382319</v>
      </c>
      <c r="AI992" s="9">
        <f t="shared" si="126"/>
        <v>0.46078281147757838</v>
      </c>
    </row>
    <row r="993" spans="16:35" x14ac:dyDescent="0.3">
      <c r="P993" s="9">
        <v>6.3472048270909645E-2</v>
      </c>
      <c r="Q993" s="9">
        <v>5.4656929778591642E-2</v>
      </c>
      <c r="R993" s="9">
        <v>0.30643102326509364</v>
      </c>
      <c r="S993" s="9">
        <v>0.57543999868540496</v>
      </c>
      <c r="U993" s="9">
        <f t="array" ref="U993">MMULT(TRANSPOSE($B$3:$B$6),TRANSPOSE(P993:S993))</f>
        <v>9.3722590549222398E-2</v>
      </c>
      <c r="V993" s="9">
        <f>INT(200*U993)/200</f>
        <v>0.09</v>
      </c>
      <c r="W993" s="9">
        <f t="array" ref="W993">SQRT(MMULT(MMULT(P993:S993,$K$3:$N$6),TRANSPOSE(P993:S993)))</f>
        <v>0.12296599430889452</v>
      </c>
      <c r="Y993" s="31">
        <f>U993/W993</f>
        <v>0.76218300088549884</v>
      </c>
      <c r="AA993" s="9"/>
      <c r="AB993" s="9"/>
      <c r="AC993" s="9"/>
      <c r="AD993" s="9"/>
      <c r="AE993" s="9"/>
      <c r="AF993" s="9" t="e">
        <f t="shared" si="123"/>
        <v>#DIV/0!</v>
      </c>
      <c r="AG993" s="9" t="e">
        <f t="shared" si="124"/>
        <v>#DIV/0!</v>
      </c>
      <c r="AH993" s="9" t="e">
        <f t="shared" si="125"/>
        <v>#DIV/0!</v>
      </c>
      <c r="AI993" s="9" t="e">
        <f t="shared" si="126"/>
        <v>#DIV/0!</v>
      </c>
    </row>
    <row r="994" spans="16:35" x14ac:dyDescent="0.3">
      <c r="P994" s="9">
        <v>0.18641139223750294</v>
      </c>
      <c r="Q994" s="9">
        <v>3.2033039639776423E-5</v>
      </c>
      <c r="R994" s="9">
        <v>0.30834847131785859</v>
      </c>
      <c r="S994" s="9">
        <v>0.50520810340499867</v>
      </c>
      <c r="U994" s="9">
        <f t="array" ref="U994">MMULT(TRANSPOSE($B$3:$B$6),TRANSPOSE(P994:S994))</f>
        <v>8.6596755688707103E-2</v>
      </c>
      <c r="V994" s="9">
        <f>INT(200*U994)/200</f>
        <v>8.5000000000000006E-2</v>
      </c>
      <c r="W994" s="9">
        <f t="array" ref="W994">SQRT(MMULT(MMULT(P994:S994,$K$3:$N$6),TRANSPOSE(P994:S994)))</f>
        <v>0.11382374551065425</v>
      </c>
      <c r="Y994" s="31">
        <f>U994/W994</f>
        <v>0.76079692598589976</v>
      </c>
      <c r="AA994" s="9"/>
      <c r="AB994" s="9"/>
      <c r="AC994" s="9"/>
      <c r="AD994" s="9"/>
      <c r="AE994" s="9"/>
      <c r="AF994" s="9" t="e">
        <f t="shared" si="123"/>
        <v>#DIV/0!</v>
      </c>
      <c r="AG994" s="9" t="e">
        <f t="shared" si="124"/>
        <v>#DIV/0!</v>
      </c>
      <c r="AH994" s="9" t="e">
        <f t="shared" si="125"/>
        <v>#DIV/0!</v>
      </c>
      <c r="AI994" s="9" t="e">
        <f t="shared" si="126"/>
        <v>#DIV/0!</v>
      </c>
    </row>
    <row r="995" spans="16:35" x14ac:dyDescent="0.3">
      <c r="P995" s="9">
        <v>0.39162004707032627</v>
      </c>
      <c r="Q995" s="9">
        <v>1.4334944209906778E-2</v>
      </c>
      <c r="R995" s="9">
        <v>1.0773067125590011E-2</v>
      </c>
      <c r="S995" s="9">
        <v>0.58327194159417695</v>
      </c>
      <c r="U995" s="9">
        <f t="array" ref="U995">MMULT(TRANSPOSE($B$3:$B$6),TRANSPOSE(P995:S995))</f>
        <v>7.867606117007743E-2</v>
      </c>
      <c r="V995" s="9">
        <f>INT(200*U995)/200</f>
        <v>7.4999999999999997E-2</v>
      </c>
      <c r="W995" s="9">
        <f t="array" ref="W995">SQRT(MMULT(MMULT(P995:S995,$K$3:$N$6),TRANSPOSE(P995:S995)))</f>
        <v>0.10382694734133588</v>
      </c>
      <c r="Y995" s="31">
        <f>U995/W995</f>
        <v>0.75776147892922485</v>
      </c>
      <c r="AA995" s="9"/>
      <c r="AB995" s="9"/>
      <c r="AC995" s="9"/>
      <c r="AD995" s="9"/>
      <c r="AE995" s="9"/>
      <c r="AF995" s="9" t="e">
        <f t="shared" si="123"/>
        <v>#DIV/0!</v>
      </c>
      <c r="AG995" s="9" t="e">
        <f t="shared" si="124"/>
        <v>#DIV/0!</v>
      </c>
      <c r="AH995" s="9" t="e">
        <f t="shared" si="125"/>
        <v>#DIV/0!</v>
      </c>
      <c r="AI995" s="9" t="e">
        <f t="shared" si="126"/>
        <v>#DIV/0!</v>
      </c>
    </row>
    <row r="996" spans="16:35" x14ac:dyDescent="0.3">
      <c r="P996" s="9">
        <v>0.16494951940327937</v>
      </c>
      <c r="Q996" s="9">
        <v>4.4776180925602494E-3</v>
      </c>
      <c r="R996" s="9">
        <v>0.30588316890178419</v>
      </c>
      <c r="S996" s="9">
        <v>0.52468969360237627</v>
      </c>
      <c r="U996" s="9">
        <f t="array" ref="U996">MMULT(TRANSPOSE($B$3:$B$6),TRANSPOSE(P996:S996))</f>
        <v>8.770963792785974E-2</v>
      </c>
      <c r="V996" s="9">
        <f>INT(200*U996)/200</f>
        <v>8.5000000000000006E-2</v>
      </c>
      <c r="W996" s="9">
        <f t="array" ref="W996">SQRT(MMULT(MMULT(P996:S996,$K$3:$N$6),TRANSPOSE(P996:S996)))</f>
        <v>0.11593030512532249</v>
      </c>
      <c r="Y996" s="31">
        <f>U996/W996</f>
        <v>0.75657213041097615</v>
      </c>
      <c r="AA996" s="9"/>
      <c r="AB996" s="9"/>
      <c r="AC996" s="9"/>
      <c r="AD996" s="9"/>
      <c r="AE996" s="9"/>
      <c r="AF996" s="9" t="e">
        <f t="shared" si="123"/>
        <v>#DIV/0!</v>
      </c>
      <c r="AG996" s="9" t="e">
        <f t="shared" si="124"/>
        <v>#DIV/0!</v>
      </c>
      <c r="AH996" s="9" t="e">
        <f t="shared" si="125"/>
        <v>#DIV/0!</v>
      </c>
      <c r="AI996" s="9" t="e">
        <f t="shared" si="126"/>
        <v>#DIV/0!</v>
      </c>
    </row>
    <row r="997" spans="16:35" x14ac:dyDescent="0.3">
      <c r="P997" s="9">
        <v>0.12525579778244433</v>
      </c>
      <c r="Q997" s="9">
        <v>1.706977955402875E-2</v>
      </c>
      <c r="R997" s="9">
        <v>0.29901074894041307</v>
      </c>
      <c r="S997" s="9">
        <v>0.55866367372311387</v>
      </c>
      <c r="U997" s="9">
        <f t="array" ref="U997">MMULT(TRANSPOSE($B$3:$B$6),TRANSPOSE(P997:S997))</f>
        <v>8.9895551924718736E-2</v>
      </c>
      <c r="V997" s="9">
        <f>INT(200*U997)/200</f>
        <v>8.5000000000000006E-2</v>
      </c>
      <c r="W997" s="9">
        <f t="array" ref="W997">SQRT(MMULT(MMULT(P997:S997,$K$3:$N$6),TRANSPOSE(P997:S997)))</f>
        <v>0.11958830597163582</v>
      </c>
      <c r="Y997" s="31">
        <f>U997/W997</f>
        <v>0.75170854871077719</v>
      </c>
      <c r="AA997" s="9"/>
      <c r="AB997" s="9"/>
      <c r="AC997" s="9"/>
      <c r="AD997" s="9"/>
      <c r="AE997" s="9"/>
      <c r="AF997" s="9" t="e">
        <f t="shared" si="123"/>
        <v>#DIV/0!</v>
      </c>
      <c r="AG997" s="9" t="e">
        <f t="shared" si="124"/>
        <v>#DIV/0!</v>
      </c>
      <c r="AH997" s="9" t="e">
        <f t="shared" si="125"/>
        <v>#DIV/0!</v>
      </c>
      <c r="AI997" s="9" t="e">
        <f t="shared" si="126"/>
        <v>#DIV/0!</v>
      </c>
    </row>
    <row r="998" spans="16:35" x14ac:dyDescent="0.3">
      <c r="P998" s="9">
        <v>7.4089463167974406E-2</v>
      </c>
      <c r="Q998" s="9">
        <v>7.560896896227734E-2</v>
      </c>
      <c r="R998" s="9">
        <v>0.18564057916743831</v>
      </c>
      <c r="S998" s="9">
        <v>0.66466098870231005</v>
      </c>
      <c r="U998" s="9">
        <f t="array" ref="U998">MMULT(TRANSPOSE($B$3:$B$6),TRANSPOSE(P998:S998))</f>
        <v>9.4248264228241854E-2</v>
      </c>
      <c r="V998" s="9">
        <f>INT(200*U998)/200</f>
        <v>0.09</v>
      </c>
      <c r="W998" s="9">
        <f t="array" ref="W998">SQRT(MMULT(MMULT(P998:S998,$K$3:$N$6),TRANSPOSE(P998:S998)))</f>
        <v>0.12554065527492447</v>
      </c>
      <c r="Y998" s="31">
        <f>U998/W998</f>
        <v>0.75073898588346011</v>
      </c>
      <c r="AA998" s="9"/>
      <c r="AB998" s="9"/>
      <c r="AC998" s="9"/>
      <c r="AD998" s="9"/>
      <c r="AE998" s="9"/>
      <c r="AF998" s="9" t="e">
        <f t="shared" si="123"/>
        <v>#DIV/0!</v>
      </c>
      <c r="AG998" s="9" t="e">
        <f t="shared" si="124"/>
        <v>#DIV/0!</v>
      </c>
      <c r="AH998" s="9" t="e">
        <f t="shared" si="125"/>
        <v>#DIV/0!</v>
      </c>
      <c r="AI998" s="9" t="e">
        <f t="shared" si="126"/>
        <v>#DIV/0!</v>
      </c>
    </row>
    <row r="999" spans="16:35" x14ac:dyDescent="0.3">
      <c r="P999" s="9">
        <v>6.8603271662654758E-2</v>
      </c>
      <c r="Q999" s="9">
        <v>6.2440663980215779E-3</v>
      </c>
      <c r="R999" s="9">
        <v>0.56581516992282599</v>
      </c>
      <c r="S999" s="9">
        <v>0.35933749201649762</v>
      </c>
      <c r="U999" s="9">
        <f t="array" ref="U999">MMULT(TRANSPOSE($B$3:$B$6),TRANSPOSE(P999:S999))</f>
        <v>9.1221640367543752E-2</v>
      </c>
      <c r="V999" s="9">
        <f>INT(200*U999)/200</f>
        <v>0.09</v>
      </c>
      <c r="W999" s="9">
        <f t="array" ref="W999">SQRT(MMULT(MMULT(P999:S999,$K$3:$N$6),TRANSPOSE(P999:S999)))</f>
        <v>0.12219664549459688</v>
      </c>
      <c r="Y999" s="31">
        <f>U999/W999</f>
        <v>0.74651509457006537</v>
      </c>
      <c r="AA999" s="9"/>
      <c r="AB999" s="9"/>
      <c r="AC999" s="9"/>
      <c r="AD999" s="9"/>
      <c r="AE999" s="9"/>
      <c r="AF999" s="9" t="e">
        <f t="shared" si="123"/>
        <v>#DIV/0!</v>
      </c>
      <c r="AG999" s="9" t="e">
        <f t="shared" si="124"/>
        <v>#DIV/0!</v>
      </c>
      <c r="AH999" s="9" t="e">
        <f t="shared" si="125"/>
        <v>#DIV/0!</v>
      </c>
      <c r="AI999" s="9" t="e">
        <f t="shared" si="126"/>
        <v>#DIV/0!</v>
      </c>
    </row>
    <row r="1000" spans="16:35" x14ac:dyDescent="0.3">
      <c r="P1000" s="9">
        <v>5.18353837354864E-2</v>
      </c>
      <c r="Q1000" s="9">
        <v>5.5867904652142928E-3</v>
      </c>
      <c r="R1000" s="9">
        <v>0.503892645341256</v>
      </c>
      <c r="S1000" s="9">
        <v>0.43868518045804328</v>
      </c>
      <c r="U1000" s="9">
        <f t="array" ref="U1000">MMULT(TRANSPOSE($B$3:$B$6),TRANSPOSE(P1000:S1000))</f>
        <v>9.2197114469538391E-2</v>
      </c>
      <c r="V1000" s="9">
        <f>INT(200*U1000)/200</f>
        <v>0.09</v>
      </c>
      <c r="W1000" s="9">
        <f t="array" ref="W1000">SQRT(MMULT(MMULT(P1000:S1000,$K$3:$N$6),TRANSPOSE(P1000:S1000)))</f>
        <v>0.12415711852459617</v>
      </c>
      <c r="Y1000" s="31">
        <f>U1000/W1000</f>
        <v>0.74258419948167265</v>
      </c>
      <c r="AA1000" s="9"/>
      <c r="AB1000" s="9"/>
      <c r="AC1000" s="9"/>
      <c r="AD1000" s="9"/>
      <c r="AE1000" s="9"/>
      <c r="AF1000" s="9" t="e">
        <f t="shared" si="123"/>
        <v>#DIV/0!</v>
      </c>
      <c r="AG1000" s="9" t="e">
        <f t="shared" si="124"/>
        <v>#DIV/0!</v>
      </c>
      <c r="AH1000" s="9" t="e">
        <f t="shared" si="125"/>
        <v>#DIV/0!</v>
      </c>
      <c r="AI1000" s="9" t="e">
        <f t="shared" si="126"/>
        <v>#DIV/0!</v>
      </c>
    </row>
    <row r="1001" spans="16:35" x14ac:dyDescent="0.3">
      <c r="P1001" s="9">
        <v>7.3927035306706718E-2</v>
      </c>
      <c r="Q1001" s="9">
        <v>6.5964146328348237E-3</v>
      </c>
      <c r="R1001" s="9">
        <v>0.40206175134674571</v>
      </c>
      <c r="S1001" s="9">
        <v>0.51741479871371288</v>
      </c>
      <c r="U1001" s="9">
        <f t="array" ref="U1001">MMULT(TRANSPOSE($B$3:$B$6),TRANSPOSE(P1001:S1001))</f>
        <v>9.1584338029903456E-2</v>
      </c>
      <c r="V1001" s="9">
        <f>INT(200*U1001)/200</f>
        <v>0.09</v>
      </c>
      <c r="W1001" s="9">
        <f t="array" ref="W1001">SQRT(MMULT(MMULT(P1001:S1001,$K$3:$N$6),TRANSPOSE(P1001:S1001)))</f>
        <v>0.12337132813841011</v>
      </c>
      <c r="Y1001" s="31">
        <f>U1001/W1001</f>
        <v>0.74234702188789869</v>
      </c>
      <c r="AA1001" s="9"/>
      <c r="AB1001" s="9"/>
      <c r="AC1001" s="9"/>
      <c r="AD1001" s="9"/>
      <c r="AE1001" s="9"/>
      <c r="AF1001" s="9" t="e">
        <f t="shared" si="123"/>
        <v>#DIV/0!</v>
      </c>
      <c r="AG1001" s="9" t="e">
        <f t="shared" si="124"/>
        <v>#DIV/0!</v>
      </c>
      <c r="AH1001" s="9" t="e">
        <f t="shared" si="125"/>
        <v>#DIV/0!</v>
      </c>
      <c r="AI1001" s="9" t="e">
        <f t="shared" si="126"/>
        <v>#DIV/0!</v>
      </c>
    </row>
    <row r="1002" spans="16:35" x14ac:dyDescent="0.3">
      <c r="P1002" s="9">
        <v>0.13768401951304479</v>
      </c>
      <c r="Q1002" s="9">
        <v>1.966513085688864E-3</v>
      </c>
      <c r="R1002" s="9">
        <v>0.75434498263464811</v>
      </c>
      <c r="S1002" s="9">
        <v>0.10600448476661828</v>
      </c>
      <c r="U1002" s="9">
        <f t="array" ref="U1002">MMULT(TRANSPOSE($B$3:$B$6),TRANSPOSE(P1002:S1002))</f>
        <v>8.7254970894595094E-2</v>
      </c>
      <c r="V1002" s="9">
        <f>INT(200*U1002)/200</f>
        <v>8.5000000000000006E-2</v>
      </c>
      <c r="W1002" s="9">
        <f t="array" ref="W1002">SQRT(MMULT(MMULT(P1002:S1002,$K$3:$N$6),TRANSPOSE(P1002:S1002)))</f>
        <v>0.12166603310040643</v>
      </c>
      <c r="Y1002" s="31">
        <f>U1002/W1002</f>
        <v>0.71716787891478984</v>
      </c>
      <c r="AA1002" s="9"/>
      <c r="AB1002" s="9"/>
      <c r="AC1002" s="9"/>
      <c r="AD1002" s="9"/>
      <c r="AE1002" s="9"/>
      <c r="AF1002" s="9" t="e">
        <f t="shared" si="123"/>
        <v>#DIV/0!</v>
      </c>
      <c r="AG1002" s="9" t="e">
        <f t="shared" si="124"/>
        <v>#DIV/0!</v>
      </c>
      <c r="AH1002" s="9" t="e">
        <f t="shared" si="125"/>
        <v>#DIV/0!</v>
      </c>
      <c r="AI1002" s="9" t="e">
        <f t="shared" si="126"/>
        <v>#DIV/0!</v>
      </c>
    </row>
    <row r="1004" spans="16:35" x14ac:dyDescent="0.3">
      <c r="P1004" s="9">
        <f>MIN(P3:P120)</f>
        <v>1.2409483699735802E-3</v>
      </c>
      <c r="Q1004" s="9">
        <f t="shared" ref="Q1004:S1004" si="127">MIN(Q3:Q120)</f>
        <v>0.30604730872569963</v>
      </c>
      <c r="R1004" s="9">
        <f t="shared" si="127"/>
        <v>1.63107685469083E-3</v>
      </c>
      <c r="S1004" s="9">
        <f t="shared" si="127"/>
        <v>1.2272951178487904E-4</v>
      </c>
    </row>
    <row r="1005" spans="16:35" x14ac:dyDescent="0.3">
      <c r="P1005" s="9">
        <f>MAX(P3:P120)</f>
        <v>0.55576240680607769</v>
      </c>
      <c r="Q1005" s="9">
        <f t="shared" ref="Q1005:S1005" si="128">MAX(Q3:Q120)</f>
        <v>0.78981700269367883</v>
      </c>
      <c r="R1005" s="9">
        <f t="shared" si="128"/>
        <v>0.41611818038210224</v>
      </c>
      <c r="S1005" s="9">
        <f t="shared" si="128"/>
        <v>0.24423007518535769</v>
      </c>
    </row>
  </sheetData>
  <sortState xmlns:xlrd2="http://schemas.microsoft.com/office/spreadsheetml/2017/richdata2" ref="P3:Y1002">
    <sortCondition descending="1" ref="Y3:Y1002"/>
  </sortState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E13F7-A806-459D-8D91-2E3391283A84}">
  <dimension ref="A1:J1002"/>
  <sheetViews>
    <sheetView zoomScale="85" zoomScaleNormal="85" workbookViewId="0"/>
  </sheetViews>
  <sheetFormatPr defaultRowHeight="14.4" x14ac:dyDescent="0.3"/>
  <cols>
    <col min="1" max="9" width="8.88671875" style="9"/>
    <col min="10" max="10" width="6.5546875" style="31" bestFit="1" customWidth="1"/>
  </cols>
  <sheetData>
    <row r="1" spans="1:10" x14ac:dyDescent="0.3">
      <c r="A1" s="9" t="s">
        <v>49</v>
      </c>
      <c r="G1" s="9" t="s">
        <v>64</v>
      </c>
      <c r="H1" s="9" t="s">
        <v>51</v>
      </c>
      <c r="J1" s="31" t="s">
        <v>61</v>
      </c>
    </row>
    <row r="2" spans="1:10" x14ac:dyDescent="0.3">
      <c r="A2" s="9" t="s">
        <v>53</v>
      </c>
      <c r="B2" s="9" t="s">
        <v>54</v>
      </c>
      <c r="C2" s="9" t="s">
        <v>55</v>
      </c>
      <c r="D2" s="9" t="s">
        <v>7</v>
      </c>
    </row>
    <row r="3" spans="1:10" x14ac:dyDescent="0.3">
      <c r="A3" s="9">
        <v>0.15037196562408348</v>
      </c>
      <c r="B3" s="9">
        <v>0.63689721873389737</v>
      </c>
      <c r="C3" s="9">
        <v>0.19846571257171428</v>
      </c>
      <c r="D3" s="9">
        <v>1.4265103070304883E-2</v>
      </c>
      <c r="G3" s="9">
        <v>0.10602014058785428</v>
      </c>
      <c r="H3" s="9">
        <v>7.487849216093187E-2</v>
      </c>
      <c r="J3" s="31">
        <v>1.4158957736487472</v>
      </c>
    </row>
    <row r="4" spans="1:10" x14ac:dyDescent="0.3">
      <c r="A4" s="9">
        <v>0.17268483292204984</v>
      </c>
      <c r="B4" s="9">
        <v>0.63275259150148078</v>
      </c>
      <c r="C4" s="9">
        <v>0.13877038191577459</v>
      </c>
      <c r="D4" s="9">
        <v>5.5792193660694822E-2</v>
      </c>
      <c r="E4" s="9">
        <f>SQRT((A4-A$3)^2+(B4-B$3)^2+(C4-C$3)^2+(D4-D$3)^2)</f>
        <v>7.617790845761499E-2</v>
      </c>
      <c r="G4" s="9">
        <v>0.10510306285746036</v>
      </c>
      <c r="H4" s="9">
        <v>7.4909698366106989E-2</v>
      </c>
      <c r="J4" s="31">
        <v>1.4030634904413712</v>
      </c>
    </row>
    <row r="5" spans="1:10" x14ac:dyDescent="0.3">
      <c r="A5" s="9">
        <v>9.4357919035092816E-2</v>
      </c>
      <c r="B5" s="9">
        <v>0.5986729567730672</v>
      </c>
      <c r="C5" s="9">
        <v>0.25530007983687802</v>
      </c>
      <c r="D5" s="9">
        <v>5.1669044354962022E-2</v>
      </c>
      <c r="E5" s="9">
        <f>SQRT((A5-A$3)^2+(B5-B$3)^2+(C5-C$3)^2+(D5-D$3)^2)</f>
        <v>9.606179127926659E-2</v>
      </c>
      <c r="G5" s="9">
        <v>0.10733487995189285</v>
      </c>
      <c r="H5" s="9">
        <v>7.9372127439206144E-2</v>
      </c>
      <c r="J5" s="31">
        <v>1.3522993954534523</v>
      </c>
    </row>
    <row r="6" spans="1:10" x14ac:dyDescent="0.3">
      <c r="A6" s="9">
        <v>8.9691822511877725E-2</v>
      </c>
      <c r="B6" s="9">
        <v>0.56321454382518332</v>
      </c>
      <c r="C6" s="9">
        <v>0.27848123901185134</v>
      </c>
      <c r="D6" s="9">
        <v>6.8612394651087594E-2</v>
      </c>
      <c r="E6" s="9">
        <f>SQRT((A6-A$3)^2+(B6-B$3)^2+(C6-C$3)^2+(D6-D$3)^2)</f>
        <v>0.13589455074976298</v>
      </c>
      <c r="G6" s="9">
        <v>0.10649676918767517</v>
      </c>
      <c r="H6" s="9">
        <v>8.0937694830720192E-2</v>
      </c>
      <c r="J6" s="31">
        <v>1.3157870311282196</v>
      </c>
    </row>
    <row r="7" spans="1:10" x14ac:dyDescent="0.3">
      <c r="A7" s="9">
        <v>0.12564466746144573</v>
      </c>
      <c r="B7" s="9">
        <v>0.63441833009912663</v>
      </c>
      <c r="C7" s="9">
        <v>0.11168490739908343</v>
      </c>
      <c r="D7" s="9">
        <v>0.12825209504034416</v>
      </c>
      <c r="E7" s="9">
        <f>SQRT((A7-A$3)^2+(B7-B$3)^2+(C7-C$3)^2+(D7-D$3)^2)</f>
        <v>0.14540126082010255</v>
      </c>
      <c r="G7" s="9">
        <v>0.10740094459733229</v>
      </c>
      <c r="H7" s="9">
        <v>7.969017285619022E-2</v>
      </c>
      <c r="J7" s="31">
        <v>1.347731354418684</v>
      </c>
    </row>
    <row r="8" spans="1:10" x14ac:dyDescent="0.3">
      <c r="A8" s="9">
        <v>0.16206150579780523</v>
      </c>
      <c r="B8" s="9">
        <v>0.53614357660702083</v>
      </c>
      <c r="C8" s="9">
        <v>0.18076830671979707</v>
      </c>
      <c r="D8" s="9">
        <v>0.12102661087537697</v>
      </c>
      <c r="E8" s="9">
        <f>SQRT((A8-A$3)^2+(B8-B$3)^2+(C8-C$3)^2+(D8-D$3)^2)</f>
        <v>0.14832113630229413</v>
      </c>
      <c r="G8" s="9">
        <v>0.10280101375971257</v>
      </c>
      <c r="H8" s="9">
        <v>7.8261342811324922E-2</v>
      </c>
      <c r="J8" s="31">
        <v>1.3135605660070095</v>
      </c>
    </row>
    <row r="9" spans="1:10" x14ac:dyDescent="0.3">
      <c r="A9" s="9">
        <v>0.21457307157644848</v>
      </c>
      <c r="B9" s="9">
        <v>0.51737705753451169</v>
      </c>
      <c r="C9" s="9">
        <v>0.18693473036869646</v>
      </c>
      <c r="D9" s="9">
        <v>8.1115140520343368E-2</v>
      </c>
      <c r="E9" s="9">
        <f>SQRT((A9-A$3)^2+(B9-B$3)^2+(C9-C$3)^2+(D9-D$3)^2)</f>
        <v>0.15168632765108331</v>
      </c>
      <c r="G9" s="9">
        <v>9.9862382372321923E-2</v>
      </c>
      <c r="H9" s="9">
        <v>7.470732468027115E-2</v>
      </c>
      <c r="J9" s="31">
        <v>1.3367147438314542</v>
      </c>
    </row>
    <row r="10" spans="1:10" x14ac:dyDescent="0.3">
      <c r="A10" s="9">
        <v>7.9752350014602111E-2</v>
      </c>
      <c r="B10" s="9">
        <v>0.69629138055875839</v>
      </c>
      <c r="C10" s="9">
        <v>0.1122595128247878</v>
      </c>
      <c r="D10" s="9">
        <v>0.11169675660185166</v>
      </c>
      <c r="E10" s="9">
        <f>SQRT((A10-A$3)^2+(B10-B$3)^2+(C10-C$3)^2+(D10-D$3)^2)</f>
        <v>0.1594968104772225</v>
      </c>
      <c r="G10" s="9">
        <v>0.11118783497825038</v>
      </c>
      <c r="H10" s="9">
        <v>8.1260574191483678E-2</v>
      </c>
      <c r="J10" s="31">
        <v>1.3682875869944708</v>
      </c>
    </row>
    <row r="11" spans="1:10" x14ac:dyDescent="0.3">
      <c r="A11" s="9">
        <v>5.6013678367320921E-2</v>
      </c>
      <c r="B11" s="9">
        <v>0.60904211552915566</v>
      </c>
      <c r="C11" s="9">
        <v>0.18975321609213625</v>
      </c>
      <c r="D11" s="9">
        <v>0.14519099001138719</v>
      </c>
      <c r="E11" s="9">
        <f>SQRT((A11-A$3)^2+(B11-B$3)^2+(C11-C$3)^2+(D11-D$3)^2)</f>
        <v>0.16400270916906298</v>
      </c>
      <c r="G11" s="9">
        <v>0.10961221892404488</v>
      </c>
      <c r="H11" s="9">
        <v>8.3946229090628627E-2</v>
      </c>
      <c r="J11" s="31">
        <v>1.3057432133813558</v>
      </c>
    </row>
    <row r="12" spans="1:10" x14ac:dyDescent="0.3">
      <c r="A12" s="9">
        <v>8.7210482701604156E-2</v>
      </c>
      <c r="B12" s="9">
        <v>0.536640046724145</v>
      </c>
      <c r="C12" s="9">
        <v>0.300717459447707</v>
      </c>
      <c r="D12" s="9">
        <v>7.5432011126543935E-2</v>
      </c>
      <c r="E12" s="9">
        <f>SQRT((A12-A$3)^2+(B12-B$3)^2+(C12-C$3)^2+(D12-D$3)^2)</f>
        <v>0.1680407207932417</v>
      </c>
      <c r="G12" s="9">
        <v>0.10580441526014424</v>
      </c>
      <c r="H12" s="9">
        <v>8.2135483163731746E-2</v>
      </c>
      <c r="J12" s="31">
        <v>1.2881693901919347</v>
      </c>
    </row>
    <row r="13" spans="1:10" x14ac:dyDescent="0.3">
      <c r="A13" s="9">
        <v>0.25054865647111263</v>
      </c>
      <c r="B13" s="9">
        <v>0.60343413027361026</v>
      </c>
      <c r="C13" s="9">
        <v>7.6947793161259007E-2</v>
      </c>
      <c r="D13" s="9">
        <v>6.9069420094018161E-2</v>
      </c>
      <c r="E13" s="9">
        <f>SQRT((A13-A$3)^2+(B13-B$3)^2+(C13-C$3)^2+(D13-D$3)^2)</f>
        <v>0.1700742942970625</v>
      </c>
      <c r="G13" s="9">
        <v>0.10096364090071286</v>
      </c>
      <c r="H13" s="9">
        <v>7.2482903461917825E-2</v>
      </c>
      <c r="J13" s="31">
        <v>1.3929304163947942</v>
      </c>
    </row>
    <row r="14" spans="1:10" x14ac:dyDescent="0.3">
      <c r="A14" s="9">
        <v>0.13158563210083285</v>
      </c>
      <c r="B14" s="9">
        <v>0.58433130169659397</v>
      </c>
      <c r="C14" s="9">
        <v>0.12583947360479369</v>
      </c>
      <c r="D14" s="9">
        <v>0.15824359259777959</v>
      </c>
      <c r="E14" s="9">
        <f>SQRT((A14-A$3)^2+(B14-B$3)^2+(C14-C$3)^2+(D14-D$3)^2)</f>
        <v>0.17064723260080392</v>
      </c>
      <c r="G14" s="9">
        <v>0.10571104188795623</v>
      </c>
      <c r="H14" s="9">
        <v>8.0747553029300839E-2</v>
      </c>
      <c r="J14" s="31">
        <v>1.3091547411919331</v>
      </c>
    </row>
    <row r="15" spans="1:10" x14ac:dyDescent="0.3">
      <c r="A15" s="9">
        <v>0.1006389877008879</v>
      </c>
      <c r="B15" s="9">
        <v>0.51972102732724057</v>
      </c>
      <c r="C15" s="9">
        <v>0.24244438513808433</v>
      </c>
      <c r="D15" s="9">
        <v>0.13719559983378726</v>
      </c>
      <c r="E15" s="9">
        <f>SQRT((A15-A$3)^2+(B15-B$3)^2+(C15-C$3)^2+(D15-D$3)^2)</f>
        <v>0.18234489189690803</v>
      </c>
      <c r="G15" s="9">
        <v>0.1049404539936685</v>
      </c>
      <c r="H15" s="9">
        <v>8.2832129066497492E-2</v>
      </c>
      <c r="J15" s="31">
        <v>1.2669051873509429</v>
      </c>
    </row>
    <row r="16" spans="1:10" x14ac:dyDescent="0.3">
      <c r="A16" s="9">
        <v>0.24426232301668516</v>
      </c>
      <c r="B16" s="9">
        <v>0.51222677111097192</v>
      </c>
      <c r="C16" s="9">
        <v>0.14883035982210868</v>
      </c>
      <c r="D16" s="9">
        <v>9.468054605023421E-2</v>
      </c>
      <c r="E16" s="9">
        <f>SQRT((A16-A$3)^2+(B16-B$3)^2+(C16-C$3)^2+(D16-D$3)^2)</f>
        <v>0.18245117548003661</v>
      </c>
      <c r="G16" s="9">
        <v>9.8501452666064027E-2</v>
      </c>
      <c r="H16" s="9">
        <v>7.3661034105805615E-2</v>
      </c>
      <c r="J16" s="31">
        <v>1.3372260362864035</v>
      </c>
    </row>
    <row r="17" spans="1:10" x14ac:dyDescent="0.3">
      <c r="A17" s="9">
        <v>0.13355615218007191</v>
      </c>
      <c r="B17" s="9">
        <v>0.49267289276338067</v>
      </c>
      <c r="C17" s="9">
        <v>0.23898419358712</v>
      </c>
      <c r="D17" s="9">
        <v>0.13478676146942745</v>
      </c>
      <c r="E17" s="9">
        <f>SQRT((A17-A$3)^2+(B17-B$3)^2+(C17-C$3)^2+(D17-D$3)^2)</f>
        <v>0.19300426220812908</v>
      </c>
      <c r="G17" s="9">
        <v>0.10270812282046439</v>
      </c>
      <c r="H17" s="9">
        <v>8.1427272668542355E-2</v>
      </c>
      <c r="J17" s="31">
        <v>1.2613479422127745</v>
      </c>
    </row>
    <row r="18" spans="1:10" x14ac:dyDescent="0.3">
      <c r="A18" s="9">
        <v>0.22815220948757245</v>
      </c>
      <c r="B18" s="9">
        <v>0.5584891395875643</v>
      </c>
      <c r="C18" s="9">
        <v>8.6220637395901412E-2</v>
      </c>
      <c r="D18" s="9">
        <v>0.12713801352896181</v>
      </c>
      <c r="E18" s="9">
        <f>SQRT((A18-A$3)^2+(B18-B$3)^2+(C18-C$3)^2+(D18-D$3)^2)</f>
        <v>0.19374427482512435</v>
      </c>
      <c r="G18" s="9">
        <v>0.100729220956759</v>
      </c>
      <c r="H18" s="9">
        <v>7.5332783377225807E-2</v>
      </c>
      <c r="J18" s="31">
        <v>1.3371233139277701</v>
      </c>
    </row>
    <row r="19" spans="1:10" x14ac:dyDescent="0.3">
      <c r="A19" s="9">
        <v>0.29268955441502065</v>
      </c>
      <c r="B19" s="9">
        <v>0.52573228490034185</v>
      </c>
      <c r="C19" s="9">
        <v>0.12457507470370573</v>
      </c>
      <c r="D19" s="9">
        <v>5.7003085980931914E-2</v>
      </c>
      <c r="E19" s="9">
        <f>SQRT((A19-A$3)^2+(B19-B$3)^2+(C19-C$3)^2+(D19-D$3)^2)</f>
        <v>0.19974558854026109</v>
      </c>
      <c r="G19" s="9">
        <v>9.6741038129055157E-2</v>
      </c>
      <c r="H19" s="9">
        <v>7.0437219445973087E-2</v>
      </c>
      <c r="J19" s="31">
        <v>1.3734363577945845</v>
      </c>
    </row>
    <row r="20" spans="1:10" x14ac:dyDescent="0.3">
      <c r="A20" s="9">
        <v>0.32276708322059705</v>
      </c>
      <c r="B20" s="9">
        <v>0.51517396334122034</v>
      </c>
      <c r="C20" s="9">
        <v>0.16073240973507785</v>
      </c>
      <c r="D20" s="9">
        <v>1.3265437031047829E-3</v>
      </c>
      <c r="E20" s="9">
        <f>SQRT((A20-A$3)^2+(B20-B$3)^2+(C20-C$3)^2+(D20-D$3)^2)</f>
        <v>0.2147739181929838</v>
      </c>
      <c r="G20" s="9">
        <v>9.494414494792551E-2</v>
      </c>
      <c r="H20" s="9">
        <v>6.8312433646639636E-2</v>
      </c>
      <c r="J20" s="31">
        <v>1.3898515962561657</v>
      </c>
    </row>
    <row r="21" spans="1:10" x14ac:dyDescent="0.3">
      <c r="A21" s="9">
        <v>9.2910937459534756E-2</v>
      </c>
      <c r="B21" s="9">
        <v>0.57109132446194255</v>
      </c>
      <c r="C21" s="9">
        <v>0.13550187074326442</v>
      </c>
      <c r="D21" s="9">
        <v>0.20049586733525845</v>
      </c>
      <c r="E21" s="9">
        <f>SQRT((A21-A$3)^2+(B21-B$3)^2+(C21-C$3)^2+(D21-D$3)^2)</f>
        <v>0.2151244486690565</v>
      </c>
      <c r="G21" s="9">
        <v>0.10708536891428773</v>
      </c>
      <c r="H21" s="9">
        <v>8.4682449359254328E-2</v>
      </c>
      <c r="J21" s="31">
        <v>1.2645520969757489</v>
      </c>
    </row>
    <row r="22" spans="1:10" x14ac:dyDescent="0.3">
      <c r="A22" s="9">
        <v>0.29681064011498054</v>
      </c>
      <c r="B22" s="9">
        <v>0.48309355185317943</v>
      </c>
      <c r="C22" s="9">
        <v>0.17770078121866406</v>
      </c>
      <c r="D22" s="9">
        <v>4.239502681317589E-2</v>
      </c>
      <c r="E22" s="9">
        <f>SQRT((A22-A$3)^2+(B22-B$3)^2+(C22-C$3)^2+(D22-D$3)^2)</f>
        <v>0.21522622590307713</v>
      </c>
      <c r="G22" s="9">
        <v>9.519559935770272E-2</v>
      </c>
      <c r="H22" s="9">
        <v>7.0532301667815919E-2</v>
      </c>
      <c r="J22" s="31">
        <v>1.3496737963556453</v>
      </c>
    </row>
    <row r="23" spans="1:10" x14ac:dyDescent="0.3">
      <c r="A23" s="9">
        <v>9.4941592354322007E-2</v>
      </c>
      <c r="B23" s="9">
        <v>0.49012508011263645</v>
      </c>
      <c r="C23" s="9">
        <v>0.26392826669446506</v>
      </c>
      <c r="D23" s="9">
        <v>0.15100506083857645</v>
      </c>
      <c r="E23" s="9">
        <f>SQRT((A23-A$3)^2+(B23-B$3)^2+(C23-C$3)^2+(D23-D$3)^2)</f>
        <v>0.21816908350870087</v>
      </c>
      <c r="G23" s="9">
        <v>0.10431566739090092</v>
      </c>
      <c r="H23" s="9">
        <v>8.4521251520779619E-2</v>
      </c>
      <c r="J23" s="31">
        <v>1.2341945429576942</v>
      </c>
    </row>
    <row r="24" spans="1:10" x14ac:dyDescent="0.3">
      <c r="A24" s="9">
        <v>0.24417301164245556</v>
      </c>
      <c r="B24" s="9">
        <v>0.55061639208540025</v>
      </c>
      <c r="C24" s="9">
        <v>6.7466703504577619E-2</v>
      </c>
      <c r="D24" s="9">
        <v>0.13774389276756666</v>
      </c>
      <c r="E24" s="9">
        <f>SQRT((A24-A$3)^2+(B24-B$3)^2+(C24-C$3)^2+(D24-D$3)^2)</f>
        <v>0.22056919359457502</v>
      </c>
      <c r="G24" s="9">
        <v>9.9849306464556559E-2</v>
      </c>
      <c r="H24" s="9">
        <v>7.5237853460577014E-2</v>
      </c>
      <c r="J24" s="31">
        <v>1.327115299971648</v>
      </c>
    </row>
    <row r="25" spans="1:10" x14ac:dyDescent="0.3">
      <c r="A25" s="9">
        <v>2.2113419273835223E-3</v>
      </c>
      <c r="B25" s="9">
        <v>0.71533675547009168</v>
      </c>
      <c r="C25" s="9">
        <v>0.13776631535734593</v>
      </c>
      <c r="D25" s="9">
        <v>0.1446855872451788</v>
      </c>
      <c r="E25" s="9">
        <f>SQRT((A25-A$3)^2+(B25-B$3)^2+(C25-C$3)^2+(D25-D$3)^2)</f>
        <v>0.2209032612981984</v>
      </c>
      <c r="G25" s="9">
        <v>0.11516460119038073</v>
      </c>
      <c r="H25" s="9">
        <v>8.6359372266244377E-2</v>
      </c>
      <c r="J25" s="31">
        <v>1.3335506982997787</v>
      </c>
    </row>
    <row r="26" spans="1:10" x14ac:dyDescent="0.3">
      <c r="A26" s="9">
        <v>1.147079962405867E-2</v>
      </c>
      <c r="B26" s="9">
        <v>0.70695396339373184</v>
      </c>
      <c r="C26" s="9">
        <v>0.11397409672305099</v>
      </c>
      <c r="D26" s="9">
        <v>0.16760114025915857</v>
      </c>
      <c r="E26" s="9">
        <f>SQRT((A26-A$3)^2+(B26-B$3)^2+(C26-C$3)^2+(D26-D$3)^2)</f>
        <v>0.23420558242279219</v>
      </c>
      <c r="G26" s="9">
        <v>0.11459870315232366</v>
      </c>
      <c r="H26" s="9">
        <v>8.7036861157842663E-2</v>
      </c>
      <c r="J26" s="31">
        <v>1.3166686117563131</v>
      </c>
    </row>
    <row r="27" spans="1:10" x14ac:dyDescent="0.3">
      <c r="A27" s="9">
        <v>0.16213549322501425</v>
      </c>
      <c r="B27" s="9">
        <v>0.44345365352932353</v>
      </c>
      <c r="C27" s="9">
        <v>0.31072764975140332</v>
      </c>
      <c r="D27" s="9">
        <v>8.3683203494258812E-2</v>
      </c>
      <c r="E27" s="9">
        <f>SQRT((A27-A$3)^2+(B27-B$3)^2+(C27-C$3)^2+(D27-D$3)^2)</f>
        <v>0.23447901549281691</v>
      </c>
      <c r="G27" s="9">
        <v>9.9795504301634003E-2</v>
      </c>
      <c r="H27" s="9">
        <v>8.0725970056840707E-2</v>
      </c>
      <c r="J27" s="31">
        <v>1.2362255198837013</v>
      </c>
    </row>
    <row r="28" spans="1:10" x14ac:dyDescent="0.3">
      <c r="A28" s="9">
        <v>0.14754632984017041</v>
      </c>
      <c r="B28" s="9">
        <v>0.44552173205267342</v>
      </c>
      <c r="C28" s="9">
        <v>0.30013381675460893</v>
      </c>
      <c r="D28" s="9">
        <v>0.10679812135254718</v>
      </c>
      <c r="E28" s="9">
        <f>SQRT((A28-A$3)^2+(B28-B$3)^2+(C28-C$3)^2+(D28-D$3)^2)</f>
        <v>0.23565085189878768</v>
      </c>
      <c r="G28" s="9">
        <v>0.10055849190527022</v>
      </c>
      <c r="H28" s="9">
        <v>8.1856480369162474E-2</v>
      </c>
      <c r="J28" s="31">
        <v>1.2284731942023897</v>
      </c>
    </row>
    <row r="29" spans="1:10" x14ac:dyDescent="0.3">
      <c r="A29" s="9">
        <v>0.16603063320549855</v>
      </c>
      <c r="B29" s="9">
        <v>0.43930835283160147</v>
      </c>
      <c r="C29" s="9">
        <v>0.29621659459504118</v>
      </c>
      <c r="D29" s="9">
        <v>9.8444419367858846E-2</v>
      </c>
      <c r="E29" s="9">
        <f>SQRT((A29-A$3)^2+(B29-B$3)^2+(C29-C$3)^2+(D29-D$3)^2)</f>
        <v>0.23649090051763672</v>
      </c>
      <c r="G29" s="9">
        <v>9.9556976411965523E-2</v>
      </c>
      <c r="H29" s="9">
        <v>8.0711022257303894E-2</v>
      </c>
      <c r="J29" s="31">
        <v>1.2334991383776728</v>
      </c>
    </row>
    <row r="30" spans="1:10" x14ac:dyDescent="0.3">
      <c r="A30" s="9">
        <v>0.28525468993395897</v>
      </c>
      <c r="B30" s="9">
        <v>0.67648077068812007</v>
      </c>
      <c r="C30" s="9">
        <v>2.8431057225891459E-3</v>
      </c>
      <c r="D30" s="9">
        <v>3.5421433655331833E-2</v>
      </c>
      <c r="E30" s="9">
        <f>SQRT((A30-A$3)^2+(B30-B$3)^2+(C30-C$3)^2+(D30-D$3)^2)</f>
        <v>0.24181811664314329</v>
      </c>
      <c r="G30" s="9">
        <v>0.10163733791259595</v>
      </c>
      <c r="H30" s="9">
        <v>7.2109506463761505E-2</v>
      </c>
      <c r="J30" s="31">
        <v>1.4094859734433711</v>
      </c>
    </row>
    <row r="31" spans="1:10" x14ac:dyDescent="0.3">
      <c r="A31" s="9">
        <v>0.30760018711876491</v>
      </c>
      <c r="B31" s="9">
        <v>0.48788116775466334</v>
      </c>
      <c r="C31" s="9">
        <v>0.11402765001054559</v>
      </c>
      <c r="D31" s="9">
        <v>9.0490995116026027E-2</v>
      </c>
      <c r="E31" s="9">
        <f>SQRT((A31-A$3)^2+(B31-B$3)^2+(C31-C$3)^2+(D31-D$3)^2)</f>
        <v>0.24467666441873048</v>
      </c>
      <c r="G31" s="9">
        <v>9.5064272048286921E-2</v>
      </c>
      <c r="H31" s="9">
        <v>7.1096661604247491E-2</v>
      </c>
      <c r="J31" s="31">
        <v>1.3371130219510552</v>
      </c>
    </row>
    <row r="32" spans="1:10" x14ac:dyDescent="0.3">
      <c r="A32" s="9">
        <v>0.23726880426158123</v>
      </c>
      <c r="B32" s="9">
        <v>0.43079855856125832</v>
      </c>
      <c r="C32" s="9">
        <v>0.21919794830491285</v>
      </c>
      <c r="D32" s="9">
        <v>0.11273468887224763</v>
      </c>
      <c r="E32" s="9">
        <f>SQRT((A32-A$3)^2+(B32-B$3)^2+(C32-C$3)^2+(D32-D$3)^2)</f>
        <v>0.24526272284358941</v>
      </c>
      <c r="G32" s="9">
        <v>9.634392655102833E-2</v>
      </c>
      <c r="H32" s="9">
        <v>7.6403971353635095E-2</v>
      </c>
      <c r="J32" s="31">
        <v>1.2609806119252798</v>
      </c>
    </row>
    <row r="33" spans="1:10" x14ac:dyDescent="0.3">
      <c r="A33" s="9">
        <v>9.5499588358516116E-2</v>
      </c>
      <c r="B33" s="9">
        <v>0.78643801831865445</v>
      </c>
      <c r="C33" s="9">
        <v>2.7657750003402561E-2</v>
      </c>
      <c r="D33" s="9">
        <v>9.0404643319426797E-2</v>
      </c>
      <c r="E33" s="9">
        <f>SQRT((A33-A$3)^2+(B33-B$3)^2+(C33-C$3)^2+(D33-D$3)^2)</f>
        <v>0.2456542655711654</v>
      </c>
      <c r="G33" s="9">
        <v>0.1132342803883951</v>
      </c>
      <c r="H33" s="9">
        <v>8.1672664835351724E-2</v>
      </c>
      <c r="J33" s="31">
        <v>1.3864403790015927</v>
      </c>
    </row>
    <row r="34" spans="1:10" x14ac:dyDescent="0.3">
      <c r="A34" s="9">
        <v>0.23917521803144706</v>
      </c>
      <c r="B34" s="9">
        <v>0.42765276963550575</v>
      </c>
      <c r="C34" s="9">
        <v>0.28662565367683779</v>
      </c>
      <c r="D34" s="9">
        <v>4.6546358656209409E-2</v>
      </c>
      <c r="E34" s="9">
        <f>SQRT((A34-A$3)^2+(B34-B$3)^2+(C34-C$3)^2+(D34-D$3)^2)</f>
        <v>0.24593395819706693</v>
      </c>
      <c r="G34" s="9">
        <v>9.5925074535688812E-2</v>
      </c>
      <c r="H34" s="9">
        <v>7.5889857616274078E-2</v>
      </c>
      <c r="J34" s="31">
        <v>1.2640038807388447</v>
      </c>
    </row>
    <row r="35" spans="1:10" x14ac:dyDescent="0.3">
      <c r="A35" s="9">
        <v>1.2409483699735802E-3</v>
      </c>
      <c r="B35" s="9">
        <v>0.54519116935798628</v>
      </c>
      <c r="C35" s="9">
        <v>0.294448937148795</v>
      </c>
      <c r="D35" s="9">
        <v>0.1591189451232452</v>
      </c>
      <c r="E35" s="9">
        <f>SQRT((A35-A$3)^2+(B35-B$3)^2+(C35-C$3)^2+(D35-D$3)^2)</f>
        <v>0.24666875512941472</v>
      </c>
      <c r="G35" s="9">
        <v>0.10999662227051291</v>
      </c>
      <c r="H35" s="9">
        <v>8.9554727715329005E-2</v>
      </c>
      <c r="J35" s="31">
        <v>1.2282614785024339</v>
      </c>
    </row>
    <row r="36" spans="1:10" x14ac:dyDescent="0.3">
      <c r="A36" s="9">
        <v>0.15388289210262859</v>
      </c>
      <c r="B36" s="9">
        <v>0.53383803311724565</v>
      </c>
      <c r="C36" s="9">
        <v>9.7010574563570068E-2</v>
      </c>
      <c r="D36" s="9">
        <v>0.21526850021655558</v>
      </c>
      <c r="E36" s="9">
        <f>SQRT((A36-A$3)^2+(B36-B$3)^2+(C36-C$3)^2+(D36-D$3)^2)</f>
        <v>0.24764699278870761</v>
      </c>
      <c r="G36" s="9">
        <v>0.10341785018492139</v>
      </c>
      <c r="H36" s="9">
        <v>8.2688061624602668E-2</v>
      </c>
      <c r="J36" s="31">
        <v>1.2506986879730031</v>
      </c>
    </row>
    <row r="37" spans="1:10" x14ac:dyDescent="0.3">
      <c r="A37" s="9">
        <v>0.11791572605211845</v>
      </c>
      <c r="B37" s="9">
        <v>0.45117263331311608</v>
      </c>
      <c r="C37" s="9">
        <v>0.27185425905261212</v>
      </c>
      <c r="D37" s="9">
        <v>0.15905738158215332</v>
      </c>
      <c r="E37" s="9">
        <f>SQRT((A37-A$3)^2+(B37-B$3)^2+(C37-C$3)^2+(D37-D$3)^2)</f>
        <v>0.24879250749993551</v>
      </c>
      <c r="G37" s="9">
        <v>0.10217234260772773</v>
      </c>
      <c r="H37" s="9">
        <v>8.4540512611340338E-2</v>
      </c>
      <c r="J37" s="31">
        <v>1.2085607178353239</v>
      </c>
    </row>
    <row r="38" spans="1:10" x14ac:dyDescent="0.3">
      <c r="A38" s="9">
        <v>0.11018476289889395</v>
      </c>
      <c r="B38" s="9">
        <v>0.77652330669168479</v>
      </c>
      <c r="C38" s="9">
        <v>1.4246716389759925E-2</v>
      </c>
      <c r="D38" s="9">
        <v>9.9045214019661182E-2</v>
      </c>
      <c r="E38" s="9">
        <f>SQRT((A38-A$3)^2+(B38-B$3)^2+(C38-C$3)^2+(D38-D$3)^2)</f>
        <v>0.24946895892704438</v>
      </c>
      <c r="G38" s="9">
        <v>0.11234034193784879</v>
      </c>
      <c r="H38" s="9">
        <v>8.1537658437613708E-2</v>
      </c>
      <c r="J38" s="31">
        <v>1.3777724807219343</v>
      </c>
    </row>
    <row r="39" spans="1:10" x14ac:dyDescent="0.3">
      <c r="A39" s="9">
        <v>0.24087072006185647</v>
      </c>
      <c r="B39" s="9">
        <v>0.4591469353171988</v>
      </c>
      <c r="C39" s="9">
        <v>0.14237062957276136</v>
      </c>
      <c r="D39" s="9">
        <v>0.15761171504818333</v>
      </c>
      <c r="E39" s="9">
        <f>SQRT((A39-A$3)^2+(B39-B$3)^2+(C39-C$3)^2+(D39-D$3)^2)</f>
        <v>0.25195256956756934</v>
      </c>
      <c r="G39" s="9">
        <v>9.7232332860267806E-2</v>
      </c>
      <c r="H39" s="9">
        <v>7.6687523000057004E-2</v>
      </c>
      <c r="J39" s="31">
        <v>1.2679029007130083</v>
      </c>
    </row>
    <row r="40" spans="1:10" x14ac:dyDescent="0.3">
      <c r="A40" s="9">
        <v>0.19011943473824169</v>
      </c>
      <c r="B40" s="9">
        <v>0.42132833646074391</v>
      </c>
      <c r="C40" s="9">
        <v>0.30094540601321507</v>
      </c>
      <c r="D40" s="9">
        <v>8.7606822787799285E-2</v>
      </c>
      <c r="E40" s="9">
        <f>SQRT((A40-A$3)^2+(B40-B$3)^2+(C40-C$3)^2+(D40-D$3)^2)</f>
        <v>0.25284560451876781</v>
      </c>
      <c r="G40" s="9">
        <v>9.7946369652857357E-2</v>
      </c>
      <c r="H40" s="9">
        <v>7.9743450941704638E-2</v>
      </c>
      <c r="J40" s="31">
        <v>1.2282685097796897</v>
      </c>
    </row>
    <row r="41" spans="1:10" x14ac:dyDescent="0.3">
      <c r="A41" s="9">
        <v>0.24819443162394039</v>
      </c>
      <c r="B41" s="9">
        <v>0.49255257211205933</v>
      </c>
      <c r="C41" s="9">
        <v>9.3250828848943215E-2</v>
      </c>
      <c r="D41" s="9">
        <v>0.16600216741505705</v>
      </c>
      <c r="E41" s="9">
        <f>SQRT((A41-A$3)^2+(B41-B$3)^2+(C41-C$3)^2+(D41-D$3)^2)</f>
        <v>0.25396637634820118</v>
      </c>
      <c r="G41" s="9">
        <v>9.7987307061841528E-2</v>
      </c>
      <c r="H41" s="9">
        <v>7.6347229172401068E-2</v>
      </c>
      <c r="J41" s="31">
        <v>1.2834428717848372</v>
      </c>
    </row>
    <row r="42" spans="1:10" x14ac:dyDescent="0.3">
      <c r="A42" s="9">
        <v>0.34529088631163818</v>
      </c>
      <c r="B42" s="9">
        <v>0.5943539292104143</v>
      </c>
      <c r="C42" s="9">
        <v>3.8732053334130524E-2</v>
      </c>
      <c r="D42" s="9">
        <v>2.1623131143816966E-2</v>
      </c>
      <c r="E42" s="9">
        <f>SQRT((A42-A$3)^2+(B42-B$3)^2+(C42-C$3)^2+(D42-D$3)^2)</f>
        <v>0.25568007273942811</v>
      </c>
      <c r="G42" s="9">
        <v>9.651747750164856E-2</v>
      </c>
      <c r="H42" s="9">
        <v>6.85188165507985E-2</v>
      </c>
      <c r="J42" s="31">
        <v>1.4086273283790942</v>
      </c>
    </row>
    <row r="43" spans="1:10" x14ac:dyDescent="0.3">
      <c r="A43" s="9">
        <v>2.5403877764010537E-2</v>
      </c>
      <c r="B43" s="9">
        <v>0.54553513752484994</v>
      </c>
      <c r="C43" s="9">
        <v>0.41076822110114564</v>
      </c>
      <c r="D43" s="9">
        <v>1.8292763609993951E-2</v>
      </c>
      <c r="E43" s="9">
        <f>SQRT((A43-A$3)^2+(B43-B$3)^2+(C43-C$3)^2+(D43-D$3)^2)</f>
        <v>0.26277867121127568</v>
      </c>
      <c r="G43" s="9">
        <v>0.10847576082797603</v>
      </c>
      <c r="H43" s="9">
        <v>8.665894832905538E-2</v>
      </c>
      <c r="J43" s="31">
        <v>1.2517548726310335</v>
      </c>
    </row>
    <row r="44" spans="1:10" x14ac:dyDescent="0.3">
      <c r="A44" s="9">
        <v>7.486407936887024E-2</v>
      </c>
      <c r="B44" s="9">
        <v>0.50834319955155505</v>
      </c>
      <c r="C44" s="9">
        <v>0.41611818038210224</v>
      </c>
      <c r="D44" s="9">
        <v>6.7454069747241734E-4</v>
      </c>
      <c r="E44" s="9">
        <f>SQRT((A44-A$3)^2+(B44-B$3)^2+(C44-C$3)^2+(D44-D$3)^2)</f>
        <v>0.26416827376546576</v>
      </c>
      <c r="G44" s="9">
        <v>0.10517719030542134</v>
      </c>
      <c r="H44" s="9">
        <v>8.4792602676612025E-2</v>
      </c>
      <c r="J44" s="31">
        <v>1.2404052592483037</v>
      </c>
    </row>
    <row r="45" spans="1:10" x14ac:dyDescent="0.3">
      <c r="A45" s="9">
        <v>9.9197868275942513E-2</v>
      </c>
      <c r="B45" s="9">
        <v>0.45672995859588705</v>
      </c>
      <c r="C45" s="9">
        <v>0.37817496811470702</v>
      </c>
      <c r="D45" s="9">
        <v>6.5897205013463467E-2</v>
      </c>
      <c r="E45" s="9">
        <f>SQRT((A45-A$3)^2+(B45-B$3)^2+(C45-C$3)^2+(D45-D$3)^2)</f>
        <v>0.26465131842467715</v>
      </c>
      <c r="G45" s="9">
        <v>0.10279342421459287</v>
      </c>
      <c r="H45" s="9">
        <v>8.5048406807237215E-2</v>
      </c>
      <c r="J45" s="31">
        <v>1.2086460884279098</v>
      </c>
    </row>
    <row r="46" spans="1:10" x14ac:dyDescent="0.3">
      <c r="A46" s="9">
        <v>7.1924950670465643E-2</v>
      </c>
      <c r="B46" s="9">
        <v>0.47060025530349436</v>
      </c>
      <c r="C46" s="9">
        <v>0.26255085374023546</v>
      </c>
      <c r="D46" s="9">
        <v>0.19492394028580456</v>
      </c>
      <c r="E46" s="9">
        <f>SQRT((A46-A$3)^2+(B46-B$3)^2+(C46-C$3)^2+(D46-D$3)^2)</f>
        <v>0.26561840106429302</v>
      </c>
      <c r="G46" s="9">
        <v>0.10484188839028363</v>
      </c>
      <c r="H46" s="9">
        <v>8.7964549953065338E-2</v>
      </c>
      <c r="J46" s="31">
        <v>1.1918652280517938</v>
      </c>
    </row>
    <row r="47" spans="1:10" x14ac:dyDescent="0.3">
      <c r="A47" s="9">
        <v>0.21020268881039406</v>
      </c>
      <c r="B47" s="9">
        <v>0.43216437002438812</v>
      </c>
      <c r="C47" s="9">
        <v>0.18553692688613252</v>
      </c>
      <c r="D47" s="9">
        <v>0.17209601427908536</v>
      </c>
      <c r="E47" s="9">
        <f>SQRT((A47-A$3)^2+(B47-B$3)^2+(C47-C$3)^2+(D47-D$3)^2)</f>
        <v>0.26565580138593881</v>
      </c>
      <c r="G47" s="9">
        <v>9.7743085006318356E-2</v>
      </c>
      <c r="H47" s="9">
        <v>7.9451648788678317E-2</v>
      </c>
      <c r="J47" s="31">
        <v>1.2302209771164185</v>
      </c>
    </row>
    <row r="48" spans="1:10" x14ac:dyDescent="0.3">
      <c r="A48" s="9">
        <v>0.24379643227592485</v>
      </c>
      <c r="B48" s="9">
        <v>0.42153898935952577</v>
      </c>
      <c r="C48" s="9">
        <v>0.32565620650549904</v>
      </c>
      <c r="D48" s="9">
        <v>9.008371859050299E-3</v>
      </c>
      <c r="E48" s="9">
        <f>SQRT((A48-A$3)^2+(B48-B$3)^2+(C48-C$3)^2+(D48-D$3)^2)</f>
        <v>0.26704372843898244</v>
      </c>
      <c r="G48" s="9">
        <v>9.5404462434667117E-2</v>
      </c>
      <c r="H48" s="9">
        <v>7.6173726581469439E-2</v>
      </c>
      <c r="J48" s="31">
        <v>1.2524589082907738</v>
      </c>
    </row>
    <row r="49" spans="1:10" x14ac:dyDescent="0.3">
      <c r="A49" s="9">
        <v>5.0099038343551422E-2</v>
      </c>
      <c r="B49" s="9">
        <v>0.52786197432795734</v>
      </c>
      <c r="C49" s="9">
        <v>0.18264787560335952</v>
      </c>
      <c r="D49" s="9">
        <v>0.23939111172513175</v>
      </c>
      <c r="E49" s="9">
        <f>SQRT((A49-A$3)^2+(B49-B$3)^2+(C49-C$3)^2+(D49-D$3)^2)</f>
        <v>0.26995419649874047</v>
      </c>
      <c r="G49" s="9">
        <v>0.10769442986528996</v>
      </c>
      <c r="H49" s="9">
        <v>8.9447683731838895E-2</v>
      </c>
      <c r="J49" s="31">
        <v>1.2039935006942626</v>
      </c>
    </row>
    <row r="50" spans="1:10" x14ac:dyDescent="0.3">
      <c r="A50" s="9">
        <v>4.1679577113404219E-2</v>
      </c>
      <c r="B50" s="9">
        <v>0.48498218175263103</v>
      </c>
      <c r="C50" s="9">
        <v>0.27376233925756166</v>
      </c>
      <c r="D50" s="9">
        <v>0.19957590187640309</v>
      </c>
      <c r="E50" s="9">
        <f>SQRT((A50-A$3)^2+(B50-B$3)^2+(C50-C$3)^2+(D50-D$3)^2)</f>
        <v>0.2736820928113457</v>
      </c>
      <c r="G50" s="9">
        <v>0.10657812363686631</v>
      </c>
      <c r="H50" s="9">
        <v>8.9763741700616434E-2</v>
      </c>
      <c r="J50" s="31">
        <v>1.1873181934898598</v>
      </c>
    </row>
    <row r="51" spans="1:10" x14ac:dyDescent="0.3">
      <c r="A51" s="9">
        <v>7.4932354646553678E-2</v>
      </c>
      <c r="B51" s="9">
        <v>0.61383679463996421</v>
      </c>
      <c r="C51" s="9">
        <v>6.7000775528124418E-2</v>
      </c>
      <c r="D51" s="9">
        <v>0.24423007518535769</v>
      </c>
      <c r="E51" s="9">
        <f>SQRT((A51-A$3)^2+(B51-B$3)^2+(C51-C$3)^2+(D51-D$3)^2)</f>
        <v>0.27638711282472117</v>
      </c>
      <c r="G51" s="9">
        <v>0.1093242206915549</v>
      </c>
      <c r="H51" s="9">
        <v>8.8000916349711827E-2</v>
      </c>
      <c r="J51" s="31">
        <v>1.2423077534454889</v>
      </c>
    </row>
    <row r="52" spans="1:10" x14ac:dyDescent="0.3">
      <c r="A52" s="9">
        <v>0.2030578613954899</v>
      </c>
      <c r="B52" s="9">
        <v>0.42342755374410546</v>
      </c>
      <c r="C52" s="9">
        <v>0.19144235839788845</v>
      </c>
      <c r="D52" s="9">
        <v>0.18207222646251606</v>
      </c>
      <c r="E52" s="9">
        <f>SQRT((A52-A$3)^2+(B52-B$3)^2+(C52-C$3)^2+(D52-D$3)^2)</f>
        <v>0.27668332014978653</v>
      </c>
      <c r="G52" s="9">
        <v>9.7810357080670471E-2</v>
      </c>
      <c r="H52" s="9">
        <v>8.0440623488479038E-2</v>
      </c>
      <c r="J52" s="31">
        <v>1.2159323590359687</v>
      </c>
    </row>
    <row r="53" spans="1:10" x14ac:dyDescent="0.3">
      <c r="A53" s="9">
        <v>2.6481757695856558E-2</v>
      </c>
      <c r="B53" s="9">
        <v>0.75197331534555834</v>
      </c>
      <c r="C53" s="9">
        <v>4.7960411506702362E-2</v>
      </c>
      <c r="D53" s="9">
        <v>0.17358451545188272</v>
      </c>
      <c r="E53" s="9">
        <f>SQRT((A53-A$3)^2+(B53-B$3)^2+(C53-C$3)^2+(D53-D$3)^2)</f>
        <v>0.27681367820640074</v>
      </c>
      <c r="G53" s="9">
        <v>0.1153800984256417</v>
      </c>
      <c r="H53" s="9">
        <v>8.7543134395825409E-2</v>
      </c>
      <c r="J53" s="31">
        <v>1.3179799789204685</v>
      </c>
    </row>
    <row r="54" spans="1:10" x14ac:dyDescent="0.3">
      <c r="A54" s="9">
        <v>8.4907451959958732E-2</v>
      </c>
      <c r="B54" s="9">
        <v>0.44092631120152742</v>
      </c>
      <c r="C54" s="9">
        <v>0.33098925067339963</v>
      </c>
      <c r="D54" s="9">
        <v>0.14317698616511418</v>
      </c>
      <c r="E54" s="9">
        <f>SQRT((A54-A$3)^2+(B54-B$3)^2+(C54-C$3)^2+(D54-D$3)^2)</f>
        <v>0.27725612870120597</v>
      </c>
      <c r="G54" s="9">
        <v>0.1031885835362453</v>
      </c>
      <c r="H54" s="9">
        <v>8.7286510442776841E-2</v>
      </c>
      <c r="J54" s="31">
        <v>1.1821824817237196</v>
      </c>
    </row>
    <row r="55" spans="1:10" x14ac:dyDescent="0.3">
      <c r="A55" s="9">
        <v>0.22810962955505773</v>
      </c>
      <c r="B55" s="9">
        <v>0.57369694576613239</v>
      </c>
      <c r="C55" s="9">
        <v>1.63107685469083E-3</v>
      </c>
      <c r="D55" s="9">
        <v>0.19656234782411902</v>
      </c>
      <c r="E55" s="9">
        <f>SQRT((A55-A$3)^2+(B55-B$3)^2+(C55-C$3)^2+(D55-D$3)^2)</f>
        <v>0.2863801287787448</v>
      </c>
      <c r="G55" s="9">
        <v>0.10145432351253124</v>
      </c>
      <c r="H55" s="9">
        <v>7.9369218484031029E-2</v>
      </c>
      <c r="J55" s="31">
        <v>1.2782578114076264</v>
      </c>
    </row>
    <row r="56" spans="1:10" x14ac:dyDescent="0.3">
      <c r="A56" s="9">
        <v>0.16108053116673282</v>
      </c>
      <c r="B56" s="9">
        <v>0.39989353622063334</v>
      </c>
      <c r="C56" s="9">
        <v>0.32036389509751484</v>
      </c>
      <c r="D56" s="9">
        <v>0.11866203751511899</v>
      </c>
      <c r="E56" s="9">
        <f>SQRT((A56-A$3)^2+(B56-B$3)^2+(C56-C$3)^2+(D56-D$3)^2)</f>
        <v>0.28643202636122495</v>
      </c>
      <c r="G56" s="9">
        <v>9.8620422036560976E-2</v>
      </c>
      <c r="H56" s="9">
        <v>8.3195778772173865E-2</v>
      </c>
      <c r="J56" s="31">
        <v>1.1854017534546613</v>
      </c>
    </row>
    <row r="57" spans="1:10" x14ac:dyDescent="0.3">
      <c r="A57" s="9">
        <v>0.26938480975678625</v>
      </c>
      <c r="B57" s="9">
        <v>0.4138033704636519</v>
      </c>
      <c r="C57" s="9">
        <v>0.17041682808033798</v>
      </c>
      <c r="D57" s="9">
        <v>0.14639499169922385</v>
      </c>
      <c r="E57" s="9">
        <f>SQRT((A57-A$3)^2+(B57-B$3)^2+(C57-C$3)^2+(D57-D$3)^2)</f>
        <v>0.28667048957798819</v>
      </c>
      <c r="G57" s="9">
        <v>9.4587688873017398E-2</v>
      </c>
      <c r="H57" s="9">
        <v>7.5834062008056008E-2</v>
      </c>
      <c r="J57" s="31">
        <v>1.2472981977804269</v>
      </c>
    </row>
    <row r="58" spans="1:10" x14ac:dyDescent="0.3">
      <c r="A58" s="9">
        <v>0.13653335912260062</v>
      </c>
      <c r="B58" s="9">
        <v>0.42378036005776015</v>
      </c>
      <c r="C58" s="9">
        <v>0.23809146046266455</v>
      </c>
      <c r="D58" s="9">
        <v>0.20159482035697471</v>
      </c>
      <c r="E58" s="9">
        <f>SQRT((A58-A$3)^2+(B58-B$3)^2+(C58-C$3)^2+(D58-D$3)^2)</f>
        <v>0.28683257373685495</v>
      </c>
      <c r="G58" s="9">
        <v>0.10069576895000401</v>
      </c>
      <c r="H58" s="9">
        <v>8.5322190440050821E-2</v>
      </c>
      <c r="J58" s="31">
        <v>1.1801826515548144</v>
      </c>
    </row>
    <row r="59" spans="1:10" x14ac:dyDescent="0.3">
      <c r="A59" s="9">
        <v>0.26823940643874927</v>
      </c>
      <c r="B59" s="9">
        <v>0.3969845527058859</v>
      </c>
      <c r="C59" s="9">
        <v>0.30211043068240107</v>
      </c>
      <c r="D59" s="9">
        <v>3.2665610172963926E-2</v>
      </c>
      <c r="E59" s="9">
        <f>SQRT((A59-A$3)^2+(B59-B$3)^2+(C59-C$3)^2+(D59-D$3)^2)</f>
        <v>0.28728318290276872</v>
      </c>
      <c r="G59" s="9">
        <v>9.3701351123941706E-2</v>
      </c>
      <c r="H59" s="9">
        <v>7.5476925776587933E-2</v>
      </c>
      <c r="J59" s="31">
        <v>1.2414569109677063</v>
      </c>
    </row>
    <row r="60" spans="1:10" x14ac:dyDescent="0.3">
      <c r="A60" s="9">
        <v>0.3838247483180961</v>
      </c>
      <c r="B60" s="9">
        <v>0.53009469958065314</v>
      </c>
      <c r="C60" s="9">
        <v>6.7484511392000734E-2</v>
      </c>
      <c r="D60" s="9">
        <v>1.8596040709250077E-2</v>
      </c>
      <c r="E60" s="9">
        <f>SQRT((A60-A$3)^2+(B60-B$3)^2+(C60-C$3)^2+(D60-D$3)^2)</f>
        <v>0.2882391575209205</v>
      </c>
      <c r="G60" s="9">
        <v>9.2895512040707423E-2</v>
      </c>
      <c r="H60" s="9">
        <v>6.6793002427279022E-2</v>
      </c>
      <c r="J60" s="31">
        <v>1.3907970695260712</v>
      </c>
    </row>
    <row r="61" spans="1:10" x14ac:dyDescent="0.3">
      <c r="A61" s="9">
        <v>0.3026057932482995</v>
      </c>
      <c r="B61" s="9">
        <v>0.39804146134934615</v>
      </c>
      <c r="C61" s="9">
        <v>0.27143491570383932</v>
      </c>
      <c r="D61" s="9">
        <v>2.7917829698514994E-2</v>
      </c>
      <c r="E61" s="9">
        <f>SQRT((A61-A$3)^2+(B61-B$3)^2+(C61-C$3)^2+(D61-D$3)^2)</f>
        <v>0.29281071131191405</v>
      </c>
      <c r="G61" s="9">
        <v>9.226852780131764E-2</v>
      </c>
      <c r="H61" s="9">
        <v>7.3122728431280398E-2</v>
      </c>
      <c r="J61" s="31">
        <v>1.2618310309363001</v>
      </c>
    </row>
    <row r="62" spans="1:10" x14ac:dyDescent="0.3">
      <c r="A62" s="9">
        <v>6.5949339079540391E-3</v>
      </c>
      <c r="B62" s="9">
        <v>0.48797674893294612</v>
      </c>
      <c r="C62" s="9">
        <v>0.35542079085133638</v>
      </c>
      <c r="D62" s="9">
        <v>0.15000752630776337</v>
      </c>
      <c r="E62" s="9">
        <f>SQRT((A62-A$3)^2+(B62-B$3)^2+(C62-C$3)^2+(D62-D$3)^2)</f>
        <v>0.29310415083887253</v>
      </c>
      <c r="G62" s="9">
        <v>0.10796853312226834</v>
      </c>
      <c r="H62" s="9">
        <v>9.1406066544241701E-2</v>
      </c>
      <c r="J62" s="31">
        <v>1.1811965792227828</v>
      </c>
    </row>
    <row r="63" spans="1:10" x14ac:dyDescent="0.3">
      <c r="A63" s="9">
        <v>0.24748367145414554</v>
      </c>
      <c r="B63" s="9">
        <v>0.403982896128813</v>
      </c>
      <c r="C63" s="9">
        <v>0.3482068592662636</v>
      </c>
      <c r="D63" s="9">
        <v>3.2657315077778488E-4</v>
      </c>
      <c r="E63" s="9">
        <f>SQRT((A63-A$3)^2+(B63-B$3)^2+(C63-C$3)^2+(D63-D$3)^2)</f>
        <v>0.29376258902985913</v>
      </c>
      <c r="G63" s="9">
        <v>9.467454550477758E-2</v>
      </c>
      <c r="H63" s="9">
        <v>7.7056024848197277E-2</v>
      </c>
      <c r="J63" s="31">
        <v>1.2286455950886297</v>
      </c>
    </row>
    <row r="64" spans="1:10" x14ac:dyDescent="0.3">
      <c r="A64" s="9">
        <v>0.24899410729772045</v>
      </c>
      <c r="B64" s="9">
        <v>0.38058396075128853</v>
      </c>
      <c r="C64" s="9">
        <v>0.29466482914231268</v>
      </c>
      <c r="D64" s="9">
        <v>7.5757102808678242E-2</v>
      </c>
      <c r="E64" s="9">
        <f>SQRT((A64-A$3)^2+(B64-B$3)^2+(C64-C$3)^2+(D64-D$3)^2)</f>
        <v>0.29741948340137708</v>
      </c>
      <c r="G64" s="9">
        <v>9.4162243711555516E-2</v>
      </c>
      <c r="H64" s="9">
        <v>7.7513809402280184E-2</v>
      </c>
      <c r="J64" s="31">
        <v>1.2147802364205003</v>
      </c>
    </row>
    <row r="65" spans="1:10" x14ac:dyDescent="0.3">
      <c r="A65" s="9">
        <v>0.27445780362831523</v>
      </c>
      <c r="B65" s="9">
        <v>0.40414574785682689</v>
      </c>
      <c r="C65" s="9">
        <v>0.17126386357892906</v>
      </c>
      <c r="D65" s="9">
        <v>0.15013258493592874</v>
      </c>
      <c r="E65" s="9">
        <f>SQRT((A65-A$3)^2+(B65-B$3)^2+(C65-C$3)^2+(D65-D$3)^2)</f>
        <v>0.29794371214339155</v>
      </c>
      <c r="G65" s="9">
        <v>9.4088888608596086E-2</v>
      </c>
      <c r="H65" s="9">
        <v>7.5925986594982078E-2</v>
      </c>
      <c r="J65" s="31">
        <v>1.2392185182986399</v>
      </c>
    </row>
    <row r="66" spans="1:10" x14ac:dyDescent="0.3">
      <c r="A66" s="9">
        <v>0.36501927924963118</v>
      </c>
      <c r="B66" s="9">
        <v>0.47540793612060339</v>
      </c>
      <c r="C66" s="9">
        <v>8.42997715073633E-2</v>
      </c>
      <c r="D66" s="9">
        <v>7.5273013122402324E-2</v>
      </c>
      <c r="E66" s="9">
        <f>SQRT((A66-A$3)^2+(B66-B$3)^2+(C66-C$3)^2+(D66-D$3)^2)</f>
        <v>0.29817458784016826</v>
      </c>
      <c r="G66" s="9">
        <v>9.2203447403232802E-2</v>
      </c>
      <c r="H66" s="9">
        <v>6.8727837540451558E-2</v>
      </c>
      <c r="J66" s="31">
        <v>1.3415735268691389</v>
      </c>
    </row>
    <row r="67" spans="1:10" x14ac:dyDescent="0.3">
      <c r="A67" s="9">
        <v>5.0806063077861799E-2</v>
      </c>
      <c r="B67" s="9">
        <v>0.78981700269367883</v>
      </c>
      <c r="C67" s="9">
        <v>4.1858877654430823E-3</v>
      </c>
      <c r="D67" s="9">
        <v>0.15519104646301618</v>
      </c>
      <c r="E67" s="9">
        <f>SQRT((A67-A$3)^2+(B67-B$3)^2+(C67-C$3)^2+(D67-D$3)^2)</f>
        <v>0.30150058229467991</v>
      </c>
      <c r="G67" s="9">
        <v>0.11545828621551114</v>
      </c>
      <c r="H67" s="9">
        <v>8.6805366865800815E-2</v>
      </c>
      <c r="J67" s="31">
        <v>1.3300823484106359</v>
      </c>
    </row>
    <row r="68" spans="1:10" x14ac:dyDescent="0.3">
      <c r="A68" s="9">
        <v>0.16148028934571915</v>
      </c>
      <c r="B68" s="9">
        <v>0.42713824391074862</v>
      </c>
      <c r="C68" s="9">
        <v>0.18148937142902102</v>
      </c>
      <c r="D68" s="9">
        <v>0.22989209531451121</v>
      </c>
      <c r="E68" s="9">
        <f>SQRT((A68-A$3)^2+(B68-B$3)^2+(C68-C$3)^2+(D68-D$3)^2)</f>
        <v>0.30150525421232566</v>
      </c>
      <c r="G68" s="9">
        <v>9.9851475789364402E-2</v>
      </c>
      <c r="H68" s="9">
        <v>8.4550510773753598E-2</v>
      </c>
      <c r="J68" s="31">
        <v>1.1809683333144401</v>
      </c>
    </row>
    <row r="69" spans="1:10" x14ac:dyDescent="0.3">
      <c r="A69" s="9">
        <v>0.24427788447670595</v>
      </c>
      <c r="B69" s="9">
        <v>0.39266766042387763</v>
      </c>
      <c r="C69" s="9">
        <v>0.34986671906886802</v>
      </c>
      <c r="D69" s="9">
        <v>1.3187736030548342E-2</v>
      </c>
      <c r="E69" s="9">
        <f>SQRT((A69-A$3)^2+(B69-B$3)^2+(C69-C$3)^2+(D69-D$3)^2)</f>
        <v>0.30230749947024499</v>
      </c>
      <c r="G69" s="9">
        <v>9.4506607464147435E-2</v>
      </c>
      <c r="H69" s="9">
        <v>7.7757736376631414E-2</v>
      </c>
      <c r="J69" s="31">
        <v>1.2153981310154185</v>
      </c>
    </row>
    <row r="70" spans="1:10" x14ac:dyDescent="0.3">
      <c r="A70" s="9">
        <v>0.1831450590721477</v>
      </c>
      <c r="B70" s="9">
        <v>0.38091171325176748</v>
      </c>
      <c r="C70" s="9">
        <v>0.31961706359019887</v>
      </c>
      <c r="D70" s="9">
        <v>0.11632616408588588</v>
      </c>
      <c r="E70" s="9">
        <f>SQRT((A70-A$3)^2+(B70-B$3)^2+(C70-C$3)^2+(D70-D$3)^2)</f>
        <v>0.30281473659702779</v>
      </c>
      <c r="G70" s="9">
        <v>9.7095125381365638E-2</v>
      </c>
      <c r="H70" s="9">
        <v>8.2499389186268562E-2</v>
      </c>
      <c r="J70" s="31">
        <v>1.1769193243618152</v>
      </c>
    </row>
    <row r="71" spans="1:10" x14ac:dyDescent="0.3">
      <c r="A71" s="9">
        <v>8.8709741863250785E-2</v>
      </c>
      <c r="B71" s="9">
        <v>0.4861713428211023</v>
      </c>
      <c r="C71" s="9">
        <v>0.15833989994815892</v>
      </c>
      <c r="D71" s="9">
        <v>0.26677901536748799</v>
      </c>
      <c r="E71" s="9">
        <f>SQRT((A71-A$3)^2+(B71-B$3)^2+(C71-C$3)^2+(D71-D$3)^2)</f>
        <v>0.30314002746443836</v>
      </c>
      <c r="G71" s="9">
        <v>0.10487797743532122</v>
      </c>
      <c r="H71" s="9">
        <v>8.9197152465913074E-2</v>
      </c>
      <c r="J71" s="31">
        <v>1.1757996139551721</v>
      </c>
    </row>
    <row r="72" spans="1:10" x14ac:dyDescent="0.3">
      <c r="A72" s="9">
        <v>0.32199884928263856</v>
      </c>
      <c r="B72" s="9">
        <v>0.47690734955342756</v>
      </c>
      <c r="C72" s="9">
        <v>5.5400995832902193E-2</v>
      </c>
      <c r="D72" s="9">
        <v>0.1456928053310316</v>
      </c>
      <c r="E72" s="9">
        <f>SQRT((A72-A$3)^2+(B72-B$3)^2+(C72-C$3)^2+(D72-D$3)^2)</f>
        <v>0.30461992635384477</v>
      </c>
      <c r="G72" s="9">
        <v>9.4319358234715323E-2</v>
      </c>
      <c r="H72" s="9">
        <v>7.2805335921828584E-2</v>
      </c>
      <c r="J72" s="31">
        <v>1.295500625613299</v>
      </c>
    </row>
    <row r="73" spans="1:10" x14ac:dyDescent="0.3">
      <c r="A73" s="9">
        <v>0.15070200666591985</v>
      </c>
      <c r="B73" s="9">
        <v>0.48857213737774929</v>
      </c>
      <c r="C73" s="9">
        <v>9.9028605216528023E-2</v>
      </c>
      <c r="D73" s="9">
        <v>0.26169725073980288</v>
      </c>
      <c r="E73" s="9">
        <f>SQRT((A73-A$3)^2+(B73-B$3)^2+(C73-C$3)^2+(D73-D$3)^2)</f>
        <v>0.30514069657439064</v>
      </c>
      <c r="G73" s="9">
        <v>0.10232133766810322</v>
      </c>
      <c r="H73" s="9">
        <v>8.5603153449478817E-2</v>
      </c>
      <c r="J73" s="31">
        <v>1.1952986957249319</v>
      </c>
    </row>
    <row r="74" spans="1:10" x14ac:dyDescent="0.3">
      <c r="A74" s="9">
        <v>0.28202586887893999</v>
      </c>
      <c r="B74" s="9">
        <v>0.47351413255490699</v>
      </c>
      <c r="C74" s="9">
        <v>5.6483759793458349E-2</v>
      </c>
      <c r="D74" s="9">
        <v>0.18797623877269468</v>
      </c>
      <c r="E74" s="9">
        <f>SQRT((A74-A$3)^2+(B74-B$3)^2+(C74-C$3)^2+(D74-D$3)^2)</f>
        <v>0.30718270894266086</v>
      </c>
      <c r="G74" s="9">
        <v>9.6053003806302634E-2</v>
      </c>
      <c r="H74" s="9">
        <v>7.6196368272227963E-2</v>
      </c>
      <c r="J74" s="31">
        <v>1.2605981883957063</v>
      </c>
    </row>
    <row r="75" spans="1:10" x14ac:dyDescent="0.3">
      <c r="A75" s="9">
        <v>0.12828007328687455</v>
      </c>
      <c r="B75" s="9">
        <v>0.40404827388091508</v>
      </c>
      <c r="C75" s="9">
        <v>0.38656000756080339</v>
      </c>
      <c r="D75" s="9">
        <v>8.1111645271406851E-2</v>
      </c>
      <c r="E75" s="9">
        <f>SQRT((A75-A$3)^2+(B75-B$3)^2+(C75-C$3)^2+(D75-D$3)^2)</f>
        <v>0.3074973281800546</v>
      </c>
      <c r="G75" s="9">
        <v>9.9994254211073302E-2</v>
      </c>
      <c r="H75" s="9">
        <v>8.5682937044533766E-2</v>
      </c>
      <c r="J75" s="31">
        <v>1.1670264542764357</v>
      </c>
    </row>
    <row r="76" spans="1:10" x14ac:dyDescent="0.3">
      <c r="A76" s="9">
        <v>0.25167944572294443</v>
      </c>
      <c r="B76" s="9">
        <v>0.4096221877290453</v>
      </c>
      <c r="C76" s="9">
        <v>0.14956673200147161</v>
      </c>
      <c r="D76" s="9">
        <v>0.18913163454653853</v>
      </c>
      <c r="E76" s="9">
        <f>SQRT((A76-A$3)^2+(B76-B$3)^2+(C76-C$3)^2+(D76-D$3)^2)</f>
        <v>0.30803662018269057</v>
      </c>
      <c r="G76" s="9">
        <v>9.5360260595594423E-2</v>
      </c>
      <c r="H76" s="9">
        <v>7.8282717219246511E-2</v>
      </c>
      <c r="J76" s="31">
        <v>1.2181521539233087</v>
      </c>
    </row>
    <row r="77" spans="1:10" x14ac:dyDescent="0.3">
      <c r="A77" s="9">
        <v>0.17522835393136305</v>
      </c>
      <c r="B77" s="9">
        <v>0.37929176484104821</v>
      </c>
      <c r="C77" s="9">
        <v>0.29017256970615907</v>
      </c>
      <c r="D77" s="9">
        <v>0.15530731152142971</v>
      </c>
      <c r="E77" s="9">
        <f>SQRT((A77-A$3)^2+(B77-B$3)^2+(C77-C$3)^2+(D77-D$3)^2)</f>
        <v>0.30867695431514014</v>
      </c>
      <c r="G77" s="9">
        <v>9.752071658927923E-2</v>
      </c>
      <c r="H77" s="9">
        <v>8.3511978032720632E-2</v>
      </c>
      <c r="J77" s="31">
        <v>1.1677452610578791</v>
      </c>
    </row>
    <row r="78" spans="1:10" x14ac:dyDescent="0.3">
      <c r="A78" s="9">
        <v>0.21652233955699079</v>
      </c>
      <c r="B78" s="9">
        <v>0.3703112236343386</v>
      </c>
      <c r="C78" s="9">
        <v>0.30539993121317222</v>
      </c>
      <c r="D78" s="9">
        <v>0.1077665055954984</v>
      </c>
      <c r="E78" s="9">
        <f>SQRT((A78-A$3)^2+(B78-B$3)^2+(C78-C$3)^2+(D78-D$3)^2)</f>
        <v>0.30922710771425399</v>
      </c>
      <c r="G78" s="9">
        <v>9.5329603726947695E-2</v>
      </c>
      <c r="H78" s="9">
        <v>8.0494169749686748E-2</v>
      </c>
      <c r="J78" s="31">
        <v>1.184304453644218</v>
      </c>
    </row>
    <row r="79" spans="1:10" x14ac:dyDescent="0.3">
      <c r="A79" s="9">
        <v>0.18997388381799263</v>
      </c>
      <c r="B79" s="9">
        <v>0.47021207055666697</v>
      </c>
      <c r="C79" s="9">
        <v>9.0958325044282876E-2</v>
      </c>
      <c r="D79" s="9">
        <v>0.24885572058105754</v>
      </c>
      <c r="E79" s="9">
        <f>SQRT((A79-A$3)^2+(B79-B$3)^2+(C79-C$3)^2+(D79-D$3)^2)</f>
        <v>0.3097464232958177</v>
      </c>
      <c r="G79" s="9">
        <v>0.10005185871310852</v>
      </c>
      <c r="H79" s="9">
        <v>8.3184528860718088E-2</v>
      </c>
      <c r="J79" s="31">
        <v>1.2027700352866413</v>
      </c>
    </row>
    <row r="80" spans="1:10" x14ac:dyDescent="0.3">
      <c r="A80" s="9">
        <v>1.4723385894192085E-2</v>
      </c>
      <c r="B80" s="9">
        <v>0.47999759266702974</v>
      </c>
      <c r="C80" s="9">
        <v>0.42149024067324581</v>
      </c>
      <c r="D80" s="9">
        <v>8.3788780765532325E-2</v>
      </c>
      <c r="E80" s="9">
        <f>SQRT((A80-A$3)^2+(B80-B$3)^2+(C80-C$3)^2+(D80-D$3)^2)</f>
        <v>0.31239640160834165</v>
      </c>
      <c r="G80" s="9">
        <v>0.10713790901433749</v>
      </c>
      <c r="H80" s="9">
        <v>9.0897657559545736E-2</v>
      </c>
      <c r="J80" s="31">
        <v>1.1786652361657726</v>
      </c>
    </row>
    <row r="81" spans="1:10" x14ac:dyDescent="0.3">
      <c r="A81" s="9">
        <v>3.5421297365578024E-2</v>
      </c>
      <c r="B81" s="9">
        <v>0.44359271984935783</v>
      </c>
      <c r="C81" s="9">
        <v>0.35329047931138541</v>
      </c>
      <c r="D81" s="9">
        <v>0.1676955034736787</v>
      </c>
      <c r="E81" s="9">
        <f>SQRT((A81-A$3)^2+(B81-B$3)^2+(C81-C$3)^2+(D81-D$3)^2)</f>
        <v>0.31319623494865501</v>
      </c>
      <c r="G81" s="9">
        <v>0.10544575118783804</v>
      </c>
      <c r="H81" s="9">
        <v>9.1482809554329941E-2</v>
      </c>
      <c r="J81" s="31">
        <v>1.1526291300139373</v>
      </c>
    </row>
    <row r="82" spans="1:10" x14ac:dyDescent="0.3">
      <c r="A82" s="9">
        <v>0.34335794973655576</v>
      </c>
      <c r="B82" s="9">
        <v>0.39167067442506476</v>
      </c>
      <c r="C82" s="9">
        <v>0.22211110336590145</v>
      </c>
      <c r="D82" s="9">
        <v>4.2860272472477881E-2</v>
      </c>
      <c r="E82" s="9">
        <f>SQRT((A82-A$3)^2+(B82-B$3)^2+(C82-C$3)^2+(D82-D$3)^2)</f>
        <v>0.31425536799943454</v>
      </c>
      <c r="G82" s="9">
        <v>9.040868330586499E-2</v>
      </c>
      <c r="H82" s="9">
        <v>7.088245085526626E-2</v>
      </c>
      <c r="J82" s="31">
        <v>1.2754734382769726</v>
      </c>
    </row>
    <row r="83" spans="1:10" x14ac:dyDescent="0.3">
      <c r="A83" s="9">
        <v>0.22254594302813063</v>
      </c>
      <c r="B83" s="9">
        <v>0.36536355572428536</v>
      </c>
      <c r="C83" s="9">
        <v>0.290634174338471</v>
      </c>
      <c r="D83" s="9">
        <v>0.12145632690911293</v>
      </c>
      <c r="E83" s="9">
        <f>SQRT((A83-A$3)^2+(B83-B$3)^2+(C83-C$3)^2+(D83-D$3)^2)</f>
        <v>0.31452280835298574</v>
      </c>
      <c r="G83" s="9">
        <v>9.4972665391215794E-2</v>
      </c>
      <c r="H83" s="9">
        <v>8.0371564202511639E-2</v>
      </c>
      <c r="J83" s="31">
        <v>1.1816699890512752</v>
      </c>
    </row>
    <row r="84" spans="1:10" x14ac:dyDescent="0.3">
      <c r="A84" s="9">
        <v>0.28254106435006615</v>
      </c>
      <c r="B84" s="9">
        <v>0.3761506345007779</v>
      </c>
      <c r="C84" s="9">
        <v>0.21001887220393087</v>
      </c>
      <c r="D84" s="9">
        <v>0.13128942894522488</v>
      </c>
      <c r="E84" s="9">
        <f>SQRT((A84-A$3)^2+(B84-B$3)^2+(C84-C$3)^2+(D84-D$3)^2)</f>
        <v>0.31509620783380554</v>
      </c>
      <c r="G84" s="9">
        <v>9.2813878007069861E-2</v>
      </c>
      <c r="H84" s="9">
        <v>7.5946995918981408E-2</v>
      </c>
      <c r="J84" s="31">
        <v>1.2220875478219266</v>
      </c>
    </row>
    <row r="85" spans="1:10" x14ac:dyDescent="0.3">
      <c r="A85" s="9">
        <v>0.26804888448946262</v>
      </c>
      <c r="B85" s="9">
        <v>0.38261887806856382</v>
      </c>
      <c r="C85" s="9">
        <v>0.18890175952320049</v>
      </c>
      <c r="D85" s="9">
        <v>0.1604304779187731</v>
      </c>
      <c r="E85" s="9">
        <f>SQRT((A85-A$3)^2+(B85-B$3)^2+(C85-C$3)^2+(D85-D$3)^2)</f>
        <v>0.3161662818323166</v>
      </c>
      <c r="G85" s="9">
        <v>9.3730810187348523E-2</v>
      </c>
      <c r="H85" s="9">
        <v>7.7224335540143504E-2</v>
      </c>
      <c r="J85" s="31">
        <v>1.2137470595473685</v>
      </c>
    </row>
    <row r="86" spans="1:10" x14ac:dyDescent="0.3">
      <c r="A86" s="9">
        <v>0.36351799723837946</v>
      </c>
      <c r="B86" s="9">
        <v>0.40383772036314358</v>
      </c>
      <c r="C86" s="9">
        <v>0.2228339313103882</v>
      </c>
      <c r="D86" s="9">
        <v>9.8103510880888714E-3</v>
      </c>
      <c r="E86" s="9">
        <f>SQRT((A86-A$3)^2+(B86-B$3)^2+(C86-C$3)^2+(D86-D$3)^2)</f>
        <v>0.31679901431896657</v>
      </c>
      <c r="G86" s="9">
        <v>8.9814926193412831E-2</v>
      </c>
      <c r="H86" s="9">
        <v>6.9341129459873196E-2</v>
      </c>
      <c r="J86" s="31">
        <v>1.295261944721964</v>
      </c>
    </row>
    <row r="87" spans="1:10" x14ac:dyDescent="0.3">
      <c r="A87" s="9">
        <v>0.33096256532776319</v>
      </c>
      <c r="B87" s="9">
        <v>0.38646380425386945</v>
      </c>
      <c r="C87" s="9">
        <v>0.19194287476636668</v>
      </c>
      <c r="D87" s="9">
        <v>9.0630755652000572E-2</v>
      </c>
      <c r="E87" s="9">
        <f>SQRT((A87-A$3)^2+(B87-B$3)^2+(C87-C$3)^2+(D87-D$3)^2)</f>
        <v>0.31812595005237043</v>
      </c>
      <c r="G87" s="9">
        <v>9.0944121227212557E-2</v>
      </c>
      <c r="H87" s="9">
        <v>7.2130500835235103E-2</v>
      </c>
      <c r="J87" s="31">
        <v>1.2608275302975183</v>
      </c>
    </row>
    <row r="88" spans="1:10" x14ac:dyDescent="0.3">
      <c r="A88" s="9">
        <v>0.24527998829651523</v>
      </c>
      <c r="B88" s="9">
        <v>0.49718261407981568</v>
      </c>
      <c r="C88" s="9">
        <v>3.0440132301543212E-2</v>
      </c>
      <c r="D88" s="9">
        <v>0.22709726532212596</v>
      </c>
      <c r="E88" s="9">
        <f>SQRT((A88-A$3)^2+(B88-B$3)^2+(C88-C$3)^2+(D88-D$3)^2)</f>
        <v>0.31946490955212964</v>
      </c>
      <c r="G88" s="9">
        <v>9.8475972297539766E-2</v>
      </c>
      <c r="H88" s="9">
        <v>7.975984709937646E-2</v>
      </c>
      <c r="J88" s="31">
        <v>1.2346559814093427</v>
      </c>
    </row>
    <row r="89" spans="1:10" x14ac:dyDescent="0.3">
      <c r="A89" s="9">
        <v>0.20220740434350573</v>
      </c>
      <c r="B89" s="9">
        <v>0.36927252186414378</v>
      </c>
      <c r="C89" s="9">
        <v>0.35511634081158733</v>
      </c>
      <c r="D89" s="9">
        <v>7.340373298076322E-2</v>
      </c>
      <c r="E89" s="9">
        <f>SQRT((A89-A$3)^2+(B89-B$3)^2+(C89-C$3)^2+(D89-D$3)^2)</f>
        <v>0.31991668908873067</v>
      </c>
      <c r="G89" s="9">
        <v>9.5775473764682942E-2</v>
      </c>
      <c r="H89" s="9">
        <v>8.1774451900214082E-2</v>
      </c>
      <c r="J89" s="31">
        <v>1.1712151110661519</v>
      </c>
    </row>
    <row r="90" spans="1:10" x14ac:dyDescent="0.3">
      <c r="A90" s="9">
        <v>0.15932531558566951</v>
      </c>
      <c r="B90" s="9">
        <v>0.3729852282779656</v>
      </c>
      <c r="C90" s="9">
        <v>0.30588974801835173</v>
      </c>
      <c r="D90" s="9">
        <v>0.16179970811801317</v>
      </c>
      <c r="E90" s="9">
        <f>SQRT((A90-A$3)^2+(B90-B$3)^2+(C90-C$3)^2+(D90-D$3)^2)</f>
        <v>0.32099234299305357</v>
      </c>
      <c r="G90" s="9">
        <v>9.8019515332764817E-2</v>
      </c>
      <c r="H90" s="9">
        <v>8.5132994814909338E-2</v>
      </c>
      <c r="J90" s="31">
        <v>1.1513692845632004</v>
      </c>
    </row>
    <row r="91" spans="1:10" x14ac:dyDescent="0.3">
      <c r="A91" s="9">
        <v>0.23669407853615573</v>
      </c>
      <c r="B91" s="9">
        <v>0.37974616007539325</v>
      </c>
      <c r="C91" s="9">
        <v>0.37125973445769</v>
      </c>
      <c r="D91" s="9">
        <v>1.2300026930761078E-2</v>
      </c>
      <c r="E91" s="9">
        <f>SQRT((A91-A$3)^2+(B91-B$3)^2+(C91-C$3)^2+(D91-D$3)^2)</f>
        <v>0.32162059895249129</v>
      </c>
      <c r="G91" s="9">
        <v>9.4423377724069293E-2</v>
      </c>
      <c r="H91" s="9">
        <v>7.919466722361819E-2</v>
      </c>
      <c r="J91" s="31">
        <v>1.1922946460201735</v>
      </c>
    </row>
    <row r="92" spans="1:10" x14ac:dyDescent="0.3">
      <c r="A92" s="9">
        <v>0.20950958799315661</v>
      </c>
      <c r="B92" s="9">
        <v>0.36200464910910113</v>
      </c>
      <c r="C92" s="9">
        <v>0.27652596994349704</v>
      </c>
      <c r="D92" s="9">
        <v>0.15195979295424525</v>
      </c>
      <c r="E92" s="9">
        <f>SQRT((A92-A$3)^2+(B92-B$3)^2+(C92-C$3)^2+(D92-D$3)^2)</f>
        <v>0.32267075265287687</v>
      </c>
      <c r="G92" s="9">
        <v>9.5529325904179327E-2</v>
      </c>
      <c r="H92" s="9">
        <v>8.1792473872215984E-2</v>
      </c>
      <c r="J92" s="31">
        <v>1.1679476286953292</v>
      </c>
    </row>
    <row r="93" spans="1:10" x14ac:dyDescent="0.3">
      <c r="A93" s="9">
        <v>0.41386162227793388</v>
      </c>
      <c r="B93" s="9">
        <v>0.48199889749410418</v>
      </c>
      <c r="C93" s="9">
        <v>9.0506708171758057E-2</v>
      </c>
      <c r="D93" s="9">
        <v>1.3632772056203866E-2</v>
      </c>
      <c r="E93" s="9">
        <f>SQRT((A93-A$3)^2+(B93-B$3)^2+(C93-C$3)^2+(D93-D$3)^2)</f>
        <v>0.32415403060892406</v>
      </c>
      <c r="G93" s="9">
        <v>9.0124381343525239E-2</v>
      </c>
      <c r="H93" s="9">
        <v>6.5828280533267183E-2</v>
      </c>
      <c r="J93" s="31">
        <v>1.3690830234883578</v>
      </c>
    </row>
    <row r="94" spans="1:10" x14ac:dyDescent="0.3">
      <c r="A94" s="9">
        <v>0.31073964506291157</v>
      </c>
      <c r="B94" s="9">
        <v>0.37105009970274577</v>
      </c>
      <c r="C94" s="9">
        <v>0.20576231032336251</v>
      </c>
      <c r="D94" s="9">
        <v>0.11244794491098006</v>
      </c>
      <c r="E94" s="9">
        <f>SQRT((A94-A$3)^2+(B94-B$3)^2+(C94-C$3)^2+(D94-D$3)^2)</f>
        <v>0.32570783545444282</v>
      </c>
      <c r="G94" s="9">
        <v>9.1399190109339223E-2</v>
      </c>
      <c r="H94" s="9">
        <v>7.4143843380815033E-2</v>
      </c>
      <c r="J94" s="31">
        <v>1.2327279776946263</v>
      </c>
    </row>
    <row r="95" spans="1:10" x14ac:dyDescent="0.3">
      <c r="A95" s="9">
        <v>0.28389509127833862</v>
      </c>
      <c r="B95" s="9">
        <v>0.35908611273812402</v>
      </c>
      <c r="C95" s="9">
        <v>0.24520878255303405</v>
      </c>
      <c r="D95" s="9">
        <v>0.11181001343050329</v>
      </c>
      <c r="E95" s="9">
        <f>SQRT((A95-A$3)^2+(B95-B$3)^2+(C95-C$3)^2+(D95-D$3)^2)</f>
        <v>0.32666092485562842</v>
      </c>
      <c r="G95" s="9">
        <v>9.2158129711898198E-2</v>
      </c>
      <c r="H95" s="9">
        <v>7.6313313014404666E-2</v>
      </c>
      <c r="J95" s="31">
        <v>1.2076284736124969</v>
      </c>
    </row>
    <row r="96" spans="1:10" x14ac:dyDescent="0.3">
      <c r="A96" s="9">
        <v>0.30158549077415814</v>
      </c>
      <c r="B96" s="9">
        <v>0.36722389155979701</v>
      </c>
      <c r="C96" s="9">
        <v>0.20662628928898544</v>
      </c>
      <c r="D96" s="9">
        <v>0.12456432837705929</v>
      </c>
      <c r="E96" s="9">
        <f>SQRT((A96-A$3)^2+(B96-B$3)^2+(C96-C$3)^2+(D96-D$3)^2)</f>
        <v>0.32836222025849787</v>
      </c>
      <c r="G96" s="9">
        <v>9.1710788281612901E-2</v>
      </c>
      <c r="H96" s="9">
        <v>7.5023289852680489E-2</v>
      </c>
      <c r="J96" s="31">
        <v>1.2224309072782709</v>
      </c>
    </row>
    <row r="97" spans="1:10" x14ac:dyDescent="0.3">
      <c r="A97" s="9">
        <v>0.14760776017505522</v>
      </c>
      <c r="B97" s="9">
        <v>0.37137848681026453</v>
      </c>
      <c r="C97" s="9">
        <v>0.3583974699801874</v>
      </c>
      <c r="D97" s="9">
        <v>0.12261628303449298</v>
      </c>
      <c r="E97" s="9">
        <f>SQRT((A97-A$3)^2+(B97-B$3)^2+(C97-C$3)^2+(D97-D$3)^2)</f>
        <v>0.32836866942735726</v>
      </c>
      <c r="G97" s="9">
        <v>9.8320796001598584E-2</v>
      </c>
      <c r="H97" s="9">
        <v>8.5937812911684563E-2</v>
      </c>
      <c r="J97" s="31">
        <v>1.1440923694746525</v>
      </c>
    </row>
    <row r="98" spans="1:10" x14ac:dyDescent="0.3">
      <c r="A98" s="9">
        <v>0.31386615949382707</v>
      </c>
      <c r="B98" s="9">
        <v>0.36404495246286983</v>
      </c>
      <c r="C98" s="9">
        <v>0.27297834712896607</v>
      </c>
      <c r="D98" s="9">
        <v>4.9110540914337066E-2</v>
      </c>
      <c r="E98" s="9">
        <f>SQRT((A98-A$3)^2+(B98-B$3)^2+(C98-C$3)^2+(D98-D$3)^2)</f>
        <v>0.32854991688563534</v>
      </c>
      <c r="G98" s="9">
        <v>9.0819969344046597E-2</v>
      </c>
      <c r="H98" s="9">
        <v>7.395268605396646E-2</v>
      </c>
      <c r="J98" s="31">
        <v>1.2280820912680759</v>
      </c>
    </row>
    <row r="99" spans="1:10" x14ac:dyDescent="0.3">
      <c r="A99" s="9">
        <v>4.0746396412335115E-2</v>
      </c>
      <c r="B99" s="9">
        <v>0.49100473113933774</v>
      </c>
      <c r="C99" s="9">
        <v>0.18087017412877832</v>
      </c>
      <c r="D99" s="9">
        <v>0.28737869831954888</v>
      </c>
      <c r="E99" s="9">
        <f>SQRT((A99-A$3)^2+(B99-B$3)^2+(C99-C$3)^2+(D99-D$3)^2)</f>
        <v>0.32894227798292103</v>
      </c>
      <c r="G99" s="9">
        <v>0.10712370111947277</v>
      </c>
      <c r="H99" s="9">
        <v>9.300402794849004E-2</v>
      </c>
      <c r="J99" s="31">
        <v>1.1518178672734782</v>
      </c>
    </row>
    <row r="100" spans="1:10" x14ac:dyDescent="0.3">
      <c r="A100" s="9">
        <v>0.13227034303976484</v>
      </c>
      <c r="B100" s="9">
        <v>0.53516093204385673</v>
      </c>
      <c r="C100" s="9">
        <v>4.5042130982647345E-2</v>
      </c>
      <c r="D100" s="9">
        <v>0.28752659393373114</v>
      </c>
      <c r="E100" s="9">
        <f>SQRT((A100-A$3)^2+(B100-B$3)^2+(C100-C$3)^2+(D100-D$3)^2)</f>
        <v>0.32998269431317567</v>
      </c>
      <c r="G100" s="9">
        <v>0.10463287288338383</v>
      </c>
      <c r="H100" s="9">
        <v>8.7963092463931233E-2</v>
      </c>
      <c r="J100" s="31">
        <v>1.1895088036643089</v>
      </c>
    </row>
    <row r="101" spans="1:10" x14ac:dyDescent="0.3">
      <c r="A101" s="9">
        <v>0.18873026154257738</v>
      </c>
      <c r="B101" s="9">
        <v>0.36041500738006688</v>
      </c>
      <c r="C101" s="9">
        <v>0.35789578263452376</v>
      </c>
      <c r="D101" s="9">
        <v>9.2958948442832062E-2</v>
      </c>
      <c r="E101" s="9">
        <f>SQRT((A101-A$3)^2+(B101-B$3)^2+(C101-C$3)^2+(D101-D$3)^2)</f>
        <v>0.33094476971335035</v>
      </c>
      <c r="G101" s="9">
        <v>9.6140770382933602E-2</v>
      </c>
      <c r="H101" s="9">
        <v>8.3297211957199913E-2</v>
      </c>
      <c r="J101" s="31">
        <v>1.1541895355673251</v>
      </c>
    </row>
    <row r="102" spans="1:10" x14ac:dyDescent="0.3">
      <c r="A102" s="9">
        <v>0.24502074187204959</v>
      </c>
      <c r="B102" s="9">
        <v>0.35035717177153974</v>
      </c>
      <c r="C102" s="9">
        <v>0.26170720749853893</v>
      </c>
      <c r="D102" s="9">
        <v>0.14291487885787166</v>
      </c>
      <c r="E102" s="9">
        <f>SQRT((A102-A$3)^2+(B102-B$3)^2+(C102-C$3)^2+(D102-D$3)^2)</f>
        <v>0.33408657687671089</v>
      </c>
      <c r="G102" s="9">
        <v>9.3639737642362025E-2</v>
      </c>
      <c r="H102" s="9">
        <v>7.9710075424586593E-2</v>
      </c>
      <c r="J102" s="31">
        <v>1.1747540965627894</v>
      </c>
    </row>
    <row r="103" spans="1:10" x14ac:dyDescent="0.3">
      <c r="A103" s="9">
        <v>0.14437808913047853</v>
      </c>
      <c r="B103" s="9">
        <v>0.38076459697503001</v>
      </c>
      <c r="C103" s="9">
        <v>0.25248715146813833</v>
      </c>
      <c r="D103" s="9">
        <v>0.22237016242635302</v>
      </c>
      <c r="E103" s="9">
        <f>SQRT((A103-A$3)^2+(B103-B$3)^2+(C103-C$3)^2+(D103-D$3)^2)</f>
        <v>0.33446356763407881</v>
      </c>
      <c r="G103" s="9">
        <v>9.9110718650338062E-2</v>
      </c>
      <c r="H103" s="9">
        <v>8.7058944724693804E-2</v>
      </c>
      <c r="J103" s="31">
        <v>1.1384323456223313</v>
      </c>
    </row>
    <row r="104" spans="1:10" x14ac:dyDescent="0.3">
      <c r="A104" s="9">
        <v>0.31433125351657698</v>
      </c>
      <c r="B104" s="9">
        <v>0.36621976153351693</v>
      </c>
      <c r="C104" s="9">
        <v>0.30812241785604105</v>
      </c>
      <c r="D104" s="9">
        <v>1.1326567093865057E-2</v>
      </c>
      <c r="E104" s="9">
        <f>SQRT((A104-A$3)^2+(B104-B$3)^2+(C104-C$3)^2+(D104-D$3)^2)</f>
        <v>0.33493605647970465</v>
      </c>
      <c r="G104" s="9">
        <v>9.072991112936564E-2</v>
      </c>
      <c r="H104" s="9">
        <v>7.4206782100611518E-2</v>
      </c>
      <c r="J104" s="31">
        <v>1.2226633275426446</v>
      </c>
    </row>
    <row r="105" spans="1:10" x14ac:dyDescent="0.3">
      <c r="A105" s="9">
        <v>4.5827337617463576E-2</v>
      </c>
      <c r="B105" s="9">
        <v>0.44065622307024022</v>
      </c>
      <c r="C105" s="9">
        <v>0.25453609098494151</v>
      </c>
      <c r="D105" s="9">
        <v>0.25898034832735473</v>
      </c>
      <c r="E105" s="9">
        <f>SQRT((A105-A$3)^2+(B105-B$3)^2+(C105-C$3)^2+(D105-D$3)^2)</f>
        <v>0.33536479573850114</v>
      </c>
      <c r="G105" s="9">
        <v>0.1052491400642505</v>
      </c>
      <c r="H105" s="9">
        <v>9.2940812365553169E-2</v>
      </c>
      <c r="J105" s="31">
        <v>1.132431892786631</v>
      </c>
    </row>
    <row r="106" spans="1:10" x14ac:dyDescent="0.3">
      <c r="A106" s="9">
        <v>0.17161992733418141</v>
      </c>
      <c r="B106" s="9">
        <v>0.35614219922446072</v>
      </c>
      <c r="C106" s="9">
        <v>0.30773515012678759</v>
      </c>
      <c r="D106" s="9">
        <v>0.16450272331457028</v>
      </c>
      <c r="E106" s="9">
        <f>SQRT((A106-A$3)^2+(B106-B$3)^2+(C106-C$3)^2+(D106-D$3)^2)</f>
        <v>0.33732181870854444</v>
      </c>
      <c r="G106" s="9">
        <v>9.6990427729122433E-2</v>
      </c>
      <c r="H106" s="9">
        <v>8.5110937278373419E-2</v>
      </c>
      <c r="J106" s="31">
        <v>1.1395765436338061</v>
      </c>
    </row>
    <row r="107" spans="1:10" x14ac:dyDescent="0.3">
      <c r="A107" s="9">
        <v>0.21170857280506092</v>
      </c>
      <c r="B107" s="9">
        <v>0.36166672982620657</v>
      </c>
      <c r="C107" s="9">
        <v>0.2289202834715082</v>
      </c>
      <c r="D107" s="9">
        <v>0.19770441389722435</v>
      </c>
      <c r="E107" s="9">
        <f>SQRT((A107-A$3)^2+(B107-B$3)^2+(C107-C$3)^2+(D107-D$3)^2)</f>
        <v>0.33777427825425932</v>
      </c>
      <c r="G107" s="9">
        <v>9.5592936707410314E-2</v>
      </c>
      <c r="H107" s="9">
        <v>8.2521415917969534E-2</v>
      </c>
      <c r="J107" s="31">
        <v>1.1584015572688977</v>
      </c>
    </row>
    <row r="108" spans="1:10" x14ac:dyDescent="0.3">
      <c r="A108" s="9">
        <v>0.33732124361798582</v>
      </c>
      <c r="B108" s="9">
        <v>0.37994968912818533</v>
      </c>
      <c r="C108" s="9">
        <v>0.15910181148189284</v>
      </c>
      <c r="D108" s="9">
        <v>0.12362725577193605</v>
      </c>
      <c r="E108" s="9">
        <f>SQRT((A108-A$3)^2+(B108-B$3)^2+(C108-C$3)^2+(D108-D$3)^2)</f>
        <v>0.33835138933579656</v>
      </c>
      <c r="G108" s="9">
        <v>9.0594990182130061E-2</v>
      </c>
      <c r="H108" s="9">
        <v>7.2615778344876911E-2</v>
      </c>
      <c r="J108" s="31">
        <v>1.2475937357837548</v>
      </c>
    </row>
    <row r="109" spans="1:10" x14ac:dyDescent="0.3">
      <c r="A109" s="9">
        <v>0.20815061281890027</v>
      </c>
      <c r="B109" s="9">
        <v>0.3521795223630878</v>
      </c>
      <c r="C109" s="9">
        <v>0.26117749069128504</v>
      </c>
      <c r="D109" s="9">
        <v>0.17849237412672692</v>
      </c>
      <c r="E109" s="9">
        <f>SQRT((A109-A$3)^2+(B109-B$3)^2+(C109-C$3)^2+(D109-D$3)^2)</f>
        <v>0.3395672280593659</v>
      </c>
      <c r="G109" s="9">
        <v>9.5379470608697059E-2</v>
      </c>
      <c r="H109" s="9">
        <v>8.2777338840096762E-2</v>
      </c>
      <c r="J109" s="31">
        <v>1.1522413252852231</v>
      </c>
    </row>
    <row r="110" spans="1:10" x14ac:dyDescent="0.3">
      <c r="A110" s="9">
        <v>0.15060365455991326</v>
      </c>
      <c r="B110" s="9">
        <v>0.3589058148007806</v>
      </c>
      <c r="C110" s="9">
        <v>0.34013539873174442</v>
      </c>
      <c r="D110" s="9">
        <v>0.15035513190756172</v>
      </c>
      <c r="E110" s="9">
        <f>SQRT((A110-A$3)^2+(B110-B$3)^2+(C110-C$3)^2+(D110-D$3)^2)</f>
        <v>0.34039693045924363</v>
      </c>
      <c r="G110" s="9">
        <v>9.7909951604739337E-2</v>
      </c>
      <c r="H110" s="9">
        <v>8.6519086415876245E-2</v>
      </c>
      <c r="J110" s="31">
        <v>1.1316572522981805</v>
      </c>
    </row>
    <row r="111" spans="1:10" x14ac:dyDescent="0.3">
      <c r="A111" s="9">
        <v>0.13168998891933048</v>
      </c>
      <c r="B111" s="9">
        <v>0.40730673282620405</v>
      </c>
      <c r="C111" s="9">
        <v>0.44965360087132217</v>
      </c>
      <c r="D111" s="9">
        <v>1.1349677383143353E-2</v>
      </c>
      <c r="E111" s="9">
        <f>SQRT((A111-A$3)^2+(B111-B$3)^2+(C111-C$3)^2+(D111-D$3)^2)</f>
        <v>0.34082937433308375</v>
      </c>
      <c r="G111" s="9">
        <v>9.9697060638229279E-2</v>
      </c>
      <c r="H111" s="9">
        <v>8.6274195089177552E-2</v>
      </c>
      <c r="J111" s="31">
        <v>1.1555837818617392</v>
      </c>
    </row>
    <row r="112" spans="1:10" x14ac:dyDescent="0.3">
      <c r="A112" s="9">
        <v>0.31027658472445718</v>
      </c>
      <c r="B112" s="9">
        <v>0.35616251418322037</v>
      </c>
      <c r="C112" s="9">
        <v>0.20873653858141769</v>
      </c>
      <c r="D112" s="9">
        <v>0.12482436251090491</v>
      </c>
      <c r="E112" s="9">
        <f>SQRT((A112-A$3)^2+(B112-B$3)^2+(C112-C$3)^2+(D112-D$3)^2)</f>
        <v>0.34162889407040353</v>
      </c>
      <c r="G112" s="9">
        <v>9.1003437463947193E-2</v>
      </c>
      <c r="H112" s="9">
        <v>7.4939401063906119E-2</v>
      </c>
      <c r="J112" s="31">
        <v>1.2143603521242736</v>
      </c>
    </row>
    <row r="113" spans="1:10" x14ac:dyDescent="0.3">
      <c r="A113" s="9">
        <v>0.19469840031037436</v>
      </c>
      <c r="B113" s="9">
        <v>0.43553056899202652</v>
      </c>
      <c r="C113" s="9">
        <v>0.10062523851728505</v>
      </c>
      <c r="D113" s="9">
        <v>0.26914579218031404</v>
      </c>
      <c r="E113" s="9">
        <f>SQRT((A113-A$3)^2+(B113-B$3)^2+(C113-C$3)^2+(D113-D$3)^2)</f>
        <v>0.34212612365128142</v>
      </c>
      <c r="G113" s="9">
        <v>9.8854249329497018E-2</v>
      </c>
      <c r="H113" s="9">
        <v>8.4402044941164295E-2</v>
      </c>
      <c r="J113" s="31">
        <v>1.1712305003795487</v>
      </c>
    </row>
    <row r="114" spans="1:10" x14ac:dyDescent="0.3">
      <c r="A114" s="9">
        <v>0.12423283066826377</v>
      </c>
      <c r="B114" s="9">
        <v>0.41725470780173513</v>
      </c>
      <c r="C114" s="9">
        <v>0.18317455392226314</v>
      </c>
      <c r="D114" s="9">
        <v>0.27533790760773802</v>
      </c>
      <c r="E114" s="9">
        <f>SQRT((A114-A$3)^2+(B114-B$3)^2+(C114-C$3)^2+(D114-D$3)^2)</f>
        <v>0.34251848970049342</v>
      </c>
      <c r="G114" s="9">
        <v>0.10128109100050603</v>
      </c>
      <c r="H114" s="9">
        <v>8.9012644918989622E-2</v>
      </c>
      <c r="J114" s="31">
        <v>1.1378281264721648</v>
      </c>
    </row>
    <row r="115" spans="1:10" x14ac:dyDescent="0.3">
      <c r="A115" s="9">
        <v>0.2604163092201246</v>
      </c>
      <c r="B115" s="9">
        <v>0.35334160625141026</v>
      </c>
      <c r="C115" s="9">
        <v>0.21222854256173368</v>
      </c>
      <c r="D115" s="9">
        <v>0.17401354196673141</v>
      </c>
      <c r="E115" s="9">
        <f>SQRT((A115-A$3)^2+(B115-B$3)^2+(C115-C$3)^2+(D115-D$3)^2)</f>
        <v>0.343835021699334</v>
      </c>
      <c r="G115" s="9">
        <v>9.3196601588131617E-2</v>
      </c>
      <c r="H115" s="9">
        <v>7.9093536168833481E-2</v>
      </c>
      <c r="J115" s="31">
        <v>1.1783086975551789</v>
      </c>
    </row>
    <row r="116" spans="1:10" x14ac:dyDescent="0.3">
      <c r="A116" s="9">
        <v>0.34615171181216819</v>
      </c>
      <c r="B116" s="9">
        <v>0.36150595523665635</v>
      </c>
      <c r="C116" s="9">
        <v>0.25964532145583091</v>
      </c>
      <c r="D116" s="9">
        <v>3.2697011495344493E-2</v>
      </c>
      <c r="E116" s="9">
        <f>SQRT((A116-A$3)^2+(B116-B$3)^2+(C116-C$3)^2+(D116-D$3)^2)</f>
        <v>0.34387895663951329</v>
      </c>
      <c r="G116" s="9">
        <v>8.9321116730666075E-2</v>
      </c>
      <c r="H116" s="9">
        <v>7.2093583735378775E-2</v>
      </c>
      <c r="J116" s="31">
        <v>1.2389606966761615</v>
      </c>
    </row>
    <row r="117" spans="1:10" x14ac:dyDescent="0.3">
      <c r="A117" s="9">
        <v>5.6193622924644903E-3</v>
      </c>
      <c r="B117" s="9">
        <v>0.43943788421600077</v>
      </c>
      <c r="C117" s="9">
        <v>0.3837642201903439</v>
      </c>
      <c r="D117" s="9">
        <v>0.17117853330119071</v>
      </c>
      <c r="E117" s="9">
        <f>SQRT((A117-A$3)^2+(B117-B$3)^2+(C117-C$3)^2+(D117-D$3)^2)</f>
        <v>0.34482004940555017</v>
      </c>
      <c r="G117" s="9">
        <v>0.10658582013280554</v>
      </c>
      <c r="H117" s="9">
        <v>9.4289500276682675E-2</v>
      </c>
      <c r="J117" s="31">
        <v>1.1304102770726392</v>
      </c>
    </row>
    <row r="118" spans="1:10" x14ac:dyDescent="0.3">
      <c r="A118" s="9">
        <v>2.3576608616293352E-4</v>
      </c>
      <c r="B118" s="9">
        <v>0.45532563318254898</v>
      </c>
      <c r="C118" s="9">
        <v>0.43102599867925578</v>
      </c>
      <c r="D118" s="9">
        <v>0.11341260205203235</v>
      </c>
      <c r="E118" s="9">
        <f>SQRT((A118-A$3)^2+(B118-B$3)^2+(C118-C$3)^2+(D118-D$3)^2)</f>
        <v>0.34557724508432863</v>
      </c>
      <c r="G118" s="9">
        <v>0.10709344823895307</v>
      </c>
      <c r="H118" s="9">
        <v>9.3618610129870466E-2</v>
      </c>
      <c r="J118" s="31">
        <v>1.1439333278969845</v>
      </c>
    </row>
    <row r="119" spans="1:10" x14ac:dyDescent="0.3">
      <c r="A119" s="9">
        <v>0.14126252971203854</v>
      </c>
      <c r="B119" s="9">
        <v>0.35890773067301834</v>
      </c>
      <c r="C119" s="9">
        <v>0.32060840655431577</v>
      </c>
      <c r="D119" s="9">
        <v>0.17922133306062743</v>
      </c>
      <c r="E119" s="9">
        <f>SQRT((A119-A$3)^2+(B119-B$3)^2+(C119-C$3)^2+(D119-D$3)^2)</f>
        <v>0.34567402679537973</v>
      </c>
      <c r="G119" s="9">
        <v>9.8408855468488418E-2</v>
      </c>
      <c r="H119" s="9">
        <v>8.7528825418182202E-2</v>
      </c>
      <c r="J119" s="31">
        <v>1.1243022512677991</v>
      </c>
    </row>
    <row r="120" spans="1:10" x14ac:dyDescent="0.3">
      <c r="A120" s="9">
        <v>0.21401446738832547</v>
      </c>
      <c r="B120" s="9">
        <v>0.48534426527758712</v>
      </c>
      <c r="C120" s="9">
        <v>3.1576381508633171E-2</v>
      </c>
      <c r="D120" s="9">
        <v>0.26906488582545429</v>
      </c>
      <c r="E120" s="9">
        <f>SQRT((A120-A$3)^2+(B120-B$3)^2+(C120-C$3)^2+(D120-D$3)^2)</f>
        <v>0.34611218390414417</v>
      </c>
      <c r="G120" s="9">
        <v>9.9580381769731677E-2</v>
      </c>
      <c r="H120" s="9">
        <v>8.3409028005097544E-2</v>
      </c>
      <c r="J120" s="31">
        <v>1.1938801368557588</v>
      </c>
    </row>
    <row r="121" spans="1:10" x14ac:dyDescent="0.3">
      <c r="A121" s="9">
        <v>0.33343119006373062</v>
      </c>
      <c r="B121" s="9">
        <v>0.35917425072503173</v>
      </c>
      <c r="C121" s="9">
        <v>0.29674633503833153</v>
      </c>
      <c r="D121" s="9">
        <v>1.0648224172906284E-2</v>
      </c>
      <c r="E121" s="9">
        <f>SQRT((A121-A$3)^2+(B121-B$3)^2+(C121-C$3)^2+(D121-D$3)^2)</f>
        <v>0.34686148413665463</v>
      </c>
      <c r="G121" s="9">
        <v>8.9704694928832276E-2</v>
      </c>
      <c r="H121" s="9">
        <v>7.3304280472739569E-2</v>
      </c>
      <c r="J121" s="31">
        <v>1.2237306518845334</v>
      </c>
    </row>
    <row r="122" spans="1:10" x14ac:dyDescent="0.3">
      <c r="A122" s="9">
        <v>0.22464795793285514</v>
      </c>
      <c r="B122" s="9">
        <v>0.33923436284837188</v>
      </c>
      <c r="C122" s="9">
        <v>0.27620776167503025</v>
      </c>
      <c r="D122" s="9">
        <v>0.15990991754374267</v>
      </c>
      <c r="E122" s="9">
        <f>SQRT((A122-A$3)^2+(B122-B$3)^2+(C122-C$3)^2+(D122-D$3)^2)</f>
        <v>0.34839106904334438</v>
      </c>
      <c r="G122" s="9">
        <v>9.4216235458697867E-2</v>
      </c>
      <c r="H122" s="9">
        <v>8.1942075421195387E-2</v>
      </c>
      <c r="J122" s="31">
        <v>1.1497906902456563</v>
      </c>
    </row>
    <row r="123" spans="1:10" x14ac:dyDescent="0.3">
      <c r="A123" s="9">
        <v>0.28167908696550453</v>
      </c>
      <c r="B123" s="9">
        <v>0.34260020999573854</v>
      </c>
      <c r="C123" s="9">
        <v>0.2266626367727364</v>
      </c>
      <c r="D123" s="9">
        <v>0.14905806626602053</v>
      </c>
      <c r="E123" s="9">
        <f>SQRT((A123-A$3)^2+(B123-B$3)^2+(C123-C$3)^2+(D123-D$3)^2)</f>
        <v>0.35045184965794995</v>
      </c>
      <c r="G123" s="9">
        <v>9.1877470747752307E-2</v>
      </c>
      <c r="H123" s="9">
        <v>7.7682579123568893E-2</v>
      </c>
      <c r="J123" s="31">
        <v>1.1827294070862882</v>
      </c>
    </row>
    <row r="124" spans="1:10" x14ac:dyDescent="0.3">
      <c r="A124" s="9">
        <v>0.2990323490794573</v>
      </c>
      <c r="B124" s="9">
        <v>0.34429486600776582</v>
      </c>
      <c r="C124" s="9">
        <v>0.22101178233686189</v>
      </c>
      <c r="D124" s="9">
        <v>0.13566100257591496</v>
      </c>
      <c r="E124" s="9">
        <f>SQRT((A124-A$3)^2+(B124-B$3)^2+(C124-C$3)^2+(D124-D$3)^2)</f>
        <v>0.35065843225081211</v>
      </c>
      <c r="G124" s="9">
        <v>9.1149779024281716E-2</v>
      </c>
      <c r="H124" s="9">
        <v>7.6288754452388086E-2</v>
      </c>
      <c r="J124" s="31">
        <v>1.1947996749792056</v>
      </c>
    </row>
    <row r="125" spans="1:10" x14ac:dyDescent="0.3">
      <c r="A125" s="9">
        <v>0.28898514614369369</v>
      </c>
      <c r="B125" s="9">
        <v>0.41384576631624825</v>
      </c>
      <c r="C125" s="9">
        <v>8.1271543906969182E-2</v>
      </c>
      <c r="D125" s="9">
        <v>0.21589754363308888</v>
      </c>
      <c r="E125" s="9">
        <f>SQRT((A125-A$3)^2+(B125-B$3)^2+(C125-C$3)^2+(D125-D$3)^2)</f>
        <v>0.3512202706218851</v>
      </c>
      <c r="G125" s="9">
        <v>9.401635671535033E-2</v>
      </c>
      <c r="H125" s="9">
        <v>7.7609002650969552E-2</v>
      </c>
      <c r="J125" s="31">
        <v>1.211410448581197</v>
      </c>
    </row>
    <row r="126" spans="1:10" x14ac:dyDescent="0.3">
      <c r="A126" s="9">
        <v>0.35461568268046251</v>
      </c>
      <c r="B126" s="9">
        <v>0.35742040610555781</v>
      </c>
      <c r="C126" s="9">
        <v>0.21571282979675047</v>
      </c>
      <c r="D126" s="9">
        <v>7.2251081417229274E-2</v>
      </c>
      <c r="E126" s="9">
        <f>SQRT((A126-A$3)^2+(B126-B$3)^2+(C126-C$3)^2+(D126-D$3)^2)</f>
        <v>0.35140094122145771</v>
      </c>
      <c r="G126" s="9">
        <v>8.8982268391866987E-2</v>
      </c>
      <c r="H126" s="9">
        <v>7.1729229892383853E-2</v>
      </c>
      <c r="J126" s="31">
        <v>1.2405300952675506</v>
      </c>
    </row>
    <row r="127" spans="1:10" x14ac:dyDescent="0.3">
      <c r="A127" s="9">
        <v>0.36387606346928519</v>
      </c>
      <c r="B127" s="9">
        <v>0.36668721936608545</v>
      </c>
      <c r="C127" s="9">
        <v>0.26931398765284459</v>
      </c>
      <c r="D127" s="9">
        <v>1.2272951178487904E-4</v>
      </c>
      <c r="E127" s="9">
        <f>SQRT((A127-A$3)^2+(B127-B$3)^2+(C127-C$3)^2+(D127-D$3)^2)</f>
        <v>0.35187629696654282</v>
      </c>
      <c r="G127" s="9">
        <v>8.861570960761482E-2</v>
      </c>
      <c r="H127" s="9">
        <v>7.1083623577797711E-2</v>
      </c>
      <c r="J127" s="31">
        <v>1.2466402969824555</v>
      </c>
    </row>
    <row r="128" spans="1:10" x14ac:dyDescent="0.3">
      <c r="A128" s="9">
        <v>0.2632351060143065</v>
      </c>
      <c r="B128" s="9">
        <v>0.44028811171367577</v>
      </c>
      <c r="C128" s="9">
        <v>5.4680034005969595E-2</v>
      </c>
      <c r="D128" s="9">
        <v>0.24179674826604811</v>
      </c>
      <c r="E128" s="9">
        <f>SQRT((A128-A$3)^2+(B128-B$3)^2+(C128-C$3)^2+(D128-D$3)^2)</f>
        <v>0.35190652217332569</v>
      </c>
      <c r="G128" s="9">
        <v>9.6013547191453955E-2</v>
      </c>
      <c r="H128" s="9">
        <v>7.9862753533416653E-2</v>
      </c>
      <c r="J128" s="31">
        <v>1.2022318658381768</v>
      </c>
    </row>
    <row r="129" spans="1:10" x14ac:dyDescent="0.3">
      <c r="A129" s="9">
        <v>0.30460101672358403</v>
      </c>
      <c r="B129" s="9">
        <v>0.34272459164377328</v>
      </c>
      <c r="C129" s="9">
        <v>0.3117789630029193</v>
      </c>
      <c r="D129" s="9">
        <v>4.0895428629723521E-2</v>
      </c>
      <c r="E129" s="9">
        <f>SQRT((A129-A$3)^2+(B129-B$3)^2+(C129-C$3)^2+(D129-D$3)^2)</f>
        <v>0.3519562496885702</v>
      </c>
      <c r="G129" s="9">
        <v>9.052116386111006E-2</v>
      </c>
      <c r="H129" s="9">
        <v>7.5861868604904514E-2</v>
      </c>
      <c r="J129" s="31">
        <v>1.1932366751015913</v>
      </c>
    </row>
    <row r="130" spans="1:10" x14ac:dyDescent="0.3">
      <c r="A130" s="9">
        <v>0.12166128889771</v>
      </c>
      <c r="B130" s="9">
        <v>0.36567024919210173</v>
      </c>
      <c r="C130" s="9">
        <v>0.40371975019579837</v>
      </c>
      <c r="D130" s="9">
        <v>0.10894871171438991</v>
      </c>
      <c r="E130" s="9">
        <f>SQRT((A130-A$3)^2+(B130-B$3)^2+(C130-C$3)^2+(D130-D$3)^2)</f>
        <v>0.3542352010624687</v>
      </c>
      <c r="G130" s="9">
        <v>9.9187850019193044E-2</v>
      </c>
      <c r="H130" s="9">
        <v>8.8583372423486462E-2</v>
      </c>
      <c r="J130" s="31">
        <v>1.1197118297213866</v>
      </c>
    </row>
    <row r="131" spans="1:10" x14ac:dyDescent="0.3">
      <c r="A131" s="9">
        <v>0.30181534713449254</v>
      </c>
      <c r="B131" s="9">
        <v>0.44706215947072753</v>
      </c>
      <c r="C131" s="9">
        <v>3.5091043618543059E-2</v>
      </c>
      <c r="D131" s="9">
        <v>0.21603144977623689</v>
      </c>
      <c r="E131" s="9">
        <f>SQRT((A131-A$3)^2+(B131-B$3)^2+(C131-C$3)^2+(D131-D$3)^2)</f>
        <v>0.35549034958402903</v>
      </c>
      <c r="G131" s="9">
        <v>9.4503342264239426E-2</v>
      </c>
      <c r="H131" s="9">
        <v>7.7034730836891316E-2</v>
      </c>
      <c r="J131" s="31">
        <v>1.2267628021487489</v>
      </c>
    </row>
    <row r="132" spans="1:10" x14ac:dyDescent="0.3">
      <c r="A132" s="9">
        <v>0.27843477525400456</v>
      </c>
      <c r="B132" s="9">
        <v>0.33649832150505909</v>
      </c>
      <c r="C132" s="9">
        <v>0.23474966384263249</v>
      </c>
      <c r="D132" s="9">
        <v>0.15031723939830385</v>
      </c>
      <c r="E132" s="9">
        <f>SQRT((A132-A$3)^2+(B132-B$3)^2+(C132-C$3)^2+(D132-D$3)^2)</f>
        <v>0.35562099148651832</v>
      </c>
      <c r="G132" s="9">
        <v>9.1830084594860764E-2</v>
      </c>
      <c r="H132" s="9">
        <v>7.8188269286526044E-2</v>
      </c>
      <c r="J132" s="31">
        <v>1.1744739387739023</v>
      </c>
    </row>
    <row r="133" spans="1:10" x14ac:dyDescent="0.3">
      <c r="A133" s="9">
        <v>0.15719107428565696</v>
      </c>
      <c r="B133" s="9">
        <v>0.36647185492387846</v>
      </c>
      <c r="C133" s="9">
        <v>0.42834485590947968</v>
      </c>
      <c r="D133" s="9">
        <v>4.7992214880985012E-2</v>
      </c>
      <c r="E133" s="9">
        <f>SQRT((A133-A$3)^2+(B133-B$3)^2+(C133-C$3)^2+(D133-D$3)^2)</f>
        <v>0.35659264749502956</v>
      </c>
      <c r="G133" s="9">
        <v>9.7493241781615531E-2</v>
      </c>
      <c r="H133" s="9">
        <v>8.6158210354202791E-2</v>
      </c>
      <c r="J133" s="31">
        <v>1.1315606647447014</v>
      </c>
    </row>
    <row r="134" spans="1:10" x14ac:dyDescent="0.3">
      <c r="A134" s="9">
        <v>0.32853729305024493</v>
      </c>
      <c r="B134" s="9">
        <v>0.34141734970732662</v>
      </c>
      <c r="C134" s="9">
        <v>0.2322234852361556</v>
      </c>
      <c r="D134" s="9">
        <v>9.7821872006272848E-2</v>
      </c>
      <c r="E134" s="9">
        <f>SQRT((A134-A$3)^2+(B134-B$3)^2+(C134-C$3)^2+(D134-D$3)^2)</f>
        <v>0.35661261579915193</v>
      </c>
      <c r="G134" s="9">
        <v>8.9679543242890652E-2</v>
      </c>
      <c r="H134" s="9">
        <v>7.4148359610068021E-2</v>
      </c>
      <c r="J134" s="31">
        <v>1.2094609201673259</v>
      </c>
    </row>
    <row r="135" spans="1:10" x14ac:dyDescent="0.3">
      <c r="A135" s="9">
        <v>0.17464896240888175</v>
      </c>
      <c r="B135" s="9">
        <v>0.39410407699964456</v>
      </c>
      <c r="C135" s="9">
        <v>0.15895804449639139</v>
      </c>
      <c r="D135" s="9">
        <v>0.27228891609508238</v>
      </c>
      <c r="E135" s="9">
        <f>SQRT((A135-A$3)^2+(B135-B$3)^2+(C135-C$3)^2+(D135-D$3)^2)</f>
        <v>0.35731642303520461</v>
      </c>
      <c r="G135" s="9">
        <v>9.8429542795925612E-2</v>
      </c>
      <c r="H135" s="9">
        <v>8.6421850330388905E-2</v>
      </c>
      <c r="J135" s="31">
        <v>1.1389427837940469</v>
      </c>
    </row>
    <row r="136" spans="1:10" x14ac:dyDescent="0.3">
      <c r="A136" s="9">
        <v>0.12731710085639655</v>
      </c>
      <c r="B136" s="9">
        <v>0.3607790925455609</v>
      </c>
      <c r="C136" s="9">
        <v>0.40744166997449965</v>
      </c>
      <c r="D136" s="9">
        <v>0.10446213662354292</v>
      </c>
      <c r="E136" s="9">
        <f>SQRT((A136-A$3)^2+(B136-B$3)^2+(C136-C$3)^2+(D136-D$3)^2)</f>
        <v>0.35857942221135497</v>
      </c>
      <c r="G136" s="9">
        <v>9.8781910302037909E-2</v>
      </c>
      <c r="H136" s="9">
        <v>8.8450074290749317E-2</v>
      </c>
      <c r="J136" s="31">
        <v>1.116809805917474</v>
      </c>
    </row>
    <row r="137" spans="1:10" x14ac:dyDescent="0.3">
      <c r="A137" s="9">
        <v>5.1706134584043065E-2</v>
      </c>
      <c r="B137" s="9">
        <v>0.44185161480452928</v>
      </c>
      <c r="C137" s="9">
        <v>0.48368953973552042</v>
      </c>
      <c r="D137" s="9">
        <v>2.27527108759072E-2</v>
      </c>
      <c r="E137" s="9">
        <f>SQRT((A137-A$3)^2+(B137-B$3)^2+(C137-C$3)^2+(D137-D$3)^2)</f>
        <v>0.35944736039540504</v>
      </c>
      <c r="G137" s="9">
        <v>0.10417739180768255</v>
      </c>
      <c r="H137" s="9">
        <v>9.0873436631393481E-2</v>
      </c>
      <c r="J137" s="31">
        <v>1.1464009249507467</v>
      </c>
    </row>
    <row r="138" spans="1:10" x14ac:dyDescent="0.3">
      <c r="A138" s="9">
        <v>0.16951491900390814</v>
      </c>
      <c r="B138" s="9">
        <v>0.33796040636323421</v>
      </c>
      <c r="C138" s="9">
        <v>0.36844975349887327</v>
      </c>
      <c r="D138" s="9">
        <v>0.12407492113398437</v>
      </c>
      <c r="E138" s="9">
        <f>SQRT((A138-A$3)^2+(B138-B$3)^2+(C138-C$3)^2+(D138-D$3)^2)</f>
        <v>0.36150026385542189</v>
      </c>
      <c r="G138" s="9">
        <v>9.6369542891366719E-2</v>
      </c>
      <c r="H138" s="9">
        <v>8.6216192630862346E-2</v>
      </c>
      <c r="J138" s="31">
        <v>1.1177661637643441</v>
      </c>
    </row>
    <row r="139" spans="1:10" x14ac:dyDescent="0.3">
      <c r="A139" s="9">
        <v>0.21180022011250202</v>
      </c>
      <c r="B139" s="9">
        <v>0.39418787382040227</v>
      </c>
      <c r="C139" s="9">
        <v>0.12851515956799767</v>
      </c>
      <c r="D139" s="9">
        <v>0.26549674649909805</v>
      </c>
      <c r="E139" s="9">
        <f>SQRT((A139-A$3)^2+(B139-B$3)^2+(C139-C$3)^2+(D139-D$3)^2)</f>
        <v>0.36151303584143391</v>
      </c>
      <c r="G139" s="9">
        <v>9.6841821685739002E-2</v>
      </c>
      <c r="H139" s="9">
        <v>8.4012829162391403E-2</v>
      </c>
      <c r="J139" s="31">
        <v>1.152702779459432</v>
      </c>
    </row>
    <row r="140" spans="1:10" x14ac:dyDescent="0.3">
      <c r="A140" s="9">
        <v>0.37943139220115396</v>
      </c>
      <c r="B140" s="9">
        <v>0.38789753115082903</v>
      </c>
      <c r="C140" s="9">
        <v>0.11824232685141153</v>
      </c>
      <c r="D140" s="9">
        <v>0.11442874979660542</v>
      </c>
      <c r="E140" s="9">
        <f>SQRT((A140-A$3)^2+(B140-B$3)^2+(C140-C$3)^2+(D140-D$3)^2)</f>
        <v>0.36185302688000498</v>
      </c>
      <c r="G140" s="9">
        <v>8.9032713491831825E-2</v>
      </c>
      <c r="H140" s="9">
        <v>7.0282935931490056E-2</v>
      </c>
      <c r="J140" s="31">
        <v>1.2667756733813533</v>
      </c>
    </row>
    <row r="141" spans="1:10" x14ac:dyDescent="0.3">
      <c r="A141" s="9">
        <v>0.12547050503645385</v>
      </c>
      <c r="B141" s="9">
        <v>0.3500869733596621</v>
      </c>
      <c r="C141" s="9">
        <v>0.35335173593468649</v>
      </c>
      <c r="D141" s="9">
        <v>0.17109078566919764</v>
      </c>
      <c r="E141" s="9">
        <f>SQRT((A141-A$3)^2+(B141-B$3)^2+(C141-C$3)^2+(D141-D$3)^2)</f>
        <v>0.36257988712396905</v>
      </c>
      <c r="G141" s="9">
        <v>9.8771931515182765E-2</v>
      </c>
      <c r="H141" s="9">
        <v>8.9262923821059284E-2</v>
      </c>
      <c r="J141" s="31">
        <v>1.1065280778073738</v>
      </c>
    </row>
    <row r="142" spans="1:10" x14ac:dyDescent="0.3">
      <c r="A142" s="9">
        <v>0.12975119480301814</v>
      </c>
      <c r="B142" s="9">
        <v>0.3850612777383447</v>
      </c>
      <c r="C142" s="9">
        <v>0.21098069093536789</v>
      </c>
      <c r="D142" s="9">
        <v>0.27420683652326922</v>
      </c>
      <c r="E142" s="9">
        <f>SQRT((A142-A$3)^2+(B142-B$3)^2+(C142-C$3)^2+(D142-D$3)^2)</f>
        <v>0.3627297710973626</v>
      </c>
      <c r="G142" s="9">
        <v>0.10004889457978433</v>
      </c>
      <c r="H142" s="9">
        <v>8.9612936045678229E-2</v>
      </c>
      <c r="J142" s="31">
        <v>1.1164559381112857</v>
      </c>
    </row>
    <row r="143" spans="1:10" x14ac:dyDescent="0.3">
      <c r="A143" s="9">
        <v>0.20775216001770835</v>
      </c>
      <c r="B143" s="9">
        <v>0.34671757938823489</v>
      </c>
      <c r="C143" s="9">
        <v>0.22227898719438538</v>
      </c>
      <c r="D143" s="9">
        <v>0.22325127339967132</v>
      </c>
      <c r="E143" s="9">
        <f>SQRT((A143-A$3)^2+(B143-B$3)^2+(C143-C$3)^2+(D143-D$3)^2)</f>
        <v>0.36295867703723333</v>
      </c>
      <c r="G143" s="9">
        <v>9.5390492832531745E-2</v>
      </c>
      <c r="H143" s="9">
        <v>8.4092059875793324E-2</v>
      </c>
      <c r="J143" s="31">
        <v>1.13435790458013</v>
      </c>
    </row>
    <row r="144" spans="1:10" x14ac:dyDescent="0.3">
      <c r="A144" s="9">
        <v>0.20991384672362487</v>
      </c>
      <c r="B144" s="9">
        <v>0.42290920290182493</v>
      </c>
      <c r="C144" s="9">
        <v>8.650190330840303E-2</v>
      </c>
      <c r="D144" s="9">
        <v>0.2806750470661471</v>
      </c>
      <c r="E144" s="9">
        <f>SQRT((A144-A$3)^2+(B144-B$3)^2+(C144-C$3)^2+(D144-D$3)^2)</f>
        <v>0.36448080795734383</v>
      </c>
      <c r="G144" s="9">
        <v>9.7864794685215944E-2</v>
      </c>
      <c r="H144" s="9">
        <v>8.4459392692899121E-2</v>
      </c>
      <c r="J144" s="31">
        <v>1.1587200850598098</v>
      </c>
    </row>
    <row r="145" spans="1:10" x14ac:dyDescent="0.3">
      <c r="A145" s="9">
        <v>2.5879763142178726E-4</v>
      </c>
      <c r="B145" s="9">
        <v>0.4253952754737147</v>
      </c>
      <c r="C145" s="9">
        <v>0.36775583266128692</v>
      </c>
      <c r="D145" s="9">
        <v>0.20659009423357663</v>
      </c>
      <c r="E145" s="9">
        <f>SQRT((A145-A$3)^2+(B145-B$3)^2+(C145-C$3)^2+(D145-D$3)^2)</f>
        <v>0.3645752078700924</v>
      </c>
      <c r="G145" s="9">
        <v>0.10650653462192129</v>
      </c>
      <c r="H145" s="9">
        <v>9.5966585123143586E-2</v>
      </c>
      <c r="J145" s="31">
        <v>1.109829369100223</v>
      </c>
    </row>
    <row r="146" spans="1:10" x14ac:dyDescent="0.3">
      <c r="A146" s="9">
        <v>9.2332050436162341E-2</v>
      </c>
      <c r="B146" s="9">
        <v>0.54647093302410099</v>
      </c>
      <c r="C146" s="9">
        <v>3.7767136742653661E-2</v>
      </c>
      <c r="D146" s="9">
        <v>0.32342987979708293</v>
      </c>
      <c r="E146" s="9">
        <f>SQRT((A146-A$3)^2+(B146-B$3)^2+(C146-C$3)^2+(D146-D$3)^2)</f>
        <v>0.36462643396262107</v>
      </c>
      <c r="G146" s="9">
        <v>0.10679647614052917</v>
      </c>
      <c r="H146" s="9">
        <v>9.2098715461231884E-2</v>
      </c>
      <c r="J146" s="31">
        <v>1.1595870323021409</v>
      </c>
    </row>
    <row r="147" spans="1:10" x14ac:dyDescent="0.3">
      <c r="A147" s="9">
        <v>0.17769023501639394</v>
      </c>
      <c r="B147" s="9">
        <v>0.34105480770659286</v>
      </c>
      <c r="C147" s="9">
        <v>0.39851493539794119</v>
      </c>
      <c r="D147" s="9">
        <v>8.2740021879071965E-2</v>
      </c>
      <c r="E147" s="9">
        <f>SQRT((A147-A$3)^2+(B147-B$3)^2+(C147-C$3)^2+(D147-D$3)^2)</f>
        <v>0.36466083703118446</v>
      </c>
      <c r="G147" s="9">
        <v>9.5970070131692606E-2</v>
      </c>
      <c r="H147" s="9">
        <v>8.5622582560955993E-2</v>
      </c>
      <c r="J147" s="31">
        <v>1.1208499821103863</v>
      </c>
    </row>
    <row r="148" spans="1:10" x14ac:dyDescent="0.3">
      <c r="A148" s="9">
        <v>0.20235455426962867</v>
      </c>
      <c r="B148" s="9">
        <v>0.40318453668356707</v>
      </c>
      <c r="C148" s="9">
        <v>0.11608946393387412</v>
      </c>
      <c r="D148" s="9">
        <v>0.27837144511293016</v>
      </c>
      <c r="E148" s="9">
        <f>SQRT((A148-A$3)^2+(B148-B$3)^2+(C148-C$3)^2+(D148-D$3)^2)</f>
        <v>0.36587130732025186</v>
      </c>
      <c r="G148" s="9">
        <v>9.7564994539141622E-2</v>
      </c>
      <c r="H148" s="9">
        <v>8.4983648097221379E-2</v>
      </c>
      <c r="J148" s="31">
        <v>1.1480443205677304</v>
      </c>
    </row>
    <row r="149" spans="1:10" x14ac:dyDescent="0.3">
      <c r="A149" s="9">
        <v>0.18120021693137278</v>
      </c>
      <c r="B149" s="9">
        <v>0.32933772066307071</v>
      </c>
      <c r="C149" s="9">
        <v>0.34527462861635061</v>
      </c>
      <c r="D149" s="9">
        <v>0.14418743378920593</v>
      </c>
      <c r="E149" s="9">
        <f>SQRT((A149-A$3)^2+(B149-B$3)^2+(C149-C$3)^2+(D149-D$3)^2)</f>
        <v>0.36602717902073445</v>
      </c>
      <c r="G149" s="9">
        <v>9.5683785169170768E-2</v>
      </c>
      <c r="H149" s="9">
        <v>8.5783996870494719E-2</v>
      </c>
      <c r="J149" s="31">
        <v>1.1154036727109071</v>
      </c>
    </row>
    <row r="150" spans="1:10" x14ac:dyDescent="0.3">
      <c r="A150" s="9">
        <v>0.10582319751749043</v>
      </c>
      <c r="B150" s="9">
        <v>0.3976408888356156</v>
      </c>
      <c r="C150" s="9">
        <v>0.20816393896123303</v>
      </c>
      <c r="D150" s="9">
        <v>0.28837197468566089</v>
      </c>
      <c r="E150" s="9">
        <f>SQRT((A150-A$3)^2+(B150-B$3)^2+(C150-C$3)^2+(D150-D$3)^2)</f>
        <v>0.36668353766984146</v>
      </c>
      <c r="G150" s="9">
        <v>0.10149785416486315</v>
      </c>
      <c r="H150" s="9">
        <v>9.1358312748819462E-2</v>
      </c>
      <c r="J150" s="31">
        <v>1.1109865223093747</v>
      </c>
    </row>
    <row r="151" spans="1:10" x14ac:dyDescent="0.3">
      <c r="A151" s="9">
        <v>0.13268883799834075</v>
      </c>
      <c r="B151" s="9">
        <v>0.34476493926570023</v>
      </c>
      <c r="C151" s="9">
        <v>0.33259782059340282</v>
      </c>
      <c r="D151" s="9">
        <v>0.18994840214255621</v>
      </c>
      <c r="E151" s="9">
        <f>SQRT((A151-A$3)^2+(B151-B$3)^2+(C151-C$3)^2+(D151-D$3)^2)</f>
        <v>0.36675605746212997</v>
      </c>
      <c r="G151" s="9">
        <v>9.8371905623129863E-2</v>
      </c>
      <c r="H151" s="9">
        <v>8.9151998081328482E-2</v>
      </c>
      <c r="J151" s="31">
        <v>1.1034178452555887</v>
      </c>
    </row>
    <row r="152" spans="1:10" x14ac:dyDescent="0.3">
      <c r="A152" s="9">
        <v>0.39055065266289041</v>
      </c>
      <c r="B152" s="9">
        <v>0.39511120843473885</v>
      </c>
      <c r="C152" s="9">
        <v>0.10283325700788844</v>
      </c>
      <c r="D152" s="9">
        <v>0.11150488189448228</v>
      </c>
      <c r="E152" s="9">
        <f>SQRT((A152-A$3)^2+(B152-B$3)^2+(C152-C$3)^2+(D152-D$3)^2)</f>
        <v>0.36707957941979291</v>
      </c>
      <c r="G152" s="9">
        <v>8.8776561627997103E-2</v>
      </c>
      <c r="H152" s="9">
        <v>6.9650627836364568E-2</v>
      </c>
      <c r="J152" s="31">
        <v>1.2745981534662763</v>
      </c>
    </row>
    <row r="153" spans="1:10" x14ac:dyDescent="0.3">
      <c r="A153" s="9">
        <v>0.26325185048395749</v>
      </c>
      <c r="B153" s="9">
        <v>0.33979681263272188</v>
      </c>
      <c r="C153" s="9">
        <v>0.19857980762393521</v>
      </c>
      <c r="D153" s="9">
        <v>0.1983715292593855</v>
      </c>
      <c r="E153" s="9">
        <f>SQRT((A153-A$3)^2+(B153-B$3)^2+(C153-C$3)^2+(D153-D$3)^2)</f>
        <v>0.36729512506056783</v>
      </c>
      <c r="G153" s="9">
        <v>9.2747038605056953E-2</v>
      </c>
      <c r="H153" s="9">
        <v>8.0062285795730381E-2</v>
      </c>
      <c r="J153" s="31">
        <v>1.1584360561686966</v>
      </c>
    </row>
    <row r="154" spans="1:10" x14ac:dyDescent="0.3">
      <c r="A154" s="9">
        <v>0.32161201272819601</v>
      </c>
      <c r="B154" s="9">
        <v>0.38298556424812008</v>
      </c>
      <c r="C154" s="9">
        <v>0.10210537048506678</v>
      </c>
      <c r="D154" s="9">
        <v>0.19329705253861704</v>
      </c>
      <c r="E154" s="9">
        <f>SQRT((A154-A$3)^2+(B154-B$3)^2+(C154-C$3)^2+(D154-D$3)^2)</f>
        <v>0.36760309638712707</v>
      </c>
      <c r="G154" s="9">
        <v>9.1604784017398785E-2</v>
      </c>
      <c r="H154" s="9">
        <v>7.5581217652716512E-2</v>
      </c>
      <c r="J154" s="31">
        <v>1.2120046072598085</v>
      </c>
    </row>
    <row r="155" spans="1:10" x14ac:dyDescent="0.3">
      <c r="A155" s="9">
        <v>0.13078981363444181</v>
      </c>
      <c r="B155" s="9">
        <v>0.37330354319010478</v>
      </c>
      <c r="C155" s="9">
        <v>0.2271402694428856</v>
      </c>
      <c r="D155" s="9">
        <v>0.26876637373256779</v>
      </c>
      <c r="E155" s="9">
        <f>SQRT((A155-A$3)^2+(B155-B$3)^2+(C155-C$3)^2+(D155-D$3)^2)</f>
        <v>0.36804648272153895</v>
      </c>
      <c r="G155" s="9">
        <v>9.9621709297079225E-2</v>
      </c>
      <c r="H155" s="9">
        <v>8.9770829842206232E-2</v>
      </c>
      <c r="J155" s="31">
        <v>1.1097336347696494</v>
      </c>
    </row>
    <row r="156" spans="1:10" x14ac:dyDescent="0.3">
      <c r="A156" s="9">
        <v>0.32122490025425049</v>
      </c>
      <c r="B156" s="9">
        <v>0.3298737952368313</v>
      </c>
      <c r="C156" s="9">
        <v>0.22934751338390091</v>
      </c>
      <c r="D156" s="9">
        <v>0.11955379112501723</v>
      </c>
      <c r="E156" s="9">
        <f>SQRT((A156-A$3)^2+(B156-B$3)^2+(C156-C$3)^2+(D156-D$3)^2)</f>
        <v>0.36809441900317508</v>
      </c>
      <c r="G156" s="9">
        <v>8.9709928824868848E-2</v>
      </c>
      <c r="H156" s="9">
        <v>7.5325589163905249E-2</v>
      </c>
      <c r="J156" s="31">
        <v>1.1909621925381013</v>
      </c>
    </row>
    <row r="157" spans="1:10" x14ac:dyDescent="0.3">
      <c r="A157" s="9">
        <v>0.2787344485285087</v>
      </c>
      <c r="B157" s="9">
        <v>0.38291945231868935</v>
      </c>
      <c r="C157" s="9">
        <v>0.10847486423994164</v>
      </c>
      <c r="D157" s="9">
        <v>0.22987123491286035</v>
      </c>
      <c r="E157" s="9">
        <f>SQRT((A157-A$3)^2+(B157-B$3)^2+(C157-C$3)^2+(D157-D$3)^2)</f>
        <v>0.36819287027620234</v>
      </c>
      <c r="G157" s="9">
        <v>9.3542905760102518E-2</v>
      </c>
      <c r="H157" s="9">
        <v>7.9157301915009179E-2</v>
      </c>
      <c r="J157" s="31">
        <v>1.1817343883264124</v>
      </c>
    </row>
    <row r="158" spans="1:10" x14ac:dyDescent="0.3">
      <c r="A158" s="9">
        <v>0.3522596339657072</v>
      </c>
      <c r="B158" s="9">
        <v>0.33737745237729722</v>
      </c>
      <c r="C158" s="9">
        <v>0.2283963357570778</v>
      </c>
      <c r="D158" s="9">
        <v>8.1966577899917709E-2</v>
      </c>
      <c r="E158" s="9">
        <f>SQRT((A158-A$3)^2+(B158-B$3)^2+(C158-C$3)^2+(D158-D$3)^2)</f>
        <v>0.36871405311582406</v>
      </c>
      <c r="G158" s="9">
        <v>8.8497166729120849E-2</v>
      </c>
      <c r="H158" s="9">
        <v>7.2789359720183744E-2</v>
      </c>
      <c r="J158" s="31">
        <v>1.2157981203478219</v>
      </c>
    </row>
    <row r="159" spans="1:10" x14ac:dyDescent="0.3">
      <c r="A159" s="9">
        <v>0.38153170910262968</v>
      </c>
      <c r="B159" s="9">
        <v>0.35696307461759502</v>
      </c>
      <c r="C159" s="9">
        <v>0.18406355573677022</v>
      </c>
      <c r="D159" s="9">
        <v>7.7441660543005122E-2</v>
      </c>
      <c r="E159" s="9">
        <f>SQRT((A159-A$3)^2+(B159-B$3)^2+(C159-C$3)^2+(D159-D$3)^2)</f>
        <v>0.36877723842828714</v>
      </c>
      <c r="G159" s="9">
        <v>8.7852800838421494E-2</v>
      </c>
      <c r="H159" s="9">
        <v>7.0322881558535888E-2</v>
      </c>
      <c r="J159" s="31">
        <v>1.2492776019892462</v>
      </c>
    </row>
    <row r="160" spans="1:10" x14ac:dyDescent="0.3">
      <c r="A160" s="9">
        <v>0.1874012624126748</v>
      </c>
      <c r="B160" s="9">
        <v>0.37259683796898024</v>
      </c>
      <c r="C160" s="9">
        <v>0.17085515997157441</v>
      </c>
      <c r="D160" s="9">
        <v>0.26914673964677055</v>
      </c>
      <c r="E160" s="9">
        <f>SQRT((A160-A$3)^2+(B160-B$3)^2+(C160-C$3)^2+(D160-D$3)^2)</f>
        <v>0.3700714138810513</v>
      </c>
      <c r="G160" s="9">
        <v>9.7215631012923992E-2</v>
      </c>
      <c r="H160" s="9">
        <v>8.611493236680777E-2</v>
      </c>
      <c r="J160" s="31">
        <v>1.1289056188168696</v>
      </c>
    </row>
    <row r="161" spans="1:10" x14ac:dyDescent="0.3">
      <c r="A161" s="9">
        <v>0.38509864723659221</v>
      </c>
      <c r="B161" s="9">
        <v>0.35449972275986646</v>
      </c>
      <c r="C161" s="9">
        <v>0.24531003845449567</v>
      </c>
      <c r="D161" s="9">
        <v>1.5091591549045724E-2</v>
      </c>
      <c r="E161" s="9">
        <f>SQRT((A161-A$3)^2+(B161-B$3)^2+(C161-C$3)^2+(D161-D$3)^2)</f>
        <v>0.37018918777273946</v>
      </c>
      <c r="G161" s="9">
        <v>8.7399066800253347E-2</v>
      </c>
      <c r="H161" s="9">
        <v>7.0228978581035509E-2</v>
      </c>
      <c r="J161" s="31">
        <v>1.2444872268703964</v>
      </c>
    </row>
    <row r="162" spans="1:10" x14ac:dyDescent="0.3">
      <c r="A162" s="9">
        <v>0.31374357538163916</v>
      </c>
      <c r="B162" s="9">
        <v>0.32241276424931109</v>
      </c>
      <c r="C162" s="9">
        <v>0.28288177181350932</v>
      </c>
      <c r="D162" s="9">
        <v>8.0961888555540429E-2</v>
      </c>
      <c r="E162" s="9">
        <f>SQRT((A162-A$3)^2+(B162-B$3)^2+(C162-C$3)^2+(D162-D$3)^2)</f>
        <v>0.3703583227621875</v>
      </c>
      <c r="G162" s="9">
        <v>8.9653815909108217E-2</v>
      </c>
      <c r="H162" s="9">
        <v>7.6076650578625407E-2</v>
      </c>
      <c r="J162" s="31">
        <v>1.178466917605038</v>
      </c>
    </row>
    <row r="163" spans="1:10" x14ac:dyDescent="0.3">
      <c r="A163" s="9">
        <v>0.31525753650180327</v>
      </c>
      <c r="B163" s="9">
        <v>0.32383028001761222</v>
      </c>
      <c r="C163" s="9">
        <v>0.24556623626829008</v>
      </c>
      <c r="D163" s="9">
        <v>0.11534594721229451</v>
      </c>
      <c r="E163" s="9">
        <f>SQRT((A163-A$3)^2+(B163-B$3)^2+(C163-C$3)^2+(D163-D$3)^2)</f>
        <v>0.37099050659795418</v>
      </c>
      <c r="G163" s="9">
        <v>8.9759171714762859E-2</v>
      </c>
      <c r="H163" s="9">
        <v>7.5963430670470289E-2</v>
      </c>
      <c r="J163" s="31">
        <v>1.181610294881738</v>
      </c>
    </row>
    <row r="164" spans="1:10" x14ac:dyDescent="0.3">
      <c r="A164" s="9">
        <v>0.27899163996994902</v>
      </c>
      <c r="B164" s="9">
        <v>0.3234382356143638</v>
      </c>
      <c r="C164" s="9">
        <v>0.34812988421313584</v>
      </c>
      <c r="D164" s="9">
        <v>4.9440240202551416E-2</v>
      </c>
      <c r="E164" s="9">
        <f>SQRT((A164-A$3)^2+(B164-B$3)^2+(C164-C$3)^2+(D164-D$3)^2)</f>
        <v>0.37207016713592311</v>
      </c>
      <c r="G164" s="9">
        <v>9.1035089019698229E-2</v>
      </c>
      <c r="H164" s="9">
        <v>7.8902968029253076E-2</v>
      </c>
      <c r="J164" s="31">
        <v>1.1537600079371817</v>
      </c>
    </row>
    <row r="165" spans="1:10" x14ac:dyDescent="0.3">
      <c r="A165" s="9">
        <v>0.33523455974344796</v>
      </c>
      <c r="B165" s="9">
        <v>0.3347363334766405</v>
      </c>
      <c r="C165" s="9">
        <v>0.19752754474294221</v>
      </c>
      <c r="D165" s="9">
        <v>0.13250156203696933</v>
      </c>
      <c r="E165" s="9">
        <f>SQRT((A165-A$3)^2+(B165-B$3)^2+(C165-C$3)^2+(D165-D$3)^2)</f>
        <v>0.37343824077327797</v>
      </c>
      <c r="G165" s="9">
        <v>8.9317117645850652E-2</v>
      </c>
      <c r="H165" s="9">
        <v>7.4440376796344479E-2</v>
      </c>
      <c r="J165" s="31">
        <v>1.1998477370715932</v>
      </c>
    </row>
    <row r="166" spans="1:10" x14ac:dyDescent="0.3">
      <c r="A166" s="9">
        <v>0.32593093923776117</v>
      </c>
      <c r="B166" s="9">
        <v>0.36074478574410568</v>
      </c>
      <c r="C166" s="9">
        <v>0.13178943027139958</v>
      </c>
      <c r="D166" s="9">
        <v>0.18153484474673351</v>
      </c>
      <c r="E166" s="9">
        <f>SQRT((A166-A$3)^2+(B166-B$3)^2+(C166-C$3)^2+(D166-D$3)^2)</f>
        <v>0.37350503686611752</v>
      </c>
      <c r="G166" s="9">
        <v>9.069215423417E-2</v>
      </c>
      <c r="H166" s="9">
        <v>7.5379020581261794E-2</v>
      </c>
      <c r="J166" s="31">
        <v>1.2031484826258787</v>
      </c>
    </row>
    <row r="167" spans="1:10" x14ac:dyDescent="0.3">
      <c r="A167" s="9">
        <v>0.35532739694435106</v>
      </c>
      <c r="B167" s="9">
        <v>0.33861835682121666</v>
      </c>
      <c r="C167" s="9">
        <v>0.19858347711087554</v>
      </c>
      <c r="D167" s="9">
        <v>0.10747076912355674</v>
      </c>
      <c r="E167" s="9">
        <f>SQRT((A167-A$3)^2+(B167-B$3)^2+(C167-C$3)^2+(D167-D$3)^2)</f>
        <v>0.37371689598480556</v>
      </c>
      <c r="G167" s="9">
        <v>8.8499219256256326E-2</v>
      </c>
      <c r="H167" s="9">
        <v>7.2766093698932333E-2</v>
      </c>
      <c r="J167" s="31">
        <v>1.216215063329074</v>
      </c>
    </row>
    <row r="168" spans="1:10" x14ac:dyDescent="0.3">
      <c r="A168" s="9">
        <v>0.28948511819505424</v>
      </c>
      <c r="B168" s="9">
        <v>0.32055282329862739</v>
      </c>
      <c r="C168" s="9">
        <v>0.33534306576306161</v>
      </c>
      <c r="D168" s="9">
        <v>5.4618992743256843E-2</v>
      </c>
      <c r="E168" s="9">
        <f>SQRT((A168-A$3)^2+(B168-B$3)^2+(C168-C$3)^2+(D168-D$3)^2)</f>
        <v>0.37388513205254131</v>
      </c>
      <c r="G168" s="9">
        <v>9.0522541362863404E-2</v>
      </c>
      <c r="H168" s="9">
        <v>7.820212232066337E-2</v>
      </c>
      <c r="J168" s="31">
        <v>1.1575458398901357</v>
      </c>
    </row>
    <row r="169" spans="1:10" x14ac:dyDescent="0.3">
      <c r="A169" s="9">
        <v>0.21492856185459575</v>
      </c>
      <c r="B169" s="9">
        <v>0.34721643748444359</v>
      </c>
      <c r="C169" s="9">
        <v>0.19579647169095415</v>
      </c>
      <c r="D169" s="9">
        <v>0.24205852897000665</v>
      </c>
      <c r="E169" s="9">
        <f>SQRT((A169-A$3)^2+(B169-B$3)^2+(C169-C$3)^2+(D169-D$3)^2)</f>
        <v>0.37413831516187396</v>
      </c>
      <c r="G169" s="9">
        <v>9.5172052036700219E-2</v>
      </c>
      <c r="H169" s="9">
        <v>8.4194913788648892E-2</v>
      </c>
      <c r="J169" s="31">
        <v>1.1303776885573729</v>
      </c>
    </row>
    <row r="170" spans="1:10" x14ac:dyDescent="0.3">
      <c r="A170" s="9">
        <v>0.1200946304160873</v>
      </c>
      <c r="B170" s="9">
        <v>0.46200218989936259</v>
      </c>
      <c r="C170" s="9">
        <v>9.1915506550192996E-2</v>
      </c>
      <c r="D170" s="9">
        <v>0.32598767313435723</v>
      </c>
      <c r="E170" s="9">
        <f>SQRT((A170-A$3)^2+(B170-B$3)^2+(C170-C$3)^2+(D170-D$3)^2)</f>
        <v>0.37420434955903009</v>
      </c>
      <c r="G170" s="9">
        <v>0.10302382213893316</v>
      </c>
      <c r="H170" s="9">
        <v>9.1106682656878657E-2</v>
      </c>
      <c r="J170" s="31">
        <v>1.1308042301017174</v>
      </c>
    </row>
    <row r="171" spans="1:10" x14ac:dyDescent="0.3">
      <c r="A171" s="9">
        <v>0.25211547497015901</v>
      </c>
      <c r="B171" s="9">
        <v>0.31226371648309559</v>
      </c>
      <c r="C171" s="9">
        <v>0.3108654228394378</v>
      </c>
      <c r="D171" s="9">
        <v>0.12475538570730758</v>
      </c>
      <c r="E171" s="9">
        <f>SQRT((A171-A$3)^2+(B171-B$3)^2+(C171-C$3)^2+(D171-D$3)^2)</f>
        <v>0.37494059516561984</v>
      </c>
      <c r="G171" s="9">
        <v>9.2096600550500035E-2</v>
      </c>
      <c r="H171" s="9">
        <v>8.1156048461240887E-2</v>
      </c>
      <c r="J171" s="31">
        <v>1.1348088318332086</v>
      </c>
    </row>
    <row r="172" spans="1:10" x14ac:dyDescent="0.3">
      <c r="A172" s="9">
        <v>0.20094064437364978</v>
      </c>
      <c r="B172" s="9">
        <v>0.32348453141559791</v>
      </c>
      <c r="C172" s="9">
        <v>0.27820669809299042</v>
      </c>
      <c r="D172" s="9">
        <v>0.19736812611776192</v>
      </c>
      <c r="E172" s="9">
        <f>SQRT((A172-A$3)^2+(B172-B$3)^2+(C172-C$3)^2+(D172-D$3)^2)</f>
        <v>0.3750600560757929</v>
      </c>
      <c r="G172" s="9">
        <v>9.4864749721855338E-2</v>
      </c>
      <c r="H172" s="9">
        <v>8.5071797027637022E-2</v>
      </c>
      <c r="J172" s="31">
        <v>1.1151139747410874</v>
      </c>
    </row>
    <row r="173" spans="1:10" x14ac:dyDescent="0.3">
      <c r="A173" s="9">
        <v>0.19817186057559408</v>
      </c>
      <c r="B173" s="9">
        <v>0.3535574236573108</v>
      </c>
      <c r="C173" s="9">
        <v>0.19273703414035889</v>
      </c>
      <c r="D173" s="9">
        <v>0.25553368162673629</v>
      </c>
      <c r="E173" s="9">
        <f>SQRT((A173-A$3)^2+(B173-B$3)^2+(C173-C$3)^2+(D173-D$3)^2)</f>
        <v>0.37524607151391781</v>
      </c>
      <c r="G173" s="9">
        <v>9.6123378475020144E-2</v>
      </c>
      <c r="H173" s="9">
        <v>8.5519521728804324E-2</v>
      </c>
      <c r="J173" s="31">
        <v>1.1239934056207925</v>
      </c>
    </row>
    <row r="174" spans="1:10" x14ac:dyDescent="0.3">
      <c r="A174" s="9">
        <v>8.2660620194861381E-2</v>
      </c>
      <c r="B174" s="9">
        <v>0.47504876088707731</v>
      </c>
      <c r="C174" s="9">
        <v>0.10867087345398938</v>
      </c>
      <c r="D174" s="9">
        <v>0.33361974546407192</v>
      </c>
      <c r="E174" s="9">
        <f>SQRT((A174-A$3)^2+(B174-B$3)^2+(C174-C$3)^2+(D174-D$3)^2)</f>
        <v>0.37527356735834494</v>
      </c>
      <c r="G174" s="9">
        <v>0.10503255502745147</v>
      </c>
      <c r="H174" s="9">
        <v>9.3368721854112061E-2</v>
      </c>
      <c r="J174" s="31">
        <v>1.1249222752729127</v>
      </c>
    </row>
    <row r="175" spans="1:10" x14ac:dyDescent="0.3">
      <c r="A175" s="9">
        <v>0.43133869044760781</v>
      </c>
      <c r="B175" s="9">
        <v>0.43023693628821263</v>
      </c>
      <c r="C175" s="9">
        <v>6.8129406589859845E-2</v>
      </c>
      <c r="D175" s="9">
        <v>7.0294966674319698E-2</v>
      </c>
      <c r="E175" s="9">
        <f>SQRT((A175-A$3)^2+(B175-B$3)^2+(C175-C$3)^2+(D175-D$3)^2)</f>
        <v>0.37653375820909912</v>
      </c>
      <c r="G175" s="9">
        <v>8.7993758654017429E-2</v>
      </c>
      <c r="H175" s="9">
        <v>6.6887575062975241E-2</v>
      </c>
      <c r="J175" s="31">
        <v>1.3155471486471222</v>
      </c>
    </row>
    <row r="176" spans="1:10" x14ac:dyDescent="0.3">
      <c r="A176" s="9">
        <v>9.9031149763411E-2</v>
      </c>
      <c r="B176" s="9">
        <v>0.34992802302820042</v>
      </c>
      <c r="C176" s="9">
        <v>0.36381768268470854</v>
      </c>
      <c r="D176" s="9">
        <v>0.18722314452368002</v>
      </c>
      <c r="E176" s="9">
        <f>SQRT((A176-A$3)^2+(B176-B$3)^2+(C176-C$3)^2+(D176-D$3)^2)</f>
        <v>0.37715110603158791</v>
      </c>
      <c r="G176" s="9">
        <v>9.9939970481914789E-2</v>
      </c>
      <c r="H176" s="9">
        <v>9.1638453972334416E-2</v>
      </c>
      <c r="J176" s="31">
        <v>1.0905898795726803</v>
      </c>
    </row>
    <row r="177" spans="1:10" x14ac:dyDescent="0.3">
      <c r="A177" s="9">
        <v>5.5718660854824381E-2</v>
      </c>
      <c r="B177" s="9">
        <v>0.40517839985155424</v>
      </c>
      <c r="C177" s="9">
        <v>0.24649127430398693</v>
      </c>
      <c r="D177" s="9">
        <v>0.29261166498963453</v>
      </c>
      <c r="E177" s="9">
        <f>SQRT((A177-A$3)^2+(B177-B$3)^2+(C177-C$3)^2+(D177-D$3)^2)</f>
        <v>0.37740710411965211</v>
      </c>
      <c r="G177" s="9">
        <v>0.10385780102872959</v>
      </c>
      <c r="H177" s="9">
        <v>9.4757780867242E-2</v>
      </c>
      <c r="J177" s="31">
        <v>1.0960345427911291</v>
      </c>
    </row>
    <row r="178" spans="1:10" x14ac:dyDescent="0.3">
      <c r="A178" s="9">
        <v>2.7603435996465722E-2</v>
      </c>
      <c r="B178" s="9">
        <v>0.4343133584870158</v>
      </c>
      <c r="C178" s="9">
        <v>0.22958244038144079</v>
      </c>
      <c r="D178" s="9">
        <v>0.30850076513507768</v>
      </c>
      <c r="E178" s="9">
        <f>SQRT((A178-A$3)^2+(B178-B$3)^2+(C178-C$3)^2+(D178-D$3)^2)</f>
        <v>0.37901874344118536</v>
      </c>
      <c r="G178" s="9">
        <v>0.10600144136799455</v>
      </c>
      <c r="H178" s="9">
        <v>9.6370081894371878E-2</v>
      </c>
      <c r="J178" s="31">
        <v>1.0999413851715856</v>
      </c>
    </row>
    <row r="179" spans="1:10" x14ac:dyDescent="0.3">
      <c r="A179" s="9">
        <v>0.42448292344906474</v>
      </c>
      <c r="B179" s="9">
        <v>0.46760850772562934</v>
      </c>
      <c r="C179" s="9">
        <v>1.413575772060475E-2</v>
      </c>
      <c r="D179" s="9">
        <v>9.3772811104701093E-2</v>
      </c>
      <c r="E179" s="9">
        <f>SQRT((A179-A$3)^2+(B179-B$3)^2+(C179-C$3)^2+(D179-D$3)^2)</f>
        <v>0.37959780395421733</v>
      </c>
      <c r="G179" s="9">
        <v>8.9523886445809914E-2</v>
      </c>
      <c r="H179" s="9">
        <v>6.8096147717815775E-2</v>
      </c>
      <c r="J179" s="31">
        <v>1.3146688828388462</v>
      </c>
    </row>
    <row r="180" spans="1:10" x14ac:dyDescent="0.3">
      <c r="A180" s="9">
        <v>0.2587439258412727</v>
      </c>
      <c r="B180" s="9">
        <v>0.45786248973541038</v>
      </c>
      <c r="C180" s="9">
        <v>1.2330245082127836E-2</v>
      </c>
      <c r="D180" s="9">
        <v>0.27106333934118892</v>
      </c>
      <c r="E180" s="9">
        <f>SQRT((A180-A$3)^2+(B180-B$3)^2+(C180-C$3)^2+(D180-D$3)^2)</f>
        <v>0.37998639759638952</v>
      </c>
      <c r="G180" s="9">
        <v>9.68529332503167E-2</v>
      </c>
      <c r="H180" s="9">
        <v>8.1878095461079201E-2</v>
      </c>
      <c r="J180" s="31">
        <v>1.1828918675368529</v>
      </c>
    </row>
    <row r="181" spans="1:10" x14ac:dyDescent="0.3">
      <c r="A181" s="9">
        <v>0.23364766252790942</v>
      </c>
      <c r="B181" s="9">
        <v>0.40019194634396305</v>
      </c>
      <c r="C181" s="9">
        <v>8.7885642315679344E-2</v>
      </c>
      <c r="D181" s="9">
        <v>0.27827474881244812</v>
      </c>
      <c r="E181" s="9">
        <f>SQRT((A181-A$3)^2+(B181-B$3)^2+(C181-C$3)^2+(D181-D$3)^2)</f>
        <v>0.3806484896262331</v>
      </c>
      <c r="G181" s="9">
        <v>9.6153407061780702E-2</v>
      </c>
      <c r="H181" s="9">
        <v>8.3480378467402999E-2</v>
      </c>
      <c r="J181" s="31">
        <v>1.1518084707692862</v>
      </c>
    </row>
    <row r="182" spans="1:10" x14ac:dyDescent="0.3">
      <c r="A182" s="9">
        <v>0.20720506825300378</v>
      </c>
      <c r="B182" s="9">
        <v>0.37384666415506002</v>
      </c>
      <c r="C182" s="9">
        <v>0.14059614306100821</v>
      </c>
      <c r="D182" s="9">
        <v>0.27835212453092795</v>
      </c>
      <c r="E182" s="9">
        <f>SQRT((A182-A$3)^2+(B182-B$3)^2+(C182-C$3)^2+(D182-D$3)^2)</f>
        <v>0.38146616861520144</v>
      </c>
      <c r="G182" s="9">
        <v>9.6453296875750452E-2</v>
      </c>
      <c r="H182" s="9">
        <v>8.5333931386718673E-2</v>
      </c>
      <c r="J182" s="31">
        <v>1.1303041510960128</v>
      </c>
    </row>
    <row r="183" spans="1:10" x14ac:dyDescent="0.3">
      <c r="A183" s="9">
        <v>0.12854140895621116</v>
      </c>
      <c r="B183" s="9">
        <v>0.33321571858797111</v>
      </c>
      <c r="C183" s="9">
        <v>0.35457262828386299</v>
      </c>
      <c r="D183" s="9">
        <v>0.18367024417195474</v>
      </c>
      <c r="E183" s="9">
        <f>SQRT((A183-A$3)^2+(B183-B$3)^2+(C183-C$3)^2+(D183-D$3)^2)</f>
        <v>0.38179378949917347</v>
      </c>
      <c r="G183" s="9">
        <v>9.8166655603830949E-2</v>
      </c>
      <c r="H183" s="9">
        <v>9.0129919924592697E-2</v>
      </c>
      <c r="J183" s="31">
        <v>1.089168343719402</v>
      </c>
    </row>
    <row r="184" spans="1:10" x14ac:dyDescent="0.3">
      <c r="A184" s="9">
        <v>4.3911171260207292E-2</v>
      </c>
      <c r="B184" s="9">
        <v>0.39035748994623731</v>
      </c>
      <c r="C184" s="9">
        <v>0.2994847672074894</v>
      </c>
      <c r="D184" s="9">
        <v>0.26624657158606613</v>
      </c>
      <c r="E184" s="9">
        <f>SQRT((A184-A$3)^2+(B184-B$3)^2+(C184-C$3)^2+(D184-D$3)^2)</f>
        <v>0.38185762855041383</v>
      </c>
      <c r="G184" s="9">
        <v>0.10380096384845343</v>
      </c>
      <c r="H184" s="9">
        <v>9.5422919580505736E-2</v>
      </c>
      <c r="J184" s="31">
        <v>1.0877990770433237</v>
      </c>
    </row>
    <row r="185" spans="1:10" x14ac:dyDescent="0.3">
      <c r="A185" s="9">
        <v>0.20092327441429086</v>
      </c>
      <c r="B185" s="9">
        <v>0.31146058709643476</v>
      </c>
      <c r="C185" s="9">
        <v>0.33796977254228061</v>
      </c>
      <c r="D185" s="9">
        <v>0.14964636594699365</v>
      </c>
      <c r="E185" s="9">
        <f>SQRT((A185-A$3)^2+(B185-B$3)^2+(C185-C$3)^2+(D185-D$3)^2)</f>
        <v>0.38243156919676347</v>
      </c>
      <c r="G185" s="9">
        <v>9.4319728785454554E-2</v>
      </c>
      <c r="H185" s="9">
        <v>8.5305098727888523E-2</v>
      </c>
      <c r="J185" s="31">
        <v>1.1056751611802416</v>
      </c>
    </row>
    <row r="186" spans="1:10" x14ac:dyDescent="0.3">
      <c r="A186" s="9">
        <v>0.324426013250315</v>
      </c>
      <c r="B186" s="9">
        <v>0.31613898073403351</v>
      </c>
      <c r="C186" s="9">
        <v>0.30636768908034429</v>
      </c>
      <c r="D186" s="9">
        <v>5.3067316935307092E-2</v>
      </c>
      <c r="E186" s="9">
        <f>SQRT((A186-A$3)^2+(B186-B$3)^2+(C186-C$3)^2+(D186-D$3)^2)</f>
        <v>0.38252987736273109</v>
      </c>
      <c r="G186" s="9">
        <v>8.8907982963911988E-2</v>
      </c>
      <c r="H186" s="9">
        <v>7.589726862738562E-2</v>
      </c>
      <c r="J186" s="31">
        <v>1.1714253302105233</v>
      </c>
    </row>
    <row r="187" spans="1:10" x14ac:dyDescent="0.3">
      <c r="A187" s="9">
        <v>0.33056050424578159</v>
      </c>
      <c r="B187" s="9">
        <v>0.31411572390535059</v>
      </c>
      <c r="C187" s="9">
        <v>0.2605427041557874</v>
      </c>
      <c r="D187" s="9">
        <v>9.4781067693080326E-2</v>
      </c>
      <c r="E187" s="9">
        <f>SQRT((A187-A$3)^2+(B187-B$3)^2+(C187-C$3)^2+(D187-D$3)^2)</f>
        <v>0.38339558721722328</v>
      </c>
      <c r="G187" s="9">
        <v>8.8738943546790378E-2</v>
      </c>
      <c r="H187" s="9">
        <v>7.5362407021138139E-2</v>
      </c>
      <c r="J187" s="31">
        <v>1.1774961423657859</v>
      </c>
    </row>
    <row r="188" spans="1:10" x14ac:dyDescent="0.3">
      <c r="A188" s="9">
        <v>2.5167705315589792E-2</v>
      </c>
      <c r="B188" s="9">
        <v>0.43164830274902083</v>
      </c>
      <c r="C188" s="9">
        <v>0.2319500154992829</v>
      </c>
      <c r="D188" s="9">
        <v>0.31123397643610656</v>
      </c>
      <c r="E188" s="9">
        <f>SQRT((A188-A$3)^2+(B188-B$3)^2+(C188-C$3)^2+(D188-D$3)^2)</f>
        <v>0.38355564733564107</v>
      </c>
      <c r="G188" s="9">
        <v>0.10603163247443786</v>
      </c>
      <c r="H188" s="9">
        <v>9.6745364224543884E-2</v>
      </c>
      <c r="J188" s="31">
        <v>1.0959866999760397</v>
      </c>
    </row>
    <row r="189" spans="1:10" x14ac:dyDescent="0.3">
      <c r="A189" s="9">
        <v>0.30574051643538697</v>
      </c>
      <c r="B189" s="9">
        <v>0.3206738969719935</v>
      </c>
      <c r="C189" s="9">
        <v>0.20671933313532301</v>
      </c>
      <c r="D189" s="9">
        <v>0.16686625345729658</v>
      </c>
      <c r="E189" s="9">
        <f>SQRT((A189-A$3)^2+(B189-B$3)^2+(C189-C$3)^2+(D189-D$3)^2)</f>
        <v>0.38404662367892062</v>
      </c>
      <c r="G189" s="9">
        <v>9.0250390142739861E-2</v>
      </c>
      <c r="H189" s="9">
        <v>7.7430471330031503E-2</v>
      </c>
      <c r="J189" s="31">
        <v>1.1655668445832661</v>
      </c>
    </row>
    <row r="190" spans="1:10" x14ac:dyDescent="0.3">
      <c r="A190" s="9">
        <v>0.37760398383736615</v>
      </c>
      <c r="B190" s="9">
        <v>0.36455191401685044</v>
      </c>
      <c r="C190" s="9">
        <v>0.1172721493080543</v>
      </c>
      <c r="D190" s="9">
        <v>0.14057195283772911</v>
      </c>
      <c r="E190" s="9">
        <f>SQRT((A190-A$3)^2+(B190-B$3)^2+(C190-C$3)^2+(D190-D$3)^2)</f>
        <v>0.38516512058638358</v>
      </c>
      <c r="G190" s="9">
        <v>8.8483079564319528E-2</v>
      </c>
      <c r="H190" s="9">
        <v>7.1583779468856884E-2</v>
      </c>
      <c r="J190" s="31">
        <v>1.2360772261656683</v>
      </c>
    </row>
    <row r="191" spans="1:10" x14ac:dyDescent="0.3">
      <c r="A191" s="9">
        <v>0.26900685819005021</v>
      </c>
      <c r="B191" s="9">
        <v>0.30337256448025351</v>
      </c>
      <c r="C191" s="9">
        <v>0.30601776722323115</v>
      </c>
      <c r="D191" s="9">
        <v>0.12160281010646515</v>
      </c>
      <c r="E191" s="9">
        <f>SQRT((A191-A$3)^2+(B191-B$3)^2+(C191-C$3)^2+(D191-D$3)^2)</f>
        <v>0.38522949074635315</v>
      </c>
      <c r="G191" s="9">
        <v>9.1098361638309283E-2</v>
      </c>
      <c r="H191" s="9">
        <v>8.040239147607621E-2</v>
      </c>
      <c r="J191" s="31">
        <v>1.133030497798261</v>
      </c>
    </row>
    <row r="192" spans="1:10" x14ac:dyDescent="0.3">
      <c r="A192" s="9">
        <v>0.10253435456381424</v>
      </c>
      <c r="B192" s="9">
        <v>0.40558018021498976</v>
      </c>
      <c r="C192" s="9">
        <v>0.17417266046037239</v>
      </c>
      <c r="D192" s="9">
        <v>0.31771280476082364</v>
      </c>
      <c r="E192" s="9">
        <f>SQRT((A192-A$3)^2+(B192-B$3)^2+(C192-C$3)^2+(D192-D$3)^2)</f>
        <v>0.38531372851645684</v>
      </c>
      <c r="G192" s="9">
        <v>0.10198889476465174</v>
      </c>
      <c r="H192" s="9">
        <v>9.2650533103716792E-2</v>
      </c>
      <c r="J192" s="31">
        <v>1.1007912350647913</v>
      </c>
    </row>
    <row r="193" spans="1:10" x14ac:dyDescent="0.3">
      <c r="A193" s="9">
        <v>0.39671442354914105</v>
      </c>
      <c r="B193" s="9">
        <v>0.40831554295960099</v>
      </c>
      <c r="C193" s="9">
        <v>5.5114807713108338E-2</v>
      </c>
      <c r="D193" s="9">
        <v>0.13985522577814971</v>
      </c>
      <c r="E193" s="9">
        <f>SQRT((A193-A$3)^2+(B193-B$3)^2+(C193-C$3)^2+(D193-D$3)^2)</f>
        <v>0.38633735248082979</v>
      </c>
      <c r="G193" s="9">
        <v>8.9028471240199622E-2</v>
      </c>
      <c r="H193" s="9">
        <v>7.0354325168506066E-2</v>
      </c>
      <c r="J193" s="31">
        <v>1.2654299650656444</v>
      </c>
    </row>
    <row r="194" spans="1:10" x14ac:dyDescent="0.3">
      <c r="A194" s="9">
        <v>0.2976149670726505</v>
      </c>
      <c r="B194" s="9">
        <v>0.30960990022559032</v>
      </c>
      <c r="C194" s="9">
        <v>0.24218020539744023</v>
      </c>
      <c r="D194" s="9">
        <v>0.15059492730431906</v>
      </c>
      <c r="E194" s="9">
        <f>SQRT((A194-A$3)^2+(B194-B$3)^2+(C194-C$3)^2+(D194-D$3)^2)</f>
        <v>0.38638616459525099</v>
      </c>
      <c r="G194" s="9">
        <v>9.0191361006617135E-2</v>
      </c>
      <c r="H194" s="9">
        <v>7.8193979412480616E-2</v>
      </c>
      <c r="J194" s="31">
        <v>1.1534310145650626</v>
      </c>
    </row>
    <row r="195" spans="1:10" x14ac:dyDescent="0.3">
      <c r="A195" s="9">
        <v>0.30601630057677642</v>
      </c>
      <c r="B195" s="9">
        <v>0.30534382633509632</v>
      </c>
      <c r="C195" s="9">
        <v>0.27998338412487783</v>
      </c>
      <c r="D195" s="9">
        <v>0.10865648896324956</v>
      </c>
      <c r="E195" s="9">
        <f>SQRT((A195-A$3)^2+(B195-B$3)^2+(C195-C$3)^2+(D195-D$3)^2)</f>
        <v>0.38692076129391101</v>
      </c>
      <c r="G195" s="9">
        <v>8.9552553349211916E-2</v>
      </c>
      <c r="H195" s="9">
        <v>7.7556595450830101E-2</v>
      </c>
      <c r="J195" s="31">
        <v>1.1546736009832601</v>
      </c>
    </row>
    <row r="196" spans="1:10" x14ac:dyDescent="0.3">
      <c r="A196" s="9">
        <v>0.41594581500003686</v>
      </c>
      <c r="B196" s="9">
        <v>0.43012734806701247</v>
      </c>
      <c r="C196" s="9">
        <v>3.6929105926394375E-2</v>
      </c>
      <c r="D196" s="9">
        <v>0.1169977310065563</v>
      </c>
      <c r="E196" s="9">
        <f>SQRT((A196-A$3)^2+(B196-B$3)^2+(C196-C$3)^2+(D196-D$3)^2)</f>
        <v>0.38720965511869015</v>
      </c>
      <c r="G196" s="9">
        <v>8.8809244750141098E-2</v>
      </c>
      <c r="H196" s="9">
        <v>6.8919266657146608E-2</v>
      </c>
      <c r="J196" s="31">
        <v>1.2885982259785405</v>
      </c>
    </row>
    <row r="197" spans="1:10" x14ac:dyDescent="0.3">
      <c r="A197" s="9">
        <v>0.23899170562151115</v>
      </c>
      <c r="B197" s="9">
        <v>0.30223042180079907</v>
      </c>
      <c r="C197" s="9">
        <v>0.31964136488659028</v>
      </c>
      <c r="D197" s="9">
        <v>0.13913650769109948</v>
      </c>
      <c r="E197" s="9">
        <f>SQRT((A197-A$3)^2+(B197-B$3)^2+(C197-C$3)^2+(D197-D$3)^2)</f>
        <v>0.38746835960188708</v>
      </c>
      <c r="G197" s="9">
        <v>9.2391788823120838E-2</v>
      </c>
      <c r="H197" s="9">
        <v>8.2810962205400671E-2</v>
      </c>
      <c r="J197" s="31">
        <v>1.1156951490788902</v>
      </c>
    </row>
    <row r="198" spans="1:10" x14ac:dyDescent="0.3">
      <c r="A198" s="9">
        <v>0.17604133306362346</v>
      </c>
      <c r="B198" s="9">
        <v>0.31619195893094021</v>
      </c>
      <c r="C198" s="9">
        <v>0.38827008004321539</v>
      </c>
      <c r="D198" s="9">
        <v>0.11949662796222094</v>
      </c>
      <c r="E198" s="9">
        <f>SQRT((A198-A$3)^2+(B198-B$3)^2+(C198-C$3)^2+(D198-D$3)^2)</f>
        <v>0.38808523784390836</v>
      </c>
      <c r="G198" s="9">
        <v>9.5404678756909528E-2</v>
      </c>
      <c r="H198" s="9">
        <v>8.7156157081292152E-2</v>
      </c>
      <c r="J198" s="31">
        <v>1.0946407224899077</v>
      </c>
    </row>
    <row r="199" spans="1:10" x14ac:dyDescent="0.3">
      <c r="A199" s="9">
        <v>0.1015110783619565</v>
      </c>
      <c r="B199" s="9">
        <v>0.33936591207297429</v>
      </c>
      <c r="C199" s="9">
        <v>0.37421219443378623</v>
      </c>
      <c r="D199" s="9">
        <v>0.18491081513128299</v>
      </c>
      <c r="E199" s="9">
        <f>SQRT((A199-A$3)^2+(B199-B$3)^2+(C199-C$3)^2+(D199-D$3)^2)</f>
        <v>0.38848301079853204</v>
      </c>
      <c r="G199" s="9">
        <v>9.9500422150240644E-2</v>
      </c>
      <c r="H199" s="9">
        <v>9.2068101450673581E-2</v>
      </c>
      <c r="J199" s="31">
        <v>1.0807263382480956</v>
      </c>
    </row>
    <row r="200" spans="1:10" x14ac:dyDescent="0.3">
      <c r="A200" s="9">
        <v>0.18126268837688303</v>
      </c>
      <c r="B200" s="9">
        <v>0.31923491717212144</v>
      </c>
      <c r="C200" s="9">
        <v>0.27481877699298474</v>
      </c>
      <c r="D200" s="9">
        <v>0.22468361745801077</v>
      </c>
      <c r="E200" s="9">
        <f>SQRT((A200-A$3)^2+(B200-B$3)^2+(C200-C$3)^2+(D200-D$3)^2)</f>
        <v>0.38983242070069402</v>
      </c>
      <c r="G200" s="9">
        <v>9.5662124891053094E-2</v>
      </c>
      <c r="H200" s="9">
        <v>8.7289595229974412E-2</v>
      </c>
      <c r="J200" s="31">
        <v>1.0959166970475724</v>
      </c>
    </row>
    <row r="201" spans="1:10" x14ac:dyDescent="0.3">
      <c r="A201" s="9">
        <v>6.3425789833704407E-2</v>
      </c>
      <c r="B201" s="9">
        <v>0.40880253877076062</v>
      </c>
      <c r="C201" s="9">
        <v>0.50223993115860521</v>
      </c>
      <c r="D201" s="9">
        <v>2.5531740236929841E-2</v>
      </c>
      <c r="E201" s="9">
        <f>SQRT((A201-A$3)^2+(B201-B$3)^2+(C201-C$3)^2+(D201-D$3)^2)</f>
        <v>0.38986219809463168</v>
      </c>
      <c r="G201" s="9">
        <v>0.1026716642024933</v>
      </c>
      <c r="H201" s="9">
        <v>9.217706878001021E-2</v>
      </c>
      <c r="J201" s="31">
        <v>1.1138525618289021</v>
      </c>
    </row>
    <row r="202" spans="1:10" x14ac:dyDescent="0.3">
      <c r="A202" s="9">
        <v>0.11853711114069962</v>
      </c>
      <c r="B202" s="9">
        <v>0.33212979478443749</v>
      </c>
      <c r="C202" s="9">
        <v>0.39441773856263784</v>
      </c>
      <c r="D202" s="9">
        <v>0.15491535551222502</v>
      </c>
      <c r="E202" s="9">
        <f>SQRT((A202-A$3)^2+(B202-B$3)^2+(C202-C$3)^2+(D202-D$3)^2)</f>
        <v>0.3899696535151056</v>
      </c>
      <c r="G202" s="9">
        <v>9.8449853880088894E-2</v>
      </c>
      <c r="H202" s="9">
        <v>9.0967168985529798E-2</v>
      </c>
      <c r="J202" s="31">
        <v>1.082256983239188</v>
      </c>
    </row>
    <row r="203" spans="1:10" x14ac:dyDescent="0.3">
      <c r="A203" s="9">
        <v>0.30272346498487895</v>
      </c>
      <c r="B203" s="9">
        <v>0.35643435203008861</v>
      </c>
      <c r="C203" s="9">
        <v>0.11724095553131943</v>
      </c>
      <c r="D203" s="9">
        <v>0.22360122745371291</v>
      </c>
      <c r="E203" s="9">
        <f>SQRT((A203-A$3)^2+(B203-B$3)^2+(C203-C$3)^2+(D203-D$3)^2)</f>
        <v>0.39024283860865117</v>
      </c>
      <c r="G203" s="9">
        <v>9.1690145532978842E-2</v>
      </c>
      <c r="H203" s="9">
        <v>7.824620507194853E-2</v>
      </c>
      <c r="J203" s="31">
        <v>1.1718158784655233</v>
      </c>
    </row>
    <row r="204" spans="1:10" x14ac:dyDescent="0.3">
      <c r="A204" s="9">
        <v>2.4822533463951559E-2</v>
      </c>
      <c r="B204" s="9">
        <v>0.38278950686195523</v>
      </c>
      <c r="C204" s="9">
        <v>0.37021588878452361</v>
      </c>
      <c r="D204" s="9">
        <v>0.22217207088956953</v>
      </c>
      <c r="E204" s="9">
        <f>SQRT((A204-A$3)^2+(B204-B$3)^2+(C204-C$3)^2+(D204-D$3)^2)</f>
        <v>0.39122476844578408</v>
      </c>
      <c r="G204" s="9">
        <v>0.10421069421815468</v>
      </c>
      <c r="H204" s="9">
        <v>9.6472116744979589E-2</v>
      </c>
      <c r="J204" s="31">
        <v>1.0802156906500946</v>
      </c>
    </row>
    <row r="205" spans="1:10" x14ac:dyDescent="0.3">
      <c r="A205" s="9">
        <v>0.29059191885034624</v>
      </c>
      <c r="B205" s="9">
        <v>0.3532156224837768</v>
      </c>
      <c r="C205" s="9">
        <v>0.12267974908525574</v>
      </c>
      <c r="D205" s="9">
        <v>0.23351270958062131</v>
      </c>
      <c r="E205" s="9">
        <f>SQRT((A205-A$3)^2+(B205-B$3)^2+(C205-C$3)^2+(D205-D$3)^2)</f>
        <v>0.39236450980671678</v>
      </c>
      <c r="G205" s="9">
        <v>9.2137960300851224E-2</v>
      </c>
      <c r="H205" s="9">
        <v>7.9344829357767155E-2</v>
      </c>
      <c r="J205" s="31">
        <v>1.1612345889030731</v>
      </c>
    </row>
    <row r="206" spans="1:10" x14ac:dyDescent="0.3">
      <c r="A206" s="9">
        <v>9.9790104445595953E-2</v>
      </c>
      <c r="B206" s="9">
        <v>0.46301582418128417</v>
      </c>
      <c r="C206" s="9">
        <v>9.0544158350292975E-2</v>
      </c>
      <c r="D206" s="9">
        <v>0.34664991302282688</v>
      </c>
      <c r="E206" s="9">
        <f>SQRT((A206-A$3)^2+(B206-B$3)^2+(C206-C$3)^2+(D206-D$3)^2)</f>
        <v>0.39359876499372132</v>
      </c>
      <c r="G206" s="9">
        <v>0.1039861092934852</v>
      </c>
      <c r="H206" s="9">
        <v>9.3410301482264424E-2</v>
      </c>
      <c r="J206" s="31">
        <v>1.1132188596268344</v>
      </c>
    </row>
    <row r="207" spans="1:10" x14ac:dyDescent="0.3">
      <c r="A207" s="9">
        <v>0.16524245158023573</v>
      </c>
      <c r="B207" s="9">
        <v>0.31087766585612642</v>
      </c>
      <c r="C207" s="9">
        <v>0.34900553123700995</v>
      </c>
      <c r="D207" s="9">
        <v>0.17487435132662785</v>
      </c>
      <c r="E207" s="9">
        <f>SQRT((A207-A$3)^2+(B207-B$3)^2+(C207-C$3)^2+(D207-D$3)^2)</f>
        <v>0.39365905024581244</v>
      </c>
      <c r="G207" s="9">
        <v>9.589724421228453E-2</v>
      </c>
      <c r="H207" s="9">
        <v>8.8388298196604181E-2</v>
      </c>
      <c r="J207" s="31">
        <v>1.0849540738863195</v>
      </c>
    </row>
    <row r="208" spans="1:10" x14ac:dyDescent="0.3">
      <c r="A208" s="9">
        <v>0.44028587773742162</v>
      </c>
      <c r="B208" s="9">
        <v>0.3724294923258159</v>
      </c>
      <c r="C208" s="9">
        <v>0.1585052143392055</v>
      </c>
      <c r="D208" s="9">
        <v>2.8779415597556923E-2</v>
      </c>
      <c r="E208" s="9">
        <f>SQRT((A208-A$3)^2+(B208-B$3)^2+(C208-C$3)^2+(D208-D$3)^2)</f>
        <v>0.39471605165669316</v>
      </c>
      <c r="G208" s="9">
        <v>8.5677809797629956E-2</v>
      </c>
      <c r="H208" s="9">
        <v>6.6763033956955084E-2</v>
      </c>
      <c r="J208" s="31">
        <v>1.2833121073088143</v>
      </c>
    </row>
    <row r="209" spans="1:10" x14ac:dyDescent="0.3">
      <c r="A209" s="9">
        <v>0.36604946150713397</v>
      </c>
      <c r="B209" s="9">
        <v>0.31534763686785228</v>
      </c>
      <c r="C209" s="9">
        <v>0.26803603321690711</v>
      </c>
      <c r="D209" s="9">
        <v>5.0566868408106633E-2</v>
      </c>
      <c r="E209" s="9">
        <f>SQRT((A209-A$3)^2+(B209-B$3)^2+(C209-C$3)^2+(D209-D$3)^2)</f>
        <v>0.39505539296398356</v>
      </c>
      <c r="G209" s="9">
        <v>8.7120383155894918E-2</v>
      </c>
      <c r="H209" s="9">
        <v>7.3108183566409482E-2</v>
      </c>
      <c r="J209" s="31">
        <v>1.1916639000715581</v>
      </c>
    </row>
    <row r="210" spans="1:10" x14ac:dyDescent="0.3">
      <c r="A210" s="9">
        <v>0.2417004337151161</v>
      </c>
      <c r="B210" s="9">
        <v>0.31852711306418519</v>
      </c>
      <c r="C210" s="9">
        <v>0.20694105596573867</v>
      </c>
      <c r="D210" s="9">
        <v>0.23283139725496008</v>
      </c>
      <c r="E210" s="9">
        <f>SQRT((A210-A$3)^2+(B210-B$3)^2+(C210-C$3)^2+(D210-D$3)^2)</f>
        <v>0.39691745951426521</v>
      </c>
      <c r="G210" s="9">
        <v>9.3123082146733899E-2</v>
      </c>
      <c r="H210" s="9">
        <v>8.3276613217992748E-2</v>
      </c>
      <c r="J210" s="31">
        <v>1.1182381048922596</v>
      </c>
    </row>
    <row r="211" spans="1:10" x14ac:dyDescent="0.3">
      <c r="A211" s="9">
        <v>0.14934552226121656</v>
      </c>
      <c r="B211" s="9">
        <v>0.3371092316666664</v>
      </c>
      <c r="C211" s="9">
        <v>0.45569567173217168</v>
      </c>
      <c r="D211" s="9">
        <v>5.7849574339945274E-2</v>
      </c>
      <c r="E211" s="9">
        <f>SQRT((A211-A$3)^2+(B211-B$3)^2+(C211-C$3)^2+(D211-D$3)^2)</f>
        <v>0.39741760001457427</v>
      </c>
      <c r="G211" s="9">
        <v>9.6951789577814418E-2</v>
      </c>
      <c r="H211" s="9">
        <v>8.8885682092130686E-2</v>
      </c>
      <c r="J211" s="31">
        <v>1.0907469830441663</v>
      </c>
    </row>
    <row r="212" spans="1:10" x14ac:dyDescent="0.3">
      <c r="A212" s="9">
        <v>0.31649746684839342</v>
      </c>
      <c r="B212" s="9">
        <v>0.36471274786994806</v>
      </c>
      <c r="C212" s="9">
        <v>9.2344636340312217E-2</v>
      </c>
      <c r="D212" s="9">
        <v>0.22644514894134629</v>
      </c>
      <c r="E212" s="9">
        <f>SQRT((A212-A$3)^2+(B212-B$3)^2+(C212-C$3)^2+(D212-D$3)^2)</f>
        <v>0.39744700655919468</v>
      </c>
      <c r="G212" s="9">
        <v>9.1376069265848348E-2</v>
      </c>
      <c r="H212" s="9">
        <v>7.7576007391791102E-2</v>
      </c>
      <c r="J212" s="31">
        <v>1.1778908497360685</v>
      </c>
    </row>
    <row r="213" spans="1:10" x14ac:dyDescent="0.3">
      <c r="A213" s="9">
        <v>0.12380156036243443</v>
      </c>
      <c r="B213" s="9">
        <v>0.41388400121622937</v>
      </c>
      <c r="C213" s="9">
        <v>0.12752573060811065</v>
      </c>
      <c r="D213" s="9">
        <v>0.33478870781322562</v>
      </c>
      <c r="E213" s="9">
        <f>SQRT((A213-A$3)^2+(B213-B$3)^2+(C213-C$3)^2+(D213-D$3)^2)</f>
        <v>0.39775462770625747</v>
      </c>
      <c r="G213" s="9">
        <v>0.10141171195004747</v>
      </c>
      <c r="H213" s="9">
        <v>9.2089886099563326E-2</v>
      </c>
      <c r="J213" s="31">
        <v>1.1012252946040766</v>
      </c>
    </row>
    <row r="214" spans="1:10" x14ac:dyDescent="0.3">
      <c r="A214" s="9">
        <v>0.10870416101371831</v>
      </c>
      <c r="B214" s="9">
        <v>0.34650226089228875</v>
      </c>
      <c r="C214" s="9">
        <v>0.27213159291685424</v>
      </c>
      <c r="D214" s="9">
        <v>0.27266198517713885</v>
      </c>
      <c r="E214" s="9">
        <f>SQRT((A214-A$3)^2+(B214-B$3)^2+(C214-C$3)^2+(D214-D$3)^2)</f>
        <v>0.39782037163829953</v>
      </c>
      <c r="G214" s="9">
        <v>9.9737812538603865E-2</v>
      </c>
      <c r="H214" s="9">
        <v>9.2647191047782559E-2</v>
      </c>
      <c r="J214" s="31">
        <v>1.0765335830544969</v>
      </c>
    </row>
    <row r="215" spans="1:10" x14ac:dyDescent="0.3">
      <c r="A215" s="9">
        <v>0.24014142196086452</v>
      </c>
      <c r="B215" s="9">
        <v>0.29578204348468268</v>
      </c>
      <c r="C215" s="9">
        <v>0.28965882178647928</v>
      </c>
      <c r="D215" s="9">
        <v>0.17441771276797349</v>
      </c>
      <c r="E215" s="9">
        <f>SQRT((A215-A$3)^2+(B215-B$3)^2+(C215-C$3)^2+(D215-D$3)^2)</f>
        <v>0.39797381777892571</v>
      </c>
      <c r="G215" s="9">
        <v>9.2272523730909245E-2</v>
      </c>
      <c r="H215" s="9">
        <v>8.3321924347992196E-2</v>
      </c>
      <c r="J215" s="31">
        <v>1.1074218994935243</v>
      </c>
    </row>
    <row r="216" spans="1:10" x14ac:dyDescent="0.3">
      <c r="A216" s="9">
        <v>7.1022207961749101E-2</v>
      </c>
      <c r="B216" s="9">
        <v>0.36644767628637936</v>
      </c>
      <c r="C216" s="9">
        <v>0.46777222125811968</v>
      </c>
      <c r="D216" s="9">
        <v>9.4757894493751868E-2</v>
      </c>
      <c r="E216" s="9">
        <f>SQRT((A216-A$3)^2+(B216-B$3)^2+(C216-C$3)^2+(D216-D$3)^2)</f>
        <v>0.39805078085985773</v>
      </c>
      <c r="G216" s="9">
        <v>0.10129410414606996</v>
      </c>
      <c r="H216" s="9">
        <v>9.3318180338864382E-2</v>
      </c>
      <c r="J216" s="31">
        <v>1.0854702028933993</v>
      </c>
    </row>
    <row r="217" spans="1:10" x14ac:dyDescent="0.3">
      <c r="A217" s="9">
        <v>0.14387222953992945</v>
      </c>
      <c r="B217" s="9">
        <v>0.41135616578302658</v>
      </c>
      <c r="C217" s="9">
        <v>0.11310230483548341</v>
      </c>
      <c r="D217" s="9">
        <v>0.33166929984156063</v>
      </c>
      <c r="E217" s="9">
        <f>SQRT((A217-A$3)^2+(B217-B$3)^2+(C217-C$3)^2+(D217-D$3)^2)</f>
        <v>0.39867699788638317</v>
      </c>
      <c r="G217" s="9">
        <v>0.10047639382634832</v>
      </c>
      <c r="H217" s="9">
        <v>9.0853560563701488E-2</v>
      </c>
      <c r="J217" s="31">
        <v>1.1059158628780414</v>
      </c>
    </row>
    <row r="218" spans="1:10" x14ac:dyDescent="0.3">
      <c r="A218" s="9">
        <v>0.20017804201941447</v>
      </c>
      <c r="B218" s="9">
        <v>0.39561820389595626</v>
      </c>
      <c r="C218" s="9">
        <v>9.361681242804766E-2</v>
      </c>
      <c r="D218" s="9">
        <v>0.31058694165658163</v>
      </c>
      <c r="E218" s="9">
        <f>SQRT((A218-A$3)^2+(B218-B$3)^2+(C218-C$3)^2+(D218-D$3)^2)</f>
        <v>0.3993696685172185</v>
      </c>
      <c r="G218" s="9">
        <v>9.7540152435188529E-2</v>
      </c>
      <c r="H218" s="9">
        <v>8.6973990739256615E-2</v>
      </c>
      <c r="J218" s="31">
        <v>1.1214864536641616</v>
      </c>
    </row>
    <row r="219" spans="1:10" x14ac:dyDescent="0.3">
      <c r="A219" s="9">
        <v>0.36898116605452191</v>
      </c>
      <c r="B219" s="9">
        <v>0.34094707076690084</v>
      </c>
      <c r="C219" s="9">
        <v>0.1339854452505502</v>
      </c>
      <c r="D219" s="9">
        <v>0.15608631792802702</v>
      </c>
      <c r="E219" s="9">
        <f>SQRT((A219-A$3)^2+(B219-B$3)^2+(C219-C$3)^2+(D219-D$3)^2)</f>
        <v>0.39955905001895742</v>
      </c>
      <c r="G219" s="9">
        <v>8.817304956032658E-2</v>
      </c>
      <c r="H219" s="9">
        <v>7.2996879056970054E-2</v>
      </c>
      <c r="J219" s="31">
        <v>1.2079016349659601</v>
      </c>
    </row>
    <row r="220" spans="1:10" x14ac:dyDescent="0.3">
      <c r="A220" s="9">
        <v>0.47729400005615114</v>
      </c>
      <c r="B220" s="9">
        <v>0.47001370725780045</v>
      </c>
      <c r="C220" s="9">
        <v>3.9914957718634979E-2</v>
      </c>
      <c r="D220" s="9">
        <v>1.2777334967413475E-2</v>
      </c>
      <c r="E220" s="9">
        <f>SQRT((A220-A$3)^2+(B220-B$3)^2+(C220-C$3)^2+(D220-D$3)^2)</f>
        <v>0.3998358142015343</v>
      </c>
      <c r="G220" s="9">
        <v>8.7077595547097764E-2</v>
      </c>
      <c r="H220" s="9">
        <v>6.4696734035392889E-2</v>
      </c>
      <c r="J220" s="31">
        <v>1.345934950896613</v>
      </c>
    </row>
    <row r="221" spans="1:10" x14ac:dyDescent="0.3">
      <c r="A221" s="9">
        <v>0.36748501490948615</v>
      </c>
      <c r="B221" s="9">
        <v>0.31268275686053276</v>
      </c>
      <c r="C221" s="9">
        <v>0.21528395387833849</v>
      </c>
      <c r="D221" s="9">
        <v>0.10454827435164249</v>
      </c>
      <c r="E221" s="9">
        <f>SQRT((A221-A$3)^2+(B221-B$3)^2+(C221-C$3)^2+(D221-D$3)^2)</f>
        <v>0.40085782730926472</v>
      </c>
      <c r="G221" s="9">
        <v>8.7174228205039936E-2</v>
      </c>
      <c r="H221" s="9">
        <v>7.3139557489355508E-2</v>
      </c>
      <c r="J221" s="31">
        <v>1.1918889202703611</v>
      </c>
    </row>
    <row r="222" spans="1:10" x14ac:dyDescent="0.3">
      <c r="A222" s="9">
        <v>0.2511411915866697</v>
      </c>
      <c r="B222" s="9">
        <v>0.2900861553800676</v>
      </c>
      <c r="C222" s="9">
        <v>0.33021624062731281</v>
      </c>
      <c r="D222" s="9">
        <v>0.12855641240594992</v>
      </c>
      <c r="E222" s="9">
        <f>SQRT((A222-A$3)^2+(B222-B$3)^2+(C222-C$3)^2+(D222-D$3)^2)</f>
        <v>0.4010649019775952</v>
      </c>
      <c r="G222" s="9">
        <v>9.1465705394005128E-2</v>
      </c>
      <c r="H222" s="9">
        <v>8.2621180412206494E-2</v>
      </c>
      <c r="J222" s="31">
        <v>1.1070491239373765</v>
      </c>
    </row>
    <row r="223" spans="1:10" x14ac:dyDescent="0.3">
      <c r="A223" s="9">
        <v>0.22976562867045813</v>
      </c>
      <c r="B223" s="9">
        <v>0.30197277209722551</v>
      </c>
      <c r="C223" s="9">
        <v>0.39739560074021135</v>
      </c>
      <c r="D223" s="9">
        <v>7.0865998492105009E-2</v>
      </c>
      <c r="E223" s="9">
        <f>SQRT((A223-A$3)^2+(B223-B$3)^2+(C223-C$3)^2+(D223-D$3)^2)</f>
        <v>0.40156506378927243</v>
      </c>
      <c r="G223" s="9">
        <v>9.2523782934015947E-2</v>
      </c>
      <c r="H223" s="9">
        <v>8.4124216328448992E-2</v>
      </c>
      <c r="J223" s="31">
        <v>1.0998471899312827</v>
      </c>
    </row>
    <row r="224" spans="1:10" x14ac:dyDescent="0.3">
      <c r="A224" s="9">
        <v>8.5398876681017227E-2</v>
      </c>
      <c r="B224" s="9">
        <v>0.33729109506540966</v>
      </c>
      <c r="C224" s="9">
        <v>0.40253960057470428</v>
      </c>
      <c r="D224" s="9">
        <v>0.17477042767886894</v>
      </c>
      <c r="E224" s="9">
        <f>SQRT((A224-A$3)^2+(B224-B$3)^2+(C224-C$3)^2+(D224-D$3)^2)</f>
        <v>0.40173802734968739</v>
      </c>
      <c r="G224" s="9">
        <v>0.10007827248150346</v>
      </c>
      <c r="H224" s="9">
        <v>9.3584388628140183E-2</v>
      </c>
      <c r="J224" s="31">
        <v>1.0693906745404609</v>
      </c>
    </row>
    <row r="225" spans="1:10" x14ac:dyDescent="0.3">
      <c r="A225" s="9">
        <v>0.16456832857058085</v>
      </c>
      <c r="B225" s="9">
        <v>0.30403892666768079</v>
      </c>
      <c r="C225" s="9">
        <v>0.33891337217917633</v>
      </c>
      <c r="D225" s="9">
        <v>0.19247937258256206</v>
      </c>
      <c r="E225" s="9">
        <f>SQRT((A225-A$3)^2+(B225-B$3)^2+(C225-C$3)^2+(D225-D$3)^2)</f>
        <v>0.40309062289409364</v>
      </c>
      <c r="G225" s="9">
        <v>9.5778340040432258E-2</v>
      </c>
      <c r="H225" s="9">
        <v>8.8997238541283635E-2</v>
      </c>
      <c r="J225" s="31">
        <v>1.0761945158107691</v>
      </c>
    </row>
    <row r="226" spans="1:10" x14ac:dyDescent="0.3">
      <c r="A226" s="9">
        <v>0.35437378148176113</v>
      </c>
      <c r="B226" s="9">
        <v>0.30907735249992913</v>
      </c>
      <c r="C226" s="9">
        <v>0.20506240231963893</v>
      </c>
      <c r="D226" s="9">
        <v>0.13148646369867073</v>
      </c>
      <c r="E226" s="9">
        <f>SQRT((A226-A$3)^2+(B226-B$3)^2+(C226-C$3)^2+(D226-D$3)^2)</f>
        <v>0.40356780009569942</v>
      </c>
      <c r="G226" s="9">
        <v>8.7713427161897589E-2</v>
      </c>
      <c r="H226" s="9">
        <v>7.4369619562694819E-2</v>
      </c>
      <c r="J226" s="31">
        <v>1.1794255191523968</v>
      </c>
    </row>
    <row r="227" spans="1:10" x14ac:dyDescent="0.3">
      <c r="A227" s="9">
        <v>0.10316163758840503</v>
      </c>
      <c r="B227" s="9">
        <v>0.43924962034955561</v>
      </c>
      <c r="C227" s="9">
        <v>0.10679149129729981</v>
      </c>
      <c r="D227" s="9">
        <v>0.35079725076473961</v>
      </c>
      <c r="E227" s="9">
        <f>SQRT((A227-A$3)^2+(B227-B$3)^2+(C227-C$3)^2+(D227-D$3)^2)</f>
        <v>0.40367243836857819</v>
      </c>
      <c r="G227" s="9">
        <v>0.10312421708628207</v>
      </c>
      <c r="H227" s="9">
        <v>9.3755204545167364E-2</v>
      </c>
      <c r="J227" s="31">
        <v>1.0999305861105673</v>
      </c>
    </row>
    <row r="228" spans="1:10" x14ac:dyDescent="0.3">
      <c r="A228" s="9">
        <v>0.2405681915371399</v>
      </c>
      <c r="B228" s="9">
        <v>0.32260011102164959</v>
      </c>
      <c r="C228" s="9">
        <v>0.1861057481700589</v>
      </c>
      <c r="D228" s="9">
        <v>0.25072594927115166</v>
      </c>
      <c r="E228" s="9">
        <f>SQRT((A228-A$3)^2+(B228-B$3)^2+(C228-C$3)^2+(D228-D$3)^2)</f>
        <v>0.40371342755879958</v>
      </c>
      <c r="G228" s="9">
        <v>9.3361966211336633E-2</v>
      </c>
      <c r="H228" s="9">
        <v>8.3775849550660891E-2</v>
      </c>
      <c r="J228" s="31">
        <v>1.1144257767852157</v>
      </c>
    </row>
    <row r="229" spans="1:10" x14ac:dyDescent="0.3">
      <c r="A229" s="9">
        <v>0.32962895853291241</v>
      </c>
      <c r="B229" s="9">
        <v>0.32347543731713313</v>
      </c>
      <c r="C229" s="9">
        <v>0.15601878366417962</v>
      </c>
      <c r="D229" s="9">
        <v>0.19087682048577476</v>
      </c>
      <c r="E229" s="9">
        <f>SQRT((A229-A$3)^2+(B229-B$3)^2+(C229-C$3)^2+(D229-D$3)^2)</f>
        <v>0.40417783595256307</v>
      </c>
      <c r="G229" s="9">
        <v>8.9417873932335926E-2</v>
      </c>
      <c r="H229" s="9">
        <v>7.655301456359806E-2</v>
      </c>
      <c r="J229" s="31">
        <v>1.1680516363996365</v>
      </c>
    </row>
    <row r="230" spans="1:10" x14ac:dyDescent="0.3">
      <c r="A230" s="9">
        <v>0.1466579101588584</v>
      </c>
      <c r="B230" s="9">
        <v>0.3370401306754468</v>
      </c>
      <c r="C230" s="9">
        <v>0.23112464805903668</v>
      </c>
      <c r="D230" s="9">
        <v>0.28517731110665817</v>
      </c>
      <c r="E230" s="9">
        <f>SQRT((A230-A$3)^2+(B230-B$3)^2+(C230-C$3)^2+(D230-D$3)^2)</f>
        <v>0.40544802132602598</v>
      </c>
      <c r="G230" s="9">
        <v>9.7891452229052905E-2</v>
      </c>
      <c r="H230" s="9">
        <v>9.0686138242373676E-2</v>
      </c>
      <c r="J230" s="31">
        <v>1.0794533114578309</v>
      </c>
    </row>
    <row r="231" spans="1:10" x14ac:dyDescent="0.3">
      <c r="A231" s="9">
        <v>0.33362407642729958</v>
      </c>
      <c r="B231" s="9">
        <v>0.29339503637073056</v>
      </c>
      <c r="C231" s="9">
        <v>0.28302711720848861</v>
      </c>
      <c r="D231" s="9">
        <v>8.9953769993481217E-2</v>
      </c>
      <c r="E231" s="9">
        <f>SQRT((A231-A$3)^2+(B231-B$3)^2+(C231-C$3)^2+(D231-D$3)^2)</f>
        <v>0.40552988898087933</v>
      </c>
      <c r="G231" s="9">
        <v>8.7951496570194451E-2</v>
      </c>
      <c r="H231" s="9">
        <v>7.6326137989992077E-2</v>
      </c>
      <c r="J231" s="31">
        <v>1.1523116311967296</v>
      </c>
    </row>
    <row r="232" spans="1:10" x14ac:dyDescent="0.3">
      <c r="A232" s="9">
        <v>0.43275901243754011</v>
      </c>
      <c r="B232" s="9">
        <v>0.39739251840552464</v>
      </c>
      <c r="C232" s="9">
        <v>6.0492107084475909E-2</v>
      </c>
      <c r="D232" s="9">
        <v>0.10935636207245952</v>
      </c>
      <c r="E232" s="9">
        <f>SQRT((A232-A$3)^2+(B232-B$3)^2+(C232-C$3)^2+(D232-D$3)^2)</f>
        <v>0.40642835658596937</v>
      </c>
      <c r="G232" s="9">
        <v>8.7060613125075265E-2</v>
      </c>
      <c r="H232" s="9">
        <v>6.8231059690848181E-2</v>
      </c>
      <c r="J232" s="31">
        <v>1.2759674775614351</v>
      </c>
    </row>
    <row r="233" spans="1:10" x14ac:dyDescent="0.3">
      <c r="A233" s="9">
        <v>4.3669887854598043E-2</v>
      </c>
      <c r="B233" s="9">
        <v>0.40786990481886365</v>
      </c>
      <c r="C233" s="9">
        <v>0.21538742964235111</v>
      </c>
      <c r="D233" s="9">
        <v>0.3330727776841873</v>
      </c>
      <c r="E233" s="9">
        <f>SQRT((A233-A$3)^2+(B233-B$3)^2+(C233-C$3)^2+(D233-D$3)^2)</f>
        <v>0.40714066588930975</v>
      </c>
      <c r="G233" s="9">
        <v>0.10459623665698278</v>
      </c>
      <c r="H233" s="9">
        <v>9.7188629465386034E-2</v>
      </c>
      <c r="J233" s="31">
        <v>1.0762188666754993</v>
      </c>
    </row>
    <row r="234" spans="1:10" x14ac:dyDescent="0.3">
      <c r="A234" s="9">
        <v>0.11922800546333324</v>
      </c>
      <c r="B234" s="9">
        <v>0.4114113102541474</v>
      </c>
      <c r="C234" s="9">
        <v>0.12539498359350115</v>
      </c>
      <c r="D234" s="9">
        <v>0.34396570068901816</v>
      </c>
      <c r="E234" s="9">
        <f>SQRT((A234-A$3)^2+(B234-B$3)^2+(C234-C$3)^2+(D234-D$3)^2)</f>
        <v>0.40725379885395391</v>
      </c>
      <c r="G234" s="9">
        <v>0.10156142541054947</v>
      </c>
      <c r="H234" s="9">
        <v>9.291221248205736E-2</v>
      </c>
      <c r="J234" s="31">
        <v>1.0930901621803741</v>
      </c>
    </row>
    <row r="235" spans="1:10" x14ac:dyDescent="0.3">
      <c r="A235" s="9">
        <v>0.25249471729380824</v>
      </c>
      <c r="B235" s="9">
        <v>0.31623430558490895</v>
      </c>
      <c r="C235" s="9">
        <v>0.18668179529631393</v>
      </c>
      <c r="D235" s="9">
        <v>0.24458918182496892</v>
      </c>
      <c r="E235" s="9">
        <f>SQRT((A235-A$3)^2+(B235-B$3)^2+(C235-C$3)^2+(D235-D$3)^2)</f>
        <v>0.40797279595376224</v>
      </c>
      <c r="G235" s="9">
        <v>9.2640162526797923E-2</v>
      </c>
      <c r="H235" s="9">
        <v>8.3054381855197063E-2</v>
      </c>
      <c r="J235" s="31">
        <v>1.1154157126629802</v>
      </c>
    </row>
    <row r="236" spans="1:10" x14ac:dyDescent="0.3">
      <c r="A236" s="9">
        <v>0.3090739955246678</v>
      </c>
      <c r="B236" s="9">
        <v>0.28959099177408526</v>
      </c>
      <c r="C236" s="9">
        <v>0.33524299011610792</v>
      </c>
      <c r="D236" s="9">
        <v>6.609202258513909E-2</v>
      </c>
      <c r="E236" s="9">
        <f>SQRT((A236-A$3)^2+(B236-B$3)^2+(C236-C$3)^2+(D236-D$3)^2)</f>
        <v>0.40890341502423244</v>
      </c>
      <c r="G236" s="9">
        <v>8.8781435875079154E-2</v>
      </c>
      <c r="H236" s="9">
        <v>7.859521397414318E-2</v>
      </c>
      <c r="J236" s="31">
        <v>1.1296035901662804</v>
      </c>
    </row>
    <row r="237" spans="1:10" x14ac:dyDescent="0.3">
      <c r="A237" s="9">
        <v>0.20858737207577424</v>
      </c>
      <c r="B237" s="9">
        <v>0.30641395913204189</v>
      </c>
      <c r="C237" s="9">
        <v>0.24048041722794675</v>
      </c>
      <c r="D237" s="9">
        <v>0.24451825156423718</v>
      </c>
      <c r="E237" s="9">
        <f>SQRT((A237-A$3)^2+(B237-B$3)^2+(C237-C$3)^2+(D237-D$3)^2)</f>
        <v>0.40913318885678568</v>
      </c>
      <c r="G237" s="9">
        <v>9.418648466486923E-2</v>
      </c>
      <c r="H237" s="9">
        <v>8.6397730668996614E-2</v>
      </c>
      <c r="J237" s="31">
        <v>1.0901499835188098</v>
      </c>
    </row>
    <row r="238" spans="1:10" x14ac:dyDescent="0.3">
      <c r="A238" s="9">
        <v>0.20032095145180542</v>
      </c>
      <c r="B238" s="9">
        <v>0.29493690714809018</v>
      </c>
      <c r="C238" s="9">
        <v>0.29222469683887803</v>
      </c>
      <c r="D238" s="9">
        <v>0.21251744456122643</v>
      </c>
      <c r="E238" s="9">
        <f>SQRT((A238-A$3)^2+(B238-B$3)^2+(C238-C$3)^2+(D238-D$3)^2)</f>
        <v>0.40930000479174633</v>
      </c>
      <c r="G238" s="9">
        <v>9.4063289419964016E-2</v>
      </c>
      <c r="H238" s="9">
        <v>8.6917632514503657E-2</v>
      </c>
      <c r="J238" s="31">
        <v>1.0822118216837993</v>
      </c>
    </row>
    <row r="239" spans="1:10" x14ac:dyDescent="0.3">
      <c r="A239" s="9">
        <v>4.7796859073781443E-2</v>
      </c>
      <c r="B239" s="9">
        <v>0.3629051447126922</v>
      </c>
      <c r="C239" s="9">
        <v>0.46409293835495524</v>
      </c>
      <c r="D239" s="9">
        <v>0.12520505785857108</v>
      </c>
      <c r="E239" s="9">
        <f>SQRT((A239-A$3)^2+(B239-B$3)^2+(C239-C$3)^2+(D239-D$3)^2)</f>
        <v>0.41043733474913174</v>
      </c>
      <c r="G239" s="9">
        <v>0.10227424614787545</v>
      </c>
      <c r="H239" s="9">
        <v>9.5430329992138407E-2</v>
      </c>
      <c r="J239" s="31">
        <v>1.0717163626731758</v>
      </c>
    </row>
    <row r="240" spans="1:10" x14ac:dyDescent="0.3">
      <c r="A240" s="9">
        <v>0.20046135051645031</v>
      </c>
      <c r="B240" s="9">
        <v>0.45685606134473089</v>
      </c>
      <c r="C240" s="9">
        <v>1.285385063407569E-2</v>
      </c>
      <c r="D240" s="9">
        <v>0.32982873750474301</v>
      </c>
      <c r="E240" s="9">
        <f>SQRT((A240-A$3)^2+(B240-B$3)^2+(C240-C$3)^2+(D240-D$3)^2)</f>
        <v>0.41104249841391705</v>
      </c>
      <c r="G240" s="9">
        <v>9.9492026115897331E-2</v>
      </c>
      <c r="H240" s="9">
        <v>8.7915725742058484E-2</v>
      </c>
      <c r="J240" s="31">
        <v>1.1316749680006428</v>
      </c>
    </row>
    <row r="241" spans="1:10" x14ac:dyDescent="0.3">
      <c r="A241" s="9">
        <v>0.48140203478022409</v>
      </c>
      <c r="B241" s="9">
        <v>0.48571599412637101</v>
      </c>
      <c r="C241" s="9">
        <v>7.210187448673396E-3</v>
      </c>
      <c r="D241" s="9">
        <v>2.5671783644731588E-2</v>
      </c>
      <c r="E241" s="9">
        <f>SQRT((A241-A$3)^2+(B241-B$3)^2+(C241-C$3)^2+(D241-D$3)^2)</f>
        <v>0.4112729721379314</v>
      </c>
      <c r="G241" s="9">
        <v>8.7437046943648955E-2</v>
      </c>
      <c r="H241" s="9">
        <v>6.5285661626006394E-2</v>
      </c>
      <c r="J241" s="31">
        <v>1.3392993923311731</v>
      </c>
    </row>
    <row r="242" spans="1:10" x14ac:dyDescent="0.3">
      <c r="A242" s="9">
        <v>0.47099640740658655</v>
      </c>
      <c r="B242" s="9">
        <v>0.390284084054976</v>
      </c>
      <c r="C242" s="9">
        <v>0.11831433363330607</v>
      </c>
      <c r="D242" s="9">
        <v>2.0405174905131364E-2</v>
      </c>
      <c r="E242" s="9">
        <f>SQRT((A242-A$3)^2+(B242-B$3)^2+(C242-C$3)^2+(D242-D$3)^2)</f>
        <v>0.41240758345642803</v>
      </c>
      <c r="G242" s="9">
        <v>8.4905268343391169E-2</v>
      </c>
      <c r="H242" s="9">
        <v>6.5215323657787705E-2</v>
      </c>
      <c r="J242" s="31">
        <v>1.3019220572901686</v>
      </c>
    </row>
    <row r="243" spans="1:10" x14ac:dyDescent="0.3">
      <c r="A243" s="9">
        <v>8.2295503705396025E-2</v>
      </c>
      <c r="B243" s="9">
        <v>0.37474897660579731</v>
      </c>
      <c r="C243" s="9">
        <v>0.21810502089686862</v>
      </c>
      <c r="D243" s="9">
        <v>0.32485049879193811</v>
      </c>
      <c r="E243" s="9">
        <f>SQRT((A243-A$3)^2+(B243-B$3)^2+(C243-C$3)^2+(D243-D$3)^2)</f>
        <v>0.41255920300639698</v>
      </c>
      <c r="G243" s="9">
        <v>0.10191437128901332</v>
      </c>
      <c r="H243" s="9">
        <v>9.5279491777075315E-2</v>
      </c>
      <c r="J243" s="31">
        <v>1.069635966651266</v>
      </c>
    </row>
    <row r="244" spans="1:10" x14ac:dyDescent="0.3">
      <c r="A244" s="9">
        <v>0.12191352113113987</v>
      </c>
      <c r="B244" s="9">
        <v>0.31263257567447733</v>
      </c>
      <c r="C244" s="9">
        <v>0.40689199726919478</v>
      </c>
      <c r="D244" s="9">
        <v>0.15856190592518804</v>
      </c>
      <c r="E244" s="9">
        <f>SQRT((A244-A$3)^2+(B244-B$3)^2+(C244-C$3)^2+(D244-D$3)^2)</f>
        <v>0.41257790206014094</v>
      </c>
      <c r="G244" s="9">
        <v>9.7717942378806988E-2</v>
      </c>
      <c r="H244" s="9">
        <v>9.2010789248509417E-2</v>
      </c>
      <c r="J244" s="31">
        <v>1.0620269989738189</v>
      </c>
    </row>
    <row r="245" spans="1:10" x14ac:dyDescent="0.3">
      <c r="A245" s="9">
        <v>0.12429989807811107</v>
      </c>
      <c r="B245" s="9">
        <v>0.34102550661243469</v>
      </c>
      <c r="C245" s="9">
        <v>0.23599423804828451</v>
      </c>
      <c r="D245" s="9">
        <v>0.29868035726116959</v>
      </c>
      <c r="E245" s="9">
        <f>SQRT((A245-A$3)^2+(B245-B$3)^2+(C245-C$3)^2+(D245-D$3)^2)</f>
        <v>0.41294097614635827</v>
      </c>
      <c r="G245" s="9">
        <v>9.9006076575128832E-2</v>
      </c>
      <c r="H245" s="9">
        <v>9.2588831433929611E-2</v>
      </c>
      <c r="J245" s="31">
        <v>1.0693090628946806</v>
      </c>
    </row>
    <row r="246" spans="1:10" x14ac:dyDescent="0.3">
      <c r="A246" s="9">
        <v>0.41407210171935382</v>
      </c>
      <c r="B246" s="9">
        <v>0.33297620998628741</v>
      </c>
      <c r="C246" s="9">
        <v>0.15610106626312847</v>
      </c>
      <c r="D246" s="9">
        <v>9.6850622031230391E-2</v>
      </c>
      <c r="E246" s="9">
        <f>SQRT((A246-A$3)^2+(B246-B$3)^2+(C246-C$3)^2+(D246-D$3)^2)</f>
        <v>0.41294173019171343</v>
      </c>
      <c r="G246" s="9">
        <v>8.581053119461246E-2</v>
      </c>
      <c r="H246" s="9">
        <v>6.9785930091073325E-2</v>
      </c>
      <c r="J246" s="31">
        <v>1.2296250989651698</v>
      </c>
    </row>
    <row r="247" spans="1:10" x14ac:dyDescent="0.3">
      <c r="A247" s="9">
        <v>0.36130308460509469</v>
      </c>
      <c r="B247" s="9">
        <v>0.33366789452917783</v>
      </c>
      <c r="C247" s="9">
        <v>0.1217653456985982</v>
      </c>
      <c r="D247" s="9">
        <v>0.18326367516712927</v>
      </c>
      <c r="E247" s="9">
        <f>SQRT((A247-A$3)^2+(B247-B$3)^2+(C247-C$3)^2+(D247-D$3)^2)</f>
        <v>0.41338048292277735</v>
      </c>
      <c r="G247" s="9">
        <v>8.8370561316901908E-2</v>
      </c>
      <c r="H247" s="9">
        <v>7.4415855424259561E-2</v>
      </c>
      <c r="J247" s="31">
        <v>1.187523288055802</v>
      </c>
    </row>
    <row r="248" spans="1:10" x14ac:dyDescent="0.3">
      <c r="A248" s="9">
        <v>3.5348966265706383E-2</v>
      </c>
      <c r="B248" s="9">
        <v>0.35512681489832987</v>
      </c>
      <c r="C248" s="9">
        <v>0.40945799853195369</v>
      </c>
      <c r="D248" s="9">
        <v>0.20006622030401008</v>
      </c>
      <c r="E248" s="9">
        <f>SQRT((A248-A$3)^2+(B248-B$3)^2+(C248-C$3)^2+(D248-D$3)^2)</f>
        <v>0.41432433039718591</v>
      </c>
      <c r="G248" s="9">
        <v>0.10283111617658451</v>
      </c>
      <c r="H248" s="9">
        <v>9.701714534355288E-2</v>
      </c>
      <c r="J248" s="31">
        <v>1.059927251131163</v>
      </c>
    </row>
    <row r="249" spans="1:10" x14ac:dyDescent="0.3">
      <c r="A249" s="9">
        <v>8.6805819536101295E-2</v>
      </c>
      <c r="B249" s="9">
        <v>0.32638765321370955</v>
      </c>
      <c r="C249" s="9">
        <v>0.35613597438259575</v>
      </c>
      <c r="D249" s="9">
        <v>0.23067055286759339</v>
      </c>
      <c r="E249" s="9">
        <f>SQRT((A249-A$3)^2+(B249-B$3)^2+(C249-C$3)^2+(D249-D$3)^2)</f>
        <v>0.41490730937101261</v>
      </c>
      <c r="G249" s="9">
        <v>9.9885552167793948E-2</v>
      </c>
      <c r="H249" s="9">
        <v>9.4600470542413814E-2</v>
      </c>
      <c r="J249" s="31">
        <v>1.0558673925729638</v>
      </c>
    </row>
    <row r="250" spans="1:10" x14ac:dyDescent="0.3">
      <c r="A250" s="9">
        <v>0.15933666454352868</v>
      </c>
      <c r="B250" s="9">
        <v>0.30056721948522103</v>
      </c>
      <c r="C250" s="9">
        <v>0.309239896272619</v>
      </c>
      <c r="D250" s="9">
        <v>0.23085621969863143</v>
      </c>
      <c r="E250" s="9">
        <f>SQRT((A250-A$3)^2+(B250-B$3)^2+(C250-C$3)^2+(D250-D$3)^2)</f>
        <v>0.4151877476494677</v>
      </c>
      <c r="G250" s="9">
        <v>9.6031318265009255E-2</v>
      </c>
      <c r="H250" s="9">
        <v>9.0122916495695371E-2</v>
      </c>
      <c r="J250" s="31">
        <v>1.0655593715677865</v>
      </c>
    </row>
    <row r="251" spans="1:10" x14ac:dyDescent="0.3">
      <c r="A251" s="9">
        <v>0.33920507285221585</v>
      </c>
      <c r="B251" s="9">
        <v>0.38816000581212678</v>
      </c>
      <c r="C251" s="9">
        <v>3.706045882508844E-2</v>
      </c>
      <c r="D251" s="9">
        <v>0.23557446251056902</v>
      </c>
      <c r="E251" s="9">
        <f>SQRT((A251-A$3)^2+(B251-B$3)^2+(C251-C$3)^2+(D251-D$3)^2)</f>
        <v>0.41540056811515591</v>
      </c>
      <c r="G251" s="9">
        <v>9.117751114050468E-2</v>
      </c>
      <c r="H251" s="9">
        <v>7.6940854117069316E-2</v>
      </c>
      <c r="J251" s="31">
        <v>1.1850337793465822</v>
      </c>
    </row>
    <row r="252" spans="1:10" x14ac:dyDescent="0.3">
      <c r="A252" s="9">
        <v>0.30303366479972416</v>
      </c>
      <c r="B252" s="9">
        <v>0.28603754917718849</v>
      </c>
      <c r="C252" s="9">
        <v>0.23382249457030052</v>
      </c>
      <c r="D252" s="9">
        <v>0.17710629145278681</v>
      </c>
      <c r="E252" s="9">
        <f>SQRT((A252-A$3)^2+(B252-B$3)^2+(C252-C$3)^2+(D252-D$3)^2)</f>
        <v>0.41734333202263013</v>
      </c>
      <c r="G252" s="9">
        <v>8.9330706060707754E-2</v>
      </c>
      <c r="H252" s="9">
        <v>7.9385191663454008E-2</v>
      </c>
      <c r="J252" s="31">
        <v>1.1252817331400649</v>
      </c>
    </row>
    <row r="253" spans="1:10" x14ac:dyDescent="0.3">
      <c r="A253" s="9">
        <v>2.1268260991141007E-3</v>
      </c>
      <c r="B253" s="9">
        <v>0.37536981058808755</v>
      </c>
      <c r="C253" s="9">
        <v>0.4125777540581837</v>
      </c>
      <c r="D253" s="9">
        <v>0.20992560925461459</v>
      </c>
      <c r="E253" s="9">
        <f>SQRT((A253-A$3)^2+(B253-B$3)^2+(C253-C$3)^2+(D253-D$3)^2)</f>
        <v>0.41773221876466093</v>
      </c>
      <c r="G253" s="9">
        <v>0.10489301623199444</v>
      </c>
      <c r="H253" s="9">
        <v>9.8798188797864561E-2</v>
      </c>
      <c r="J253" s="31">
        <v>1.0616896676780132</v>
      </c>
    </row>
    <row r="254" spans="1:10" x14ac:dyDescent="0.3">
      <c r="A254" s="9">
        <v>0.14448104017603181</v>
      </c>
      <c r="B254" s="9">
        <v>0.29786829271272053</v>
      </c>
      <c r="C254" s="9">
        <v>0.38969692609767148</v>
      </c>
      <c r="D254" s="9">
        <v>0.16795374101357616</v>
      </c>
      <c r="E254" s="9">
        <f>SQRT((A254-A$3)^2+(B254-B$3)^2+(C254-C$3)^2+(D254-D$3)^2)</f>
        <v>0.41852704827905118</v>
      </c>
      <c r="G254" s="9">
        <v>9.6344614310740678E-2</v>
      </c>
      <c r="H254" s="9">
        <v>9.1023901848933608E-2</v>
      </c>
      <c r="J254" s="31">
        <v>1.0584540143163441</v>
      </c>
    </row>
    <row r="255" spans="1:10" x14ac:dyDescent="0.3">
      <c r="A255" s="9">
        <v>0.38366336529493628</v>
      </c>
      <c r="B255" s="9">
        <v>0.30164384022992613</v>
      </c>
      <c r="C255" s="9">
        <v>0.29073241530594457</v>
      </c>
      <c r="D255" s="9">
        <v>2.3960379169193094E-2</v>
      </c>
      <c r="E255" s="9">
        <f>SQRT((A255-A$3)^2+(B255-B$3)^2+(C255-C$3)^2+(D255-D$3)^2)</f>
        <v>0.4188398832140906</v>
      </c>
      <c r="G255" s="9">
        <v>8.585739125219663E-2</v>
      </c>
      <c r="H255" s="9">
        <v>7.3082888852551778E-2</v>
      </c>
      <c r="J255" s="31">
        <v>1.174794710502181</v>
      </c>
    </row>
    <row r="256" spans="1:10" x14ac:dyDescent="0.3">
      <c r="A256" s="9">
        <v>0.12080332764187224</v>
      </c>
      <c r="B256" s="9">
        <v>0.3884557385856639</v>
      </c>
      <c r="C256" s="9">
        <v>0.14477562812871461</v>
      </c>
      <c r="D256" s="9">
        <v>0.34596530564374911</v>
      </c>
      <c r="E256" s="9">
        <f>SQRT((A256-A$3)^2+(B256-B$3)^2+(C256-C$3)^2+(D256-D$3)^2)</f>
        <v>0.41893331565432762</v>
      </c>
      <c r="G256" s="9">
        <v>0.10079246530175527</v>
      </c>
      <c r="H256" s="9">
        <v>9.3410764790783737E-2</v>
      </c>
      <c r="J256" s="31">
        <v>1.0790240881498472</v>
      </c>
    </row>
    <row r="257" spans="1:10" x14ac:dyDescent="0.3">
      <c r="A257" s="9">
        <v>0.32208294289629325</v>
      </c>
      <c r="B257" s="9">
        <v>0.28730485857586119</v>
      </c>
      <c r="C257" s="9">
        <v>0.22247272821242711</v>
      </c>
      <c r="D257" s="9">
        <v>0.16813947031541845</v>
      </c>
      <c r="E257" s="9">
        <f>SQRT((A257-A$3)^2+(B257-B$3)^2+(C257-C$3)^2+(D257-D$3)^2)</f>
        <v>0.41946768134351059</v>
      </c>
      <c r="G257" s="9">
        <v>8.8534476030675907E-2</v>
      </c>
      <c r="H257" s="9">
        <v>7.7922653027120883E-2</v>
      </c>
      <c r="J257" s="31">
        <v>1.1361840567705208</v>
      </c>
    </row>
    <row r="258" spans="1:10" x14ac:dyDescent="0.3">
      <c r="A258" s="9">
        <v>0.19740696104182631</v>
      </c>
      <c r="B258" s="9">
        <v>0.28732077408061296</v>
      </c>
      <c r="C258" s="9">
        <v>0.40367662941306648</v>
      </c>
      <c r="D258" s="9">
        <v>0.11159563546449427</v>
      </c>
      <c r="E258" s="9">
        <f>SQRT((A258-A$3)^2+(B258-B$3)^2+(C258-C$3)^2+(D258-D$3)^2)</f>
        <v>0.41952441451884853</v>
      </c>
      <c r="G258" s="9">
        <v>9.3582738059575149E-2</v>
      </c>
      <c r="H258" s="9">
        <v>8.7448257536726595E-2</v>
      </c>
      <c r="J258" s="31">
        <v>1.0701498314048417</v>
      </c>
    </row>
    <row r="259" spans="1:10" x14ac:dyDescent="0.3">
      <c r="A259" s="9">
        <v>0.19599520116569119</v>
      </c>
      <c r="B259" s="9">
        <v>0.37950343547520216</v>
      </c>
      <c r="C259" s="9">
        <v>9.7266822768518335E-2</v>
      </c>
      <c r="D259" s="9">
        <v>0.32723454059058826</v>
      </c>
      <c r="E259" s="9">
        <f>SQRT((A259-A$3)^2+(B259-B$3)^2+(C259-C$3)^2+(D259-D$3)^2)</f>
        <v>0.4201477399685391</v>
      </c>
      <c r="G259" s="9">
        <v>9.7278770198579126E-2</v>
      </c>
      <c r="H259" s="9">
        <v>8.8389323925041521E-2</v>
      </c>
      <c r="J259" s="31">
        <v>1.1005714930128472</v>
      </c>
    </row>
    <row r="260" spans="1:10" x14ac:dyDescent="0.3">
      <c r="A260" s="9">
        <v>0.15077397587668653</v>
      </c>
      <c r="B260" s="9">
        <v>0.30454184638798382</v>
      </c>
      <c r="C260" s="9">
        <v>0.29027466152089915</v>
      </c>
      <c r="D260" s="9">
        <v>0.25440951621443048</v>
      </c>
      <c r="E260" s="9">
        <f>SQRT((A260-A$3)^2+(B260-B$3)^2+(C260-C$3)^2+(D260-D$3)^2)</f>
        <v>0.42018862122970985</v>
      </c>
      <c r="G260" s="9">
        <v>9.6600904435313634E-2</v>
      </c>
      <c r="H260" s="9">
        <v>9.1044864938589751E-2</v>
      </c>
      <c r="J260" s="31">
        <v>1.0610252923157331</v>
      </c>
    </row>
    <row r="261" spans="1:10" x14ac:dyDescent="0.3">
      <c r="A261" s="9">
        <v>0.17701235876510324</v>
      </c>
      <c r="B261" s="9">
        <v>0.30220451267322818</v>
      </c>
      <c r="C261" s="9">
        <v>0.44768339682410063</v>
      </c>
      <c r="D261" s="9">
        <v>7.3099731737567952E-2</v>
      </c>
      <c r="E261" s="9">
        <f>SQRT((A261-A$3)^2+(B261-B$3)^2+(C261-C$3)^2+(D261-D$3)^2)</f>
        <v>0.42225571128341</v>
      </c>
      <c r="G261" s="9">
        <v>9.4762117374268165E-2</v>
      </c>
      <c r="H261" s="9">
        <v>8.8762073034929057E-2</v>
      </c>
      <c r="J261" s="31">
        <v>1.0675969379058781</v>
      </c>
    </row>
    <row r="262" spans="1:10" x14ac:dyDescent="0.3">
      <c r="A262" s="9">
        <v>0.4312681162147205</v>
      </c>
      <c r="B262" s="9">
        <v>0.32943123093722426</v>
      </c>
      <c r="C262" s="9">
        <v>0.16394240592926282</v>
      </c>
      <c r="D262" s="9">
        <v>7.5358246918792587E-2</v>
      </c>
      <c r="E262" s="9">
        <f>SQRT((A262-A$3)^2+(B262-B$3)^2+(C262-C$3)^2+(D262-D$3)^2)</f>
        <v>0.42232950642270134</v>
      </c>
      <c r="G262" s="9">
        <v>8.4897933618354876E-2</v>
      </c>
      <c r="H262" s="9">
        <v>6.8835177802817393E-2</v>
      </c>
      <c r="J262" s="31">
        <v>1.2333509744327273</v>
      </c>
    </row>
    <row r="263" spans="1:10" x14ac:dyDescent="0.3">
      <c r="A263" s="9">
        <v>0.2985948057515132</v>
      </c>
      <c r="B263" s="9">
        <v>0.31582341929679386</v>
      </c>
      <c r="C263" s="9">
        <v>0.14601791780130463</v>
      </c>
      <c r="D263" s="9">
        <v>0.2395638571503883</v>
      </c>
      <c r="E263" s="9">
        <f>SQRT((A263-A$3)^2+(B263-B$3)^2+(C263-C$3)^2+(D263-D$3)^2)</f>
        <v>0.42257389269420781</v>
      </c>
      <c r="G263" s="9">
        <v>9.0666479346939347E-2</v>
      </c>
      <c r="H263" s="9">
        <v>8.0176473222779446E-2</v>
      </c>
      <c r="J263" s="31">
        <v>1.1308364623997893</v>
      </c>
    </row>
    <row r="264" spans="1:10" x14ac:dyDescent="0.3">
      <c r="A264" s="9">
        <v>0.46619745657846468</v>
      </c>
      <c r="B264" s="9">
        <v>0.40948323675287074</v>
      </c>
      <c r="C264" s="9">
        <v>4.5717786719728003E-2</v>
      </c>
      <c r="D264" s="9">
        <v>7.8601519948936632E-2</v>
      </c>
      <c r="E264" s="9">
        <f>SQRT((A264-A$3)^2+(B264-B$3)^2+(C264-C$3)^2+(D264-D$3)^2)</f>
        <v>0.42300586677480917</v>
      </c>
      <c r="G264" s="9">
        <v>8.5913307924067789E-2</v>
      </c>
      <c r="H264" s="9">
        <v>6.6412272418024332E-2</v>
      </c>
      <c r="J264" s="31">
        <v>1.2936360223197372</v>
      </c>
    </row>
    <row r="265" spans="1:10" x14ac:dyDescent="0.3">
      <c r="A265" s="9">
        <v>0.28082506138510754</v>
      </c>
      <c r="B265" s="9">
        <v>0.41845041480359679</v>
      </c>
      <c r="C265" s="9">
        <v>7.4607191970349164E-3</v>
      </c>
      <c r="D265" s="9">
        <v>0.29326380461426071</v>
      </c>
      <c r="E265" s="9">
        <f>SQRT((A265-A$3)^2+(B265-B$3)^2+(C265-C$3)^2+(D265-D$3)^2)</f>
        <v>0.42315505349490123</v>
      </c>
      <c r="G265" s="9">
        <v>9.4784592084260308E-2</v>
      </c>
      <c r="H265" s="9">
        <v>8.246026711368902E-2</v>
      </c>
      <c r="J265" s="31">
        <v>1.1494577376711572</v>
      </c>
    </row>
    <row r="266" spans="1:10" x14ac:dyDescent="0.3">
      <c r="A266" s="9">
        <v>0.274251677722195</v>
      </c>
      <c r="B266" s="9">
        <v>0.33385064705902223</v>
      </c>
      <c r="C266" s="9">
        <v>0.12035516282924473</v>
      </c>
      <c r="D266" s="9">
        <v>0.27154251238953814</v>
      </c>
      <c r="E266" s="9">
        <f>SQRT((A266-A$3)^2+(B266-B$3)^2+(C266-C$3)^2+(D266-D$3)^2)</f>
        <v>0.42364646935917372</v>
      </c>
      <c r="G266" s="9">
        <v>9.2366316373636931E-2</v>
      </c>
      <c r="H266" s="9">
        <v>8.2351634214395605E-2</v>
      </c>
      <c r="J266" s="31">
        <v>1.121608784753062</v>
      </c>
    </row>
    <row r="267" spans="1:10" x14ac:dyDescent="0.3">
      <c r="A267" s="9">
        <v>0.1871088358605637</v>
      </c>
      <c r="B267" s="9">
        <v>0.32585110052117144</v>
      </c>
      <c r="C267" s="9">
        <v>0.18752064261580281</v>
      </c>
      <c r="D267" s="9">
        <v>0.29951942100246204</v>
      </c>
      <c r="E267" s="9">
        <f>SQRT((A267-A$3)^2+(B267-B$3)^2+(C267-C$3)^2+(D267-D$3)^2)</f>
        <v>0.42377954852170135</v>
      </c>
      <c r="G267" s="9">
        <v>9.5893117213848328E-2</v>
      </c>
      <c r="H267" s="9">
        <v>8.8928472975321568E-2</v>
      </c>
      <c r="J267" s="31">
        <v>1.0783173713154786</v>
      </c>
    </row>
    <row r="268" spans="1:10" x14ac:dyDescent="0.3">
      <c r="A268" s="9">
        <v>0.2630641564272353</v>
      </c>
      <c r="B268" s="9">
        <v>0.28844105090910543</v>
      </c>
      <c r="C268" s="9">
        <v>0.22177851619063688</v>
      </c>
      <c r="D268" s="9">
        <v>0.22671627647302245</v>
      </c>
      <c r="E268" s="9">
        <f>SQRT((A268-A$3)^2+(B268-B$3)^2+(C268-C$3)^2+(D268-D$3)^2)</f>
        <v>0.42402855877395756</v>
      </c>
      <c r="G268" s="9">
        <v>9.1270162605444086E-2</v>
      </c>
      <c r="H268" s="9">
        <v>8.3000110034141733E-2</v>
      </c>
      <c r="J268" s="31">
        <v>1.099639055513306</v>
      </c>
    </row>
    <row r="269" spans="1:10" x14ac:dyDescent="0.3">
      <c r="A269" s="9">
        <v>0.26781638473837482</v>
      </c>
      <c r="B269" s="9">
        <v>0.27380041705611663</v>
      </c>
      <c r="C269" s="9">
        <v>0.36951346766620063</v>
      </c>
      <c r="D269" s="9">
        <v>8.8869730539307953E-2</v>
      </c>
      <c r="E269" s="9">
        <f>SQRT((A269-A$3)^2+(B269-B$3)^2+(C269-C$3)^2+(D269-D$3)^2)</f>
        <v>0.42480073438305055</v>
      </c>
      <c r="G269" s="9">
        <v>9.0114754976614628E-2</v>
      </c>
      <c r="H269" s="9">
        <v>8.2699259493880586E-2</v>
      </c>
      <c r="J269" s="31">
        <v>1.0896682210713478</v>
      </c>
    </row>
    <row r="270" spans="1:10" x14ac:dyDescent="0.3">
      <c r="A270" s="9">
        <v>0.13189219008433065</v>
      </c>
      <c r="B270" s="9">
        <v>0.30954553631509063</v>
      </c>
      <c r="C270" s="9">
        <v>0.29026215271147388</v>
      </c>
      <c r="D270" s="9">
        <v>0.26830012088910488</v>
      </c>
      <c r="E270" s="9">
        <f>SQRT((A270-A$3)^2+(B270-B$3)^2+(C270-C$3)^2+(D270-D$3)^2)</f>
        <v>0.42480701828824985</v>
      </c>
      <c r="G270" s="9">
        <v>9.7601942582039622E-2</v>
      </c>
      <c r="H270" s="9">
        <v>9.2581679345485127E-2</v>
      </c>
      <c r="J270" s="31">
        <v>1.0542252341072846</v>
      </c>
    </row>
    <row r="271" spans="1:10" x14ac:dyDescent="0.3">
      <c r="A271" s="9">
        <v>0.38199088506363599</v>
      </c>
      <c r="B271" s="9">
        <v>0.2961972510762621</v>
      </c>
      <c r="C271" s="9">
        <v>0.20221094764317576</v>
      </c>
      <c r="D271" s="9">
        <v>0.11960091621692627</v>
      </c>
      <c r="E271" s="9">
        <f>SQRT((A271-A$3)^2+(B271-B$3)^2+(C271-C$3)^2+(D271-D$3)^2)</f>
        <v>0.42524516707572363</v>
      </c>
      <c r="G271" s="9">
        <v>8.6108024614511142E-2</v>
      </c>
      <c r="H271" s="9">
        <v>7.3174552779932095E-2</v>
      </c>
      <c r="J271" s="31">
        <v>1.1767482183796278</v>
      </c>
    </row>
    <row r="272" spans="1:10" x14ac:dyDescent="0.3">
      <c r="A272" s="9">
        <v>0.27918198725321097</v>
      </c>
      <c r="B272" s="9">
        <v>0.32102306451936791</v>
      </c>
      <c r="C272" s="9">
        <v>0.13862964424058102</v>
      </c>
      <c r="D272" s="9">
        <v>0.26116530398684012</v>
      </c>
      <c r="E272" s="9">
        <f>SQRT((A272-A$3)^2+(B272-B$3)^2+(C272-C$3)^2+(D272-D$3)^2)</f>
        <v>0.42533347770754443</v>
      </c>
      <c r="G272" s="9">
        <v>9.1724058624673338E-2</v>
      </c>
      <c r="H272" s="9">
        <v>8.1963805709496296E-2</v>
      </c>
      <c r="J272" s="31">
        <v>1.1190800357632273</v>
      </c>
    </row>
    <row r="273" spans="1:10" x14ac:dyDescent="0.3">
      <c r="A273" s="9">
        <v>1.281149900274413E-2</v>
      </c>
      <c r="B273" s="9">
        <v>0.5888870322321218</v>
      </c>
      <c r="C273" s="9">
        <v>2.4181698026317592E-2</v>
      </c>
      <c r="D273" s="9">
        <v>0.37411977073881642</v>
      </c>
      <c r="E273" s="9">
        <f>SQRT((A273-A$3)^2+(B273-B$3)^2+(C273-C$3)^2+(D273-D$3)^2)</f>
        <v>0.42555629422426694</v>
      </c>
      <c r="G273" s="9">
        <v>0.11164387747535214</v>
      </c>
      <c r="H273" s="9">
        <v>9.9410669862828899E-2</v>
      </c>
      <c r="J273" s="31">
        <v>1.1230572898201283</v>
      </c>
    </row>
    <row r="274" spans="1:10" x14ac:dyDescent="0.3">
      <c r="A274" s="9">
        <v>0.32825448191398038</v>
      </c>
      <c r="B274" s="9">
        <v>0.34015479412972205</v>
      </c>
      <c r="C274" s="9">
        <v>9.2840761141449221E-2</v>
      </c>
      <c r="D274" s="9">
        <v>0.23874996281484845</v>
      </c>
      <c r="E274" s="9">
        <f>SQRT((A274-A$3)^2+(B274-B$3)^2+(C274-C$3)^2+(D274-D$3)^2)</f>
        <v>0.42573270814064001</v>
      </c>
      <c r="G274" s="9">
        <v>9.0166060230128645E-2</v>
      </c>
      <c r="H274" s="9">
        <v>7.8056681673540657E-2</v>
      </c>
      <c r="J274" s="31">
        <v>1.1551357077570052</v>
      </c>
    </row>
    <row r="275" spans="1:10" x14ac:dyDescent="0.3">
      <c r="A275" s="9">
        <v>0.22476444272583898</v>
      </c>
      <c r="B275" s="9">
        <v>0.30638693111019749</v>
      </c>
      <c r="C275" s="9">
        <v>0.19576691964875126</v>
      </c>
      <c r="D275" s="9">
        <v>0.2730817065152123</v>
      </c>
      <c r="E275" s="9">
        <f>SQRT((A275-A$3)^2+(B275-B$3)^2+(C275-C$3)^2+(D275-D$3)^2)</f>
        <v>0.42633860788865413</v>
      </c>
      <c r="G275" s="9">
        <v>9.36080513039423E-2</v>
      </c>
      <c r="H275" s="9">
        <v>8.6198030306601572E-2</v>
      </c>
      <c r="J275" s="31">
        <v>1.0859650849443276</v>
      </c>
    </row>
    <row r="276" spans="1:10" x14ac:dyDescent="0.3">
      <c r="A276" s="9">
        <v>0.31756675973437903</v>
      </c>
      <c r="B276" s="9">
        <v>0.2729586954717258</v>
      </c>
      <c r="C276" s="9">
        <v>0.33044721479349154</v>
      </c>
      <c r="D276" s="9">
        <v>7.9027330000403628E-2</v>
      </c>
      <c r="E276" s="9">
        <f>SQRT((A276-A$3)^2+(B276-B$3)^2+(C276-C$3)^2+(D276-D$3)^2)</f>
        <v>0.42663639185786406</v>
      </c>
      <c r="G276" s="9">
        <v>8.7956368715065458E-2</v>
      </c>
      <c r="H276" s="9">
        <v>7.890310244253998E-2</v>
      </c>
      <c r="J276" s="31">
        <v>1.1147390405734474</v>
      </c>
    </row>
    <row r="277" spans="1:10" x14ac:dyDescent="0.3">
      <c r="A277" s="9">
        <v>0.30564004201404105</v>
      </c>
      <c r="B277" s="9">
        <v>0.36020278941861722</v>
      </c>
      <c r="C277" s="9">
        <v>6.5583072680824889E-2</v>
      </c>
      <c r="D277" s="9">
        <v>0.26857409588651698</v>
      </c>
      <c r="E277" s="9">
        <f>SQRT((A277-A$3)^2+(B277-B$3)^2+(C277-C$3)^2+(D277-D$3)^2)</f>
        <v>0.42778363990633661</v>
      </c>
      <c r="G277" s="9">
        <v>9.1847686562347305E-2</v>
      </c>
      <c r="H277" s="9">
        <v>8.0250999267612713E-2</v>
      </c>
      <c r="J277" s="31">
        <v>1.144505207418828</v>
      </c>
    </row>
    <row r="278" spans="1:10" x14ac:dyDescent="0.3">
      <c r="A278" s="9">
        <v>0.47595432083846956</v>
      </c>
      <c r="B278" s="9">
        <v>0.36447712235967716</v>
      </c>
      <c r="C278" s="9">
        <v>0.14388511644663662</v>
      </c>
      <c r="D278" s="9">
        <v>1.5683440355216658E-2</v>
      </c>
      <c r="E278" s="9">
        <f>SQRT((A278-A$3)^2+(B278-B$3)^2+(C278-C$3)^2+(D278-D$3)^2)</f>
        <v>0.4280159250419413</v>
      </c>
      <c r="G278" s="9">
        <v>8.3881093631783657E-2</v>
      </c>
      <c r="H278" s="9">
        <v>6.5574460537276766E-2</v>
      </c>
      <c r="J278" s="31">
        <v>1.2791732168974568</v>
      </c>
    </row>
    <row r="279" spans="1:10" x14ac:dyDescent="0.3">
      <c r="A279" s="9">
        <v>8.3122336844605363E-2</v>
      </c>
      <c r="B279" s="9">
        <v>0.31560593332232756</v>
      </c>
      <c r="C279" s="9">
        <v>0.37650532576418222</v>
      </c>
      <c r="D279" s="9">
        <v>0.22476640406888496</v>
      </c>
      <c r="E279" s="9">
        <f>SQRT((A279-A$3)^2+(B279-B$3)^2+(C279-C$3)^2+(D279-D$3)^2)</f>
        <v>0.42867179081462176</v>
      </c>
      <c r="G279" s="9">
        <v>9.9685848286366535E-2</v>
      </c>
      <c r="H279" s="9">
        <v>9.5521369544126322E-2</v>
      </c>
      <c r="J279" s="31">
        <v>1.0435973516932924</v>
      </c>
    </row>
    <row r="280" spans="1:10" x14ac:dyDescent="0.3">
      <c r="A280" s="9">
        <v>0.26971550630949448</v>
      </c>
      <c r="B280" s="9">
        <v>0.27196656927610213</v>
      </c>
      <c r="C280" s="9">
        <v>0.26549482034153515</v>
      </c>
      <c r="D280" s="9">
        <v>0.19282310407286818</v>
      </c>
      <c r="E280" s="9">
        <f>SQRT((A280-A$3)^2+(B280-B$3)^2+(C280-C$3)^2+(D280-D$3)^2)</f>
        <v>0.42871099895788561</v>
      </c>
      <c r="G280" s="9">
        <v>9.0356896800883407E-2</v>
      </c>
      <c r="H280" s="9">
        <v>8.2694611294871642E-2</v>
      </c>
      <c r="J280" s="31">
        <v>1.0926576156055643</v>
      </c>
    </row>
    <row r="281" spans="1:10" x14ac:dyDescent="0.3">
      <c r="A281" s="9">
        <v>0.18986250086863185</v>
      </c>
      <c r="B281" s="9">
        <v>0.27659881360151517</v>
      </c>
      <c r="C281" s="9">
        <v>0.3830361064998527</v>
      </c>
      <c r="D281" s="9">
        <v>0.15050257903000008</v>
      </c>
      <c r="E281" s="9">
        <f>SQRT((A281-A$3)^2+(B281-B$3)^2+(C281-C$3)^2+(D281-D$3)^2)</f>
        <v>0.42895375425038057</v>
      </c>
      <c r="G281" s="9">
        <v>9.3710907398126139E-2</v>
      </c>
      <c r="H281" s="9">
        <v>8.8589299536249638E-2</v>
      </c>
      <c r="J281" s="31">
        <v>1.0578129400355041</v>
      </c>
    </row>
    <row r="282" spans="1:10" x14ac:dyDescent="0.3">
      <c r="A282" s="9">
        <v>0.17988753232553203</v>
      </c>
      <c r="B282" s="9">
        <v>0.2872736202473139</v>
      </c>
      <c r="C282" s="9">
        <v>0.28501030333165089</v>
      </c>
      <c r="D282" s="9">
        <v>0.24782854409550314</v>
      </c>
      <c r="E282" s="9">
        <f>SQRT((A282-A$3)^2+(B282-B$3)^2+(C282-C$3)^2+(D282-D$3)^2)</f>
        <v>0.43029022353494339</v>
      </c>
      <c r="G282" s="9">
        <v>9.4816079225023581E-2</v>
      </c>
      <c r="H282" s="9">
        <v>8.9575794003998468E-2</v>
      </c>
      <c r="J282" s="31">
        <v>1.0585011305709575</v>
      </c>
    </row>
    <row r="283" spans="1:10" x14ac:dyDescent="0.3">
      <c r="A283" s="9">
        <v>0.22693428116823475</v>
      </c>
      <c r="B283" s="9">
        <v>0.2835237395494718</v>
      </c>
      <c r="C283" s="9">
        <v>0.24396927282371633</v>
      </c>
      <c r="D283" s="9">
        <v>0.24557270645857718</v>
      </c>
      <c r="E283" s="9">
        <f>SQRT((A283-A$3)^2+(B283-B$3)^2+(C283-C$3)^2+(D283-D$3)^2)</f>
        <v>0.43163455067130768</v>
      </c>
      <c r="G283" s="9">
        <v>9.2709344679027916E-2</v>
      </c>
      <c r="H283" s="9">
        <v>8.6221178742055163E-2</v>
      </c>
      <c r="J283" s="31">
        <v>1.0752502579022165</v>
      </c>
    </row>
    <row r="284" spans="1:10" x14ac:dyDescent="0.3">
      <c r="A284" s="9">
        <v>0.36294465169240731</v>
      </c>
      <c r="B284" s="9">
        <v>0.28461763881763052</v>
      </c>
      <c r="C284" s="9">
        <v>0.20798293851480462</v>
      </c>
      <c r="D284" s="9">
        <v>0.14445477097515746</v>
      </c>
      <c r="E284" s="9">
        <f>SQRT((A284-A$3)^2+(B284-B$3)^2+(C284-C$3)^2+(D284-D$3)^2)</f>
        <v>0.43165724424259494</v>
      </c>
      <c r="G284" s="9">
        <v>8.6643138674974779E-2</v>
      </c>
      <c r="H284" s="9">
        <v>7.5134384070201204E-2</v>
      </c>
      <c r="J284" s="31">
        <v>1.1531756032500442</v>
      </c>
    </row>
    <row r="285" spans="1:10" x14ac:dyDescent="0.3">
      <c r="A285" s="9">
        <v>0.25134328718841853</v>
      </c>
      <c r="B285" s="9">
        <v>0.27865899438445041</v>
      </c>
      <c r="C285" s="9">
        <v>0.24007448130956069</v>
      </c>
      <c r="D285" s="9">
        <v>0.22992323711757043</v>
      </c>
      <c r="E285" s="9">
        <f>SQRT((A285-A$3)^2+(B285-B$3)^2+(C285-C$3)^2+(D285-D$3)^2)</f>
        <v>0.43216843195694082</v>
      </c>
      <c r="G285" s="9">
        <v>9.1473275131372989E-2</v>
      </c>
      <c r="H285" s="9">
        <v>8.435376576307535E-2</v>
      </c>
      <c r="J285" s="31">
        <v>1.084400610973246</v>
      </c>
    </row>
    <row r="286" spans="1:10" x14ac:dyDescent="0.3">
      <c r="A286" s="9">
        <v>0.28814680865162484</v>
      </c>
      <c r="B286" s="9">
        <v>0.32262144517498026</v>
      </c>
      <c r="C286" s="9">
        <v>0.12310735457978486</v>
      </c>
      <c r="D286" s="9">
        <v>0.2661243915936099</v>
      </c>
      <c r="E286" s="9">
        <f>SQRT((A286-A$3)^2+(B286-B$3)^2+(C286-C$3)^2+(D286-D$3)^2)</f>
        <v>0.43227670831543147</v>
      </c>
      <c r="G286" s="9">
        <v>9.1413782109546857E-2</v>
      </c>
      <c r="H286" s="9">
        <v>8.1657393874411538E-2</v>
      </c>
      <c r="J286" s="31">
        <v>1.1194795446220163</v>
      </c>
    </row>
    <row r="287" spans="1:10" x14ac:dyDescent="0.3">
      <c r="A287" s="9">
        <v>0.23644587428676958</v>
      </c>
      <c r="B287" s="9">
        <v>0.27237066763429835</v>
      </c>
      <c r="C287" s="9">
        <v>0.40075318076322097</v>
      </c>
      <c r="D287" s="9">
        <v>9.0430277315711294E-2</v>
      </c>
      <c r="E287" s="9">
        <f>SQRT((A287-A$3)^2+(B287-B$3)^2+(C287-C$3)^2+(D287-D$3)^2)</f>
        <v>0.43244615591331592</v>
      </c>
      <c r="G287" s="9">
        <v>9.1398185799816414E-2</v>
      </c>
      <c r="H287" s="9">
        <v>8.5450727823797645E-2</v>
      </c>
      <c r="J287" s="31">
        <v>1.0696010218693823</v>
      </c>
    </row>
    <row r="288" spans="1:10" x14ac:dyDescent="0.3">
      <c r="A288" s="9">
        <v>0.35605728005666337</v>
      </c>
      <c r="B288" s="9">
        <v>0.2732449048966078</v>
      </c>
      <c r="C288" s="9">
        <v>0.27858517454299297</v>
      </c>
      <c r="D288" s="9">
        <v>9.2112640503736035E-2</v>
      </c>
      <c r="E288" s="9">
        <f>SQRT((A288-A$3)^2+(B288-B$3)^2+(C288-C$3)^2+(D288-D$3)^2)</f>
        <v>0.43246828924611391</v>
      </c>
      <c r="G288" s="9">
        <v>8.6390917873017531E-2</v>
      </c>
      <c r="H288" s="9">
        <v>7.5951381893476805E-2</v>
      </c>
      <c r="J288" s="31">
        <v>1.1374502440809091</v>
      </c>
    </row>
    <row r="289" spans="1:10" x14ac:dyDescent="0.3">
      <c r="A289" s="9">
        <v>6.6259442913345276E-3</v>
      </c>
      <c r="B289" s="9">
        <v>0.35827765963153985</v>
      </c>
      <c r="C289" s="9">
        <v>0.40052910424700067</v>
      </c>
      <c r="D289" s="9">
        <v>0.23456729183012504</v>
      </c>
      <c r="E289" s="9">
        <f>SQRT((A289-A$3)^2+(B289-B$3)^2+(C289-C$3)^2+(D289-D$3)^2)</f>
        <v>0.43319100405141708</v>
      </c>
      <c r="G289" s="9">
        <v>0.10426468769123365</v>
      </c>
      <c r="H289" s="9">
        <v>9.9719844387112538E-2</v>
      </c>
      <c r="J289" s="31">
        <v>1.0455761170913787</v>
      </c>
    </row>
    <row r="290" spans="1:10" x14ac:dyDescent="0.3">
      <c r="A290" s="9">
        <v>2.8267712939345616E-2</v>
      </c>
      <c r="B290" s="9">
        <v>0.41644973621033665</v>
      </c>
      <c r="C290" s="9">
        <v>0.18828103972370702</v>
      </c>
      <c r="D290" s="9">
        <v>0.36700151112661072</v>
      </c>
      <c r="E290" s="9">
        <f>SQRT((A290-A$3)^2+(B290-B$3)^2+(C290-C$3)^2+(D290-D$3)^2)</f>
        <v>0.43362799979263283</v>
      </c>
      <c r="G290" s="9">
        <v>0.10563426324834302</v>
      </c>
      <c r="H290" s="9">
        <v>9.9616237682557368E-2</v>
      </c>
      <c r="J290" s="31">
        <v>1.0604120945117705</v>
      </c>
    </row>
    <row r="291" spans="1:10" x14ac:dyDescent="0.3">
      <c r="A291" s="9">
        <v>0.45224420898038276</v>
      </c>
      <c r="B291" s="9">
        <v>0.32638693451522088</v>
      </c>
      <c r="C291" s="9">
        <v>0.18328949996903615</v>
      </c>
      <c r="D291" s="9">
        <v>3.8079356535360091E-2</v>
      </c>
      <c r="E291" s="9">
        <f>SQRT((A291-A$3)^2+(B291-B$3)^2+(C291-C$3)^2+(D291-D$3)^2)</f>
        <v>0.43398263100219525</v>
      </c>
      <c r="G291" s="9">
        <v>8.3783988802646508E-2</v>
      </c>
      <c r="H291" s="9">
        <v>6.779660313254994E-2</v>
      </c>
      <c r="J291" s="31">
        <v>1.2358139631102083</v>
      </c>
    </row>
    <row r="292" spans="1:10" x14ac:dyDescent="0.3">
      <c r="A292" s="9">
        <v>0.13556566919516141</v>
      </c>
      <c r="B292" s="9">
        <v>0.30829684064380997</v>
      </c>
      <c r="C292" s="9">
        <v>0.26701770843601291</v>
      </c>
      <c r="D292" s="9">
        <v>0.28911978172501568</v>
      </c>
      <c r="E292" s="9">
        <f>SQRT((A292-A$3)^2+(B292-B$3)^2+(C292-C$3)^2+(D292-D$3)^2)</f>
        <v>0.4340989580847352</v>
      </c>
      <c r="G292" s="9">
        <v>9.7484409584237069E-2</v>
      </c>
      <c r="H292" s="9">
        <v>9.2927307519662772E-2</v>
      </c>
      <c r="J292" s="31">
        <v>1.049039428626618</v>
      </c>
    </row>
    <row r="293" spans="1:10" x14ac:dyDescent="0.3">
      <c r="A293" s="9">
        <v>0.33732295860336969</v>
      </c>
      <c r="B293" s="9">
        <v>0.27087822081005164</v>
      </c>
      <c r="C293" s="9">
        <v>0.24500677215173969</v>
      </c>
      <c r="D293" s="9">
        <v>0.14679204843483884</v>
      </c>
      <c r="E293" s="9">
        <f>SQRT((A293-A$3)^2+(B293-B$3)^2+(C293-C$3)^2+(D293-D$3)^2)</f>
        <v>0.43433862606450618</v>
      </c>
      <c r="G293" s="9">
        <v>8.7306488270468552E-2</v>
      </c>
      <c r="H293" s="9">
        <v>7.7484658933918218E-2</v>
      </c>
      <c r="J293" s="31">
        <v>1.126758373485605</v>
      </c>
    </row>
    <row r="294" spans="1:10" x14ac:dyDescent="0.3">
      <c r="A294" s="9">
        <v>0.18511270936623928</v>
      </c>
      <c r="B294" s="9">
        <v>0.31003170530799007</v>
      </c>
      <c r="C294" s="9">
        <v>0.20582179348442523</v>
      </c>
      <c r="D294" s="9">
        <v>0.29903379184134549</v>
      </c>
      <c r="E294" s="9">
        <f>SQRT((A294-A$3)^2+(B294-B$3)^2+(C294-C$3)^2+(D294-D$3)^2)</f>
        <v>0.4349658620785225</v>
      </c>
      <c r="G294" s="9">
        <v>9.5486274981119945E-2</v>
      </c>
      <c r="H294" s="9">
        <v>8.9639185254527048E-2</v>
      </c>
      <c r="J294" s="31">
        <v>1.0652291708139727</v>
      </c>
    </row>
    <row r="295" spans="1:10" x14ac:dyDescent="0.3">
      <c r="A295" s="9">
        <v>0.36568721638879198</v>
      </c>
      <c r="B295" s="9">
        <v>0.27486489879275405</v>
      </c>
      <c r="C295" s="9">
        <v>0.248474628057617</v>
      </c>
      <c r="D295" s="9">
        <v>0.11097325676083704</v>
      </c>
      <c r="E295" s="9">
        <f>SQRT((A295-A$3)^2+(B295-B$3)^2+(C295-C$3)^2+(D295-D$3)^2)</f>
        <v>0.43506484173298055</v>
      </c>
      <c r="G295" s="9">
        <v>8.6103948734570335E-2</v>
      </c>
      <c r="H295" s="9">
        <v>7.5185256929437089E-2</v>
      </c>
      <c r="J295" s="31">
        <v>1.1452238410966749</v>
      </c>
    </row>
    <row r="296" spans="1:10" x14ac:dyDescent="0.3">
      <c r="A296" s="9">
        <v>0.18026677264076379</v>
      </c>
      <c r="B296" s="9">
        <v>0.32667367987254819</v>
      </c>
      <c r="C296" s="9">
        <v>0.17590506215982485</v>
      </c>
      <c r="D296" s="9">
        <v>0.31715448532686324</v>
      </c>
      <c r="E296" s="9">
        <f>SQRT((A296-A$3)^2+(B296-B$3)^2+(C296-C$3)^2+(D296-D$3)^2)</f>
        <v>0.43518192101808478</v>
      </c>
      <c r="G296" s="9">
        <v>9.6271153895584868E-2</v>
      </c>
      <c r="H296" s="9">
        <v>9.0093271351674581E-2</v>
      </c>
      <c r="J296" s="31">
        <v>1.068572074820052</v>
      </c>
    </row>
    <row r="297" spans="1:10" x14ac:dyDescent="0.3">
      <c r="A297" s="9">
        <v>8.7488056043721785E-2</v>
      </c>
      <c r="B297" s="9">
        <v>0.42506411895836627</v>
      </c>
      <c r="C297" s="9">
        <v>0.10865929045261712</v>
      </c>
      <c r="D297" s="9">
        <v>0.37878853454529493</v>
      </c>
      <c r="E297" s="9">
        <f>SQRT((A297-A$3)^2+(B297-B$3)^2+(C297-C$3)^2+(D297-D$3)^2)</f>
        <v>0.43562618584373053</v>
      </c>
      <c r="G297" s="9">
        <v>0.10344805944588259</v>
      </c>
      <c r="H297" s="9">
        <v>9.6527511881477526E-2</v>
      </c>
      <c r="J297" s="31">
        <v>1.0716950787346777</v>
      </c>
    </row>
    <row r="298" spans="1:10" x14ac:dyDescent="0.3">
      <c r="A298" s="9">
        <v>0.40634669510706278</v>
      </c>
      <c r="B298" s="9">
        <v>0.30831879722936723</v>
      </c>
      <c r="C298" s="9">
        <v>0.15161551111334984</v>
      </c>
      <c r="D298" s="9">
        <v>0.13371899655022004</v>
      </c>
      <c r="E298" s="9">
        <f>SQRT((A298-A$3)^2+(B298-B$3)^2+(C298-C$3)^2+(D298-D$3)^2)</f>
        <v>0.43583370137759353</v>
      </c>
      <c r="G298" s="9">
        <v>8.5507964342441303E-2</v>
      </c>
      <c r="H298" s="9">
        <v>7.1627961474225552E-2</v>
      </c>
      <c r="J298" s="31">
        <v>1.193779113387309</v>
      </c>
    </row>
    <row r="299" spans="1:10" x14ac:dyDescent="0.3">
      <c r="A299" s="9">
        <v>0.32667289769564006</v>
      </c>
      <c r="B299" s="9">
        <v>0.37447495788993374</v>
      </c>
      <c r="C299" s="9">
        <v>3.3786644125023309E-2</v>
      </c>
      <c r="D299" s="9">
        <v>0.26506550028940301</v>
      </c>
      <c r="E299" s="9">
        <f>SQRT((A299-A$3)^2+(B299-B$3)^2+(C299-C$3)^2+(D299-D$3)^2)</f>
        <v>0.43585260864824965</v>
      </c>
      <c r="G299" s="9">
        <v>9.1389916267648696E-2</v>
      </c>
      <c r="H299" s="9">
        <v>7.9130639992064586E-2</v>
      </c>
      <c r="J299" s="31">
        <v>1.1549245181994421</v>
      </c>
    </row>
    <row r="300" spans="1:10" x14ac:dyDescent="0.3">
      <c r="A300" s="9">
        <v>0.13853253265835619</v>
      </c>
      <c r="B300" s="9">
        <v>0.35846403850318775</v>
      </c>
      <c r="C300" s="9">
        <v>0.15600272755829131</v>
      </c>
      <c r="D300" s="9">
        <v>0.34700070128016475</v>
      </c>
      <c r="E300" s="9">
        <f>SQRT((A300-A$3)^2+(B300-B$3)^2+(C300-C$3)^2+(D300-D$3)^2)</f>
        <v>0.43609780031394368</v>
      </c>
      <c r="G300" s="9">
        <v>9.9121684162540399E-2</v>
      </c>
      <c r="H300" s="9">
        <v>9.3156956548558822E-2</v>
      </c>
      <c r="J300" s="31">
        <v>1.0640287943592535</v>
      </c>
    </row>
    <row r="301" spans="1:10" x14ac:dyDescent="0.3">
      <c r="A301" s="9">
        <v>0.41709209115193319</v>
      </c>
      <c r="B301" s="9">
        <v>0.35650700440727251</v>
      </c>
      <c r="C301" s="9">
        <v>6.2789131290238318E-2</v>
      </c>
      <c r="D301" s="9">
        <v>0.16361177315055592</v>
      </c>
      <c r="E301" s="9">
        <f>SQRT((A301-A$3)^2+(B301-B$3)^2+(C301-C$3)^2+(D301-D$3)^2)</f>
        <v>0.43642967385824133</v>
      </c>
      <c r="G301" s="9">
        <v>8.6654245246412853E-2</v>
      </c>
      <c r="H301" s="9">
        <v>7.1066007562406122E-2</v>
      </c>
      <c r="J301" s="31">
        <v>1.2193487184476774</v>
      </c>
    </row>
    <row r="302" spans="1:10" x14ac:dyDescent="0.3">
      <c r="A302" s="9">
        <v>0.43517671167582028</v>
      </c>
      <c r="B302" s="9">
        <v>0.32630373847170213</v>
      </c>
      <c r="C302" s="9">
        <v>0.13117304854924164</v>
      </c>
      <c r="D302" s="9">
        <v>0.10734650130323596</v>
      </c>
      <c r="E302" s="9">
        <f>SQRT((A302-A$3)^2+(B302-B$3)^2+(C302-C$3)^2+(D302-D$3)^2)</f>
        <v>0.436777406333267</v>
      </c>
      <c r="G302" s="9">
        <v>8.475310031656362E-2</v>
      </c>
      <c r="H302" s="9">
        <v>6.9236895837042664E-2</v>
      </c>
      <c r="J302" s="31">
        <v>1.2241031214923357</v>
      </c>
    </row>
    <row r="303" spans="1:10" x14ac:dyDescent="0.3">
      <c r="A303" s="9">
        <v>2.2976201007816804E-2</v>
      </c>
      <c r="B303" s="9">
        <v>0.47287146772047689</v>
      </c>
      <c r="C303" s="9">
        <v>0.11483880302923463</v>
      </c>
      <c r="D303" s="9">
        <v>0.38931352824247167</v>
      </c>
      <c r="E303" s="9">
        <f>SQRT((A303-A$3)^2+(B303-B$3)^2+(C303-C$3)^2+(D303-D$3)^2)</f>
        <v>0.43679389769252536</v>
      </c>
      <c r="G303" s="9">
        <v>0.10768331946367843</v>
      </c>
      <c r="H303" s="9">
        <v>0.10011118156212345</v>
      </c>
      <c r="J303" s="31">
        <v>1.0756372843013158</v>
      </c>
    </row>
    <row r="304" spans="1:10" x14ac:dyDescent="0.3">
      <c r="A304" s="9">
        <v>0.18088654908023363</v>
      </c>
      <c r="B304" s="9">
        <v>0.28040827034745958</v>
      </c>
      <c r="C304" s="9">
        <v>0.29153744225006395</v>
      </c>
      <c r="D304" s="9">
        <v>0.24716773832224279</v>
      </c>
      <c r="E304" s="9">
        <f>SQRT((A304-A$3)^2+(B304-B$3)^2+(C304-C$3)^2+(D304-D$3)^2)</f>
        <v>0.43694564249776846</v>
      </c>
      <c r="G304" s="9">
        <v>9.4559272306613165E-2</v>
      </c>
      <c r="H304" s="9">
        <v>8.9864668534469172E-2</v>
      </c>
      <c r="J304" s="31">
        <v>1.0522408177619138</v>
      </c>
    </row>
    <row r="305" spans="1:10" x14ac:dyDescent="0.3">
      <c r="A305" s="9">
        <v>0.38123883373315964</v>
      </c>
      <c r="B305" s="9">
        <v>0.39400997892320677</v>
      </c>
      <c r="C305" s="9">
        <v>6.1397169824379859E-3</v>
      </c>
      <c r="D305" s="9">
        <v>0.21861147036119558</v>
      </c>
      <c r="E305" s="9">
        <f>SQRT((A305-A$3)^2+(B305-B$3)^2+(C305-C$3)^2+(D305-D$3)^2)</f>
        <v>0.43708174116261073</v>
      </c>
      <c r="G305" s="9">
        <v>8.9525280946957275E-2</v>
      </c>
      <c r="H305" s="9">
        <v>7.4741269897644097E-2</v>
      </c>
      <c r="J305" s="31">
        <v>1.1978025135184274</v>
      </c>
    </row>
    <row r="306" spans="1:10" x14ac:dyDescent="0.3">
      <c r="A306" s="9">
        <v>0.25597951378686556</v>
      </c>
      <c r="B306" s="9">
        <v>0.2888214325699287</v>
      </c>
      <c r="C306" s="9">
        <v>0.44158490928096378</v>
      </c>
      <c r="D306" s="9">
        <v>1.3614144362241903E-2</v>
      </c>
      <c r="E306" s="9">
        <f>SQRT((A306-A$3)^2+(B306-B$3)^2+(C306-C$3)^2+(D306-D$3)^2)</f>
        <v>0.43751237090899447</v>
      </c>
      <c r="G306" s="9">
        <v>9.0803777566544883E-2</v>
      </c>
      <c r="H306" s="9">
        <v>8.4287048898345832E-2</v>
      </c>
      <c r="J306" s="31">
        <v>1.077315895542369</v>
      </c>
    </row>
    <row r="307" spans="1:10" x14ac:dyDescent="0.3">
      <c r="A307" s="9">
        <v>0.29668368991079025</v>
      </c>
      <c r="B307" s="9">
        <v>0.32928443144273339</v>
      </c>
      <c r="C307" s="9">
        <v>0.10240662865143696</v>
      </c>
      <c r="D307" s="9">
        <v>0.2716252499950394</v>
      </c>
      <c r="E307" s="9">
        <f>SQRT((A307-A$3)^2+(B307-B$3)^2+(C307-C$3)^2+(D307-D$3)^2)</f>
        <v>0.43760066315936041</v>
      </c>
      <c r="G307" s="9">
        <v>9.1280128350240616E-2</v>
      </c>
      <c r="H307" s="9">
        <v>8.1327656685526814E-2</v>
      </c>
      <c r="J307" s="31">
        <v>1.1223749960385243</v>
      </c>
    </row>
    <row r="308" spans="1:10" x14ac:dyDescent="0.3">
      <c r="A308" s="9">
        <v>0.25530667565506837</v>
      </c>
      <c r="B308" s="9">
        <v>0.259738182386057</v>
      </c>
      <c r="C308" s="9">
        <v>0.30789230993068645</v>
      </c>
      <c r="D308" s="9">
        <v>0.17706283202818823</v>
      </c>
      <c r="E308" s="9">
        <f>SQRT((A308-A$3)^2+(B308-B$3)^2+(C308-C$3)^2+(D308-D$3)^2)</f>
        <v>0.43787842243198682</v>
      </c>
      <c r="G308" s="9">
        <v>9.0528501394572775E-2</v>
      </c>
      <c r="H308" s="9">
        <v>8.4342268456905109E-2</v>
      </c>
      <c r="J308" s="31">
        <v>1.0733467696666059</v>
      </c>
    </row>
    <row r="309" spans="1:10" x14ac:dyDescent="0.3">
      <c r="A309" s="9">
        <v>0.11878433774490131</v>
      </c>
      <c r="B309" s="9">
        <v>0.38555554045189089</v>
      </c>
      <c r="C309" s="9">
        <v>0.12973163992208761</v>
      </c>
      <c r="D309" s="9">
        <v>0.36592848188112026</v>
      </c>
      <c r="E309" s="9">
        <f>SQRT((A309-A$3)^2+(B309-B$3)^2+(C309-C$3)^2+(D309-D$3)^2)</f>
        <v>0.4388187806102794</v>
      </c>
      <c r="G309" s="9">
        <v>0.10086062171826282</v>
      </c>
      <c r="H309" s="9">
        <v>9.4704264492413134E-2</v>
      </c>
      <c r="J309" s="31">
        <v>1.0650061246855771</v>
      </c>
    </row>
    <row r="310" spans="1:10" x14ac:dyDescent="0.3">
      <c r="A310" s="9">
        <v>0.13399174120406396</v>
      </c>
      <c r="B310" s="9">
        <v>0.36845260135637375</v>
      </c>
      <c r="C310" s="9">
        <v>0.14050802559854583</v>
      </c>
      <c r="D310" s="9">
        <v>0.35704763184101646</v>
      </c>
      <c r="E310" s="9">
        <f>SQRT((A310-A$3)^2+(B310-B$3)^2+(C310-C$3)^2+(D310-D$3)^2)</f>
        <v>0.43953359355200461</v>
      </c>
      <c r="G310" s="9">
        <v>9.9658531735757117E-2</v>
      </c>
      <c r="H310" s="9">
        <v>9.370520325325897E-2</v>
      </c>
      <c r="J310" s="31">
        <v>1.0635325283528596</v>
      </c>
    </row>
    <row r="311" spans="1:10" x14ac:dyDescent="0.3">
      <c r="A311" s="9">
        <v>0.39123088687156149</v>
      </c>
      <c r="B311" s="9">
        <v>0.29542870422244755</v>
      </c>
      <c r="C311" s="9">
        <v>0.16642706086584688</v>
      </c>
      <c r="D311" s="9">
        <v>0.14691334804014403</v>
      </c>
      <c r="E311" s="9">
        <f>SQRT((A311-A$3)^2+(B311-B$3)^2+(C311-C$3)^2+(D311-D$3)^2)</f>
        <v>0.4395859397704428</v>
      </c>
      <c r="G311" s="9">
        <v>8.5794429995048355E-2</v>
      </c>
      <c r="H311" s="9">
        <v>7.3121313745111424E-2</v>
      </c>
      <c r="J311" s="31">
        <v>1.1733163095799028</v>
      </c>
    </row>
    <row r="312" spans="1:10" x14ac:dyDescent="0.3">
      <c r="A312" s="9">
        <v>3.1933646253433465E-2</v>
      </c>
      <c r="B312" s="9">
        <v>0.39869247758735327</v>
      </c>
      <c r="C312" s="9">
        <v>0.20434945363657453</v>
      </c>
      <c r="D312" s="9">
        <v>0.36502442252263878</v>
      </c>
      <c r="E312" s="9">
        <f>SQRT((A312-A$3)^2+(B312-B$3)^2+(C312-C$3)^2+(D312-D$3)^2)</f>
        <v>0.44026793295857797</v>
      </c>
      <c r="G312" s="9">
        <v>0.10492346014816833</v>
      </c>
      <c r="H312" s="9">
        <v>9.9789670843073275E-2</v>
      </c>
      <c r="J312" s="31">
        <v>1.0514460991976646</v>
      </c>
    </row>
    <row r="313" spans="1:10" x14ac:dyDescent="0.3">
      <c r="A313" s="9">
        <v>0.28647842028098142</v>
      </c>
      <c r="B313" s="9">
        <v>0.28659096647976567</v>
      </c>
      <c r="C313" s="9">
        <v>0.18314823154775672</v>
      </c>
      <c r="D313" s="9">
        <v>0.24378238169149624</v>
      </c>
      <c r="E313" s="9">
        <f>SQRT((A313-A$3)^2+(B313-B$3)^2+(C313-C$3)^2+(D313-D$3)^2)</f>
        <v>0.44062710286386431</v>
      </c>
      <c r="G313" s="9">
        <v>9.0288473800904254E-2</v>
      </c>
      <c r="H313" s="9">
        <v>8.2064453344095123E-2</v>
      </c>
      <c r="J313" s="31">
        <v>1.100214162425794</v>
      </c>
    </row>
    <row r="314" spans="1:10" x14ac:dyDescent="0.3">
      <c r="A314" s="9">
        <v>0.19640241038610487</v>
      </c>
      <c r="B314" s="9">
        <v>0.33360979703065102</v>
      </c>
      <c r="C314" s="9">
        <v>0.14324899275007938</v>
      </c>
      <c r="D314" s="9">
        <v>0.32673879983316473</v>
      </c>
      <c r="E314" s="9">
        <f>SQRT((A314-A$3)^2+(B314-B$3)^2+(C314-C$3)^2+(D314-D$3)^2)</f>
        <v>0.44135106131616009</v>
      </c>
      <c r="G314" s="9">
        <v>9.5840617079033463E-2</v>
      </c>
      <c r="H314" s="9">
        <v>8.9349398298990121E-2</v>
      </c>
      <c r="J314" s="31">
        <v>1.0726498320483564</v>
      </c>
    </row>
    <row r="315" spans="1:10" x14ac:dyDescent="0.3">
      <c r="A315" s="9">
        <v>0.40501814891404936</v>
      </c>
      <c r="B315" s="9">
        <v>0.2910864699412809</v>
      </c>
      <c r="C315" s="9">
        <v>0.18795667737614474</v>
      </c>
      <c r="D315" s="9">
        <v>0.11593870376852496</v>
      </c>
      <c r="E315" s="9">
        <f>SQRT((A315-A$3)^2+(B315-B$3)^2+(C315-C$3)^2+(D315-D$3)^2)</f>
        <v>0.44144955945650211</v>
      </c>
      <c r="G315" s="9">
        <v>8.4966263581686199E-2</v>
      </c>
      <c r="H315" s="9">
        <v>7.206376905893308E-2</v>
      </c>
      <c r="J315" s="31">
        <v>1.1790427379978083</v>
      </c>
    </row>
    <row r="316" spans="1:10" x14ac:dyDescent="0.3">
      <c r="A316" s="9">
        <v>0.45942961149610373</v>
      </c>
      <c r="B316" s="9">
        <v>0.37122653511901088</v>
      </c>
      <c r="C316" s="9">
        <v>5.7922015726907507E-2</v>
      </c>
      <c r="D316" s="9">
        <v>0.11142183765797785</v>
      </c>
      <c r="E316" s="9">
        <f>SQRT((A316-A$3)^2+(B316-B$3)^2+(C316-C$3)^2+(D316-D$3)^2)</f>
        <v>0.4419157186646574</v>
      </c>
      <c r="G316" s="9">
        <v>8.5135099378076895E-2</v>
      </c>
      <c r="H316" s="9">
        <v>6.7762139777467992E-2</v>
      </c>
      <c r="J316" s="31">
        <v>1.2563815082826781</v>
      </c>
    </row>
    <row r="317" spans="1:10" x14ac:dyDescent="0.3">
      <c r="A317" s="9">
        <v>0.19875832114307176</v>
      </c>
      <c r="B317" s="9">
        <v>0.28807710039855289</v>
      </c>
      <c r="C317" s="9">
        <v>0.23418980283063145</v>
      </c>
      <c r="D317" s="9">
        <v>0.27897477562774387</v>
      </c>
      <c r="E317" s="9">
        <f>SQRT((A317-A$3)^2+(B317-B$3)^2+(C317-C$3)^2+(D317-D$3)^2)</f>
        <v>0.4420001535363845</v>
      </c>
      <c r="G317" s="9">
        <v>9.4159227957156394E-2</v>
      </c>
      <c r="H317" s="9">
        <v>8.8950137102392926E-2</v>
      </c>
      <c r="J317" s="31">
        <v>1.0585619204697474</v>
      </c>
    </row>
    <row r="318" spans="1:10" x14ac:dyDescent="0.3">
      <c r="A318" s="9">
        <v>8.8450752242879571E-2</v>
      </c>
      <c r="B318" s="9">
        <v>0.30163276472614642</v>
      </c>
      <c r="C318" s="9">
        <v>0.38332177534798084</v>
      </c>
      <c r="D318" s="9">
        <v>0.2265947076829932</v>
      </c>
      <c r="E318" s="9">
        <f>SQRT((A318-A$3)^2+(B318-B$3)^2+(C318-C$3)^2+(D318-D$3)^2)</f>
        <v>0.44214490354163249</v>
      </c>
      <c r="G318" s="9">
        <v>9.9035874462684456E-2</v>
      </c>
      <c r="H318" s="9">
        <v>9.5978976252310361E-2</v>
      </c>
      <c r="J318" s="31">
        <v>1.0318496646842543</v>
      </c>
    </row>
    <row r="319" spans="1:10" x14ac:dyDescent="0.3">
      <c r="A319" s="9">
        <v>8.6343262954646977E-2</v>
      </c>
      <c r="B319" s="9">
        <v>0.30785489976278951</v>
      </c>
      <c r="C319" s="9">
        <v>0.34012208652648068</v>
      </c>
      <c r="D319" s="9">
        <v>0.26567975075608263</v>
      </c>
      <c r="E319" s="9">
        <f>SQRT((A319-A$3)^2+(B319-B$3)^2+(C319-C$3)^2+(D319-D$3)^2)</f>
        <v>0.44231705347227096</v>
      </c>
      <c r="G319" s="9">
        <v>9.9459547261340625E-2</v>
      </c>
      <c r="H319" s="9">
        <v>9.6319910080126386E-2</v>
      </c>
      <c r="J319" s="31">
        <v>1.0325959313978017</v>
      </c>
    </row>
    <row r="320" spans="1:10" x14ac:dyDescent="0.3">
      <c r="A320" s="9">
        <v>0.23973044344773192</v>
      </c>
      <c r="B320" s="9">
        <v>0.27808055350855343</v>
      </c>
      <c r="C320" s="9">
        <v>0.22555578002797638</v>
      </c>
      <c r="D320" s="9">
        <v>0.25663322301573832</v>
      </c>
      <c r="E320" s="9">
        <f>SQRT((A320-A$3)^2+(B320-B$3)^2+(C320-C$3)^2+(D320-D$3)^2)</f>
        <v>0.44295656008582251</v>
      </c>
      <c r="G320" s="9">
        <v>9.2042104038943348E-2</v>
      </c>
      <c r="H320" s="9">
        <v>8.5882586172974326E-2</v>
      </c>
      <c r="J320" s="31">
        <v>1.0717202187363486</v>
      </c>
    </row>
    <row r="321" spans="1:10" x14ac:dyDescent="0.3">
      <c r="A321" s="9">
        <v>0.29967554410298253</v>
      </c>
      <c r="B321" s="9">
        <v>0.25400838991474234</v>
      </c>
      <c r="C321" s="9">
        <v>0.32127247107674733</v>
      </c>
      <c r="D321" s="9">
        <v>0.1250435949055278</v>
      </c>
      <c r="E321" s="9">
        <f>SQRT((A321-A$3)^2+(B321-B$3)^2+(C321-C$3)^2+(D321-D$3)^2)</f>
        <v>0.4429997606871916</v>
      </c>
      <c r="G321" s="9">
        <v>8.8292014294502216E-2</v>
      </c>
      <c r="H321" s="9">
        <v>8.1193725710280801E-2</v>
      </c>
      <c r="J321" s="31">
        <v>1.0874241023198006</v>
      </c>
    </row>
    <row r="322" spans="1:10" x14ac:dyDescent="0.3">
      <c r="A322" s="9">
        <v>0.30834049844919514</v>
      </c>
      <c r="B322" s="9">
        <v>0.33236913416536562</v>
      </c>
      <c r="C322" s="9">
        <v>8.7093483978285369E-2</v>
      </c>
      <c r="D322" s="9">
        <v>0.27219688340715387</v>
      </c>
      <c r="E322" s="9">
        <f>SQRT((A322-A$3)^2+(B322-B$3)^2+(C322-C$3)^2+(D322-D$3)^2)</f>
        <v>0.44342303533251481</v>
      </c>
      <c r="G322" s="9">
        <v>9.0886382398240637E-2</v>
      </c>
      <c r="H322" s="9">
        <v>8.0743211683507857E-2</v>
      </c>
      <c r="J322" s="31">
        <v>1.1256225818028065</v>
      </c>
    </row>
    <row r="323" spans="1:10" x14ac:dyDescent="0.3">
      <c r="A323" s="9">
        <v>0.2593292466617752</v>
      </c>
      <c r="B323" s="9">
        <v>0.25499924444121819</v>
      </c>
      <c r="C323" s="9">
        <v>0.36576756903620544</v>
      </c>
      <c r="D323" s="9">
        <v>0.11990393986080111</v>
      </c>
      <c r="E323" s="9">
        <f>SQRT((A323-A$3)^2+(B323-B$3)^2+(C323-C$3)^2+(D323-D$3)^2)</f>
        <v>0.44369722432633346</v>
      </c>
      <c r="G323" s="9">
        <v>9.0004118461738489E-2</v>
      </c>
      <c r="H323" s="9">
        <v>8.4419755385576653E-2</v>
      </c>
      <c r="J323" s="31">
        <v>1.0661499556668455</v>
      </c>
    </row>
    <row r="324" spans="1:10" x14ac:dyDescent="0.3">
      <c r="A324" s="9">
        <v>0.25303789686143047</v>
      </c>
      <c r="B324" s="9">
        <v>0.2781137436835554</v>
      </c>
      <c r="C324" s="9">
        <v>0.21461303404704671</v>
      </c>
      <c r="D324" s="9">
        <v>0.25423532540796728</v>
      </c>
      <c r="E324" s="9">
        <f>SQRT((A324-A$3)^2+(B324-B$3)^2+(C324-C$3)^2+(D324-D$3)^2)</f>
        <v>0.44397333141264905</v>
      </c>
      <c r="G324" s="9">
        <v>9.1473613623180558E-2</v>
      </c>
      <c r="H324" s="9">
        <v>8.4905208627632775E-2</v>
      </c>
      <c r="J324" s="31">
        <v>1.0773616260028842</v>
      </c>
    </row>
    <row r="325" spans="1:10" x14ac:dyDescent="0.3">
      <c r="A325" s="9">
        <v>0.28763901546524295</v>
      </c>
      <c r="B325" s="9">
        <v>0.25229991958441123</v>
      </c>
      <c r="C325" s="9">
        <v>0.31261496667338484</v>
      </c>
      <c r="D325" s="9">
        <v>0.14744609827696115</v>
      </c>
      <c r="E325" s="9">
        <f>SQRT((A325-A$3)^2+(B325-B$3)^2+(C325-C$3)^2+(D325-D$3)^2)</f>
        <v>0.44443734674459778</v>
      </c>
      <c r="G325" s="9">
        <v>8.8828053468092971E-2</v>
      </c>
      <c r="H325" s="9">
        <v>8.2199288838658555E-2</v>
      </c>
      <c r="J325" s="31">
        <v>1.0806426031549423</v>
      </c>
    </row>
    <row r="326" spans="1:10" x14ac:dyDescent="0.3">
      <c r="A326" s="9">
        <v>0.34445173949662605</v>
      </c>
      <c r="B326" s="9">
        <v>0.26409502917491401</v>
      </c>
      <c r="C326" s="9">
        <v>0.23779221018249008</v>
      </c>
      <c r="D326" s="9">
        <v>0.15366102114596991</v>
      </c>
      <c r="E326" s="9">
        <f>SQRT((A326-A$3)^2+(B326-B$3)^2+(C326-C$3)^2+(D326-D$3)^2)</f>
        <v>0.44455171415356987</v>
      </c>
      <c r="G326" s="9">
        <v>8.6821357068326249E-2</v>
      </c>
      <c r="H326" s="9">
        <v>7.74376403291199E-2</v>
      </c>
      <c r="J326" s="31">
        <v>1.1211777205416429</v>
      </c>
    </row>
    <row r="327" spans="1:10" x14ac:dyDescent="0.3">
      <c r="A327" s="9">
        <v>0.12881200043719554</v>
      </c>
      <c r="B327" s="9">
        <v>0.30424563054854065</v>
      </c>
      <c r="C327" s="9">
        <v>0.2662983752905197</v>
      </c>
      <c r="D327" s="9">
        <v>0.30064399372374412</v>
      </c>
      <c r="E327" s="9">
        <f>SQRT((A327-A$3)^2+(B327-B$3)^2+(C327-C$3)^2+(D327-D$3)^2)</f>
        <v>0.44467521896831369</v>
      </c>
      <c r="G327" s="9">
        <v>9.7685734994579471E-2</v>
      </c>
      <c r="H327" s="9">
        <v>9.398528707177764E-2</v>
      </c>
      <c r="J327" s="31">
        <v>1.0393726298880777</v>
      </c>
    </row>
    <row r="328" spans="1:10" x14ac:dyDescent="0.3">
      <c r="A328" s="9">
        <v>0.13727201064654532</v>
      </c>
      <c r="B328" s="9">
        <v>0.32394553414843419</v>
      </c>
      <c r="C328" s="9">
        <v>0.20900380140436331</v>
      </c>
      <c r="D328" s="9">
        <v>0.32977865380065713</v>
      </c>
      <c r="E328" s="9">
        <f>SQRT((A328-A$3)^2+(B328-B$3)^2+(C328-C$3)^2+(D328-D$3)^2)</f>
        <v>0.4447136356308542</v>
      </c>
      <c r="G328" s="9">
        <v>9.804460446176512E-2</v>
      </c>
      <c r="H328" s="9">
        <v>9.3573339239220565E-2</v>
      </c>
      <c r="J328" s="31">
        <v>1.0477835381199099</v>
      </c>
    </row>
    <row r="329" spans="1:10" x14ac:dyDescent="0.3">
      <c r="A329" s="9">
        <v>0.1778733736374693</v>
      </c>
      <c r="B329" s="9">
        <v>0.26580933934654011</v>
      </c>
      <c r="C329" s="9">
        <v>0.35235496467281086</v>
      </c>
      <c r="D329" s="9">
        <v>0.20396232234317971</v>
      </c>
      <c r="E329" s="9">
        <f>SQRT((A329-A$3)^2+(B329-B$3)^2+(C329-C$3)^2+(D329-D$3)^2)</f>
        <v>0.44511737618634989</v>
      </c>
      <c r="G329" s="9">
        <v>9.4077328311851602E-2</v>
      </c>
      <c r="H329" s="9">
        <v>9.0433787984457573E-2</v>
      </c>
      <c r="J329" s="31">
        <v>1.0402895909659367</v>
      </c>
    </row>
    <row r="330" spans="1:10" x14ac:dyDescent="0.3">
      <c r="A330" s="9">
        <v>0.4650651116774881</v>
      </c>
      <c r="B330" s="9">
        <v>0.32138118662474902</v>
      </c>
      <c r="C330" s="9">
        <v>0.20676435836603135</v>
      </c>
      <c r="D330" s="9">
        <v>6.7893433317313288E-3</v>
      </c>
      <c r="E330" s="9">
        <f>SQRT((A330-A$3)^2+(B330-B$3)^2+(C330-C$3)^2+(D330-D$3)^2)</f>
        <v>0.44576551817808768</v>
      </c>
      <c r="G330" s="9">
        <v>8.2974877336074795E-2</v>
      </c>
      <c r="H330" s="9">
        <v>6.7562179830048502E-2</v>
      </c>
      <c r="J330" s="31">
        <v>1.2281261135267789</v>
      </c>
    </row>
    <row r="331" spans="1:10" x14ac:dyDescent="0.3">
      <c r="A331" s="9">
        <v>0.28560030731473018</v>
      </c>
      <c r="B331" s="9">
        <v>0.26579279428399893</v>
      </c>
      <c r="C331" s="9">
        <v>0.40281620179268557</v>
      </c>
      <c r="D331" s="9">
        <v>4.5790696608585368E-2</v>
      </c>
      <c r="E331" s="9">
        <f>SQRT((A331-A$3)^2+(B331-B$3)^2+(C331-C$3)^2+(D331-D$3)^2)</f>
        <v>0.445823040830646</v>
      </c>
      <c r="G331" s="9">
        <v>8.8960705800363304E-2</v>
      </c>
      <c r="H331" s="9">
        <v>8.2650620143406212E-2</v>
      </c>
      <c r="J331" s="31">
        <v>1.0763465010426847</v>
      </c>
    </row>
    <row r="332" spans="1:10" x14ac:dyDescent="0.3">
      <c r="A332" s="9">
        <v>0.30538493363815683</v>
      </c>
      <c r="B332" s="9">
        <v>0.28491124334877166</v>
      </c>
      <c r="C332" s="9">
        <v>0.17138661899310503</v>
      </c>
      <c r="D332" s="9">
        <v>0.23831720401996642</v>
      </c>
      <c r="E332" s="9">
        <f>SQRT((A332-A$3)^2+(B332-B$3)^2+(C332-C$3)^2+(D332-D$3)^2)</f>
        <v>0.44593247063804053</v>
      </c>
      <c r="G332" s="9">
        <v>8.9419890148088321E-2</v>
      </c>
      <c r="H332" s="9">
        <v>8.0806206049996193E-2</v>
      </c>
      <c r="J332" s="31">
        <v>1.1065968137739655</v>
      </c>
    </row>
    <row r="333" spans="1:10" x14ac:dyDescent="0.3">
      <c r="A333" s="9">
        <v>0.13734666002601495</v>
      </c>
      <c r="B333" s="9">
        <v>0.28880565217290782</v>
      </c>
      <c r="C333" s="9">
        <v>0.29894814191508984</v>
      </c>
      <c r="D333" s="9">
        <v>0.27489954588598747</v>
      </c>
      <c r="E333" s="9">
        <f>SQRT((A333-A$3)^2+(B333-B$3)^2+(C333-C$3)^2+(D333-D$3)^2)</f>
        <v>0.44650243973061859</v>
      </c>
      <c r="G333" s="9">
        <v>9.6754796434015841E-2</v>
      </c>
      <c r="H333" s="9">
        <v>9.3427549900953588E-2</v>
      </c>
      <c r="J333" s="31">
        <v>1.0356131198622849</v>
      </c>
    </row>
    <row r="334" spans="1:10" x14ac:dyDescent="0.3">
      <c r="A334" s="9">
        <v>0.32325427569696863</v>
      </c>
      <c r="B334" s="9">
        <v>0.27540069016445912</v>
      </c>
      <c r="C334" s="9">
        <v>0.18848309643363875</v>
      </c>
      <c r="D334" s="9">
        <v>0.21286193770493347</v>
      </c>
      <c r="E334" s="9">
        <f>SQRT((A334-A$3)^2+(B334-B$3)^2+(C334-C$3)^2+(D334-D$3)^2)</f>
        <v>0.44733476128705457</v>
      </c>
      <c r="G334" s="9">
        <v>8.8279999191773109E-2</v>
      </c>
      <c r="H334" s="9">
        <v>7.9350586543866619E-2</v>
      </c>
      <c r="J334" s="31">
        <v>1.1125311486257272</v>
      </c>
    </row>
    <row r="335" spans="1:10" x14ac:dyDescent="0.3">
      <c r="A335" s="9">
        <v>2.6098088503911258E-2</v>
      </c>
      <c r="B335" s="9">
        <v>0.39467241179945839</v>
      </c>
      <c r="C335" s="9">
        <v>0.21019655042496921</v>
      </c>
      <c r="D335" s="9">
        <v>0.36903294927166119</v>
      </c>
      <c r="E335" s="9">
        <f>SQRT((A335-A$3)^2+(B335-B$3)^2+(C335-C$3)^2+(D335-D$3)^2)</f>
        <v>0.44734180542846036</v>
      </c>
      <c r="G335" s="9">
        <v>0.10505966689501228</v>
      </c>
      <c r="H335" s="9">
        <v>0.10051217938781672</v>
      </c>
      <c r="J335" s="31">
        <v>1.0452431489884377</v>
      </c>
    </row>
    <row r="336" spans="1:10" x14ac:dyDescent="0.3">
      <c r="A336" s="9">
        <v>4.2200098127873627E-2</v>
      </c>
      <c r="B336" s="9">
        <v>0.33937488005006511</v>
      </c>
      <c r="C336" s="9">
        <v>0.49533000883674982</v>
      </c>
      <c r="D336" s="9">
        <v>0.12309501298531147</v>
      </c>
      <c r="E336" s="9">
        <f>SQRT((A336-A$3)^2+(B336-B$3)^2+(C336-C$3)^2+(D336-D$3)^2)</f>
        <v>0.44742938506825608</v>
      </c>
      <c r="G336" s="9">
        <v>0.10177476825912414</v>
      </c>
      <c r="H336" s="9">
        <v>9.7783675315099725E-2</v>
      </c>
      <c r="J336" s="31">
        <v>1.0408155341999925</v>
      </c>
    </row>
    <row r="337" spans="1:10" x14ac:dyDescent="0.3">
      <c r="A337" s="9">
        <v>0.15701289885541125</v>
      </c>
      <c r="B337" s="9">
        <v>0.34522248257204685</v>
      </c>
      <c r="C337" s="9">
        <v>0.14776567375515443</v>
      </c>
      <c r="D337" s="9">
        <v>0.34999894481738753</v>
      </c>
      <c r="E337" s="9">
        <f>SQRT((A337-A$3)^2+(B337-B$3)^2+(C337-C$3)^2+(D337-D$3)^2)</f>
        <v>0.44766724264739749</v>
      </c>
      <c r="G337" s="9">
        <v>9.7944374127421907E-2</v>
      </c>
      <c r="H337" s="9">
        <v>9.2553221191152377E-2</v>
      </c>
      <c r="J337" s="31">
        <v>1.0582492199286619</v>
      </c>
    </row>
    <row r="338" spans="1:10" x14ac:dyDescent="0.3">
      <c r="A338" s="9">
        <v>0.36918817987338048</v>
      </c>
      <c r="B338" s="9">
        <v>0.26561041568565297</v>
      </c>
      <c r="C338" s="9">
        <v>0.23453228776441362</v>
      </c>
      <c r="D338" s="9">
        <v>0.13066911667655295</v>
      </c>
      <c r="E338" s="9">
        <f>SQRT((A338-A$3)^2+(B338-B$3)^2+(C338-C$3)^2+(D338-D$3)^2)</f>
        <v>0.4478672995050591</v>
      </c>
      <c r="G338" s="9">
        <v>8.5742023618236657E-2</v>
      </c>
      <c r="H338" s="9">
        <v>7.5546281578252023E-2</v>
      </c>
      <c r="J338" s="31">
        <v>1.1349602101782299</v>
      </c>
    </row>
    <row r="339" spans="1:10" x14ac:dyDescent="0.3">
      <c r="A339" s="9">
        <v>0.29101183409062925</v>
      </c>
      <c r="B339" s="9">
        <v>0.26694378883431619</v>
      </c>
      <c r="C339" s="9">
        <v>0.21781897992844779</v>
      </c>
      <c r="D339" s="9">
        <v>0.22422539714660691</v>
      </c>
      <c r="E339" s="9">
        <f>SQRT((A339-A$3)^2+(B339-B$3)^2+(C339-C$3)^2+(D339-D$3)^2)</f>
        <v>0.44844507684078777</v>
      </c>
      <c r="G339" s="9">
        <v>8.9418598725170287E-2</v>
      </c>
      <c r="H339" s="9">
        <v>8.207601566329821E-2</v>
      </c>
      <c r="J339" s="31">
        <v>1.0894607639336888</v>
      </c>
    </row>
    <row r="340" spans="1:10" x14ac:dyDescent="0.3">
      <c r="A340" s="9">
        <v>0.36619321484299233</v>
      </c>
      <c r="B340" s="9">
        <v>0.34234519747821579</v>
      </c>
      <c r="C340" s="9">
        <v>5.7497394067019522E-2</v>
      </c>
      <c r="D340" s="9">
        <v>0.23396419361177245</v>
      </c>
      <c r="E340" s="9">
        <f>SQRT((A340-A$3)^2+(B340-B$3)^2+(C340-C$3)^2+(D340-D$3)^2)</f>
        <v>0.44886463666344545</v>
      </c>
      <c r="G340" s="9">
        <v>8.8617610992432871E-2</v>
      </c>
      <c r="H340" s="9">
        <v>7.6233596775429985E-2</v>
      </c>
      <c r="J340" s="31">
        <v>1.1624482477651408</v>
      </c>
    </row>
    <row r="341" spans="1:10" x14ac:dyDescent="0.3">
      <c r="A341" s="9">
        <v>0.20869353994736758</v>
      </c>
      <c r="B341" s="9">
        <v>0.25565293301219078</v>
      </c>
      <c r="C341" s="9">
        <v>0.34217413426105064</v>
      </c>
      <c r="D341" s="9">
        <v>0.19347939277939111</v>
      </c>
      <c r="E341" s="9">
        <f>SQRT((A341-A$3)^2+(B341-B$3)^2+(C341-C$3)^2+(D341-D$3)^2)</f>
        <v>0.44890810142764526</v>
      </c>
      <c r="G341" s="9">
        <v>9.2426286443688235E-2</v>
      </c>
      <c r="H341" s="9">
        <v>8.8464136067289478E-2</v>
      </c>
      <c r="J341" s="31">
        <v>1.0447882108223494</v>
      </c>
    </row>
    <row r="342" spans="1:10" x14ac:dyDescent="0.3">
      <c r="A342" s="9">
        <v>0.26324134404079519</v>
      </c>
      <c r="B342" s="9">
        <v>0.27775712250784046</v>
      </c>
      <c r="C342" s="9">
        <v>0.1983408050679252</v>
      </c>
      <c r="D342" s="9">
        <v>0.26066072838343923</v>
      </c>
      <c r="E342" s="9">
        <f>SQRT((A342-A$3)^2+(B342-B$3)^2+(C342-C$3)^2+(D342-D$3)^2)</f>
        <v>0.44992435483842314</v>
      </c>
      <c r="G342" s="9">
        <v>9.1056030346158653E-2</v>
      </c>
      <c r="H342" s="9">
        <v>8.4446072739428987E-2</v>
      </c>
      <c r="J342" s="31">
        <v>1.0782743044442775</v>
      </c>
    </row>
    <row r="343" spans="1:10" x14ac:dyDescent="0.3">
      <c r="A343" s="9">
        <v>0.16308162451985039</v>
      </c>
      <c r="B343" s="9">
        <v>0.26611068158524337</v>
      </c>
      <c r="C343" s="9">
        <v>0.35488165376901204</v>
      </c>
      <c r="D343" s="9">
        <v>0.2159260401258942</v>
      </c>
      <c r="E343" s="9">
        <f>SQRT((A343-A$3)^2+(B343-B$3)^2+(C343-C$3)^2+(D343-D$3)^2)</f>
        <v>0.45030797434057485</v>
      </c>
      <c r="G343" s="9">
        <v>9.4753576563011629E-2</v>
      </c>
      <c r="H343" s="9">
        <v>9.1757271224794282E-2</v>
      </c>
      <c r="J343" s="31">
        <v>1.0326546909931178</v>
      </c>
    </row>
    <row r="344" spans="1:10" x14ac:dyDescent="0.3">
      <c r="A344" s="9">
        <v>0.49127427221446457</v>
      </c>
      <c r="B344" s="9">
        <v>0.42759933058371558</v>
      </c>
      <c r="C344" s="9">
        <v>1.9914826919126324E-3</v>
      </c>
      <c r="D344" s="9">
        <v>7.91349145099072E-2</v>
      </c>
      <c r="E344" s="9">
        <f>SQRT((A344-A$3)^2+(B344-B$3)^2+(C344-C$3)^2+(D344-D$3)^2)</f>
        <v>0.45036674396078463</v>
      </c>
      <c r="G344" s="9">
        <v>8.5418723882873762E-2</v>
      </c>
      <c r="H344" s="9">
        <v>6.6229871210042937E-2</v>
      </c>
      <c r="J344" s="31">
        <v>1.2897310884385516</v>
      </c>
    </row>
    <row r="345" spans="1:10" x14ac:dyDescent="0.3">
      <c r="A345" s="9">
        <v>0.21548626138928725</v>
      </c>
      <c r="B345" s="9">
        <v>0.31104514904073433</v>
      </c>
      <c r="C345" s="9">
        <v>0.15639059472629124</v>
      </c>
      <c r="D345" s="9">
        <v>0.31707799484368715</v>
      </c>
      <c r="E345" s="9">
        <f>SQRT((A345-A$3)^2+(B345-B$3)^2+(C345-C$3)^2+(D345-D$3)^2)</f>
        <v>0.45153671589603961</v>
      </c>
      <c r="G345" s="9">
        <v>9.4303436080342765E-2</v>
      </c>
      <c r="H345" s="9">
        <v>8.8422181732168884E-2</v>
      </c>
      <c r="J345" s="31">
        <v>1.0665133367324979</v>
      </c>
    </row>
    <row r="346" spans="1:10" x14ac:dyDescent="0.3">
      <c r="A346" s="9">
        <v>0.25022933427758826</v>
      </c>
      <c r="B346" s="9">
        <v>0.32293790097293323</v>
      </c>
      <c r="C346" s="9">
        <v>0.11499942996215515</v>
      </c>
      <c r="D346" s="9">
        <v>0.31183333478732322</v>
      </c>
      <c r="E346" s="9">
        <f>SQRT((A346-A$3)^2+(B346-B$3)^2+(C346-C$3)^2+(D346-D$3)^2)</f>
        <v>0.45172493858894258</v>
      </c>
      <c r="G346" s="9">
        <v>9.3188009104578903E-2</v>
      </c>
      <c r="H346" s="9">
        <v>8.5860980248809796E-2</v>
      </c>
      <c r="J346" s="31">
        <v>1.0853359562695031</v>
      </c>
    </row>
    <row r="347" spans="1:10" x14ac:dyDescent="0.3">
      <c r="A347" s="9">
        <v>0.24456479259826522</v>
      </c>
      <c r="B347" s="9">
        <v>0.2737344582650621</v>
      </c>
      <c r="C347" s="9">
        <v>0.21564569806385564</v>
      </c>
      <c r="D347" s="9">
        <v>0.26605505107281713</v>
      </c>
      <c r="E347" s="9">
        <f>SQRT((A347-A$3)^2+(B347-B$3)^2+(C347-C$3)^2+(D347-D$3)^2)</f>
        <v>0.45216458182983632</v>
      </c>
      <c r="G347" s="9">
        <v>9.1738328043548811E-2</v>
      </c>
      <c r="H347" s="9">
        <v>8.6031901142389719E-2</v>
      </c>
      <c r="J347" s="31">
        <v>1.0663291967907869</v>
      </c>
    </row>
    <row r="348" spans="1:10" x14ac:dyDescent="0.3">
      <c r="A348" s="9">
        <v>4.7522589087415468E-2</v>
      </c>
      <c r="B348" s="9">
        <v>0.34278815760702597</v>
      </c>
      <c r="C348" s="9">
        <v>0.27737516250746297</v>
      </c>
      <c r="D348" s="9">
        <v>0.33231409079809554</v>
      </c>
      <c r="E348" s="9">
        <f>SQRT((A348-A$3)^2+(B348-B$3)^2+(C348-C$3)^2+(D348-D$3)^2)</f>
        <v>0.45217252678015041</v>
      </c>
      <c r="G348" s="9">
        <v>0.10241857067645496</v>
      </c>
      <c r="H348" s="9">
        <v>9.943197786023511E-2</v>
      </c>
      <c r="J348" s="31">
        <v>1.0300365423728963</v>
      </c>
    </row>
    <row r="349" spans="1:10" x14ac:dyDescent="0.3">
      <c r="A349" s="9">
        <v>0.27694857427374081</v>
      </c>
      <c r="B349" s="9">
        <v>0.24779038014094726</v>
      </c>
      <c r="C349" s="9">
        <v>0.2938443756876124</v>
      </c>
      <c r="D349" s="9">
        <v>0.18141666989769947</v>
      </c>
      <c r="E349" s="9">
        <f>SQRT((A349-A$3)^2+(B349-B$3)^2+(C349-C$3)^2+(D349-D$3)^2)</f>
        <v>0.45217530380116688</v>
      </c>
      <c r="G349" s="9">
        <v>8.9262912119173074E-2</v>
      </c>
      <c r="H349" s="9">
        <v>8.3447383544982004E-2</v>
      </c>
      <c r="J349" s="31">
        <v>1.0696909636604273</v>
      </c>
    </row>
    <row r="350" spans="1:10" x14ac:dyDescent="0.3">
      <c r="A350" s="9">
        <v>0.32376771608276933</v>
      </c>
      <c r="B350" s="9">
        <v>0.25383187821053371</v>
      </c>
      <c r="C350" s="9">
        <v>0.24999660771164817</v>
      </c>
      <c r="D350" s="9">
        <v>0.17240379799504868</v>
      </c>
      <c r="E350" s="9">
        <f>SQRT((A350-A$3)^2+(B350-B$3)^2+(C350-C$3)^2+(D350-D$3)^2)</f>
        <v>0.45218184547130535</v>
      </c>
      <c r="G350" s="9">
        <v>8.7443924066900686E-2</v>
      </c>
      <c r="H350" s="9">
        <v>7.9599033959836168E-2</v>
      </c>
      <c r="J350" s="31">
        <v>1.0985550919000207</v>
      </c>
    </row>
    <row r="351" spans="1:10" x14ac:dyDescent="0.3">
      <c r="A351" s="9">
        <v>9.4609758238945157E-2</v>
      </c>
      <c r="B351" s="9">
        <v>0.30097361967680913</v>
      </c>
      <c r="C351" s="9">
        <v>0.31655864347760748</v>
      </c>
      <c r="D351" s="9">
        <v>0.28785797860663831</v>
      </c>
      <c r="E351" s="9">
        <f>SQRT((A351-A$3)^2+(B351-B$3)^2+(C351-C$3)^2+(D351-D$3)^2)</f>
        <v>0.45249650832919613</v>
      </c>
      <c r="G351" s="9">
        <v>9.8979237229185668E-2</v>
      </c>
      <c r="H351" s="9">
        <v>9.6501894130537696E-2</v>
      </c>
      <c r="J351" s="31">
        <v>1.0256714453220668</v>
      </c>
    </row>
    <row r="352" spans="1:10" x14ac:dyDescent="0.3">
      <c r="A352" s="9">
        <v>4.3731994188824008E-2</v>
      </c>
      <c r="B352" s="9">
        <v>0.44344771041853143</v>
      </c>
      <c r="C352" s="9">
        <v>0.11269251817511865</v>
      </c>
      <c r="D352" s="9">
        <v>0.40012777721752596</v>
      </c>
      <c r="E352" s="9">
        <f>SQRT((A352-A$3)^2+(B352-B$3)^2+(C352-C$3)^2+(D352-D$3)^2)</f>
        <v>0.45281545904729276</v>
      </c>
      <c r="G352" s="9">
        <v>0.1059382014412204</v>
      </c>
      <c r="H352" s="9">
        <v>0.10003137513640947</v>
      </c>
      <c r="J352" s="31">
        <v>1.0590497361128544</v>
      </c>
    </row>
    <row r="353" spans="1:10" x14ac:dyDescent="0.3">
      <c r="A353" s="9">
        <v>0.18389087841591312</v>
      </c>
      <c r="B353" s="9">
        <v>0.28212707750860067</v>
      </c>
      <c r="C353" s="9">
        <v>0.47617329861842089</v>
      </c>
      <c r="D353" s="9">
        <v>5.780874545706538E-2</v>
      </c>
      <c r="E353" s="9">
        <f>SQRT((A353-A$3)^2+(B353-B$3)^2+(C353-C$3)^2+(D353-D$3)^2)</f>
        <v>0.45387544850978478</v>
      </c>
      <c r="G353" s="9">
        <v>9.3795662656837114E-2</v>
      </c>
      <c r="H353" s="9">
        <v>9.0132811809909369E-2</v>
      </c>
      <c r="J353" s="31">
        <v>1.0406383732336313</v>
      </c>
    </row>
    <row r="354" spans="1:10" x14ac:dyDescent="0.3">
      <c r="A354" s="9">
        <v>0.34113270630245707</v>
      </c>
      <c r="B354" s="9">
        <v>0.27247735498600301</v>
      </c>
      <c r="C354" s="9">
        <v>0.17985819063216554</v>
      </c>
      <c r="D354" s="9">
        <v>0.20653174807937452</v>
      </c>
      <c r="E354" s="9">
        <f>SQRT((A354-A$3)^2+(B354-B$3)^2+(C354-C$3)^2+(D354-D$3)^2)</f>
        <v>0.45442733185182643</v>
      </c>
      <c r="G354" s="9">
        <v>8.7413129621475447E-2</v>
      </c>
      <c r="H354" s="9">
        <v>7.8231061649619307E-2</v>
      </c>
      <c r="J354" s="31">
        <v>1.1173711282735841</v>
      </c>
    </row>
    <row r="355" spans="1:10" x14ac:dyDescent="0.3">
      <c r="A355" s="9">
        <v>0.3841797768962476</v>
      </c>
      <c r="B355" s="9">
        <v>0.37308980307959982</v>
      </c>
      <c r="C355" s="9">
        <v>1.1163400054170105E-2</v>
      </c>
      <c r="D355" s="9">
        <v>0.23156701996998247</v>
      </c>
      <c r="E355" s="9">
        <f>SQRT((A355-A$3)^2+(B355-B$3)^2+(C355-C$3)^2+(D355-D$3)^2)</f>
        <v>0.45449172107836394</v>
      </c>
      <c r="G355" s="9">
        <v>8.8801646006114232E-2</v>
      </c>
      <c r="H355" s="9">
        <v>7.5367409324761048E-2</v>
      </c>
      <c r="J355" s="31">
        <v>1.1782499465181899</v>
      </c>
    </row>
    <row r="356" spans="1:10" x14ac:dyDescent="0.3">
      <c r="A356" s="9">
        <v>0.27322642938836567</v>
      </c>
      <c r="B356" s="9">
        <v>0.27569617420798753</v>
      </c>
      <c r="C356" s="9">
        <v>0.18892264631895625</v>
      </c>
      <c r="D356" s="9">
        <v>0.26215475008469058</v>
      </c>
      <c r="E356" s="9">
        <f>SQRT((A356-A$3)^2+(B356-B$3)^2+(C356-C$3)^2+(D356-D$3)^2)</f>
        <v>0.45508214757759824</v>
      </c>
      <c r="G356" s="9">
        <v>9.0576971850534121E-2</v>
      </c>
      <c r="H356" s="9">
        <v>8.3941365956580138E-2</v>
      </c>
      <c r="J356" s="31">
        <v>1.0790504874245952</v>
      </c>
    </row>
    <row r="357" spans="1:10" x14ac:dyDescent="0.3">
      <c r="A357" s="9">
        <v>0.29269174035359036</v>
      </c>
      <c r="B357" s="9">
        <v>0.25322415652942148</v>
      </c>
      <c r="C357" s="9">
        <v>0.24575308411749053</v>
      </c>
      <c r="D357" s="9">
        <v>0.2083310189994976</v>
      </c>
      <c r="E357" s="9">
        <f>SQRT((A357-A$3)^2+(B357-B$3)^2+(C357-C$3)^2+(D357-D$3)^2)</f>
        <v>0.45536536119204546</v>
      </c>
      <c r="G357" s="9">
        <v>8.8865619555566738E-2</v>
      </c>
      <c r="H357" s="9">
        <v>8.2321952972530879E-2</v>
      </c>
      <c r="J357" s="31">
        <v>1.0794887189474154</v>
      </c>
    </row>
    <row r="358" spans="1:10" x14ac:dyDescent="0.3">
      <c r="A358" s="9">
        <v>0.2161162643023409</v>
      </c>
      <c r="B358" s="9">
        <v>0.24982438018293876</v>
      </c>
      <c r="C358" s="9">
        <v>0.38785996596292305</v>
      </c>
      <c r="D358" s="9">
        <v>0.14619938955179732</v>
      </c>
      <c r="E358" s="9">
        <f>SQRT((A358-A$3)^2+(B358-B$3)^2+(C358-C$3)^2+(D358-D$3)^2)</f>
        <v>0.45543883707868649</v>
      </c>
      <c r="G358" s="9">
        <v>9.1760931875089366E-2</v>
      </c>
      <c r="H358" s="9">
        <v>8.8283549618298235E-2</v>
      </c>
      <c r="J358" s="31">
        <v>1.0393887906844015</v>
      </c>
    </row>
    <row r="359" spans="1:10" x14ac:dyDescent="0.3">
      <c r="A359" s="9">
        <v>0.16133032383136292</v>
      </c>
      <c r="B359" s="9">
        <v>0.27307796257113148</v>
      </c>
      <c r="C359" s="9">
        <v>0.29404706535467062</v>
      </c>
      <c r="D359" s="9">
        <v>0.27154464824283508</v>
      </c>
      <c r="E359" s="9">
        <f>SQRT((A359-A$3)^2+(B359-B$3)^2+(C359-C$3)^2+(D359-D$3)^2)</f>
        <v>0.45586521706907107</v>
      </c>
      <c r="G359" s="9">
        <v>9.5245542000855873E-2</v>
      </c>
      <c r="H359" s="9">
        <v>9.2327294187723577E-2</v>
      </c>
      <c r="J359" s="31">
        <v>1.0316076393097668</v>
      </c>
    </row>
    <row r="360" spans="1:10" x14ac:dyDescent="0.3">
      <c r="A360" s="9">
        <v>0.37625443042018436</v>
      </c>
      <c r="B360" s="9">
        <v>0.27185095667378595</v>
      </c>
      <c r="C360" s="9">
        <v>0.18301693362473268</v>
      </c>
      <c r="D360" s="9">
        <v>0.16887767928129704</v>
      </c>
      <c r="E360" s="9">
        <f>SQRT((A360-A$3)^2+(B360-B$3)^2+(C360-C$3)^2+(D360-D$3)^2)</f>
        <v>0.45653627987266665</v>
      </c>
      <c r="G360" s="9">
        <v>8.5776488959187977E-2</v>
      </c>
      <c r="H360" s="9">
        <v>7.5332685943237179E-2</v>
      </c>
      <c r="J360" s="31">
        <v>1.1386357446994544</v>
      </c>
    </row>
    <row r="361" spans="1:10" x14ac:dyDescent="0.3">
      <c r="A361" s="9">
        <v>0.36114917518573841</v>
      </c>
      <c r="B361" s="9">
        <v>0.38079187594427305</v>
      </c>
      <c r="C361" s="9">
        <v>4.449563880572467E-4</v>
      </c>
      <c r="D361" s="9">
        <v>0.25761399248193129</v>
      </c>
      <c r="E361" s="9">
        <f>SQRT((A361-A$3)^2+(B361-B$3)^2+(C361-C$3)^2+(D361-D$3)^2)</f>
        <v>0.45656092751505589</v>
      </c>
      <c r="G361" s="9">
        <v>9.0105265119840253E-2</v>
      </c>
      <c r="H361" s="9">
        <v>7.7597664856518006E-2</v>
      </c>
      <c r="J361" s="31">
        <v>1.1611852661603854</v>
      </c>
    </row>
    <row r="362" spans="1:10" x14ac:dyDescent="0.3">
      <c r="A362" s="9">
        <v>0.43450779147634966</v>
      </c>
      <c r="B362" s="9">
        <v>0.32702465518960455</v>
      </c>
      <c r="C362" s="9">
        <v>8.6099637068690102E-2</v>
      </c>
      <c r="D362" s="9">
        <v>0.15236791626535576</v>
      </c>
      <c r="E362" s="9">
        <f>SQRT((A362-A$3)^2+(B362-B$3)^2+(C362-C$3)^2+(D362-D$3)^2)</f>
        <v>0.45656620013597105</v>
      </c>
      <c r="G362" s="9">
        <v>8.4967671775974557E-2</v>
      </c>
      <c r="H362" s="9">
        <v>7.046541429051055E-2</v>
      </c>
      <c r="J362" s="31">
        <v>1.2058067440812166</v>
      </c>
    </row>
    <row r="363" spans="1:10" x14ac:dyDescent="0.3">
      <c r="A363" s="9">
        <v>0.14101362395719674</v>
      </c>
      <c r="B363" s="9">
        <v>0.28238229327552111</v>
      </c>
      <c r="C363" s="9">
        <v>0.28955388558366596</v>
      </c>
      <c r="D363" s="9">
        <v>0.2870501971836163</v>
      </c>
      <c r="E363" s="9">
        <f>SQRT((A363-A$3)^2+(B363-B$3)^2+(C363-C$3)^2+(D363-D$3)^2)</f>
        <v>0.45659300669696601</v>
      </c>
      <c r="G363" s="9">
        <v>9.6445923893104454E-2</v>
      </c>
      <c r="H363" s="9">
        <v>9.3785331269571517E-2</v>
      </c>
      <c r="J363" s="31">
        <v>1.0283689633284492</v>
      </c>
    </row>
    <row r="364" spans="1:10" x14ac:dyDescent="0.3">
      <c r="A364" s="9">
        <v>0.20017292656372807</v>
      </c>
      <c r="B364" s="9">
        <v>0.26163015488579766</v>
      </c>
      <c r="C364" s="9">
        <v>0.44085502338798288</v>
      </c>
      <c r="D364" s="9">
        <v>9.7341895162491462E-2</v>
      </c>
      <c r="E364" s="9">
        <f>SQRT((A364-A$3)^2+(B364-B$3)^2+(C364-C$3)^2+(D364-D$3)^2)</f>
        <v>0.45712124901605677</v>
      </c>
      <c r="G364" s="9">
        <v>9.2619788527235458E-2</v>
      </c>
      <c r="H364" s="9">
        <v>8.9419741144179804E-2</v>
      </c>
      <c r="J364" s="31">
        <v>1.0357868110789532</v>
      </c>
    </row>
    <row r="365" spans="1:10" x14ac:dyDescent="0.3">
      <c r="A365" s="9">
        <v>0.15759636483476794</v>
      </c>
      <c r="B365" s="9">
        <v>0.35782217181230092</v>
      </c>
      <c r="C365" s="9">
        <v>0.11739813480405788</v>
      </c>
      <c r="D365" s="9">
        <v>0.36718332854887337</v>
      </c>
      <c r="E365" s="9">
        <f>SQRT((A365-A$3)^2+(B365-B$3)^2+(C365-C$3)^2+(D365-D$3)^2)</f>
        <v>0.45722893587163022</v>
      </c>
      <c r="G365" s="9">
        <v>9.8372043881400001E-2</v>
      </c>
      <c r="H365" s="9">
        <v>9.3159080617678539E-2</v>
      </c>
      <c r="J365" s="31">
        <v>1.0559576503885357</v>
      </c>
    </row>
    <row r="366" spans="1:10" x14ac:dyDescent="0.3">
      <c r="A366" s="9">
        <v>0.43070985312551402</v>
      </c>
      <c r="B366" s="9">
        <v>0.31860513921057476</v>
      </c>
      <c r="C366" s="9">
        <v>9.795037690146853E-2</v>
      </c>
      <c r="D366" s="9">
        <v>0.15273463076244267</v>
      </c>
      <c r="E366" s="9">
        <f>SQRT((A366-A$3)^2+(B366-B$3)^2+(C366-C$3)^2+(D366-D$3)^2)</f>
        <v>0.45735797998967037</v>
      </c>
      <c r="G366" s="9">
        <v>8.4868693864135009E-2</v>
      </c>
      <c r="H366" s="9">
        <v>7.0783943572241825E-2</v>
      </c>
      <c r="J366" s="31">
        <v>1.1989822773510541</v>
      </c>
    </row>
    <row r="367" spans="1:10" x14ac:dyDescent="0.3">
      <c r="A367" s="9">
        <v>0.18159364986360396</v>
      </c>
      <c r="B367" s="9">
        <v>0.34175182909230922</v>
      </c>
      <c r="C367" s="9">
        <v>0.12244527815155026</v>
      </c>
      <c r="D367" s="9">
        <v>0.35420924289253658</v>
      </c>
      <c r="E367" s="9">
        <f>SQRT((A367-A$3)^2+(B367-B$3)^2+(C367-C$3)^2+(D367-D$3)^2)</f>
        <v>0.45763164143483859</v>
      </c>
      <c r="G367" s="9">
        <v>9.6816560320967443E-2</v>
      </c>
      <c r="H367" s="9">
        <v>9.1438126007184123E-2</v>
      </c>
      <c r="J367" s="31">
        <v>1.0588204783785786</v>
      </c>
    </row>
    <row r="368" spans="1:10" x14ac:dyDescent="0.3">
      <c r="A368" s="9">
        <v>0.10829543911467684</v>
      </c>
      <c r="B368" s="9">
        <v>0.41016901176260973</v>
      </c>
      <c r="C368" s="9">
        <v>8.7096844234223134E-2</v>
      </c>
      <c r="D368" s="9">
        <v>0.39443870488849042</v>
      </c>
      <c r="E368" s="9">
        <f>SQRT((A368-A$3)^2+(B368-B$3)^2+(C368-C$3)^2+(D368-D$3)^2)</f>
        <v>0.45837878034841184</v>
      </c>
      <c r="G368" s="9">
        <v>0.10216766792503848</v>
      </c>
      <c r="H368" s="9">
        <v>9.6620801000374609E-2</v>
      </c>
      <c r="J368" s="31">
        <v>1.0574086207859359</v>
      </c>
    </row>
    <row r="369" spans="1:10" x14ac:dyDescent="0.3">
      <c r="A369" s="9">
        <v>0.18901559556811803</v>
      </c>
      <c r="B369" s="9">
        <v>0.3072580632025691</v>
      </c>
      <c r="C369" s="9">
        <v>0.1742211285085358</v>
      </c>
      <c r="D369" s="9">
        <v>0.32950521272077699</v>
      </c>
      <c r="E369" s="9">
        <f>SQRT((A369-A$3)^2+(B369-B$3)^2+(C369-C$3)^2+(D369-D$3)^2)</f>
        <v>0.45838785933257103</v>
      </c>
      <c r="G369" s="9">
        <v>9.5347096101655496E-2</v>
      </c>
      <c r="H369" s="9">
        <v>9.0753408229242036E-2</v>
      </c>
      <c r="J369" s="31">
        <v>1.0506172491154255</v>
      </c>
    </row>
    <row r="370" spans="1:10" x14ac:dyDescent="0.3">
      <c r="A370" s="9">
        <v>0.16374925145642871</v>
      </c>
      <c r="B370" s="9">
        <v>0.29196224645407576</v>
      </c>
      <c r="C370" s="9">
        <v>0.22981880229783597</v>
      </c>
      <c r="D370" s="9">
        <v>0.31446969979165967</v>
      </c>
      <c r="E370" s="9">
        <f>SQRT((A370-A$3)^2+(B370-B$3)^2+(C370-C$3)^2+(D370-D$3)^2)</f>
        <v>0.45854651127876556</v>
      </c>
      <c r="G370" s="9">
        <v>9.5884023397967921E-2</v>
      </c>
      <c r="H370" s="9">
        <v>9.2452673850095327E-2</v>
      </c>
      <c r="J370" s="31">
        <v>1.0371146599116889</v>
      </c>
    </row>
    <row r="371" spans="1:10" x14ac:dyDescent="0.3">
      <c r="A371" s="9">
        <v>0.4999641637830487</v>
      </c>
      <c r="B371" s="9">
        <v>0.34896602888704376</v>
      </c>
      <c r="C371" s="9">
        <v>0.12600094938652598</v>
      </c>
      <c r="D371" s="9">
        <v>2.5068857943381505E-2</v>
      </c>
      <c r="E371" s="9">
        <f>SQRT((A371-A$3)^2+(B371-B$3)^2+(C371-C$3)^2+(D371-D$3)^2)</f>
        <v>0.45878855491727888</v>
      </c>
      <c r="G371" s="9">
        <v>8.2423868625671415E-2</v>
      </c>
      <c r="H371" s="9">
        <v>6.5193868160284899E-2</v>
      </c>
      <c r="J371" s="31">
        <v>1.2642886662749484</v>
      </c>
    </row>
    <row r="372" spans="1:10" x14ac:dyDescent="0.3">
      <c r="A372" s="9">
        <v>0.25906075149861557</v>
      </c>
      <c r="B372" s="9">
        <v>0.25941765001841749</v>
      </c>
      <c r="C372" s="9">
        <v>0.23195352631296506</v>
      </c>
      <c r="D372" s="9">
        <v>0.24956807217000179</v>
      </c>
      <c r="E372" s="9">
        <f>SQRT((A372-A$3)^2+(B372-B$3)^2+(C372-C$3)^2+(D372-D$3)^2)</f>
        <v>0.45912198586955755</v>
      </c>
      <c r="G372" s="9">
        <v>9.0624652854464111E-2</v>
      </c>
      <c r="H372" s="9">
        <v>8.5250367584048151E-2</v>
      </c>
      <c r="J372" s="31">
        <v>1.0630411976243677</v>
      </c>
    </row>
    <row r="373" spans="1:10" x14ac:dyDescent="0.3">
      <c r="A373" s="9">
        <v>1.997228662128147E-2</v>
      </c>
      <c r="B373" s="9">
        <v>0.40378347392963732</v>
      </c>
      <c r="C373" s="9">
        <v>0.18794940670696408</v>
      </c>
      <c r="D373" s="9">
        <v>0.38829483274211712</v>
      </c>
      <c r="E373" s="9">
        <f>SQRT((A373-A$3)^2+(B373-B$3)^2+(C373-C$3)^2+(D373-D$3)^2)</f>
        <v>0.45973353768037134</v>
      </c>
      <c r="G373" s="9">
        <v>0.10566975745885937</v>
      </c>
      <c r="H373" s="9">
        <v>0.1016298907096045</v>
      </c>
      <c r="J373" s="31">
        <v>1.0397507733310303</v>
      </c>
    </row>
    <row r="374" spans="1:10" x14ac:dyDescent="0.3">
      <c r="A374" s="9">
        <v>0.11231540629624465</v>
      </c>
      <c r="B374" s="9">
        <v>0.38816701987597602</v>
      </c>
      <c r="C374" s="9">
        <v>0.11056264993270017</v>
      </c>
      <c r="D374" s="9">
        <v>0.38895492389507919</v>
      </c>
      <c r="E374" s="9">
        <f>SQRT((A374-A$3)^2+(B374-B$3)^2+(C374-C$3)^2+(D374-D$3)^2)</f>
        <v>0.45981999062980539</v>
      </c>
      <c r="G374" s="9">
        <v>0.10129790343549674</v>
      </c>
      <c r="H374" s="9">
        <v>9.6388656958903099E-2</v>
      </c>
      <c r="J374" s="31">
        <v>1.0509317862856704</v>
      </c>
    </row>
    <row r="375" spans="1:10" x14ac:dyDescent="0.3">
      <c r="A375" s="9">
        <v>0.31541552079225132</v>
      </c>
      <c r="B375" s="9">
        <v>0.24258907785358355</v>
      </c>
      <c r="C375" s="9">
        <v>0.34884539173866308</v>
      </c>
      <c r="D375" s="9">
        <v>9.3150009615502113E-2</v>
      </c>
      <c r="E375" s="9">
        <f>SQRT((A375-A$3)^2+(B375-B$3)^2+(C375-C$3)^2+(D375-D$3)^2)</f>
        <v>0.45995125986786523</v>
      </c>
      <c r="G375" s="9">
        <v>8.7159363889184938E-2</v>
      </c>
      <c r="H375" s="9">
        <v>8.1034544754107429E-2</v>
      </c>
      <c r="J375" s="31">
        <v>1.0755828166081856</v>
      </c>
    </row>
    <row r="376" spans="1:10" x14ac:dyDescent="0.3">
      <c r="A376" s="9">
        <v>0.10265776321998822</v>
      </c>
      <c r="B376" s="9">
        <v>0.30799223971669787</v>
      </c>
      <c r="C376" s="9">
        <v>0.26305722386816599</v>
      </c>
      <c r="D376" s="9">
        <v>0.32629277319514788</v>
      </c>
      <c r="E376" s="9">
        <f>SQRT((A376-A$3)^2+(B376-B$3)^2+(C376-C$3)^2+(D376-D$3)^2)</f>
        <v>0.46042204615815358</v>
      </c>
      <c r="G376" s="9">
        <v>9.8997216745724037E-2</v>
      </c>
      <c r="H376" s="9">
        <v>9.6623085132560724E-2</v>
      </c>
      <c r="J376" s="31">
        <v>1.0245710599067102</v>
      </c>
    </row>
    <row r="377" spans="1:10" x14ac:dyDescent="0.3">
      <c r="A377" s="9">
        <v>0.46418618627915931</v>
      </c>
      <c r="B377" s="9">
        <v>0.35397829483130988</v>
      </c>
      <c r="C377" s="9">
        <v>5.4474804112675142E-2</v>
      </c>
      <c r="D377" s="9">
        <v>0.12736071477685565</v>
      </c>
      <c r="E377" s="9">
        <f>SQRT((A377-A$3)^2+(B377-B$3)^2+(C377-C$3)^2+(D377-D$3)^2)</f>
        <v>0.46048505045624338</v>
      </c>
      <c r="G377" s="9">
        <v>8.4459375598742947E-2</v>
      </c>
      <c r="H377" s="9">
        <v>6.8322221872098965E-2</v>
      </c>
      <c r="J377" s="31">
        <v>1.2361918755636074</v>
      </c>
    </row>
    <row r="378" spans="1:10" x14ac:dyDescent="0.3">
      <c r="A378" s="9">
        <v>2.7788432676405194E-2</v>
      </c>
      <c r="B378" s="9">
        <v>0.32259624005715654</v>
      </c>
      <c r="C378" s="9">
        <v>0.45467545714628682</v>
      </c>
      <c r="D378" s="9">
        <v>0.19493987012015157</v>
      </c>
      <c r="E378" s="9">
        <f>SQRT((A378-A$3)^2+(B378-B$3)^2+(C378-C$3)^2+(D378-D$3)^2)</f>
        <v>0.46054167282730851</v>
      </c>
      <c r="G378" s="9">
        <v>0.10212507824839764</v>
      </c>
      <c r="H378" s="9">
        <v>9.995402300083886E-2</v>
      </c>
      <c r="J378" s="31">
        <v>1.0217205389275883</v>
      </c>
    </row>
    <row r="379" spans="1:10" x14ac:dyDescent="0.3">
      <c r="A379" s="9">
        <v>0.42772813633621032</v>
      </c>
      <c r="B379" s="9">
        <v>0.27457633897712314</v>
      </c>
      <c r="C379" s="9">
        <v>0.2288639801175068</v>
      </c>
      <c r="D379" s="9">
        <v>6.8831544569159506E-2</v>
      </c>
      <c r="E379" s="9">
        <f>SQRT((A379-A$3)^2+(B379-B$3)^2+(C379-C$3)^2+(D379-D$3)^2)</f>
        <v>0.46054795249512381</v>
      </c>
      <c r="G379" s="9">
        <v>8.3327022005506693E-2</v>
      </c>
      <c r="H379" s="9">
        <v>7.1378324370521509E-2</v>
      </c>
      <c r="J379" s="31">
        <v>1.1673995255612903</v>
      </c>
    </row>
    <row r="380" spans="1:10" x14ac:dyDescent="0.3">
      <c r="A380" s="9">
        <v>0.13390636782648166</v>
      </c>
      <c r="B380" s="9">
        <v>0.39087804804377807</v>
      </c>
      <c r="C380" s="9">
        <v>8.7935222917296038E-2</v>
      </c>
      <c r="D380" s="9">
        <v>0.3872803612124443</v>
      </c>
      <c r="E380" s="9">
        <f>SQRT((A380-A$3)^2+(B380-B$3)^2+(C380-C$3)^2+(D380-D$3)^2)</f>
        <v>0.46060169366599035</v>
      </c>
      <c r="G380" s="9">
        <v>0.10046578948689716</v>
      </c>
      <c r="H380" s="9">
        <v>9.5081386031140802E-2</v>
      </c>
      <c r="J380" s="31">
        <v>1.0566294169711923</v>
      </c>
    </row>
    <row r="381" spans="1:10" x14ac:dyDescent="0.3">
      <c r="A381" s="9">
        <v>0.3578978286708695</v>
      </c>
      <c r="B381" s="9">
        <v>0.25075968097116413</v>
      </c>
      <c r="C381" s="9">
        <v>0.23966140451156845</v>
      </c>
      <c r="D381" s="9">
        <v>0.15168108584639797</v>
      </c>
      <c r="E381" s="9">
        <f>SQRT((A381-A$3)^2+(B381-B$3)^2+(C381-C$3)^2+(D381-D$3)^2)</f>
        <v>0.46124767669821654</v>
      </c>
      <c r="G381" s="9">
        <v>8.5835147477659593E-2</v>
      </c>
      <c r="H381" s="9">
        <v>7.7245888991638187E-2</v>
      </c>
      <c r="J381" s="31">
        <v>1.1111937295064491</v>
      </c>
    </row>
    <row r="382" spans="1:10" x14ac:dyDescent="0.3">
      <c r="A382" s="9">
        <v>0.28173360005799231</v>
      </c>
      <c r="B382" s="9">
        <v>0.29952844944705442</v>
      </c>
      <c r="C382" s="9">
        <v>0.12757852914804871</v>
      </c>
      <c r="D382" s="9">
        <v>0.29115942134690448</v>
      </c>
      <c r="E382" s="9">
        <f>SQRT((A382-A$3)^2+(B382-B$3)^2+(C382-C$3)^2+(D382-D$3)^2)</f>
        <v>0.46126892563760485</v>
      </c>
      <c r="G382" s="9">
        <v>9.1061167102948787E-2</v>
      </c>
      <c r="H382" s="9">
        <v>8.3769992233490395E-2</v>
      </c>
      <c r="J382" s="31">
        <v>1.0870380272823215</v>
      </c>
    </row>
    <row r="383" spans="1:10" x14ac:dyDescent="0.3">
      <c r="A383" s="9">
        <v>0.33550155246229413</v>
      </c>
      <c r="B383" s="9">
        <v>0.30619518594679396</v>
      </c>
      <c r="C383" s="9">
        <v>9.9499352873864036E-2</v>
      </c>
      <c r="D383" s="9">
        <v>0.25880390871704789</v>
      </c>
      <c r="E383" s="9">
        <f>SQRT((A383-A$3)^2+(B383-B$3)^2+(C383-C$3)^2+(D383-D$3)^2)</f>
        <v>0.46176873674101071</v>
      </c>
      <c r="G383" s="9">
        <v>8.8883612995403261E-2</v>
      </c>
      <c r="H383" s="9">
        <v>7.9363285606037601E-2</v>
      </c>
      <c r="J383" s="31">
        <v>1.1199588363393236</v>
      </c>
    </row>
    <row r="384" spans="1:10" x14ac:dyDescent="0.3">
      <c r="A384" s="9">
        <v>0.32277429676660774</v>
      </c>
      <c r="B384" s="9">
        <v>0.33859965099628803</v>
      </c>
      <c r="C384" s="9">
        <v>5.3317548736089695E-2</v>
      </c>
      <c r="D384" s="9">
        <v>0.28530850350101461</v>
      </c>
      <c r="E384" s="9">
        <f>SQRT((A384-A$3)^2+(B384-B$3)^2+(C384-C$3)^2+(D384-D$3)^2)</f>
        <v>0.46177539679312235</v>
      </c>
      <c r="G384" s="9">
        <v>9.0518597681192248E-2</v>
      </c>
      <c r="H384" s="9">
        <v>8.074128269228982E-2</v>
      </c>
      <c r="J384" s="31">
        <v>1.1210943728273974</v>
      </c>
    </row>
    <row r="385" spans="1:10" x14ac:dyDescent="0.3">
      <c r="A385" s="9">
        <v>5.106524540456496E-2</v>
      </c>
      <c r="B385" s="9">
        <v>0.33267836449236504</v>
      </c>
      <c r="C385" s="9">
        <v>0.27862642562566398</v>
      </c>
      <c r="D385" s="9">
        <v>0.33762996447740595</v>
      </c>
      <c r="E385" s="9">
        <f>SQRT((A385-A$3)^2+(B385-B$3)^2+(C385-C$3)^2+(D385-D$3)^2)</f>
        <v>0.46195401228578997</v>
      </c>
      <c r="G385" s="9">
        <v>0.10197602868771655</v>
      </c>
      <c r="H385" s="9">
        <v>9.9812566383513074E-2</v>
      </c>
      <c r="J385" s="31">
        <v>1.0216752497465171</v>
      </c>
    </row>
    <row r="386" spans="1:10" x14ac:dyDescent="0.3">
      <c r="A386" s="9">
        <v>1.1652775128839983E-2</v>
      </c>
      <c r="B386" s="9">
        <v>0.44976932692188298</v>
      </c>
      <c r="C386" s="9">
        <v>0.13105330061739648</v>
      </c>
      <c r="D386" s="9">
        <v>0.40752459733188057</v>
      </c>
      <c r="E386" s="9">
        <f>SQRT((A386-A$3)^2+(B386-B$3)^2+(C386-C$3)^2+(D386-D$3)^2)</f>
        <v>0.46201442057368031</v>
      </c>
      <c r="G386" s="9">
        <v>0.10751246725567168</v>
      </c>
      <c r="H386" s="9">
        <v>0.10224099933127391</v>
      </c>
      <c r="J386" s="31">
        <v>1.0515592370856777</v>
      </c>
    </row>
    <row r="387" spans="1:10" x14ac:dyDescent="0.3">
      <c r="A387" s="9">
        <v>2.2125904831395159E-2</v>
      </c>
      <c r="B387" s="9">
        <v>0.37069839138584793</v>
      </c>
      <c r="C387" s="9">
        <v>0.55206894218680636</v>
      </c>
      <c r="D387" s="9">
        <v>5.5106761595950571E-2</v>
      </c>
      <c r="E387" s="9">
        <f>SQRT((A387-A$3)^2+(B387-B$3)^2+(C387-C$3)^2+(D387-D$3)^2)</f>
        <v>0.46261447540653922</v>
      </c>
      <c r="G387" s="9">
        <v>0.10334152786192269</v>
      </c>
      <c r="H387" s="9">
        <v>9.8570822526580032E-2</v>
      </c>
      <c r="J387" s="31">
        <v>1.0483987574929308</v>
      </c>
    </row>
    <row r="388" spans="1:10" x14ac:dyDescent="0.3">
      <c r="A388" s="9">
        <v>0.30471476072868531</v>
      </c>
      <c r="B388" s="9">
        <v>0.23741697121216268</v>
      </c>
      <c r="C388" s="9">
        <v>0.2961361006961607</v>
      </c>
      <c r="D388" s="9">
        <v>0.16173216736299126</v>
      </c>
      <c r="E388" s="9">
        <f>SQRT((A388-A$3)^2+(B388-B$3)^2+(C388-C$3)^2+(D388-D$3)^2)</f>
        <v>0.463348903449885</v>
      </c>
      <c r="G388" s="9">
        <v>8.7700317697851582E-2</v>
      </c>
      <c r="H388" s="9">
        <v>8.187992777208597E-2</v>
      </c>
      <c r="J388" s="31">
        <v>1.0710844535911994</v>
      </c>
    </row>
    <row r="389" spans="1:10" x14ac:dyDescent="0.3">
      <c r="A389" s="9">
        <v>0.25597252636725937</v>
      </c>
      <c r="B389" s="9">
        <v>0.24811380796722732</v>
      </c>
      <c r="C389" s="9">
        <v>0.25857713310490943</v>
      </c>
      <c r="D389" s="9">
        <v>0.23733653256060397</v>
      </c>
      <c r="E389" s="9">
        <f>SQRT((A389-A$3)^2+(B389-B$3)^2+(C389-C$3)^2+(D389-D$3)^2)</f>
        <v>0.46441174021551457</v>
      </c>
      <c r="G389" s="9">
        <v>9.0360657496170949E-2</v>
      </c>
      <c r="H389" s="9">
        <v>8.5780477173479988E-2</v>
      </c>
      <c r="J389" s="31">
        <v>1.053394204294622</v>
      </c>
    </row>
    <row r="390" spans="1:10" x14ac:dyDescent="0.3">
      <c r="A390" s="9">
        <v>0.3794640516922772</v>
      </c>
      <c r="B390" s="9">
        <v>0.25246905694085514</v>
      </c>
      <c r="C390" s="9">
        <v>0.23387238478306396</v>
      </c>
      <c r="D390" s="9">
        <v>0.13419450658380372</v>
      </c>
      <c r="E390" s="9">
        <f>SQRT((A390-A$3)^2+(B390-B$3)^2+(C390-C$3)^2+(D390-D$3)^2)</f>
        <v>0.46465566793362129</v>
      </c>
      <c r="G390" s="9">
        <v>8.4915471350333366E-2</v>
      </c>
      <c r="H390" s="9">
        <v>7.5612847610906003E-2</v>
      </c>
      <c r="J390" s="31">
        <v>1.1230296706625502</v>
      </c>
    </row>
    <row r="391" spans="1:10" x14ac:dyDescent="0.3">
      <c r="A391" s="9">
        <v>0.29798798082145406</v>
      </c>
      <c r="B391" s="9">
        <v>0.30414329844345589</v>
      </c>
      <c r="C391" s="9">
        <v>0.10869731302897781</v>
      </c>
      <c r="D391" s="9">
        <v>0.28917140770611222</v>
      </c>
      <c r="E391" s="9">
        <f>SQRT((A391-A$3)^2+(B391-B$3)^2+(C391-C$3)^2+(D391-D$3)^2)</f>
        <v>0.4649166605923985</v>
      </c>
      <c r="G391" s="9">
        <v>9.0511667225717629E-2</v>
      </c>
      <c r="H391" s="9">
        <v>8.2698616049944426E-2</v>
      </c>
      <c r="J391" s="31">
        <v>1.0944762022505268</v>
      </c>
    </row>
    <row r="392" spans="1:10" x14ac:dyDescent="0.3">
      <c r="A392" s="9">
        <v>0.40407381595678488</v>
      </c>
      <c r="B392" s="9">
        <v>0.2862632889863394</v>
      </c>
      <c r="C392" s="9">
        <v>0.1366689411118209</v>
      </c>
      <c r="D392" s="9">
        <v>0.17299395394505482</v>
      </c>
      <c r="E392" s="9">
        <f>SQRT((A392-A$3)^2+(B392-B$3)^2+(C392-C$3)^2+(D392-D$3)^2)</f>
        <v>0.46510479530460308</v>
      </c>
      <c r="G392" s="9">
        <v>8.5064858532275189E-2</v>
      </c>
      <c r="H392" s="9">
        <v>7.3419123770508798E-2</v>
      </c>
      <c r="J392" s="31">
        <v>1.1586199094144498</v>
      </c>
    </row>
    <row r="393" spans="1:10" x14ac:dyDescent="0.3">
      <c r="A393" s="9">
        <v>0.39949852877523179</v>
      </c>
      <c r="B393" s="9">
        <v>0.31086897310669226</v>
      </c>
      <c r="C393" s="9">
        <v>8.6501897138722209E-2</v>
      </c>
      <c r="D393" s="9">
        <v>0.20313060097935365</v>
      </c>
      <c r="E393" s="9">
        <f>SQRT((A393-A$3)^2+(B393-B$3)^2+(C393-C$3)^2+(D393-D$3)^2)</f>
        <v>0.46536494676866486</v>
      </c>
      <c r="G393" s="9">
        <v>8.612839172371814E-2</v>
      </c>
      <c r="H393" s="9">
        <v>7.4014200717521558E-2</v>
      </c>
      <c r="J393" s="31">
        <v>1.163673874591052</v>
      </c>
    </row>
    <row r="394" spans="1:10" x14ac:dyDescent="0.3">
      <c r="A394" s="9">
        <v>0.36925223031039045</v>
      </c>
      <c r="B394" s="9">
        <v>0.25433294101759096</v>
      </c>
      <c r="C394" s="9">
        <v>0.21145243356046384</v>
      </c>
      <c r="D394" s="9">
        <v>0.16496239511155486</v>
      </c>
      <c r="E394" s="9">
        <f>SQRT((A394-A$3)^2+(B394-B$3)^2+(C394-C$3)^2+(D394-D$3)^2)</f>
        <v>0.46598532767068152</v>
      </c>
      <c r="G394" s="9">
        <v>8.5515575882131351E-2</v>
      </c>
      <c r="H394" s="9">
        <v>7.6487607254654991E-2</v>
      </c>
      <c r="J394" s="31">
        <v>1.1180317825529431</v>
      </c>
    </row>
    <row r="395" spans="1:10" x14ac:dyDescent="0.3">
      <c r="A395" s="9">
        <v>0.3851248868671765</v>
      </c>
      <c r="B395" s="9">
        <v>0.35981994676672058</v>
      </c>
      <c r="C395" s="9">
        <v>1.4152627980491796E-2</v>
      </c>
      <c r="D395" s="9">
        <v>0.24090253838561107</v>
      </c>
      <c r="E395" s="9">
        <f>SQRT((A395-A$3)^2+(B395-B$3)^2+(C395-C$3)^2+(D395-D$3)^2)</f>
        <v>0.46606500502694836</v>
      </c>
      <c r="G395" s="9">
        <v>8.838549541912645E-2</v>
      </c>
      <c r="H395" s="9">
        <v>7.5886330674538996E-2</v>
      </c>
      <c r="J395" s="31">
        <v>1.1647090409232439</v>
      </c>
    </row>
    <row r="396" spans="1:10" x14ac:dyDescent="0.3">
      <c r="A396" s="9">
        <v>0.16094217263960117</v>
      </c>
      <c r="B396" s="9">
        <v>0.26467992074456198</v>
      </c>
      <c r="C396" s="9">
        <v>0.29665301501283936</v>
      </c>
      <c r="D396" s="9">
        <v>0.27772489160299751</v>
      </c>
      <c r="E396" s="9">
        <f>SQRT((A396-A$3)^2+(B396-B$3)^2+(C396-C$3)^2+(D396-D$3)^2)</f>
        <v>0.46659324119964352</v>
      </c>
      <c r="G396" s="9">
        <v>9.5024728061304131E-2</v>
      </c>
      <c r="H396" s="9">
        <v>9.2971157026706483E-2</v>
      </c>
      <c r="J396" s="31">
        <v>1.0220882594158502</v>
      </c>
    </row>
    <row r="397" spans="1:10" x14ac:dyDescent="0.3">
      <c r="A397" s="9">
        <v>0.22333713848963549</v>
      </c>
      <c r="B397" s="9">
        <v>0.29181864078774772</v>
      </c>
      <c r="C397" s="9">
        <v>0.16676255886085001</v>
      </c>
      <c r="D397" s="9">
        <v>0.31808166186176684</v>
      </c>
      <c r="E397" s="9">
        <f>SQRT((A397-A$3)^2+(B397-B$3)^2+(C397-C$3)^2+(D397-D$3)^2)</f>
        <v>0.46659697037136594</v>
      </c>
      <c r="G397" s="9">
        <v>9.3381708939787852E-2</v>
      </c>
      <c r="H397" s="9">
        <v>8.8629862124219402E-2</v>
      </c>
      <c r="J397" s="31">
        <v>1.0536145121032512</v>
      </c>
    </row>
    <row r="398" spans="1:10" x14ac:dyDescent="0.3">
      <c r="A398" s="9">
        <v>0.4311470455455354</v>
      </c>
      <c r="B398" s="9">
        <v>0.33218890199194856</v>
      </c>
      <c r="C398" s="9">
        <v>5.9122871131277288E-2</v>
      </c>
      <c r="D398" s="9">
        <v>0.1775411813312387</v>
      </c>
      <c r="E398" s="9">
        <f>SQRT((A398-A$3)^2+(B398-B$3)^2+(C398-C$3)^2+(D398-D$3)^2)</f>
        <v>0.46664473530682299</v>
      </c>
      <c r="G398" s="9">
        <v>8.5360739053476228E-2</v>
      </c>
      <c r="H398" s="9">
        <v>7.1462104740834892E-2</v>
      </c>
      <c r="J398" s="31">
        <v>1.1944895740623125</v>
      </c>
    </row>
    <row r="399" spans="1:10" x14ac:dyDescent="0.3">
      <c r="A399" s="9">
        <v>0.35277464614223397</v>
      </c>
      <c r="B399" s="9">
        <v>0.33742184937833009</v>
      </c>
      <c r="C399" s="9">
        <v>4.3356013965354039E-2</v>
      </c>
      <c r="D399" s="9">
        <v>0.26644749051408195</v>
      </c>
      <c r="E399" s="9">
        <f>SQRT((A399-A$3)^2+(B399-B$3)^2+(C399-C$3)^2+(D399-D$3)^2)</f>
        <v>0.46723368571859752</v>
      </c>
      <c r="G399" s="9">
        <v>8.9149216105470122E-2</v>
      </c>
      <c r="H399" s="9">
        <v>7.8526446952764145E-2</v>
      </c>
      <c r="J399" s="31">
        <v>1.1352763249188629</v>
      </c>
    </row>
    <row r="400" spans="1:10" x14ac:dyDescent="0.3">
      <c r="A400" s="9">
        <v>0.29885811314662597</v>
      </c>
      <c r="B400" s="9">
        <v>0.25219099849155763</v>
      </c>
      <c r="C400" s="9">
        <v>0.21532239299956019</v>
      </c>
      <c r="D400" s="9">
        <v>0.23362849536225613</v>
      </c>
      <c r="E400" s="9">
        <f>SQRT((A400-A$3)^2+(B400-B$3)^2+(C400-C$3)^2+(D400-D$3)^2)</f>
        <v>0.46738790897081722</v>
      </c>
      <c r="G400" s="9">
        <v>8.8666021306459814E-2</v>
      </c>
      <c r="H400" s="9">
        <v>8.2493016394797156E-2</v>
      </c>
      <c r="J400" s="31">
        <v>1.074830636354958</v>
      </c>
    </row>
    <row r="401" spans="1:10" x14ac:dyDescent="0.3">
      <c r="A401" s="9">
        <v>0.15055398576935622</v>
      </c>
      <c r="B401" s="9">
        <v>0.30822712234533112</v>
      </c>
      <c r="C401" s="9">
        <v>0.53082633074848562</v>
      </c>
      <c r="D401" s="9">
        <v>1.0392561136827107E-2</v>
      </c>
      <c r="E401" s="9">
        <f>SQRT((A401-A$3)^2+(B401-B$3)^2+(C401-C$3)^2+(D401-D$3)^2)</f>
        <v>0.4674426622456222</v>
      </c>
      <c r="G401" s="9">
        <v>9.5834765391495699E-2</v>
      </c>
      <c r="H401" s="9">
        <v>9.2569137146497296E-2</v>
      </c>
      <c r="J401" s="31">
        <v>1.0352777215567033</v>
      </c>
    </row>
    <row r="402" spans="1:10" x14ac:dyDescent="0.3">
      <c r="A402" s="9">
        <v>0.23396206939530523</v>
      </c>
      <c r="B402" s="9">
        <v>0.23520597905898294</v>
      </c>
      <c r="C402" s="9">
        <v>0.3490886735607015</v>
      </c>
      <c r="D402" s="9">
        <v>0.18174327798501028</v>
      </c>
      <c r="E402" s="9">
        <f>SQRT((A402-A$3)^2+(B402-B$3)^2+(C402-C$3)^2+(D402-D$3)^2)</f>
        <v>0.46805915537451437</v>
      </c>
      <c r="G402" s="9">
        <v>9.0686404970433621E-2</v>
      </c>
      <c r="H402" s="9">
        <v>8.7716843730976019E-2</v>
      </c>
      <c r="J402" s="31">
        <v>1.0338539454128688</v>
      </c>
    </row>
    <row r="403" spans="1:10" x14ac:dyDescent="0.3">
      <c r="A403" s="9">
        <v>2.5382189519045507E-2</v>
      </c>
      <c r="B403" s="9">
        <v>0.45199658019402783</v>
      </c>
      <c r="C403" s="9">
        <v>0.10696217290311011</v>
      </c>
      <c r="D403" s="9">
        <v>0.41565905738381659</v>
      </c>
      <c r="E403" s="9">
        <f>SQRT((A403-A$3)^2+(B403-B$3)^2+(C403-C$3)^2+(D403-D$3)^2)</f>
        <v>0.46829552057921753</v>
      </c>
      <c r="G403" s="9">
        <v>0.10703243059205267</v>
      </c>
      <c r="H403" s="9">
        <v>0.10194741303621248</v>
      </c>
      <c r="J403" s="31">
        <v>1.0498788287451095</v>
      </c>
    </row>
    <row r="404" spans="1:10" x14ac:dyDescent="0.3">
      <c r="A404" s="9">
        <v>0.20379135499625925</v>
      </c>
      <c r="B404" s="9">
        <v>0.25203476372031342</v>
      </c>
      <c r="C404" s="9">
        <v>0.28098074625996183</v>
      </c>
      <c r="D404" s="9">
        <v>0.26319313502346547</v>
      </c>
      <c r="E404" s="9">
        <f>SQRT((A404-A$3)^2+(B404-B$3)^2+(C404-C$3)^2+(D404-D$3)^2)</f>
        <v>0.4687714115820476</v>
      </c>
      <c r="G404" s="9">
        <v>9.2775065134223483E-2</v>
      </c>
      <c r="H404" s="9">
        <v>9.0020173628585914E-2</v>
      </c>
      <c r="J404" s="31">
        <v>1.0306030459017328</v>
      </c>
    </row>
    <row r="405" spans="1:10" x14ac:dyDescent="0.3">
      <c r="A405" s="9">
        <v>0.15710645484774668</v>
      </c>
      <c r="B405" s="9">
        <v>0.27750427892816659</v>
      </c>
      <c r="C405" s="9">
        <v>0.25567790604849239</v>
      </c>
      <c r="D405" s="9">
        <v>0.30971136017559431</v>
      </c>
      <c r="E405" s="9">
        <f>SQRT((A405-A$3)^2+(B405-B$3)^2+(C405-C$3)^2+(D405-D$3)^2)</f>
        <v>0.46879671974882497</v>
      </c>
      <c r="G405" s="9">
        <v>9.5699519371724592E-2</v>
      </c>
      <c r="H405" s="9">
        <v>9.3453419270611085E-2</v>
      </c>
      <c r="J405" s="31">
        <v>1.0240344346803354</v>
      </c>
    </row>
    <row r="406" spans="1:10" x14ac:dyDescent="0.3">
      <c r="A406" s="9">
        <v>0.2757670734888048</v>
      </c>
      <c r="B406" s="9">
        <v>0.27279160394167568</v>
      </c>
      <c r="C406" s="9">
        <v>0.17086023292341634</v>
      </c>
      <c r="D406" s="9">
        <v>0.28058108964610318</v>
      </c>
      <c r="E406" s="9">
        <f>SQRT((A406-A$3)^2+(B406-B$3)^2+(C406-C$3)^2+(D406-D$3)^2)</f>
        <v>0.46902355912265237</v>
      </c>
      <c r="G406" s="9">
        <v>9.0447248410119571E-2</v>
      </c>
      <c r="H406" s="9">
        <v>8.4558161524496481E-2</v>
      </c>
      <c r="J406" s="31">
        <v>1.0696453988526824</v>
      </c>
    </row>
    <row r="407" spans="1:10" x14ac:dyDescent="0.3">
      <c r="A407" s="9">
        <v>0.32887490745937392</v>
      </c>
      <c r="B407" s="9">
        <v>0.2365452564004682</v>
      </c>
      <c r="C407" s="9">
        <v>0.26826382137248961</v>
      </c>
      <c r="D407" s="9">
        <v>0.16631601476766827</v>
      </c>
      <c r="E407" s="9">
        <f>SQRT((A407-A$3)^2+(B407-B$3)^2+(C407-C$3)^2+(D407-D$3)^2)</f>
        <v>0.46918679619981302</v>
      </c>
      <c r="G407" s="9">
        <v>8.6671957637266789E-2</v>
      </c>
      <c r="H407" s="9">
        <v>8.0178667632885725E-2</v>
      </c>
      <c r="J407" s="31">
        <v>1.0809852570026719</v>
      </c>
    </row>
    <row r="408" spans="1:10" x14ac:dyDescent="0.3">
      <c r="A408" s="9">
        <v>0.30093048198651035</v>
      </c>
      <c r="B408" s="9">
        <v>0.24796126327570034</v>
      </c>
      <c r="C408" s="9">
        <v>0.22165052185740511</v>
      </c>
      <c r="D408" s="9">
        <v>0.22945773288038426</v>
      </c>
      <c r="E408" s="9">
        <f>SQRT((A408-A$3)^2+(B408-B$3)^2+(C408-C$3)^2+(D408-D$3)^2)</f>
        <v>0.46987705583868161</v>
      </c>
      <c r="G408" s="9">
        <v>8.8432692595091067E-2</v>
      </c>
      <c r="H408" s="9">
        <v>8.2461139953640072E-2</v>
      </c>
      <c r="J408" s="31">
        <v>1.0724165666980618</v>
      </c>
    </row>
    <row r="409" spans="1:10" x14ac:dyDescent="0.3">
      <c r="A409" s="9">
        <v>0.21483313967141035</v>
      </c>
      <c r="B409" s="9">
        <v>0.342077260520673</v>
      </c>
      <c r="C409" s="9">
        <v>8.6496367689728543E-2</v>
      </c>
      <c r="D409" s="9">
        <v>0.35659323211818811</v>
      </c>
      <c r="E409" s="9">
        <f>SQRT((A409-A$3)^2+(B409-B$3)^2+(C409-C$3)^2+(D409-D$3)^2)</f>
        <v>0.46989332071347045</v>
      </c>
      <c r="G409" s="9">
        <v>9.5434597998531309E-2</v>
      </c>
      <c r="H409" s="9">
        <v>8.97967590021852E-2</v>
      </c>
      <c r="J409" s="31">
        <v>1.0627844374228352</v>
      </c>
    </row>
    <row r="410" spans="1:10" x14ac:dyDescent="0.3">
      <c r="A410" s="9">
        <v>0.38764606227629855</v>
      </c>
      <c r="B410" s="9">
        <v>0.33633302473178039</v>
      </c>
      <c r="C410" s="9">
        <v>3.8985155659904167E-2</v>
      </c>
      <c r="D410" s="9">
        <v>0.23703575733201676</v>
      </c>
      <c r="E410" s="9">
        <f>SQRT((A410-A$3)^2+(B410-B$3)^2+(C410-C$3)^2+(D410-D$3)^2)</f>
        <v>0.47084885482642858</v>
      </c>
      <c r="G410" s="9">
        <v>8.7538864565120736E-2</v>
      </c>
      <c r="H410" s="9">
        <v>7.5697269317568552E-2</v>
      </c>
      <c r="J410" s="31">
        <v>1.1564335854424788</v>
      </c>
    </row>
    <row r="411" spans="1:10" x14ac:dyDescent="0.3">
      <c r="A411" s="9">
        <v>0.15811647535812046</v>
      </c>
      <c r="B411" s="9">
        <v>0.28202242317724602</v>
      </c>
      <c r="C411" s="9">
        <v>0.23788748289341</v>
      </c>
      <c r="D411" s="9">
        <v>0.32197361857122353</v>
      </c>
      <c r="E411" s="9">
        <f>SQRT((A411-A$3)^2+(B411-B$3)^2+(C411-C$3)^2+(D411-D$3)^2)</f>
        <v>0.47141775999581442</v>
      </c>
      <c r="G411" s="9">
        <v>9.584136567926245E-2</v>
      </c>
      <c r="H411" s="9">
        <v>9.3574818764633638E-2</v>
      </c>
      <c r="J411" s="31">
        <v>1.0242217612019084</v>
      </c>
    </row>
    <row r="412" spans="1:10" x14ac:dyDescent="0.3">
      <c r="A412" s="9">
        <v>5.6097898543996376E-2</v>
      </c>
      <c r="B412" s="9">
        <v>0.39979280810283635</v>
      </c>
      <c r="C412" s="9">
        <v>0.13782499236551338</v>
      </c>
      <c r="D412" s="9">
        <v>0.40628430098765383</v>
      </c>
      <c r="E412" s="9">
        <f>SQRT((A412-A$3)^2+(B412-B$3)^2+(C412-C$3)^2+(D412-D$3)^2)</f>
        <v>0.47165925173520334</v>
      </c>
      <c r="G412" s="9">
        <v>0.10408958282471276</v>
      </c>
      <c r="H412" s="9">
        <v>0.10046117980893556</v>
      </c>
      <c r="J412" s="31">
        <v>1.0361174637076527</v>
      </c>
    </row>
    <row r="413" spans="1:10" x14ac:dyDescent="0.3">
      <c r="A413" s="9">
        <v>0.2446896193965338</v>
      </c>
      <c r="B413" s="9">
        <v>0.2625017334243871</v>
      </c>
      <c r="C413" s="9">
        <v>0.20761186292340525</v>
      </c>
      <c r="D413" s="9">
        <v>0.28519678425567385</v>
      </c>
      <c r="E413" s="9">
        <f>SQRT((A413-A$3)^2+(B413-B$3)^2+(C413-C$3)^2+(D413-D$3)^2)</f>
        <v>0.47175780562643549</v>
      </c>
      <c r="G413" s="9">
        <v>9.1455480039118298E-2</v>
      </c>
      <c r="H413" s="9">
        <v>8.7143861009452969E-2</v>
      </c>
      <c r="J413" s="31">
        <v>1.0494770254579107</v>
      </c>
    </row>
    <row r="414" spans="1:10" x14ac:dyDescent="0.3">
      <c r="A414" s="9">
        <v>0.17258847467912364</v>
      </c>
      <c r="B414" s="9">
        <v>0.38947236394406715</v>
      </c>
      <c r="C414" s="9">
        <v>5.0223988815577512E-2</v>
      </c>
      <c r="D414" s="9">
        <v>0.38771517256123156</v>
      </c>
      <c r="E414" s="9">
        <f>SQRT((A414-A$3)^2+(B414-B$3)^2+(C414-C$3)^2+(D414-D$3)^2)</f>
        <v>0.47239093461594922</v>
      </c>
      <c r="G414" s="9">
        <v>9.879383872557071E-2</v>
      </c>
      <c r="H414" s="9">
        <v>9.3237259666563238E-2</v>
      </c>
      <c r="J414" s="31">
        <v>1.0595961215385246</v>
      </c>
    </row>
    <row r="415" spans="1:10" x14ac:dyDescent="0.3">
      <c r="A415" s="9">
        <v>0.171260051036107</v>
      </c>
      <c r="B415" s="9">
        <v>0.34917576899911262</v>
      </c>
      <c r="C415" s="9">
        <v>0.10316328980598315</v>
      </c>
      <c r="D415" s="9">
        <v>0.37640089015879724</v>
      </c>
      <c r="E415" s="9">
        <f>SQRT((A415-A$3)^2+(B415-B$3)^2+(C415-C$3)^2+(D415-D$3)^2)</f>
        <v>0.47269950795921745</v>
      </c>
      <c r="G415" s="9">
        <v>9.7562474389675385E-2</v>
      </c>
      <c r="H415" s="9">
        <v>9.3128235352719232E-2</v>
      </c>
      <c r="J415" s="31">
        <v>1.0476143354393184</v>
      </c>
    </row>
    <row r="416" spans="1:10" x14ac:dyDescent="0.3">
      <c r="A416" s="9">
        <v>0.24689031654901497</v>
      </c>
      <c r="B416" s="9">
        <v>0.25670597808309037</v>
      </c>
      <c r="C416" s="9">
        <v>0.21667620538147667</v>
      </c>
      <c r="D416" s="9">
        <v>0.27972749998641799</v>
      </c>
      <c r="E416" s="9">
        <f>SQRT((A416-A$3)^2+(B416-B$3)^2+(C416-C$3)^2+(D416-D$3)^2)</f>
        <v>0.47398636874670824</v>
      </c>
      <c r="G416" s="9">
        <v>9.1163584192605993E-2</v>
      </c>
      <c r="H416" s="9">
        <v>8.7081841874787916E-2</v>
      </c>
      <c r="J416" s="31">
        <v>1.0468724848940043</v>
      </c>
    </row>
    <row r="417" spans="1:10" x14ac:dyDescent="0.3">
      <c r="A417" s="9">
        <v>0.29489977840924725</v>
      </c>
      <c r="B417" s="9">
        <v>0.22621666602971002</v>
      </c>
      <c r="C417" s="9">
        <v>0.32896252348661353</v>
      </c>
      <c r="D417" s="9">
        <v>0.14992103207442931</v>
      </c>
      <c r="E417" s="9">
        <f>SQRT((A417-A$3)^2+(B417-B$3)^2+(C417-C$3)^2+(D417-D$3)^2)</f>
        <v>0.47431925300456779</v>
      </c>
      <c r="G417" s="9">
        <v>8.7724522376297492E-2</v>
      </c>
      <c r="H417" s="9">
        <v>8.3385722695618239E-2</v>
      </c>
      <c r="J417" s="31">
        <v>1.0520328845324891</v>
      </c>
    </row>
    <row r="418" spans="1:10" x14ac:dyDescent="0.3">
      <c r="A418" s="9">
        <v>0.39931080431812416</v>
      </c>
      <c r="B418" s="9">
        <v>0.25022476154953915</v>
      </c>
      <c r="C418" s="9">
        <v>0.22098437218318631</v>
      </c>
      <c r="D418" s="9">
        <v>0.12948006194915043</v>
      </c>
      <c r="E418" s="9">
        <f>SQRT((A418-A$3)^2+(B418-B$3)^2+(C418-C$3)^2+(D418-D$3)^2)</f>
        <v>0.47462375766018955</v>
      </c>
      <c r="G418" s="9">
        <v>8.3992543660928662E-2</v>
      </c>
      <c r="H418" s="9">
        <v>7.4454650713880771E-2</v>
      </c>
      <c r="J418" s="31">
        <v>1.1281033871705439</v>
      </c>
    </row>
    <row r="419" spans="1:10" x14ac:dyDescent="0.3">
      <c r="A419" s="9">
        <v>0.45974475359464545</v>
      </c>
      <c r="B419" s="9">
        <v>0.28664910522269238</v>
      </c>
      <c r="C419" s="9">
        <v>0.15806092820112635</v>
      </c>
      <c r="D419" s="9">
        <v>9.5545212981535871E-2</v>
      </c>
      <c r="E419" s="9">
        <f>SQRT((A419-A$3)^2+(B419-B$3)^2+(C419-C$3)^2+(D419-D$3)^2)</f>
        <v>0.47605069669316913</v>
      </c>
      <c r="G419" s="9">
        <v>8.2448533521975301E-2</v>
      </c>
      <c r="H419" s="9">
        <v>6.92552124873244E-2</v>
      </c>
      <c r="J419" s="31">
        <v>1.190502931993251</v>
      </c>
    </row>
    <row r="420" spans="1:10" x14ac:dyDescent="0.3">
      <c r="A420" s="9">
        <v>0.22064159536090114</v>
      </c>
      <c r="B420" s="9">
        <v>0.23327558892684197</v>
      </c>
      <c r="C420" s="9">
        <v>0.32178166039784029</v>
      </c>
      <c r="D420" s="9">
        <v>0.22430115531441666</v>
      </c>
      <c r="E420" s="9">
        <f>SQRT((A420-A$3)^2+(B420-B$3)^2+(C420-C$3)^2+(D420-D$3)^2)</f>
        <v>0.47662375847412414</v>
      </c>
      <c r="G420" s="9">
        <v>9.1343147653171655E-2</v>
      </c>
      <c r="H420" s="9">
        <v>8.9200349941033472E-2</v>
      </c>
      <c r="J420" s="31">
        <v>1.0240223016339587</v>
      </c>
    </row>
    <row r="421" spans="1:10" x14ac:dyDescent="0.3">
      <c r="A421" s="9">
        <v>0.22445784577141659</v>
      </c>
      <c r="B421" s="9">
        <v>0.23145989173183742</v>
      </c>
      <c r="C421" s="9">
        <v>0.3287335861519991</v>
      </c>
      <c r="D421" s="9">
        <v>0.21534867634474683</v>
      </c>
      <c r="E421" s="9">
        <f>SQRT((A421-A$3)^2+(B421-B$3)^2+(C421-C$3)^2+(D421-D$3)^2)</f>
        <v>0.4767310206937736</v>
      </c>
      <c r="G421" s="9">
        <v>9.1093553890686629E-2</v>
      </c>
      <c r="H421" s="9">
        <v>8.8923326228803182E-2</v>
      </c>
      <c r="J421" s="31">
        <v>1.0244056059745152</v>
      </c>
    </row>
    <row r="422" spans="1:10" x14ac:dyDescent="0.3">
      <c r="A422" s="9">
        <v>8.1523113037600792E-2</v>
      </c>
      <c r="B422" s="9">
        <v>0.27911404229275988</v>
      </c>
      <c r="C422" s="9">
        <v>0.36942088592495004</v>
      </c>
      <c r="D422" s="9">
        <v>0.26994195874468935</v>
      </c>
      <c r="E422" s="9">
        <f>SQRT((A422-A$3)^2+(B422-B$3)^2+(C422-C$3)^2+(D422-D$3)^2)</f>
        <v>0.47680739473141592</v>
      </c>
      <c r="G422" s="9">
        <v>9.8789438780313946E-2</v>
      </c>
      <c r="H422" s="9">
        <v>9.8576915608352397E-2</v>
      </c>
      <c r="J422" s="31">
        <v>1.002155912169193</v>
      </c>
    </row>
    <row r="423" spans="1:10" x14ac:dyDescent="0.3">
      <c r="A423" s="9">
        <v>6.8338713419721656E-2</v>
      </c>
      <c r="B423" s="9">
        <v>0.28238223682160124</v>
      </c>
      <c r="C423" s="9">
        <v>0.40980342182495699</v>
      </c>
      <c r="D423" s="9">
        <v>0.23947562793372013</v>
      </c>
      <c r="E423" s="9">
        <f>SQRT((A423-A$3)^2+(B423-B$3)^2+(C423-C$3)^2+(D423-D$3)^2)</f>
        <v>0.47727741904385462</v>
      </c>
      <c r="G423" s="9">
        <v>9.9335053147955238E-2</v>
      </c>
      <c r="H423" s="9">
        <v>9.9196641447032066E-2</v>
      </c>
      <c r="J423" s="31">
        <v>1.0013953264838817</v>
      </c>
    </row>
    <row r="424" spans="1:10" x14ac:dyDescent="0.3">
      <c r="A424" s="9">
        <v>0.29337006698664703</v>
      </c>
      <c r="B424" s="9">
        <v>0.33877303631610678</v>
      </c>
      <c r="C424" s="9">
        <v>4.5231567550169743E-2</v>
      </c>
      <c r="D424" s="9">
        <v>0.32262532914707659</v>
      </c>
      <c r="E424" s="9">
        <f>SQRT((A424-A$3)^2+(B424-B$3)^2+(C424-C$3)^2+(D424-D$3)^2)</f>
        <v>0.47738162654439853</v>
      </c>
      <c r="G424" s="9">
        <v>9.1899064837356909E-2</v>
      </c>
      <c r="H424" s="9">
        <v>8.4165270467576825E-2</v>
      </c>
      <c r="J424" s="31">
        <v>1.0918881900671773</v>
      </c>
    </row>
    <row r="425" spans="1:10" x14ac:dyDescent="0.3">
      <c r="A425" s="9">
        <v>0.22606616778056959</v>
      </c>
      <c r="B425" s="9">
        <v>0.3022394862696256</v>
      </c>
      <c r="C425" s="9">
        <v>0.13178349971824535</v>
      </c>
      <c r="D425" s="9">
        <v>0.33991084623155948</v>
      </c>
      <c r="E425" s="9">
        <f>SQRT((A425-A$3)^2+(B425-B$3)^2+(C425-C$3)^2+(D425-D$3)^2)</f>
        <v>0.47772071096857022</v>
      </c>
      <c r="G425" s="9">
        <v>9.3668516215859837E-2</v>
      </c>
      <c r="H425" s="9">
        <v>8.9174723786922552E-2</v>
      </c>
      <c r="J425" s="31">
        <v>1.0503931185665898</v>
      </c>
    </row>
    <row r="426" spans="1:10" x14ac:dyDescent="0.3">
      <c r="A426" s="9">
        <v>0.24520730102972765</v>
      </c>
      <c r="B426" s="9">
        <v>0.2286684343423212</v>
      </c>
      <c r="C426" s="9">
        <v>0.31258121689778784</v>
      </c>
      <c r="D426" s="9">
        <v>0.21354304773016336</v>
      </c>
      <c r="E426" s="9">
        <f>SQRT((A426-A$3)^2+(B426-B$3)^2+(C426-C$3)^2+(D426-D$3)^2)</f>
        <v>0.47788966174502745</v>
      </c>
      <c r="G426" s="9">
        <v>9.0126267928744619E-2</v>
      </c>
      <c r="H426" s="9">
        <v>8.7413097021459246E-2</v>
      </c>
      <c r="J426" s="31">
        <v>1.0310384942272359</v>
      </c>
    </row>
    <row r="427" spans="1:10" x14ac:dyDescent="0.3">
      <c r="A427" s="9">
        <v>0.48365553507619691</v>
      </c>
      <c r="B427" s="9">
        <v>0.29473670190422491</v>
      </c>
      <c r="C427" s="9">
        <v>0.18810170420389014</v>
      </c>
      <c r="D427" s="9">
        <v>3.3506058815687925E-2</v>
      </c>
      <c r="E427" s="9">
        <f>SQRT((A427-A$3)^2+(B427-B$3)^2+(C427-C$3)^2+(D427-D$3)^2)</f>
        <v>0.4781520511211203</v>
      </c>
      <c r="G427" s="9">
        <v>8.1464912523275673E-2</v>
      </c>
      <c r="H427" s="9">
        <v>6.7627985341487659E-2</v>
      </c>
      <c r="J427" s="31">
        <v>1.2046035692460513</v>
      </c>
    </row>
    <row r="428" spans="1:10" x14ac:dyDescent="0.3">
      <c r="A428" s="9">
        <v>0.26685700627615494</v>
      </c>
      <c r="B428" s="9">
        <v>0.26395391639788246</v>
      </c>
      <c r="C428" s="9">
        <v>0.17986083673860334</v>
      </c>
      <c r="D428" s="9">
        <v>0.28932824058735923</v>
      </c>
      <c r="E428" s="9">
        <f>SQRT((A428-A$3)^2+(B428-B$3)^2+(C428-C$3)^2+(D428-D$3)^2)</f>
        <v>0.47818546870278106</v>
      </c>
      <c r="G428" s="9">
        <v>9.058130897773542E-2</v>
      </c>
      <c r="H428" s="9">
        <v>8.5786751208665593E-2</v>
      </c>
      <c r="J428" s="31">
        <v>1.0558892568085212</v>
      </c>
    </row>
    <row r="429" spans="1:10" x14ac:dyDescent="0.3">
      <c r="A429" s="9">
        <v>7.567330916171798E-2</v>
      </c>
      <c r="B429" s="9">
        <v>0.32194969723104216</v>
      </c>
      <c r="C429" s="9">
        <v>0.23832713071072342</v>
      </c>
      <c r="D429" s="9">
        <v>0.36404986289651636</v>
      </c>
      <c r="E429" s="9">
        <f>SQRT((A429-A$3)^2+(B429-B$3)^2+(C429-C$3)^2+(D429-D$3)^2)</f>
        <v>0.47823649112213018</v>
      </c>
      <c r="G429" s="9">
        <v>0.10070356911148864</v>
      </c>
      <c r="H429" s="9">
        <v>9.9446079868509341E-2</v>
      </c>
      <c r="J429" s="31">
        <v>1.012644935271878</v>
      </c>
    </row>
    <row r="430" spans="1:10" x14ac:dyDescent="0.3">
      <c r="A430" s="9">
        <v>7.604112193571913E-2</v>
      </c>
      <c r="B430" s="9">
        <v>0.28250441340555149</v>
      </c>
      <c r="C430" s="9">
        <v>0.35925691578308877</v>
      </c>
      <c r="D430" s="9">
        <v>0.28219754887564064</v>
      </c>
      <c r="E430" s="9">
        <f>SQRT((A430-A$3)^2+(B430-B$3)^2+(C430-C$3)^2+(D430-D$3)^2)</f>
        <v>0.47828959986321007</v>
      </c>
      <c r="G430" s="9">
        <v>9.9169960104349184E-2</v>
      </c>
      <c r="H430" s="9">
        <v>9.9038413459431152E-2</v>
      </c>
      <c r="J430" s="31">
        <v>1.0013282386129088</v>
      </c>
    </row>
    <row r="431" spans="1:10" x14ac:dyDescent="0.3">
      <c r="A431" s="9">
        <v>6.5596869683452255E-2</v>
      </c>
      <c r="B431" s="9">
        <v>0.30671336023809659</v>
      </c>
      <c r="C431" s="9">
        <v>0.28987174356096007</v>
      </c>
      <c r="D431" s="9">
        <v>0.33781802651749121</v>
      </c>
      <c r="E431" s="9">
        <f>SQRT((A431-A$3)^2+(B431-B$3)^2+(C431-C$3)^2+(D431-D$3)^2)</f>
        <v>0.47880032798166083</v>
      </c>
      <c r="G431" s="9">
        <v>0.10056142461646304</v>
      </c>
      <c r="H431" s="9">
        <v>9.9939325362382744E-2</v>
      </c>
      <c r="J431" s="31">
        <v>1.0062247693970772</v>
      </c>
    </row>
    <row r="432" spans="1:10" x14ac:dyDescent="0.3">
      <c r="A432" s="9">
        <v>0.38008175648286996</v>
      </c>
      <c r="B432" s="9">
        <v>0.24064437317284612</v>
      </c>
      <c r="C432" s="9">
        <v>0.33726143571606254</v>
      </c>
      <c r="D432" s="9">
        <v>4.2012434628221421E-2</v>
      </c>
      <c r="E432" s="9">
        <f>SQRT((A432-A$3)^2+(B432-B$3)^2+(C432-C$3)^2+(D432-D$3)^2)</f>
        <v>0.47939239960951119</v>
      </c>
      <c r="G432" s="9">
        <v>8.4187805254008319E-2</v>
      </c>
      <c r="H432" s="9">
        <v>7.7076847313969937E-2</v>
      </c>
      <c r="J432" s="31">
        <v>1.0922580280310654</v>
      </c>
    </row>
    <row r="433" spans="1:10" x14ac:dyDescent="0.3">
      <c r="A433" s="9">
        <v>0.22702145568612953</v>
      </c>
      <c r="B433" s="9">
        <v>0.2444232634311605</v>
      </c>
      <c r="C433" s="9">
        <v>0.25598197823107072</v>
      </c>
      <c r="D433" s="9">
        <v>0.2725733026516392</v>
      </c>
      <c r="E433" s="9">
        <f>SQRT((A433-A$3)^2+(B433-B$3)^2+(C433-C$3)^2+(D433-D$3)^2)</f>
        <v>0.47952288444254099</v>
      </c>
      <c r="G433" s="9">
        <v>9.1594961521951346E-2</v>
      </c>
      <c r="H433" s="9">
        <v>8.8907200212677423E-2</v>
      </c>
      <c r="J433" s="31">
        <v>1.0302310870530671</v>
      </c>
    </row>
    <row r="434" spans="1:10" x14ac:dyDescent="0.3">
      <c r="A434" s="9">
        <v>0.3325619128473023</v>
      </c>
      <c r="B434" s="9">
        <v>0.23688422751053723</v>
      </c>
      <c r="C434" s="9">
        <v>0.39122045578614995</v>
      </c>
      <c r="D434" s="9">
        <v>3.9333403856010404E-2</v>
      </c>
      <c r="E434" s="9">
        <f>SQRT((A434-A$3)^2+(B434-B$3)^2+(C434-C$3)^2+(D434-D$3)^2)</f>
        <v>0.48061042513932728</v>
      </c>
      <c r="G434" s="9">
        <v>8.6064254490151926E-2</v>
      </c>
      <c r="H434" s="9">
        <v>8.1184122624132646E-2</v>
      </c>
      <c r="J434" s="31">
        <v>1.0601119000646639</v>
      </c>
    </row>
    <row r="435" spans="1:10" x14ac:dyDescent="0.3">
      <c r="A435" s="9">
        <v>0.29331023221538077</v>
      </c>
      <c r="B435" s="9">
        <v>0.2564916922615279</v>
      </c>
      <c r="C435" s="9">
        <v>0.1792500603966129</v>
      </c>
      <c r="D435" s="9">
        <v>0.27094801512647826</v>
      </c>
      <c r="E435" s="9">
        <f>SQRT((A435-A$3)^2+(B435-B$3)^2+(C435-C$3)^2+(D435-D$3)^2)</f>
        <v>0.48103541580324116</v>
      </c>
      <c r="G435" s="9">
        <v>8.9168820201177335E-2</v>
      </c>
      <c r="H435" s="9">
        <v>8.3772735353391317E-2</v>
      </c>
      <c r="J435" s="31">
        <v>1.064413377753787</v>
      </c>
    </row>
    <row r="436" spans="1:10" x14ac:dyDescent="0.3">
      <c r="A436" s="9">
        <v>0.11771212540248614</v>
      </c>
      <c r="B436" s="9">
        <v>0.3018404263971956</v>
      </c>
      <c r="C436" s="9">
        <v>0.22345932535340993</v>
      </c>
      <c r="D436" s="9">
        <v>0.3569881228469084</v>
      </c>
      <c r="E436" s="9">
        <f>SQRT((A436-A$3)^2+(B436-B$3)^2+(C436-C$3)^2+(D436-D$3)^2)</f>
        <v>0.48105453767627582</v>
      </c>
      <c r="G436" s="9">
        <v>9.8284465473695903E-2</v>
      </c>
      <c r="H436" s="9">
        <v>9.6957911018368426E-2</v>
      </c>
      <c r="J436" s="31">
        <v>1.0136817557370452</v>
      </c>
    </row>
    <row r="437" spans="1:10" x14ac:dyDescent="0.3">
      <c r="A437" s="9">
        <v>0.20599491735392644</v>
      </c>
      <c r="B437" s="9">
        <v>0.24289921291656932</v>
      </c>
      <c r="C437" s="9">
        <v>0.27797590809090367</v>
      </c>
      <c r="D437" s="9">
        <v>0.27312996163860059</v>
      </c>
      <c r="E437" s="9">
        <f>SQRT((A437-A$3)^2+(B437-B$3)^2+(C437-C$3)^2+(D437-D$3)^2)</f>
        <v>0.48131198566029409</v>
      </c>
      <c r="G437" s="9">
        <v>9.2435921561805343E-2</v>
      </c>
      <c r="H437" s="9">
        <v>9.0586955221201027E-2</v>
      </c>
      <c r="J437" s="31">
        <v>1.0204109558168657</v>
      </c>
    </row>
    <row r="438" spans="1:10" x14ac:dyDescent="0.3">
      <c r="A438" s="9">
        <v>0.28635517275171224</v>
      </c>
      <c r="B438" s="9">
        <v>0.3555575000753054</v>
      </c>
      <c r="C438" s="9">
        <v>2.2492453079268511E-2</v>
      </c>
      <c r="D438" s="9">
        <v>0.3355948740937138</v>
      </c>
      <c r="E438" s="9">
        <f>SQRT((A438-A$3)^2+(B438-B$3)^2+(C438-C$3)^2+(D438-D$3)^2)</f>
        <v>0.48152142186818991</v>
      </c>
      <c r="G438" s="9">
        <v>9.2760975604899459E-2</v>
      </c>
      <c r="H438" s="9">
        <v>8.5152388921457947E-2</v>
      </c>
      <c r="J438" s="31">
        <v>1.0893525922151104</v>
      </c>
    </row>
    <row r="439" spans="1:10" x14ac:dyDescent="0.3">
      <c r="A439" s="9">
        <v>0.28313399823967655</v>
      </c>
      <c r="B439" s="9">
        <v>0.29517814880377974</v>
      </c>
      <c r="C439" s="9">
        <v>0.10828825285057712</v>
      </c>
      <c r="D439" s="9">
        <v>0.31339960010596662</v>
      </c>
      <c r="E439" s="9">
        <f>SQRT((A439-A$3)^2+(B439-B$3)^2+(C439-C$3)^2+(D439-D$3)^2)</f>
        <v>0.48167530725236901</v>
      </c>
      <c r="G439" s="9">
        <v>9.0948687175538154E-2</v>
      </c>
      <c r="H439" s="9">
        <v>8.4893556215678456E-2</v>
      </c>
      <c r="J439" s="31">
        <v>1.0713261551262641</v>
      </c>
    </row>
    <row r="440" spans="1:10" x14ac:dyDescent="0.3">
      <c r="A440" s="9">
        <v>0.51222509130521676</v>
      </c>
      <c r="B440" s="9">
        <v>0.3887151256623439</v>
      </c>
      <c r="C440" s="9">
        <v>1.2767749956096849E-2</v>
      </c>
      <c r="D440" s="9">
        <v>8.629203307634252E-2</v>
      </c>
      <c r="E440" s="9">
        <f>SQRT((A440-A$3)^2+(B440-B$3)^2+(C440-C$3)^2+(D440-D$3)^2)</f>
        <v>0.48187513720077857</v>
      </c>
      <c r="G440" s="9">
        <v>8.3359509254685271E-2</v>
      </c>
      <c r="H440" s="9">
        <v>6.5922818470387765E-2</v>
      </c>
      <c r="J440" s="31">
        <v>1.2645015973054912</v>
      </c>
    </row>
    <row r="441" spans="1:10" x14ac:dyDescent="0.3">
      <c r="A441" s="9">
        <v>0.14288041175534169</v>
      </c>
      <c r="B441" s="9">
        <v>0.29835669263167247</v>
      </c>
      <c r="C441" s="9">
        <v>0.20155133436284439</v>
      </c>
      <c r="D441" s="9">
        <v>0.35721156125014147</v>
      </c>
      <c r="E441" s="9">
        <f>SQRT((A441-A$3)^2+(B441-B$3)^2+(C441-C$3)^2+(D441-D$3)^2)</f>
        <v>0.48196224482097327</v>
      </c>
      <c r="G441" s="9">
        <v>9.7116957454293329E-2</v>
      </c>
      <c r="H441" s="9">
        <v>9.5354574729159439E-2</v>
      </c>
      <c r="J441" s="31">
        <v>1.0184824139810773</v>
      </c>
    </row>
    <row r="442" spans="1:10" x14ac:dyDescent="0.3">
      <c r="A442" s="9">
        <v>0.34709345087939769</v>
      </c>
      <c r="B442" s="9">
        <v>0.22512563714466563</v>
      </c>
      <c r="C442" s="9">
        <v>0.33096159502659156</v>
      </c>
      <c r="D442" s="9">
        <v>9.6819316949345161E-2</v>
      </c>
      <c r="E442" s="9">
        <f>SQRT((A442-A$3)^2+(B442-B$3)^2+(C442-C$3)^2+(D442-D$3)^2)</f>
        <v>0.48231269448588759</v>
      </c>
      <c r="G442" s="9">
        <v>8.529779835739279E-2</v>
      </c>
      <c r="H442" s="9">
        <v>7.975939303510822E-2</v>
      </c>
      <c r="J442" s="31">
        <v>1.0694389100961024</v>
      </c>
    </row>
    <row r="443" spans="1:10" x14ac:dyDescent="0.3">
      <c r="A443" s="9">
        <v>5.0918226253105041E-2</v>
      </c>
      <c r="B443" s="9">
        <v>0.33469042905240415</v>
      </c>
      <c r="C443" s="9">
        <v>0.23980005431428961</v>
      </c>
      <c r="D443" s="9">
        <v>0.37459129038020106</v>
      </c>
      <c r="E443" s="9">
        <f>SQRT((A443-A$3)^2+(B443-B$3)^2+(C443-C$3)^2+(D443-D$3)^2)</f>
        <v>0.48245567576000509</v>
      </c>
      <c r="G443" s="9">
        <v>0.10217915717851284</v>
      </c>
      <c r="H443" s="9">
        <v>0.10117945991163857</v>
      </c>
      <c r="J443" s="31">
        <v>1.0098804368766874</v>
      </c>
    </row>
    <row r="444" spans="1:10" x14ac:dyDescent="0.3">
      <c r="A444" s="9">
        <v>0.18795320577963429</v>
      </c>
      <c r="B444" s="9">
        <v>0.25944559630530784</v>
      </c>
      <c r="C444" s="9">
        <v>0.24326005411225191</v>
      </c>
      <c r="D444" s="9">
        <v>0.30934114380280597</v>
      </c>
      <c r="E444" s="9">
        <f>SQRT((A444-A$3)^2+(B444-B$3)^2+(C444-C$3)^2+(D444-D$3)^2)</f>
        <v>0.48265772524017747</v>
      </c>
      <c r="G444" s="9">
        <v>9.3839850016503121E-2</v>
      </c>
      <c r="H444" s="9">
        <v>9.205560986966782E-2</v>
      </c>
      <c r="J444" s="31">
        <v>1.0193821989703986</v>
      </c>
    </row>
    <row r="445" spans="1:10" x14ac:dyDescent="0.3">
      <c r="A445" s="9">
        <v>0.41054027782451247</v>
      </c>
      <c r="B445" s="9">
        <v>0.25058265508105365</v>
      </c>
      <c r="C445" s="9">
        <v>0.19755467785346814</v>
      </c>
      <c r="D445" s="9">
        <v>0.14132238924096563</v>
      </c>
      <c r="E445" s="9">
        <f>SQRT((A445-A$3)^2+(B445-B$3)^2+(C445-C$3)^2+(D445-D$3)^2)</f>
        <v>0.48277414669472307</v>
      </c>
      <c r="G445" s="9">
        <v>8.3573561873763857E-2</v>
      </c>
      <c r="H445" s="9">
        <v>7.3879079452269042E-2</v>
      </c>
      <c r="J445" s="31">
        <v>1.1312209422933879</v>
      </c>
    </row>
    <row r="446" spans="1:10" x14ac:dyDescent="0.3">
      <c r="A446" s="9">
        <v>0.46410540565480951</v>
      </c>
      <c r="B446" s="9">
        <v>0.27660327276216312</v>
      </c>
      <c r="C446" s="9">
        <v>0.17795187224808154</v>
      </c>
      <c r="D446" s="9">
        <v>8.1339449334945912E-2</v>
      </c>
      <c r="E446" s="9">
        <f>SQRT((A446-A$3)^2+(B446-B$3)^2+(C446-C$3)^2+(D446-D$3)^2)</f>
        <v>0.48286663217605807</v>
      </c>
      <c r="G446" s="9">
        <v>8.1902348333362227E-2</v>
      </c>
      <c r="H446" s="9">
        <v>6.9334001970373843E-2</v>
      </c>
      <c r="J446" s="31">
        <v>1.1812724782331012</v>
      </c>
    </row>
    <row r="447" spans="1:10" x14ac:dyDescent="0.3">
      <c r="A447" s="9">
        <v>0.14792018237142027</v>
      </c>
      <c r="B447" s="9">
        <v>0.24549571404265155</v>
      </c>
      <c r="C447" s="9">
        <v>0.35299722233734987</v>
      </c>
      <c r="D447" s="9">
        <v>0.25358688124857831</v>
      </c>
      <c r="E447" s="9">
        <f>SQRT((A447-A$3)^2+(B447-B$3)^2+(C447-C$3)^2+(D447-D$3)^2)</f>
        <v>0.48410334654549414</v>
      </c>
      <c r="G447" s="9">
        <v>9.4892259214252039E-2</v>
      </c>
      <c r="H447" s="9">
        <v>9.4803588411438364E-2</v>
      </c>
      <c r="J447" s="31">
        <v>1.000935310617451</v>
      </c>
    </row>
    <row r="448" spans="1:10" x14ac:dyDescent="0.3">
      <c r="A448" s="9">
        <v>0.13977391864832842</v>
      </c>
      <c r="B448" s="9">
        <v>0.32978426985118792</v>
      </c>
      <c r="C448" s="9">
        <v>0.14549947219261333</v>
      </c>
      <c r="D448" s="9">
        <v>0.38494233930787042</v>
      </c>
      <c r="E448" s="9">
        <f>SQRT((A448-A$3)^2+(B448-B$3)^2+(C448-C$3)^2+(D448-D$3)^2)</f>
        <v>0.48439417632311671</v>
      </c>
      <c r="G448" s="9">
        <v>9.8320782855923189E-2</v>
      </c>
      <c r="H448" s="9">
        <v>9.5883160027389738E-2</v>
      </c>
      <c r="J448" s="31">
        <v>1.0254228461790071</v>
      </c>
    </row>
    <row r="449" spans="1:10" x14ac:dyDescent="0.3">
      <c r="A449" s="9">
        <v>0.14371500743269375</v>
      </c>
      <c r="B449" s="9">
        <v>0.37848593312043394</v>
      </c>
      <c r="C449" s="9">
        <v>7.2856160540101481E-2</v>
      </c>
      <c r="D449" s="9">
        <v>0.40494289890677093</v>
      </c>
      <c r="E449" s="9">
        <f>SQRT((A449-A$3)^2+(B449-B$3)^2+(C449-C$3)^2+(D449-D$3)^2)</f>
        <v>0.4850026879781047</v>
      </c>
      <c r="G449" s="9">
        <v>9.973362135386199E-2</v>
      </c>
      <c r="H449" s="9">
        <v>9.5903146651480392E-2</v>
      </c>
      <c r="J449" s="31">
        <v>1.03994107426216</v>
      </c>
    </row>
    <row r="450" spans="1:10" x14ac:dyDescent="0.3">
      <c r="A450" s="9">
        <v>0.38377137113126347</v>
      </c>
      <c r="B450" s="9">
        <v>0.24587491458294855</v>
      </c>
      <c r="C450" s="9">
        <v>0.18723103955407108</v>
      </c>
      <c r="D450" s="9">
        <v>0.18312267473171692</v>
      </c>
      <c r="E450" s="9">
        <f>SQRT((A450-A$3)^2+(B450-B$3)^2+(C450-C$3)^2+(D450-D$3)^2)</f>
        <v>0.48581150894130171</v>
      </c>
      <c r="G450" s="9">
        <v>8.4708376299228186E-2</v>
      </c>
      <c r="H450" s="9">
        <v>7.6327525817740577E-2</v>
      </c>
      <c r="J450" s="31">
        <v>1.1098011548481199</v>
      </c>
    </row>
    <row r="451" spans="1:10" x14ac:dyDescent="0.3">
      <c r="A451" s="9">
        <v>0.27672636769063436</v>
      </c>
      <c r="B451" s="9">
        <v>0.22129249286174363</v>
      </c>
      <c r="C451" s="9">
        <v>0.28774319050879166</v>
      </c>
      <c r="D451" s="9">
        <v>0.21423794893883027</v>
      </c>
      <c r="E451" s="9">
        <f>SQRT((A451-A$3)^2+(B451-B$3)^2+(C451-C$3)^2+(D451-D$3)^2)</f>
        <v>0.48646924901829719</v>
      </c>
      <c r="G451" s="9">
        <v>8.8572495651865826E-2</v>
      </c>
      <c r="H451" s="9">
        <v>8.5427726939998241E-2</v>
      </c>
      <c r="J451" s="31">
        <v>1.036812037783428</v>
      </c>
    </row>
    <row r="452" spans="1:10" x14ac:dyDescent="0.3">
      <c r="A452" s="9">
        <v>0.4390650199502199</v>
      </c>
      <c r="B452" s="9">
        <v>0.25457366536818049</v>
      </c>
      <c r="C452" s="9">
        <v>0.20594748847249442</v>
      </c>
      <c r="D452" s="9">
        <v>0.10041382620910519</v>
      </c>
      <c r="E452" s="9">
        <f>SQRT((A452-A$3)^2+(B452-B$3)^2+(C452-C$3)^2+(D452-D$3)^2)</f>
        <v>0.48681881490285162</v>
      </c>
      <c r="G452" s="9">
        <v>8.2345842752457599E-2</v>
      </c>
      <c r="H452" s="9">
        <v>7.1742432136565587E-2</v>
      </c>
      <c r="J452" s="31">
        <v>1.1477983154475144</v>
      </c>
    </row>
    <row r="453" spans="1:10" x14ac:dyDescent="0.3">
      <c r="A453" s="9">
        <v>0.43677658348756909</v>
      </c>
      <c r="B453" s="9">
        <v>0.25110854672716515</v>
      </c>
      <c r="C453" s="9">
        <v>0.22227877055129214</v>
      </c>
      <c r="D453" s="9">
        <v>8.9836099233973676E-2</v>
      </c>
      <c r="E453" s="9">
        <f>SQRT((A453-A$3)^2+(B453-B$3)^2+(C453-C$3)^2+(D453-D$3)^2)</f>
        <v>0.48696872771642657</v>
      </c>
      <c r="G453" s="9">
        <v>8.2296571731113682E-2</v>
      </c>
      <c r="H453" s="9">
        <v>7.2037025328960266E-2</v>
      </c>
      <c r="J453" s="31">
        <v>1.142420461634871</v>
      </c>
    </row>
    <row r="454" spans="1:10" x14ac:dyDescent="0.3">
      <c r="A454" s="9">
        <v>7.4623743593465658E-2</v>
      </c>
      <c r="B454" s="9">
        <v>0.28632797595573845</v>
      </c>
      <c r="C454" s="9">
        <v>0.31765409106960862</v>
      </c>
      <c r="D454" s="9">
        <v>0.32139418938118725</v>
      </c>
      <c r="E454" s="9">
        <f>SQRT((A454-A$3)^2+(B454-B$3)^2+(C454-C$3)^2+(D454-D$3)^2)</f>
        <v>0.48700177859014671</v>
      </c>
      <c r="G454" s="9">
        <v>9.9490786343188836E-2</v>
      </c>
      <c r="H454" s="9">
        <v>9.9804026520012912E-2</v>
      </c>
      <c r="J454" s="31">
        <v>0.99686144750120609</v>
      </c>
    </row>
    <row r="455" spans="1:10" x14ac:dyDescent="0.3">
      <c r="A455" s="9">
        <v>0.26776770525237625</v>
      </c>
      <c r="B455" s="9">
        <v>0.21573417106850074</v>
      </c>
      <c r="C455" s="9">
        <v>0.34607343259241069</v>
      </c>
      <c r="D455" s="9">
        <v>0.17042469108671229</v>
      </c>
      <c r="E455" s="9">
        <f>SQRT((A455-A$3)^2+(B455-B$3)^2+(C455-C$3)^2+(D455-D$3)^2)</f>
        <v>0.48716930151728716</v>
      </c>
      <c r="G455" s="9">
        <v>8.8618445740834342E-2</v>
      </c>
      <c r="H455" s="9">
        <v>8.6287465383103543E-2</v>
      </c>
      <c r="J455" s="31">
        <v>1.0270141247906819</v>
      </c>
    </row>
    <row r="456" spans="1:10" x14ac:dyDescent="0.3">
      <c r="A456" s="9">
        <v>0.1623736870617607</v>
      </c>
      <c r="B456" s="9">
        <v>0.37250242641140535</v>
      </c>
      <c r="C456" s="9">
        <v>6.4191564640579207E-2</v>
      </c>
      <c r="D456" s="9">
        <v>0.40093232188625483</v>
      </c>
      <c r="E456" s="9">
        <f>SQRT((A456-A$3)^2+(B456-B$3)^2+(C456-C$3)^2+(D456-D$3)^2)</f>
        <v>0.48743177208119631</v>
      </c>
      <c r="G456" s="9">
        <v>9.8747695490229589E-2</v>
      </c>
      <c r="H456" s="9">
        <v>9.4784449086910028E-2</v>
      </c>
      <c r="J456" s="31">
        <v>1.0418132556711446</v>
      </c>
    </row>
    <row r="457" spans="1:10" x14ac:dyDescent="0.3">
      <c r="A457" s="9">
        <v>0.39231505450071275</v>
      </c>
      <c r="B457" s="9">
        <v>0.32038238497043453</v>
      </c>
      <c r="C457" s="9">
        <v>4.012801188540948E-2</v>
      </c>
      <c r="D457" s="9">
        <v>0.24717454864344326</v>
      </c>
      <c r="E457" s="9">
        <f>SQRT((A457-A$3)^2+(B457-B$3)^2+(C457-C$3)^2+(D457-D$3)^2)</f>
        <v>0.4878890606923767</v>
      </c>
      <c r="G457" s="9">
        <v>8.6885818095723863E-2</v>
      </c>
      <c r="H457" s="9">
        <v>7.6226015353559023E-2</v>
      </c>
      <c r="J457" s="31">
        <v>1.1398446802278919</v>
      </c>
    </row>
    <row r="458" spans="1:10" x14ac:dyDescent="0.3">
      <c r="A458" s="9">
        <v>0.22247736614097588</v>
      </c>
      <c r="B458" s="9">
        <v>0.24639716952532276</v>
      </c>
      <c r="C458" s="9">
        <v>0.2345075647451309</v>
      </c>
      <c r="D458" s="9">
        <v>0.29661789958857043</v>
      </c>
      <c r="E458" s="9">
        <f>SQRT((A458-A$3)^2+(B458-B$3)^2+(C458-C$3)^2+(D458-D$3)^2)</f>
        <v>0.48858120514953923</v>
      </c>
      <c r="G458" s="9">
        <v>9.1935125205235363E-2</v>
      </c>
      <c r="H458" s="9">
        <v>8.9808151424563332E-2</v>
      </c>
      <c r="J458" s="31">
        <v>1.0236835270176854</v>
      </c>
    </row>
    <row r="459" spans="1:10" x14ac:dyDescent="0.3">
      <c r="A459" s="9">
        <v>0.27158037869879381</v>
      </c>
      <c r="B459" s="9">
        <v>0.27828678726853712</v>
      </c>
      <c r="C459" s="9">
        <v>0.13316692947541722</v>
      </c>
      <c r="D459" s="9">
        <v>0.31696590455725182</v>
      </c>
      <c r="E459" s="9">
        <f>SQRT((A459-A$3)^2+(B459-B$3)^2+(C459-C$3)^2+(D459-D$3)^2)</f>
        <v>0.48906505421115376</v>
      </c>
      <c r="G459" s="9">
        <v>9.0926217742976406E-2</v>
      </c>
      <c r="H459" s="9">
        <v>8.6168008280905636E-2</v>
      </c>
      <c r="J459" s="31">
        <v>1.0552201397827268</v>
      </c>
    </row>
    <row r="460" spans="1:10" x14ac:dyDescent="0.3">
      <c r="A460" s="9">
        <v>0.41115384789068304</v>
      </c>
      <c r="B460" s="9">
        <v>0.2441497332271807</v>
      </c>
      <c r="C460" s="9">
        <v>0.20027515605669313</v>
      </c>
      <c r="D460" s="9">
        <v>0.14442126282544318</v>
      </c>
      <c r="E460" s="9">
        <f>SQRT((A460-A$3)^2+(B460-B$3)^2+(C460-C$3)^2+(D460-D$3)^2)</f>
        <v>0.48908248537265131</v>
      </c>
      <c r="G460" s="9">
        <v>8.336007278098985E-2</v>
      </c>
      <c r="H460" s="9">
        <v>7.4190273125681563E-2</v>
      </c>
      <c r="J460" s="31">
        <v>1.1235984081063328</v>
      </c>
    </row>
    <row r="461" spans="1:10" x14ac:dyDescent="0.3">
      <c r="A461" s="9">
        <v>0.2209395251680307</v>
      </c>
      <c r="B461" s="9">
        <v>0.26217076997260808</v>
      </c>
      <c r="C461" s="9">
        <v>0.19630456543199393</v>
      </c>
      <c r="D461" s="9">
        <v>0.32058513942736738</v>
      </c>
      <c r="E461" s="9">
        <f>SQRT((A461-A$3)^2+(B461-B$3)^2+(C461-C$3)^2+(D461-D$3)^2)</f>
        <v>0.48911790714712883</v>
      </c>
      <c r="G461" s="9">
        <v>9.2575056598008729E-2</v>
      </c>
      <c r="H461" s="9">
        <v>9.0029782092619332E-2</v>
      </c>
      <c r="J461" s="31">
        <v>1.0282714724641999</v>
      </c>
    </row>
    <row r="462" spans="1:10" x14ac:dyDescent="0.3">
      <c r="A462" s="9">
        <v>6.7502137154390213E-2</v>
      </c>
      <c r="B462" s="9">
        <v>0.33452807210359486</v>
      </c>
      <c r="C462" s="9">
        <v>0.20821294479332328</v>
      </c>
      <c r="D462" s="9">
        <v>0.38975684594869153</v>
      </c>
      <c r="E462" s="9">
        <f>SQRT((A462-A$3)^2+(B462-B$3)^2+(C462-C$3)^2+(D462-D$3)^2)</f>
        <v>0.48926839956241214</v>
      </c>
      <c r="G462" s="9">
        <v>0.10153056327364823</v>
      </c>
      <c r="H462" s="9">
        <v>0.10069176904216059</v>
      </c>
      <c r="J462" s="31">
        <v>1.0083303157692705</v>
      </c>
    </row>
    <row r="463" spans="1:10" x14ac:dyDescent="0.3">
      <c r="A463" s="9">
        <v>0.13868193767370157</v>
      </c>
      <c r="B463" s="9">
        <v>0.38538419788777162</v>
      </c>
      <c r="C463" s="9">
        <v>6.3631477321792002E-2</v>
      </c>
      <c r="D463" s="9">
        <v>0.41230238711673467</v>
      </c>
      <c r="E463" s="9">
        <f>SQRT((A463-A$3)^2+(B463-B$3)^2+(C463-C$3)^2+(D463-D$3)^2)</f>
        <v>0.48990754933468217</v>
      </c>
      <c r="G463" s="9">
        <v>0.10018585616517781</v>
      </c>
      <c r="H463" s="9">
        <v>9.6571598296628869E-2</v>
      </c>
      <c r="J463" s="31">
        <v>1.037425681383541</v>
      </c>
    </row>
    <row r="464" spans="1:10" x14ac:dyDescent="0.3">
      <c r="A464" s="9">
        <v>0.3272412816993463</v>
      </c>
      <c r="B464" s="9">
        <v>0.23698798279771544</v>
      </c>
      <c r="C464" s="9">
        <v>0.19969162756332695</v>
      </c>
      <c r="D464" s="9">
        <v>0.23607910793961126</v>
      </c>
      <c r="E464" s="9">
        <f>SQRT((A464-A$3)^2+(B464-B$3)^2+(C464-C$3)^2+(D464-D$3)^2)</f>
        <v>0.49031939343627784</v>
      </c>
      <c r="G464" s="9">
        <v>8.7008755480852989E-2</v>
      </c>
      <c r="H464" s="9">
        <v>8.1433455099675589E-2</v>
      </c>
      <c r="J464" s="31">
        <v>1.0684644950205435</v>
      </c>
    </row>
    <row r="465" spans="1:10" x14ac:dyDescent="0.3">
      <c r="A465" s="9">
        <v>5.0463864018676328E-2</v>
      </c>
      <c r="B465" s="9">
        <v>0.28563950057142606</v>
      </c>
      <c r="C465" s="9">
        <v>0.36929651894948162</v>
      </c>
      <c r="D465" s="9">
        <v>0.29460011646041601</v>
      </c>
      <c r="E465" s="9">
        <f>SQRT((A465-A$3)^2+(B465-B$3)^2+(C465-C$3)^2+(D465-D$3)^2)</f>
        <v>0.49105447505873984</v>
      </c>
      <c r="G465" s="9">
        <v>0.10038993899554174</v>
      </c>
      <c r="H465" s="9">
        <v>0.1012901523427442</v>
      </c>
      <c r="J465" s="31">
        <v>0.99111252845038356</v>
      </c>
    </row>
    <row r="466" spans="1:10" x14ac:dyDescent="0.3">
      <c r="A466" s="9">
        <v>0.2207256243079152</v>
      </c>
      <c r="B466" s="9">
        <v>0.23393062317789845</v>
      </c>
      <c r="C466" s="9">
        <v>0.26646021312191936</v>
      </c>
      <c r="D466" s="9">
        <v>0.27888353939226701</v>
      </c>
      <c r="E466" s="9">
        <f>SQRT((A466-A$3)^2+(B466-B$3)^2+(C466-C$3)^2+(D466-D$3)^2)</f>
        <v>0.49191247531521831</v>
      </c>
      <c r="G466" s="9">
        <v>9.1558799411939479E-2</v>
      </c>
      <c r="H466" s="9">
        <v>9.0104152625079606E-2</v>
      </c>
      <c r="J466" s="31">
        <v>1.0161440593411117</v>
      </c>
    </row>
    <row r="467" spans="1:10" x14ac:dyDescent="0.3">
      <c r="A467" s="9">
        <v>0.17229325419897842</v>
      </c>
      <c r="B467" s="9">
        <v>0.27618031506796764</v>
      </c>
      <c r="C467" s="9">
        <v>0.20324651773210856</v>
      </c>
      <c r="D467" s="9">
        <v>0.34827991300094535</v>
      </c>
      <c r="E467" s="9">
        <f>SQRT((A467-A$3)^2+(B467-B$3)^2+(C467-C$3)^2+(D467-D$3)^2)</f>
        <v>0.49212394458520609</v>
      </c>
      <c r="G467" s="9">
        <v>9.5159176143999546E-2</v>
      </c>
      <c r="H467" s="9">
        <v>9.3848822895662751E-2</v>
      </c>
      <c r="J467" s="31">
        <v>1.0139623834152252</v>
      </c>
    </row>
    <row r="468" spans="1:10" x14ac:dyDescent="0.3">
      <c r="A468" s="9">
        <v>0.10624669327718121</v>
      </c>
      <c r="B468" s="9">
        <v>0.32628455878663992</v>
      </c>
      <c r="C468" s="9">
        <v>0.17476789199016035</v>
      </c>
      <c r="D468" s="9">
        <v>0.3927008559460185</v>
      </c>
      <c r="E468" s="9">
        <f>SQRT((A468-A$3)^2+(B468-B$3)^2+(C468-C$3)^2+(D468-D$3)^2)</f>
        <v>0.49214070135899407</v>
      </c>
      <c r="G468" s="9">
        <v>9.9653677395345128E-2</v>
      </c>
      <c r="H468" s="9">
        <v>9.8510884655334405E-2</v>
      </c>
      <c r="J468" s="31">
        <v>1.0116006748290718</v>
      </c>
    </row>
    <row r="469" spans="1:10" x14ac:dyDescent="0.3">
      <c r="A469" s="9">
        <v>4.1494593866519769E-2</v>
      </c>
      <c r="B469" s="9">
        <v>0.29560762686414782</v>
      </c>
      <c r="C469" s="9">
        <v>0.34191113729133127</v>
      </c>
      <c r="D469" s="9">
        <v>0.3209866419780012</v>
      </c>
      <c r="E469" s="9">
        <f>SQRT((A469-A$3)^2+(B469-B$3)^2+(C469-C$3)^2+(D469-D$3)^2)</f>
        <v>0.49293768358926637</v>
      </c>
      <c r="G469" s="9">
        <v>0.10117232409926655</v>
      </c>
      <c r="H469" s="9">
        <v>0.10203197611317391</v>
      </c>
      <c r="J469" s="31">
        <v>0.99157468034379892</v>
      </c>
    </row>
    <row r="470" spans="1:10" x14ac:dyDescent="0.3">
      <c r="A470" s="9">
        <v>0.30008088225770496</v>
      </c>
      <c r="B470" s="9">
        <v>0.24011886970357402</v>
      </c>
      <c r="C470" s="9">
        <v>0.19394306691017041</v>
      </c>
      <c r="D470" s="9">
        <v>0.26585718112855061</v>
      </c>
      <c r="E470" s="9">
        <f>SQRT((A470-A$3)^2+(B470-B$3)^2+(C470-C$3)^2+(D470-D$3)^2)</f>
        <v>0.49311747692034608</v>
      </c>
      <c r="G470" s="9">
        <v>8.8358646844375555E-2</v>
      </c>
      <c r="H470" s="9">
        <v>8.3882845996606337E-2</v>
      </c>
      <c r="J470" s="31">
        <v>1.0533577609890621</v>
      </c>
    </row>
    <row r="471" spans="1:10" x14ac:dyDescent="0.3">
      <c r="A471" s="9">
        <v>1.8308652328769638E-2</v>
      </c>
      <c r="B471" s="9">
        <v>0.32857577599037652</v>
      </c>
      <c r="C471" s="9">
        <v>0.548653633682885</v>
      </c>
      <c r="D471" s="9">
        <v>0.10446193799796863</v>
      </c>
      <c r="E471" s="9">
        <f>SQRT((A471-A$3)^2+(B471-B$3)^2+(C471-C$3)^2+(D471-D$3)^2)</f>
        <v>0.49322396525018347</v>
      </c>
      <c r="G471" s="9">
        <v>0.10237969872726757</v>
      </c>
      <c r="H471" s="9">
        <v>0.10136120250415881</v>
      </c>
      <c r="J471" s="31">
        <v>1.0100481860706712</v>
      </c>
    </row>
    <row r="472" spans="1:10" x14ac:dyDescent="0.3">
      <c r="A472" s="9">
        <v>0.46430770876580113</v>
      </c>
      <c r="B472" s="9">
        <v>0.27848919425926866</v>
      </c>
      <c r="C472" s="9">
        <v>0.1332078309173618</v>
      </c>
      <c r="D472" s="9">
        <v>0.12399526605756851</v>
      </c>
      <c r="E472" s="9">
        <f>SQRT((A472-A$3)^2+(B472-B$3)^2+(C472-C$3)^2+(D472-D$3)^2)</f>
        <v>0.49326591471231163</v>
      </c>
      <c r="G472" s="9">
        <v>8.2107610344937257E-2</v>
      </c>
      <c r="H472" s="9">
        <v>6.9763142079095161E-2</v>
      </c>
      <c r="J472" s="31">
        <v>1.176948283835128</v>
      </c>
    </row>
    <row r="473" spans="1:10" x14ac:dyDescent="0.3">
      <c r="A473" s="9">
        <v>6.3659919746299254E-2</v>
      </c>
      <c r="B473" s="9">
        <v>0.38469967138494837</v>
      </c>
      <c r="C473" s="9">
        <v>0.12795178494959139</v>
      </c>
      <c r="D473" s="9">
        <v>0.42368862391916107</v>
      </c>
      <c r="E473" s="9">
        <f>SQRT((A473-A$3)^2+(B473-B$3)^2+(C473-C$3)^2+(D473-D$3)^2)</f>
        <v>0.49368250445211048</v>
      </c>
      <c r="G473" s="9">
        <v>0.10336762152428666</v>
      </c>
      <c r="H473" s="9">
        <v>0.10138401048977586</v>
      </c>
      <c r="J473" s="31">
        <v>1.0195653242057419</v>
      </c>
    </row>
    <row r="474" spans="1:10" x14ac:dyDescent="0.3">
      <c r="A474" s="9">
        <v>0.39692702193371066</v>
      </c>
      <c r="B474" s="9">
        <v>0.24551365696519339</v>
      </c>
      <c r="C474" s="9">
        <v>0.17251870057787294</v>
      </c>
      <c r="D474" s="9">
        <v>0.18504062052322301</v>
      </c>
      <c r="E474" s="9">
        <f>SQRT((A474-A$3)^2+(B474-B$3)^2+(C474-C$3)^2+(D474-D$3)^2)</f>
        <v>0.49376919001424219</v>
      </c>
      <c r="G474" s="9">
        <v>8.4149815188605898E-2</v>
      </c>
      <c r="H474" s="9">
        <v>7.562996641791489E-2</v>
      </c>
      <c r="J474" s="31">
        <v>1.1126517592724048</v>
      </c>
    </row>
    <row r="475" spans="1:10" x14ac:dyDescent="0.3">
      <c r="A475" s="9">
        <v>0.37760796808427161</v>
      </c>
      <c r="B475" s="9">
        <v>0.22381396159724845</v>
      </c>
      <c r="C475" s="9">
        <v>0.24248183198513348</v>
      </c>
      <c r="D475" s="9">
        <v>0.15609623833334646</v>
      </c>
      <c r="E475" s="9">
        <f>SQRT((A475-A$3)^2+(B475-B$3)^2+(C475-C$3)^2+(D475-D$3)^2)</f>
        <v>0.49429491989998142</v>
      </c>
      <c r="G475" s="9">
        <v>8.4187399857153344E-2</v>
      </c>
      <c r="H475" s="9">
        <v>7.7481816060674294E-2</v>
      </c>
      <c r="J475" s="31">
        <v>1.0865439678288911</v>
      </c>
    </row>
    <row r="476" spans="1:10" x14ac:dyDescent="0.3">
      <c r="A476" s="9">
        <v>0.10993606853055532</v>
      </c>
      <c r="B476" s="9">
        <v>0.26085509458672879</v>
      </c>
      <c r="C476" s="9">
        <v>0.31959674025508045</v>
      </c>
      <c r="D476" s="9">
        <v>0.30961209662763556</v>
      </c>
      <c r="E476" s="9">
        <f>SQRT((A476-A$3)^2+(B476-B$3)^2+(C476-C$3)^2+(D476-D$3)^2)</f>
        <v>0.49491950191708478</v>
      </c>
      <c r="G476" s="9">
        <v>9.7172072296263123E-2</v>
      </c>
      <c r="H476" s="9">
        <v>9.8055608838469102E-2</v>
      </c>
      <c r="J476" s="31">
        <v>0.99098943392762506</v>
      </c>
    </row>
    <row r="477" spans="1:10" x14ac:dyDescent="0.3">
      <c r="A477" s="9">
        <v>0.1806796853463789</v>
      </c>
      <c r="B477" s="9">
        <v>0.25500038308681494</v>
      </c>
      <c r="C477" s="9">
        <v>0.2385257893246614</v>
      </c>
      <c r="D477" s="9">
        <v>0.3257941422421447</v>
      </c>
      <c r="E477" s="9">
        <f>SQRT((A477-A$3)^2+(B477-B$3)^2+(C477-C$3)^2+(D477-D$3)^2)</f>
        <v>0.49539772198588239</v>
      </c>
      <c r="G477" s="9">
        <v>9.4068862097727773E-2</v>
      </c>
      <c r="H477" s="9">
        <v>9.3347327701985866E-2</v>
      </c>
      <c r="J477" s="31">
        <v>1.0077295667000283</v>
      </c>
    </row>
    <row r="478" spans="1:10" x14ac:dyDescent="0.3">
      <c r="A478" s="9">
        <v>0.27947825200652782</v>
      </c>
      <c r="B478" s="9">
        <v>0.32323615497703734</v>
      </c>
      <c r="C478" s="9">
        <v>5.1561588518185937E-2</v>
      </c>
      <c r="D478" s="9">
        <v>0.34572400449824892</v>
      </c>
      <c r="E478" s="9">
        <f>SQRT((A478-A$3)^2+(B478-B$3)^2+(C478-C$3)^2+(D478-D$3)^2)</f>
        <v>0.49648516704963574</v>
      </c>
      <c r="G478" s="9">
        <v>9.2088202046502435E-2</v>
      </c>
      <c r="H478" s="9">
        <v>8.6374899487737716E-2</v>
      </c>
      <c r="J478" s="31">
        <v>1.0661454032670199</v>
      </c>
    </row>
    <row r="479" spans="1:10" x14ac:dyDescent="0.3">
      <c r="A479" s="9">
        <v>4.7646033735923993E-2</v>
      </c>
      <c r="B479" s="9">
        <v>0.30585276043466603</v>
      </c>
      <c r="C479" s="9">
        <v>0.28802537123799837</v>
      </c>
      <c r="D479" s="9">
        <v>0.35847583459141152</v>
      </c>
      <c r="E479" s="9">
        <f>SQRT((A479-A$3)^2+(B479-B$3)^2+(C479-C$3)^2+(D479-D$3)^2)</f>
        <v>0.49663367848711087</v>
      </c>
      <c r="G479" s="9">
        <v>0.10136655328170781</v>
      </c>
      <c r="H479" s="9">
        <v>0.10209722956600546</v>
      </c>
      <c r="J479" s="31">
        <v>0.99284332897764604</v>
      </c>
    </row>
    <row r="480" spans="1:10" x14ac:dyDescent="0.3">
      <c r="A480" s="9">
        <v>0.32409793839631912</v>
      </c>
      <c r="B480" s="9">
        <v>0.29057573993496821</v>
      </c>
      <c r="C480" s="9">
        <v>8.2430397676916428E-2</v>
      </c>
      <c r="D480" s="9">
        <v>0.30289592399179638</v>
      </c>
      <c r="E480" s="9">
        <f>SQRT((A480-A$3)^2+(B480-B$3)^2+(C480-C$3)^2+(D480-D$3)^2)</f>
        <v>0.49688150034156603</v>
      </c>
      <c r="G480" s="9">
        <v>8.9041858645551447E-2</v>
      </c>
      <c r="H480" s="9">
        <v>8.2433928460217271E-2</v>
      </c>
      <c r="J480" s="31">
        <v>1.0801603212265103</v>
      </c>
    </row>
    <row r="481" spans="1:10" x14ac:dyDescent="0.3">
      <c r="A481" s="9">
        <v>0.48533424525796037</v>
      </c>
      <c r="B481" s="9">
        <v>0.27198050976999105</v>
      </c>
      <c r="C481" s="9">
        <v>0.23854061331278625</v>
      </c>
      <c r="D481" s="9">
        <v>4.1446316592624183E-3</v>
      </c>
      <c r="E481" s="9">
        <f>SQRT((A481-A$3)^2+(B481-B$3)^2+(C481-C$3)^2+(D481-D$3)^2)</f>
        <v>0.49706373320687997</v>
      </c>
      <c r="G481" s="9">
        <v>8.0583459309269592E-2</v>
      </c>
      <c r="H481" s="9">
        <v>6.8997818510045161E-2</v>
      </c>
      <c r="J481" s="31">
        <v>1.1679131463777759</v>
      </c>
    </row>
    <row r="482" spans="1:10" x14ac:dyDescent="0.3">
      <c r="A482" s="9">
        <v>3.8851591274390834E-2</v>
      </c>
      <c r="B482" s="9">
        <v>0.38154439010776614</v>
      </c>
      <c r="C482" s="9">
        <v>0.15587919699223809</v>
      </c>
      <c r="D482" s="9">
        <v>0.42372482162560487</v>
      </c>
      <c r="E482" s="9">
        <f>SQRT((A482-A$3)^2+(B482-B$3)^2+(C482-C$3)^2+(D482-D$3)^2)</f>
        <v>0.49710434861409969</v>
      </c>
      <c r="G482" s="9">
        <v>0.10431560639756321</v>
      </c>
      <c r="H482" s="9">
        <v>0.10296998185048288</v>
      </c>
      <c r="J482" s="31">
        <v>1.0130681245436581</v>
      </c>
    </row>
    <row r="483" spans="1:10" x14ac:dyDescent="0.3">
      <c r="A483" s="9">
        <v>9.8529719509174593E-2</v>
      </c>
      <c r="B483" s="9">
        <v>0.27386319408812482</v>
      </c>
      <c r="C483" s="9">
        <v>0.5213773239807229</v>
      </c>
      <c r="D483" s="9">
        <v>0.10622976242197779</v>
      </c>
      <c r="E483" s="9">
        <f>SQRT((A483-A$3)^2+(B483-B$3)^2+(C483-C$3)^2+(D483-D$3)^2)</f>
        <v>0.49720290514555321</v>
      </c>
      <c r="G483" s="9">
        <v>9.731372186009947E-2</v>
      </c>
      <c r="H483" s="9">
        <v>9.7938963939353432E-2</v>
      </c>
      <c r="J483" s="31">
        <v>0.99361600272143857</v>
      </c>
    </row>
    <row r="484" spans="1:10" x14ac:dyDescent="0.3">
      <c r="A484" s="9">
        <v>0.26277329619137718</v>
      </c>
      <c r="B484" s="9">
        <v>0.24924449920336866</v>
      </c>
      <c r="C484" s="9">
        <v>0.18311878224991895</v>
      </c>
      <c r="D484" s="9">
        <v>0.30486342235533509</v>
      </c>
      <c r="E484" s="9">
        <f>SQRT((A484-A$3)^2+(B484-B$3)^2+(C484-C$3)^2+(D484-D$3)^2)</f>
        <v>0.49758577302239981</v>
      </c>
      <c r="G484" s="9">
        <v>9.0355153137809549E-2</v>
      </c>
      <c r="H484" s="9">
        <v>8.7232893977674239E-2</v>
      </c>
      <c r="J484" s="31">
        <v>1.0357922226096774</v>
      </c>
    </row>
    <row r="485" spans="1:10" x14ac:dyDescent="0.3">
      <c r="A485" s="9">
        <v>0.16808135640884739</v>
      </c>
      <c r="B485" s="9">
        <v>0.3819118114043189</v>
      </c>
      <c r="C485" s="9">
        <v>3.9225952714014141E-2</v>
      </c>
      <c r="D485" s="9">
        <v>0.41078087947281966</v>
      </c>
      <c r="E485" s="9">
        <f>SQRT((A485-A$3)^2+(B485-B$3)^2+(C485-C$3)^2+(D485-D$3)^2)</f>
        <v>0.49790886970270537</v>
      </c>
      <c r="G485" s="9">
        <v>9.8834038972162724E-2</v>
      </c>
      <c r="H485" s="9">
        <v>9.5114471119824837E-2</v>
      </c>
      <c r="J485" s="31">
        <v>1.0391062244109206</v>
      </c>
    </row>
    <row r="486" spans="1:10" x14ac:dyDescent="0.3">
      <c r="A486" s="9">
        <v>0.11589716252665438</v>
      </c>
      <c r="B486" s="9">
        <v>0.36774394794927184</v>
      </c>
      <c r="C486" s="9">
        <v>9.7036454985738957E-2</v>
      </c>
      <c r="D486" s="9">
        <v>0.41932243453833479</v>
      </c>
      <c r="E486" s="9">
        <f>SQRT((A486-A$3)^2+(B486-B$3)^2+(C486-C$3)^2+(D486-D$3)^2)</f>
        <v>0.49798728025232941</v>
      </c>
      <c r="G486" s="9">
        <v>0.10062609823542704</v>
      </c>
      <c r="H486" s="9">
        <v>9.8463017625850802E-2</v>
      </c>
      <c r="J486" s="31">
        <v>1.0219684574140895</v>
      </c>
    </row>
    <row r="487" spans="1:10" x14ac:dyDescent="0.3">
      <c r="A487" s="9">
        <v>0.3232212730810915</v>
      </c>
      <c r="B487" s="9">
        <v>0.29659984774479264</v>
      </c>
      <c r="C487" s="9">
        <v>7.1788735446478374E-2</v>
      </c>
      <c r="D487" s="9">
        <v>0.30839014372763751</v>
      </c>
      <c r="E487" s="9">
        <f>SQRT((A487-A$3)^2+(B487-B$3)^2+(C487-C$3)^2+(D487-D$3)^2)</f>
        <v>0.49823265636219466</v>
      </c>
      <c r="G487" s="9">
        <v>8.928511199943874E-2</v>
      </c>
      <c r="H487" s="9">
        <v>8.2651747493619906E-2</v>
      </c>
      <c r="J487" s="31">
        <v>1.0802567968249053</v>
      </c>
    </row>
    <row r="488" spans="1:10" x14ac:dyDescent="0.3">
      <c r="A488" s="9">
        <v>0.33885614096939304</v>
      </c>
      <c r="B488" s="9">
        <v>0.25827608876410779</v>
      </c>
      <c r="C488" s="9">
        <v>0.13287848711935862</v>
      </c>
      <c r="D488" s="9">
        <v>0.26998928314714066</v>
      </c>
      <c r="E488" s="9">
        <f>SQRT((A488-A$3)^2+(B488-B$3)^2+(C488-C$3)^2+(D488-D$3)^2)</f>
        <v>0.4985747535061415</v>
      </c>
      <c r="G488" s="9">
        <v>8.7301197307724815E-2</v>
      </c>
      <c r="H488" s="9">
        <v>8.1026944368243495E-2</v>
      </c>
      <c r="J488" s="31">
        <v>1.0774341546309176</v>
      </c>
    </row>
    <row r="489" spans="1:10" x14ac:dyDescent="0.3">
      <c r="A489" s="9">
        <v>0.11896362083467915</v>
      </c>
      <c r="B489" s="9">
        <v>0.27029782986182554</v>
      </c>
      <c r="C489" s="9">
        <v>0.26694556490163407</v>
      </c>
      <c r="D489" s="9">
        <v>0.34379298440186118</v>
      </c>
      <c r="E489" s="9">
        <f>SQRT((A489-A$3)^2+(B489-B$3)^2+(C489-C$3)^2+(D489-D$3)^2)</f>
        <v>0.49865790958710215</v>
      </c>
      <c r="G489" s="9">
        <v>9.7208231200700629E-2</v>
      </c>
      <c r="H489" s="9">
        <v>9.7811988387653218E-2</v>
      </c>
      <c r="J489" s="31">
        <v>0.99382737027531076</v>
      </c>
    </row>
    <row r="490" spans="1:10" x14ac:dyDescent="0.3">
      <c r="A490" s="9">
        <v>0.39907254007521836</v>
      </c>
      <c r="B490" s="9">
        <v>0.27529733121160416</v>
      </c>
      <c r="C490" s="9">
        <v>9.7277055931905887E-2</v>
      </c>
      <c r="D490" s="9">
        <v>0.22835307278127162</v>
      </c>
      <c r="E490" s="9">
        <f>SQRT((A490-A$3)^2+(B490-B$3)^2+(C490-C$3)^2+(D490-D$3)^2)</f>
        <v>0.4986775084119921</v>
      </c>
      <c r="G490" s="9">
        <v>8.513827604473323E-2</v>
      </c>
      <c r="H490" s="9">
        <v>7.586777364013525E-2</v>
      </c>
      <c r="J490" s="31">
        <v>1.1221928884926937</v>
      </c>
    </row>
    <row r="491" spans="1:10" x14ac:dyDescent="0.3">
      <c r="A491" s="9">
        <v>0.18395715383805297</v>
      </c>
      <c r="B491" s="9">
        <v>0.23747611569532903</v>
      </c>
      <c r="C491" s="9">
        <v>0.27675416109767942</v>
      </c>
      <c r="D491" s="9">
        <v>0.30181256936893869</v>
      </c>
      <c r="E491" s="9">
        <f>SQRT((A491-A$3)^2+(B491-B$3)^2+(C491-C$3)^2+(D491-D$3)^2)</f>
        <v>0.49947753599864836</v>
      </c>
      <c r="G491" s="9">
        <v>9.3301433884452889E-2</v>
      </c>
      <c r="H491" s="9">
        <v>9.328793766095117E-2</v>
      </c>
      <c r="J491" s="31">
        <v>1.0001446727609176</v>
      </c>
    </row>
    <row r="492" spans="1:10" x14ac:dyDescent="0.3">
      <c r="A492" s="9">
        <v>0.16155740967971083</v>
      </c>
      <c r="B492" s="9">
        <v>0.28894714707848035</v>
      </c>
      <c r="C492" s="9">
        <v>0.17665793922114464</v>
      </c>
      <c r="D492" s="9">
        <v>0.37283750402066423</v>
      </c>
      <c r="E492" s="9">
        <f>SQRT((A492-A$3)^2+(B492-B$3)^2+(C492-C$3)^2+(D492-D$3)^2)</f>
        <v>0.50024405266384375</v>
      </c>
      <c r="G492" s="9">
        <v>9.6095884340095111E-2</v>
      </c>
      <c r="H492" s="9">
        <v>9.5180801114621169E-2</v>
      </c>
      <c r="J492" s="31">
        <v>1.0096141576321884</v>
      </c>
    </row>
    <row r="493" spans="1:10" x14ac:dyDescent="0.3">
      <c r="A493" s="9">
        <v>0.25599004938280001</v>
      </c>
      <c r="B493" s="9">
        <v>0.21077577389537736</v>
      </c>
      <c r="C493" s="9">
        <v>0.30310496741884629</v>
      </c>
      <c r="D493" s="9">
        <v>0.23012920930297634</v>
      </c>
      <c r="E493" s="9">
        <f>SQRT((A493-A$3)^2+(B493-B$3)^2+(C493-C$3)^2+(D493-D$3)^2)</f>
        <v>0.50028127226863517</v>
      </c>
      <c r="G493" s="9">
        <v>8.9179032235504135E-2</v>
      </c>
      <c r="H493" s="9">
        <v>8.788966967012099E-2</v>
      </c>
      <c r="J493" s="31">
        <v>1.0146702402025465</v>
      </c>
    </row>
    <row r="494" spans="1:10" x14ac:dyDescent="0.3">
      <c r="A494" s="9">
        <v>0.31936560471402736</v>
      </c>
      <c r="B494" s="9">
        <v>0.30960377111166737</v>
      </c>
      <c r="C494" s="9">
        <v>5.1549692884291121E-2</v>
      </c>
      <c r="D494" s="9">
        <v>0.3194809312900142</v>
      </c>
      <c r="E494" s="9">
        <f>SQRT((A494-A$3)^2+(B494-B$3)^2+(C494-C$3)^2+(D494-D$3)^2)</f>
        <v>0.50042069256371291</v>
      </c>
      <c r="G494" s="9">
        <v>8.9890138127945371E-2</v>
      </c>
      <c r="H494" s="9">
        <v>8.3245649391403456E-2</v>
      </c>
      <c r="J494" s="31">
        <v>1.079817849762946</v>
      </c>
    </row>
    <row r="495" spans="1:10" x14ac:dyDescent="0.3">
      <c r="A495" s="9">
        <v>0.23277398745953826</v>
      </c>
      <c r="B495" s="9">
        <v>0.24228814407341445</v>
      </c>
      <c r="C495" s="9">
        <v>0.49465576997294208</v>
      </c>
      <c r="D495" s="9">
        <v>3.028209849410515E-2</v>
      </c>
      <c r="E495" s="9">
        <f>SQRT((A495-A$3)^2+(B495-B$3)^2+(C495-C$3)^2+(D495-D$3)^2)</f>
        <v>0.50049126790856402</v>
      </c>
      <c r="G495" s="9">
        <v>9.0403443495311944E-2</v>
      </c>
      <c r="H495" s="9">
        <v>8.9867484951359961E-2</v>
      </c>
      <c r="J495" s="31">
        <v>1.0059638760808991</v>
      </c>
    </row>
    <row r="496" spans="1:10" x14ac:dyDescent="0.3">
      <c r="A496" s="9">
        <v>2.0852219017991721E-2</v>
      </c>
      <c r="B496" s="9">
        <v>0.28976231307676731</v>
      </c>
      <c r="C496" s="9">
        <v>0.42163551754598255</v>
      </c>
      <c r="D496" s="9">
        <v>0.26774995035925842</v>
      </c>
      <c r="E496" s="9">
        <f>SQRT((A496-A$3)^2+(B496-B$3)^2+(C496-C$3)^2+(D496-D$3)^2)</f>
        <v>0.50133555344085445</v>
      </c>
      <c r="G496" s="9">
        <v>0.1016674063151385</v>
      </c>
      <c r="H496" s="9">
        <v>0.1032970744113864</v>
      </c>
      <c r="J496" s="31">
        <v>0.98422348255713754</v>
      </c>
    </row>
    <row r="497" spans="1:10" x14ac:dyDescent="0.3">
      <c r="A497" s="9">
        <v>0.33119085208294563</v>
      </c>
      <c r="B497" s="9">
        <v>0.22445878453550644</v>
      </c>
      <c r="C497" s="9">
        <v>0.20992061781942675</v>
      </c>
      <c r="D497" s="9">
        <v>0.23442974556212118</v>
      </c>
      <c r="E497" s="9">
        <f>SQRT((A497-A$3)^2+(B497-B$3)^2+(C497-C$3)^2+(D497-D$3)^2)</f>
        <v>0.50140264893798348</v>
      </c>
      <c r="G497" s="9">
        <v>8.6448863660521194E-2</v>
      </c>
      <c r="H497" s="9">
        <v>8.1744584710073662E-2</v>
      </c>
      <c r="J497" s="31">
        <v>1.0575485087744021</v>
      </c>
    </row>
    <row r="498" spans="1:10" x14ac:dyDescent="0.3">
      <c r="A498" s="9">
        <v>0.40183755293087425</v>
      </c>
      <c r="B498" s="9">
        <v>0.21998514345755429</v>
      </c>
      <c r="C498" s="9">
        <v>0.26214555165712106</v>
      </c>
      <c r="D498" s="9">
        <v>0.11603175195445029</v>
      </c>
      <c r="E498" s="9">
        <f>SQRT((A498-A$3)^2+(B498-B$3)^2+(C498-C$3)^2+(D498-D$3)^2)</f>
        <v>0.50146006106351948</v>
      </c>
      <c r="G498" s="9">
        <v>8.2901939881061038E-2</v>
      </c>
      <c r="H498" s="9">
        <v>7.5990022259480733E-2</v>
      </c>
      <c r="J498" s="31">
        <v>1.0909582260415505</v>
      </c>
    </row>
    <row r="499" spans="1:10" x14ac:dyDescent="0.3">
      <c r="A499" s="9">
        <v>0.39465615701976597</v>
      </c>
      <c r="B499" s="9">
        <v>0.22410279629524016</v>
      </c>
      <c r="C499" s="9">
        <v>0.22211247105381646</v>
      </c>
      <c r="D499" s="9">
        <v>0.15912857563117735</v>
      </c>
      <c r="E499" s="9">
        <f>SQRT((A499-A$3)^2+(B499-B$3)^2+(C499-C$3)^2+(D499-D$3)^2)</f>
        <v>0.50161598482445968</v>
      </c>
      <c r="G499" s="9">
        <v>8.3488971568575016E-2</v>
      </c>
      <c r="H499" s="9">
        <v>7.6385323194902877E-2</v>
      </c>
      <c r="J499" s="31">
        <v>1.0929975560297971</v>
      </c>
    </row>
    <row r="500" spans="1:10" x14ac:dyDescent="0.3">
      <c r="A500" s="9">
        <v>0.29045503909278075</v>
      </c>
      <c r="B500" s="9">
        <v>0.20293888316695557</v>
      </c>
      <c r="C500" s="9">
        <v>0.32813774091058961</v>
      </c>
      <c r="D500" s="9">
        <v>0.17846833682967406</v>
      </c>
      <c r="E500" s="9">
        <f>SQRT((A500-A$3)^2+(B500-B$3)^2+(C500-C$3)^2+(D500-D$3)^2)</f>
        <v>0.50171769092889185</v>
      </c>
      <c r="G500" s="9">
        <v>8.7296042895062265E-2</v>
      </c>
      <c r="H500" s="9">
        <v>8.534330273715604E-2</v>
      </c>
      <c r="J500" s="31">
        <v>1.0228810005621689</v>
      </c>
    </row>
    <row r="501" spans="1:10" x14ac:dyDescent="0.3">
      <c r="A501" s="9">
        <v>0.30907226426775036</v>
      </c>
      <c r="B501" s="9">
        <v>0.20424896505725909</v>
      </c>
      <c r="C501" s="9">
        <v>0.36774674412431663</v>
      </c>
      <c r="D501" s="9">
        <v>0.11893202655067393</v>
      </c>
      <c r="E501" s="9">
        <f>SQRT((A501-A$3)^2+(B501-B$3)^2+(C501-C$3)^2+(D501-D$3)^2)</f>
        <v>0.50197761774146099</v>
      </c>
      <c r="G501" s="9">
        <v>8.6335031239243354E-2</v>
      </c>
      <c r="H501" s="9">
        <v>8.4091974848231874E-2</v>
      </c>
      <c r="J501" s="31">
        <v>1.0266738460484455</v>
      </c>
    </row>
    <row r="502" spans="1:10" x14ac:dyDescent="0.3">
      <c r="A502" s="9">
        <v>0.25112820108511003</v>
      </c>
      <c r="B502" s="9">
        <v>0.21720715110784483</v>
      </c>
      <c r="C502" s="9">
        <v>0.27153551839851842</v>
      </c>
      <c r="D502" s="9">
        <v>0.26012912940852662</v>
      </c>
      <c r="E502" s="9">
        <f>SQRT((A502-A$3)^2+(B502-B$3)^2+(C502-C$3)^2+(D502-D$3)^2)</f>
        <v>0.50207557978759232</v>
      </c>
      <c r="G502" s="9">
        <v>8.9692131790740093E-2</v>
      </c>
      <c r="H502" s="9">
        <v>8.8349768293648878E-2</v>
      </c>
      <c r="J502" s="31">
        <v>1.0151937410025751</v>
      </c>
    </row>
    <row r="503" spans="1:10" x14ac:dyDescent="0.3">
      <c r="A503" s="9">
        <v>0.27543430684199771</v>
      </c>
      <c r="B503" s="9">
        <v>0.23314964924816431</v>
      </c>
      <c r="C503" s="9">
        <v>0.20511867824404176</v>
      </c>
      <c r="D503" s="9">
        <v>0.28629736566579611</v>
      </c>
      <c r="E503" s="9">
        <f>SQRT((A503-A$3)^2+(B503-B$3)^2+(C503-C$3)^2+(D503-D$3)^2)</f>
        <v>0.5026912600211012</v>
      </c>
      <c r="G503" s="9">
        <v>8.9256242118781415E-2</v>
      </c>
      <c r="H503" s="9">
        <v>8.6463726668899787E-2</v>
      </c>
      <c r="J503" s="31">
        <v>1.0322969591696545</v>
      </c>
    </row>
    <row r="504" spans="1:10" x14ac:dyDescent="0.3">
      <c r="A504" s="9">
        <v>0.22109282594196888</v>
      </c>
      <c r="B504" s="9">
        <v>0.21460770061403572</v>
      </c>
      <c r="C504" s="9">
        <v>0.30874341002070421</v>
      </c>
      <c r="D504" s="9">
        <v>0.25555606342329112</v>
      </c>
      <c r="E504" s="9">
        <f>SQRT((A504-A$3)^2+(B504-B$3)^2+(C504-C$3)^2+(D504-D$3)^2)</f>
        <v>0.50369869495634412</v>
      </c>
      <c r="G504" s="9">
        <v>9.0860773565862113E-2</v>
      </c>
      <c r="H504" s="9">
        <v>9.0766344733508322E-2</v>
      </c>
      <c r="J504" s="31">
        <v>1.0010403507228482</v>
      </c>
    </row>
    <row r="505" spans="1:10" x14ac:dyDescent="0.3">
      <c r="A505" s="9">
        <v>3.9713160527985791E-2</v>
      </c>
      <c r="B505" s="9">
        <v>0.28584547648813891</v>
      </c>
      <c r="C505" s="9">
        <v>0.35276510687982493</v>
      </c>
      <c r="D505" s="9">
        <v>0.32167625610405043</v>
      </c>
      <c r="E505" s="9">
        <f>SQRT((A505-A$3)^2+(B505-B$3)^2+(C505-C$3)^2+(D505-D$3)^2)</f>
        <v>0.50377834111091491</v>
      </c>
      <c r="G505" s="9">
        <v>0.10094802858819492</v>
      </c>
      <c r="H505" s="9">
        <v>0.10277332725009952</v>
      </c>
      <c r="J505" s="31">
        <v>0.98223956827375325</v>
      </c>
    </row>
    <row r="506" spans="1:10" x14ac:dyDescent="0.3">
      <c r="A506" s="9">
        <v>3.0513237822748982E-2</v>
      </c>
      <c r="B506" s="9">
        <v>0.28673130604373892</v>
      </c>
      <c r="C506" s="9">
        <v>0.37446878538694928</v>
      </c>
      <c r="D506" s="9">
        <v>0.3082866707465628</v>
      </c>
      <c r="E506" s="9">
        <f>SQRT((A506-A$3)^2+(B506-B$3)^2+(C506-C$3)^2+(D506-D$3)^2)</f>
        <v>0.50438878351872107</v>
      </c>
      <c r="G506" s="9">
        <v>0.10131430576369273</v>
      </c>
      <c r="H506" s="9">
        <v>0.10323270064195536</v>
      </c>
      <c r="J506" s="31">
        <v>0.98141679074234189</v>
      </c>
    </row>
    <row r="507" spans="1:10" x14ac:dyDescent="0.3">
      <c r="A507" s="9">
        <v>0.24232447268099686</v>
      </c>
      <c r="B507" s="9">
        <v>0.20384299569098441</v>
      </c>
      <c r="C507" s="9">
        <v>0.3907197681381599</v>
      </c>
      <c r="D507" s="9">
        <v>0.16311276348985887</v>
      </c>
      <c r="E507" s="9">
        <f>SQRT((A507-A$3)^2+(B507-B$3)^2+(C507-C$3)^2+(D507-D$3)^2)</f>
        <v>0.50508263833106914</v>
      </c>
      <c r="G507" s="9">
        <v>8.9296260368543642E-2</v>
      </c>
      <c r="H507" s="9">
        <v>8.9377911550063416E-2</v>
      </c>
      <c r="J507" s="31">
        <v>0.99908645010714936</v>
      </c>
    </row>
    <row r="508" spans="1:10" x14ac:dyDescent="0.3">
      <c r="A508" s="9">
        <v>0.14069981194627659</v>
      </c>
      <c r="B508" s="9">
        <v>0.31965173085856741</v>
      </c>
      <c r="C508" s="9">
        <v>0.13694182691744972</v>
      </c>
      <c r="D508" s="9">
        <v>0.4027066302777062</v>
      </c>
      <c r="E508" s="9">
        <f>SQRT((A508-A$3)^2+(B508-B$3)^2+(C508-C$3)^2+(D508-D$3)^2)</f>
        <v>0.5053813003062545</v>
      </c>
      <c r="G508" s="9">
        <v>9.803317893720262E-2</v>
      </c>
      <c r="H508" s="9">
        <v>9.7093049487754379E-2</v>
      </c>
      <c r="J508" s="31">
        <v>1.0096827677615257</v>
      </c>
    </row>
    <row r="509" spans="1:10" x14ac:dyDescent="0.3">
      <c r="A509" s="9">
        <v>0.27746686984280627</v>
      </c>
      <c r="B509" s="9">
        <v>0.19969096468421629</v>
      </c>
      <c r="C509" s="9">
        <v>0.37366602005150557</v>
      </c>
      <c r="D509" s="9">
        <v>0.14917614542147198</v>
      </c>
      <c r="E509" s="9">
        <f>SQRT((A509-A$3)^2+(B509-B$3)^2+(C509-C$3)^2+(D509-D$3)^2)</f>
        <v>0.50616060726592738</v>
      </c>
      <c r="G509" s="9">
        <v>8.7636167250934788E-2</v>
      </c>
      <c r="H509" s="9">
        <v>8.6776121170965267E-2</v>
      </c>
      <c r="J509" s="31">
        <v>1.0099110915349059</v>
      </c>
    </row>
    <row r="510" spans="1:10" x14ac:dyDescent="0.3">
      <c r="A510" s="9">
        <v>0.49455703925228822</v>
      </c>
      <c r="B510" s="9">
        <v>0.34282021443196209</v>
      </c>
      <c r="C510" s="9">
        <v>1.448123536647534E-2</v>
      </c>
      <c r="D510" s="9">
        <v>0.1481415109492743</v>
      </c>
      <c r="E510" s="9">
        <f>SQRT((A510-A$3)^2+(B510-B$3)^2+(C510-C$3)^2+(D510-D$3)^2)</f>
        <v>0.50667329691499874</v>
      </c>
      <c r="G510" s="9">
        <v>8.2910239843789646E-2</v>
      </c>
      <c r="H510" s="9">
        <v>6.8529643171270332E-2</v>
      </c>
      <c r="J510" s="31">
        <v>1.2098449080871341</v>
      </c>
    </row>
    <row r="511" spans="1:10" x14ac:dyDescent="0.3">
      <c r="A511" s="9">
        <v>0.39327071046220902</v>
      </c>
      <c r="B511" s="9">
        <v>0.23593688236794147</v>
      </c>
      <c r="C511" s="9">
        <v>0.16619382007193026</v>
      </c>
      <c r="D511" s="9">
        <v>0.20459858709791934</v>
      </c>
      <c r="E511" s="9">
        <f>SQRT((A511-A$3)^2+(B511-B$3)^2+(C511-C$3)^2+(D511-D$3)^2)</f>
        <v>0.50698846315300417</v>
      </c>
      <c r="G511" s="9">
        <v>8.4079029276848627E-2</v>
      </c>
      <c r="H511" s="9">
        <v>7.6708196155309799E-2</v>
      </c>
      <c r="J511" s="31">
        <v>1.0960892510966525</v>
      </c>
    </row>
    <row r="512" spans="1:10" x14ac:dyDescent="0.3">
      <c r="A512" s="9">
        <v>9.2959557029703543E-2</v>
      </c>
      <c r="B512" s="9">
        <v>0.33317621355092747</v>
      </c>
      <c r="C512" s="9">
        <v>0.15950650239854941</v>
      </c>
      <c r="D512" s="9">
        <v>0.41435772702081958</v>
      </c>
      <c r="E512" s="9">
        <f>SQRT((A512-A$3)^2+(B512-B$3)^2+(C512-C$3)^2+(D512-D$3)^2)</f>
        <v>0.5070843731046013</v>
      </c>
      <c r="G512" s="9">
        <v>0.10050564460317202</v>
      </c>
      <c r="H512" s="9">
        <v>0.10031637345884367</v>
      </c>
      <c r="J512" s="31">
        <v>1.0018867422914366</v>
      </c>
    </row>
    <row r="513" spans="1:10" x14ac:dyDescent="0.3">
      <c r="A513" s="9">
        <v>0.18801137216620215</v>
      </c>
      <c r="B513" s="9">
        <v>0.21214594607362858</v>
      </c>
      <c r="C513" s="9">
        <v>0.37172297273265648</v>
      </c>
      <c r="D513" s="9">
        <v>0.22811970902751272</v>
      </c>
      <c r="E513" s="9">
        <f>SQRT((A513-A$3)^2+(B513-B$3)^2+(C513-C$3)^2+(D513-D$3)^2)</f>
        <v>0.50752560451562434</v>
      </c>
      <c r="G513" s="9">
        <v>9.2078705339504838E-2</v>
      </c>
      <c r="H513" s="9">
        <v>9.3426299458352902E-2</v>
      </c>
      <c r="J513" s="31">
        <v>0.98557585897481914</v>
      </c>
    </row>
    <row r="514" spans="1:10" x14ac:dyDescent="0.3">
      <c r="A514" s="9">
        <v>0.39267361749044116</v>
      </c>
      <c r="B514" s="9">
        <v>0.30240692341289488</v>
      </c>
      <c r="C514" s="9">
        <v>4.0203691114888758E-2</v>
      </c>
      <c r="D514" s="9">
        <v>0.26471576798177526</v>
      </c>
      <c r="E514" s="9">
        <f>SQRT((A514-A$3)^2+(B514-B$3)^2+(C514-C$3)^2+(D514-D$3)^2)</f>
        <v>0.5082974042342685</v>
      </c>
      <c r="G514" s="9">
        <v>8.6378778808141071E-2</v>
      </c>
      <c r="H514" s="9">
        <v>7.7358159733818016E-2</v>
      </c>
      <c r="J514" s="31">
        <v>1.1166085013573506</v>
      </c>
    </row>
    <row r="515" spans="1:10" x14ac:dyDescent="0.3">
      <c r="A515" s="9">
        <v>0.21946644493594933</v>
      </c>
      <c r="B515" s="9">
        <v>0.20730575031738435</v>
      </c>
      <c r="C515" s="9">
        <v>0.42452297297178365</v>
      </c>
      <c r="D515" s="9">
        <v>0.14870483177488267</v>
      </c>
      <c r="E515" s="9">
        <f>SQRT((A515-A$3)^2+(B515-B$3)^2+(C515-C$3)^2+(D515-D$3)^2)</f>
        <v>0.50842777504910075</v>
      </c>
      <c r="G515" s="9">
        <v>9.0314066821722883E-2</v>
      </c>
      <c r="H515" s="9">
        <v>9.128602956385902E-2</v>
      </c>
      <c r="J515" s="31">
        <v>0.98935255759528673</v>
      </c>
    </row>
    <row r="516" spans="1:10" x14ac:dyDescent="0.3">
      <c r="A516" s="9">
        <v>0.13301829478634089</v>
      </c>
      <c r="B516" s="9">
        <v>0.31761803265199767</v>
      </c>
      <c r="C516" s="9">
        <v>0.1422227865301279</v>
      </c>
      <c r="D516" s="9">
        <v>0.40714088603153364</v>
      </c>
      <c r="E516" s="9">
        <f>SQRT((A516-A$3)^2+(B516-B$3)^2+(C516-C$3)^2+(D516-D$3)^2)</f>
        <v>0.50966164866878394</v>
      </c>
      <c r="G516" s="9">
        <v>9.8310151417707548E-2</v>
      </c>
      <c r="H516" s="9">
        <v>9.7863579616681476E-2</v>
      </c>
      <c r="J516" s="31">
        <v>1.0045632073011761</v>
      </c>
    </row>
    <row r="517" spans="1:10" x14ac:dyDescent="0.3">
      <c r="A517" s="9">
        <v>0.18807309823461779</v>
      </c>
      <c r="B517" s="9">
        <v>0.24754532966215195</v>
      </c>
      <c r="C517" s="9">
        <v>0.22384674827456347</v>
      </c>
      <c r="D517" s="9">
        <v>0.34053482382866679</v>
      </c>
      <c r="E517" s="9">
        <f>SQRT((A517-A$3)^2+(B517-B$3)^2+(C517-C$3)^2+(D517-D$3)^2)</f>
        <v>0.51001215336591998</v>
      </c>
      <c r="G517" s="9">
        <v>9.3580493127704029E-2</v>
      </c>
      <c r="H517" s="9">
        <v>9.3696859685549361E-2</v>
      </c>
      <c r="J517" s="31">
        <v>0.99875805274332707</v>
      </c>
    </row>
    <row r="518" spans="1:10" x14ac:dyDescent="0.3">
      <c r="A518" s="9">
        <v>0.31880796251623783</v>
      </c>
      <c r="B518" s="9">
        <v>0.24204700383936206</v>
      </c>
      <c r="C518" s="9">
        <v>0.15293052937261614</v>
      </c>
      <c r="D518" s="9">
        <v>0.28621450427178385</v>
      </c>
      <c r="E518" s="9">
        <f>SQRT((A518-A$3)^2+(B518-B$3)^2+(C518-C$3)^2+(D518-D$3)^2)</f>
        <v>0.51020320165021793</v>
      </c>
      <c r="G518" s="9">
        <v>8.7703307145352835E-2</v>
      </c>
      <c r="H518" s="9">
        <v>8.3373419473043525E-2</v>
      </c>
      <c r="J518" s="31">
        <v>1.0519336702233888</v>
      </c>
    </row>
    <row r="519" spans="1:10" x14ac:dyDescent="0.3">
      <c r="A519" s="9">
        <v>0.34637813036798165</v>
      </c>
      <c r="B519" s="9">
        <v>0.33513813454774494</v>
      </c>
      <c r="C519" s="9">
        <v>7.8419929585478042E-4</v>
      </c>
      <c r="D519" s="9">
        <v>0.3176995357884187</v>
      </c>
      <c r="E519" s="9">
        <f>SQRT((A519-A$3)^2+(B519-B$3)^2+(C519-C$3)^2+(D519-D$3)^2)</f>
        <v>0.51051679419630747</v>
      </c>
      <c r="G519" s="9">
        <v>8.9534944356367718E-2</v>
      </c>
      <c r="H519" s="9">
        <v>8.1932956216423936E-2</v>
      </c>
      <c r="J519" s="31">
        <v>1.0927830325060324</v>
      </c>
    </row>
    <row r="520" spans="1:10" x14ac:dyDescent="0.3">
      <c r="A520" s="9">
        <v>0.31438319203639498</v>
      </c>
      <c r="B520" s="9">
        <v>0.20143891257106455</v>
      </c>
      <c r="C520" s="9">
        <v>0.26874946707610869</v>
      </c>
      <c r="D520" s="9">
        <v>0.21542842831643194</v>
      </c>
      <c r="E520" s="9">
        <f>SQRT((A520-A$3)^2+(B520-B$3)^2+(C520-C$3)^2+(D520-D$3)^2)</f>
        <v>0.51179107882688524</v>
      </c>
      <c r="G520" s="9">
        <v>8.6376033245448805E-2</v>
      </c>
      <c r="H520" s="9">
        <v>8.384522954932308E-2</v>
      </c>
      <c r="J520" s="31">
        <v>1.0301842300358537</v>
      </c>
    </row>
    <row r="521" spans="1:10" x14ac:dyDescent="0.3">
      <c r="A521" s="9">
        <v>0.26533385022218364</v>
      </c>
      <c r="B521" s="9">
        <v>0.22378503332915528</v>
      </c>
      <c r="C521" s="9">
        <v>0.21504221083036029</v>
      </c>
      <c r="D521" s="9">
        <v>0.29583890561830073</v>
      </c>
      <c r="E521" s="9">
        <f>SQRT((A521-A$3)^2+(B521-B$3)^2+(C521-C$3)^2+(D521-D$3)^2)</f>
        <v>0.51326065426456136</v>
      </c>
      <c r="G521" s="9">
        <v>8.9427066698831575E-2</v>
      </c>
      <c r="H521" s="9">
        <v>8.7897472063592316E-2</v>
      </c>
      <c r="J521" s="31">
        <v>1.0174020321555166</v>
      </c>
    </row>
    <row r="522" spans="1:10" x14ac:dyDescent="0.3">
      <c r="A522" s="9">
        <v>0.24159835606005911</v>
      </c>
      <c r="B522" s="9">
        <v>0.22135305507430222</v>
      </c>
      <c r="C522" s="9">
        <v>0.2380933562612306</v>
      </c>
      <c r="D522" s="9">
        <v>0.29895523260440809</v>
      </c>
      <c r="E522" s="9">
        <f>SQRT((A522-A$3)^2+(B522-B$3)^2+(C522-C$3)^2+(D522-D$3)^2)</f>
        <v>0.51343746090644493</v>
      </c>
      <c r="G522" s="9">
        <v>9.0363435397908781E-2</v>
      </c>
      <c r="H522" s="9">
        <v>8.9780233787606786E-2</v>
      </c>
      <c r="J522" s="31">
        <v>1.0064958798356627</v>
      </c>
    </row>
    <row r="523" spans="1:10" x14ac:dyDescent="0.3">
      <c r="A523" s="9">
        <v>3.2241188059112469E-2</v>
      </c>
      <c r="B523" s="9">
        <v>0.2745067972066455</v>
      </c>
      <c r="C523" s="9">
        <v>0.47968208872070273</v>
      </c>
      <c r="D523" s="9">
        <v>0.21356992601353936</v>
      </c>
      <c r="E523" s="9">
        <f>SQRT((A523-A$3)^2+(B523-B$3)^2+(C523-C$3)^2+(D523-D$3)^2)</f>
        <v>0.51389372528335797</v>
      </c>
      <c r="G523" s="9">
        <v>0.10051825175124213</v>
      </c>
      <c r="H523" s="9">
        <v>0.10312146022751013</v>
      </c>
      <c r="J523" s="31">
        <v>0.97475589978531418</v>
      </c>
    </row>
    <row r="524" spans="1:10" x14ac:dyDescent="0.3">
      <c r="A524" s="9">
        <v>0.19079357250215473</v>
      </c>
      <c r="B524" s="9">
        <v>0.23889083153311666</v>
      </c>
      <c r="C524" s="9">
        <v>0.23555808260196448</v>
      </c>
      <c r="D524" s="9">
        <v>0.33475751336276416</v>
      </c>
      <c r="E524" s="9">
        <f>SQRT((A524-A$3)^2+(B524-B$3)^2+(C524-C$3)^2+(D524-D$3)^2)</f>
        <v>0.51393989874765922</v>
      </c>
      <c r="G524" s="9">
        <v>9.3177169175136645E-2</v>
      </c>
      <c r="H524" s="9">
        <v>9.3706819231929986E-2</v>
      </c>
      <c r="J524" s="31">
        <v>0.99434779601810597</v>
      </c>
    </row>
    <row r="525" spans="1:10" x14ac:dyDescent="0.3">
      <c r="A525" s="9">
        <v>0.28950700037768806</v>
      </c>
      <c r="B525" s="9">
        <v>0.19402916350200874</v>
      </c>
      <c r="C525" s="9">
        <v>0.31464959594511344</v>
      </c>
      <c r="D525" s="9">
        <v>0.20181424017518973</v>
      </c>
      <c r="E525" s="9">
        <f>SQRT((A525-A$3)^2+(B525-B$3)^2+(C525-C$3)^2+(D525-D$3)^2)</f>
        <v>0.51396891523249977</v>
      </c>
      <c r="G525" s="9">
        <v>8.71455636754465E-2</v>
      </c>
      <c r="H525" s="9">
        <v>8.6105972478535894E-2</v>
      </c>
      <c r="J525" s="31">
        <v>1.0120733924370897</v>
      </c>
    </row>
    <row r="526" spans="1:10" x14ac:dyDescent="0.3">
      <c r="A526" s="9">
        <v>4.0804624475425884E-2</v>
      </c>
      <c r="B526" s="9">
        <v>0.30864602873274904</v>
      </c>
      <c r="C526" s="9">
        <v>0.5738422261581847</v>
      </c>
      <c r="D526" s="9">
        <v>7.6707120633640408E-2</v>
      </c>
      <c r="E526" s="9">
        <f>SQRT((A526-A$3)^2+(B526-B$3)^2+(C526-C$3)^2+(D526-D$3)^2)</f>
        <v>0.51435433165597988</v>
      </c>
      <c r="G526" s="9">
        <v>0.10071426331663015</v>
      </c>
      <c r="H526" s="9">
        <v>0.10145304586375342</v>
      </c>
      <c r="J526" s="31">
        <v>0.99271798553869517</v>
      </c>
    </row>
    <row r="527" spans="1:10" x14ac:dyDescent="0.3">
      <c r="A527" s="9">
        <v>0.16882382647423635</v>
      </c>
      <c r="B527" s="9">
        <v>0.22262003637292604</v>
      </c>
      <c r="C527" s="9">
        <v>0.31190866952772867</v>
      </c>
      <c r="D527" s="9">
        <v>0.29664746762510896</v>
      </c>
      <c r="E527" s="9">
        <f>SQRT((A527-A$3)^2+(B527-B$3)^2+(C527-C$3)^2+(D527-D$3)^2)</f>
        <v>0.51436869975559874</v>
      </c>
      <c r="G527" s="9">
        <v>9.3460927998217369E-2</v>
      </c>
      <c r="H527" s="9">
        <v>9.5235141487563582E-2</v>
      </c>
      <c r="J527" s="31">
        <v>0.98137018056955472</v>
      </c>
    </row>
    <row r="528" spans="1:10" x14ac:dyDescent="0.3">
      <c r="A528" s="9">
        <v>0.12737017421010322</v>
      </c>
      <c r="B528" s="9">
        <v>0.29835141517018127</v>
      </c>
      <c r="C528" s="9">
        <v>0.17383585207470575</v>
      </c>
      <c r="D528" s="9">
        <v>0.40044255854500976</v>
      </c>
      <c r="E528" s="9">
        <f>SQRT((A528-A$3)^2+(B528-B$3)^2+(C528-C$3)^2+(D528-D$3)^2)</f>
        <v>0.51466688320104126</v>
      </c>
      <c r="G528" s="9">
        <v>9.7927961261423307E-2</v>
      </c>
      <c r="H528" s="9">
        <v>9.845300599661462E-2</v>
      </c>
      <c r="J528" s="31">
        <v>0.99466705226644514</v>
      </c>
    </row>
    <row r="529" spans="1:10" x14ac:dyDescent="0.3">
      <c r="A529" s="9">
        <v>0.41198249068714798</v>
      </c>
      <c r="B529" s="9">
        <v>0.20859228209669192</v>
      </c>
      <c r="C529" s="9">
        <v>0.28267347506817625</v>
      </c>
      <c r="D529" s="9">
        <v>9.6751752147983955E-2</v>
      </c>
      <c r="E529" s="9">
        <f>SQRT((A529-A$3)^2+(B529-B$3)^2+(C529-C$3)^2+(D529-D$3)^2)</f>
        <v>0.51553872804310019</v>
      </c>
      <c r="G529" s="9">
        <v>8.2051855640813506E-2</v>
      </c>
      <c r="H529" s="9">
        <v>7.6142799051084384E-2</v>
      </c>
      <c r="J529" s="31">
        <v>1.077604929991669</v>
      </c>
    </row>
    <row r="530" spans="1:10" x14ac:dyDescent="0.3">
      <c r="A530" s="9">
        <v>0.42457425458749215</v>
      </c>
      <c r="B530" s="9">
        <v>0.21379587777947212</v>
      </c>
      <c r="C530" s="9">
        <v>0.29090815535247888</v>
      </c>
      <c r="D530" s="9">
        <v>7.0721712280556903E-2</v>
      </c>
      <c r="E530" s="9">
        <f>SQRT((A530-A$3)^2+(B530-B$3)^2+(C530-C$3)^2+(D530-D$3)^2)</f>
        <v>0.51568846597630968</v>
      </c>
      <c r="G530" s="9">
        <v>8.1587278589528231E-2</v>
      </c>
      <c r="H530" s="9">
        <v>7.5232973478785936E-2</v>
      </c>
      <c r="J530" s="31">
        <v>1.0844617036509141</v>
      </c>
    </row>
    <row r="531" spans="1:10" x14ac:dyDescent="0.3">
      <c r="A531" s="9">
        <v>0.38746699047916705</v>
      </c>
      <c r="B531" s="9">
        <v>0.20280298198636201</v>
      </c>
      <c r="C531" s="9">
        <v>0.32798806258661678</v>
      </c>
      <c r="D531" s="9">
        <v>8.1741964947854101E-2</v>
      </c>
      <c r="E531" s="9">
        <f>SQRT((A531-A$3)^2+(B531-B$3)^2+(C531-C$3)^2+(D531-D$3)^2)</f>
        <v>0.51573348081221437</v>
      </c>
      <c r="G531" s="9">
        <v>8.2851209713537932E-2</v>
      </c>
      <c r="H531" s="9">
        <v>7.8523441579656669E-2</v>
      </c>
      <c r="J531" s="31">
        <v>1.0551143460706705</v>
      </c>
    </row>
    <row r="532" spans="1:10" x14ac:dyDescent="0.3">
      <c r="A532" s="9">
        <v>3.6831544576599339E-2</v>
      </c>
      <c r="B532" s="9">
        <v>0.28757709531635672</v>
      </c>
      <c r="C532" s="9">
        <v>0.3204242150100815</v>
      </c>
      <c r="D532" s="9">
        <v>0.35516714509696246</v>
      </c>
      <c r="E532" s="9">
        <f>SQRT((A532-A$3)^2+(B532-B$3)^2+(C532-C$3)^2+(D532-D$3)^2)</f>
        <v>0.51575580889703998</v>
      </c>
      <c r="G532" s="9">
        <v>0.10124507214205565</v>
      </c>
      <c r="H532" s="9">
        <v>0.1038129649256887</v>
      </c>
      <c r="J532" s="31">
        <v>0.97526423808942175</v>
      </c>
    </row>
    <row r="533" spans="1:10" x14ac:dyDescent="0.3">
      <c r="A533" s="9">
        <v>0.32590158064305841</v>
      </c>
      <c r="B533" s="9">
        <v>0.24435193045491421</v>
      </c>
      <c r="C533" s="9">
        <v>0.13678959478426217</v>
      </c>
      <c r="D533" s="9">
        <v>0.29295689411776527</v>
      </c>
      <c r="E533" s="9">
        <f>SQRT((A533-A$3)^2+(B533-B$3)^2+(C533-C$3)^2+(D533-D$3)^2)</f>
        <v>0.51611578836663441</v>
      </c>
      <c r="G533" s="9">
        <v>8.7500231689266489E-2</v>
      </c>
      <c r="H533" s="9">
        <v>8.3159765862468871E-2</v>
      </c>
      <c r="J533" s="31">
        <v>1.0521943007147947</v>
      </c>
    </row>
    <row r="534" spans="1:10" x14ac:dyDescent="0.3">
      <c r="A534" s="9">
        <v>0.40113431028354635</v>
      </c>
      <c r="B534" s="9">
        <v>0.22235012226225742</v>
      </c>
      <c r="C534" s="9">
        <v>0.18482307211400617</v>
      </c>
      <c r="D534" s="9">
        <v>0.19169249534019006</v>
      </c>
      <c r="E534" s="9">
        <f>SQRT((A534-A$3)^2+(B534-B$3)^2+(C534-C$3)^2+(D534-D$3)^2)</f>
        <v>0.51613723936422995</v>
      </c>
      <c r="G534" s="9">
        <v>8.3280469065636353E-2</v>
      </c>
      <c r="H534" s="9">
        <v>7.6571901685117627E-2</v>
      </c>
      <c r="J534" s="31">
        <v>1.0876113461058601</v>
      </c>
    </row>
    <row r="535" spans="1:10" x14ac:dyDescent="0.3">
      <c r="A535" s="9">
        <v>0.38290770138393571</v>
      </c>
      <c r="B535" s="9">
        <v>0.2104854033714085</v>
      </c>
      <c r="C535" s="9">
        <v>0.21454299177299038</v>
      </c>
      <c r="D535" s="9">
        <v>0.1920639034716656</v>
      </c>
      <c r="E535" s="9">
        <f>SQRT((A535-A$3)^2+(B535-B$3)^2+(C535-C$3)^2+(D535-D$3)^2)</f>
        <v>0.51746574477620044</v>
      </c>
      <c r="G535" s="9">
        <v>8.3682996247701494E-2</v>
      </c>
      <c r="H535" s="9">
        <v>7.8286738430329489E-2</v>
      </c>
      <c r="J535" s="31">
        <v>1.068929398842875</v>
      </c>
    </row>
    <row r="536" spans="1:10" x14ac:dyDescent="0.3">
      <c r="A536" s="9">
        <v>0.37665394615805453</v>
      </c>
      <c r="B536" s="9">
        <v>0.2955788362214784</v>
      </c>
      <c r="C536" s="9">
        <v>3.8661320360470014E-2</v>
      </c>
      <c r="D536" s="9">
        <v>0.28910589725999708</v>
      </c>
      <c r="E536" s="9">
        <f>SQRT((A536-A$3)^2+(B536-B$3)^2+(C536-C$3)^2+(D536-D$3)^2)</f>
        <v>0.51843676458763643</v>
      </c>
      <c r="G536" s="9">
        <v>8.693159638205103E-2</v>
      </c>
      <c r="H536" s="9">
        <v>7.9387932039009915E-2</v>
      </c>
      <c r="J536" s="31">
        <v>1.0950228095037704</v>
      </c>
    </row>
    <row r="537" spans="1:10" x14ac:dyDescent="0.3">
      <c r="A537" s="9">
        <v>0.41063502665362922</v>
      </c>
      <c r="B537" s="9">
        <v>0.32245053865878981</v>
      </c>
      <c r="C537" s="9">
        <v>9.4852079032218704E-4</v>
      </c>
      <c r="D537" s="9">
        <v>0.26596591389725888</v>
      </c>
      <c r="E537" s="9">
        <f>SQRT((A537-A$3)^2+(B537-B$3)^2+(C537-C$3)^2+(D537-D$3)^2)</f>
        <v>0.51863273591905035</v>
      </c>
      <c r="G537" s="9">
        <v>8.6246256382346911E-2</v>
      </c>
      <c r="H537" s="9">
        <v>7.6729036329390807E-2</v>
      </c>
      <c r="J537" s="31">
        <v>1.1240367468203243</v>
      </c>
    </row>
    <row r="538" spans="1:10" x14ac:dyDescent="0.3">
      <c r="A538" s="9">
        <v>0.55576240680607769</v>
      </c>
      <c r="B538" s="9">
        <v>0.35432824188027062</v>
      </c>
      <c r="C538" s="9">
        <v>4.3614408090515006E-2</v>
      </c>
      <c r="D538" s="9">
        <v>4.6294943223136584E-2</v>
      </c>
      <c r="E538" s="9">
        <f>SQRT((A538-A$3)^2+(B538-B$3)^2+(C538-C$3)^2+(D538-D$3)^2)</f>
        <v>0.51883665410375779</v>
      </c>
      <c r="G538" s="9">
        <v>8.0315706932813175E-2</v>
      </c>
      <c r="H538" s="9">
        <v>6.4184832393889862E-2</v>
      </c>
      <c r="J538" s="31">
        <v>1.2513191035528652</v>
      </c>
    </row>
    <row r="539" spans="1:10" x14ac:dyDescent="0.3">
      <c r="A539" s="9">
        <v>0.10686610126302531</v>
      </c>
      <c r="B539" s="9">
        <v>0.25387812566277973</v>
      </c>
      <c r="C539" s="9">
        <v>0.28965188213389187</v>
      </c>
      <c r="D539" s="9">
        <v>0.3496038909403032</v>
      </c>
      <c r="E539" s="9">
        <f>SQRT((A539-A$3)^2+(B539-B$3)^2+(C539-C$3)^2+(D539-D$3)^2)</f>
        <v>0.51900231797205509</v>
      </c>
      <c r="G539" s="9">
        <v>9.7231447917534547E-2</v>
      </c>
      <c r="H539" s="9">
        <v>9.9797932026292974E-2</v>
      </c>
      <c r="J539" s="31">
        <v>0.97428319348258385</v>
      </c>
    </row>
    <row r="540" spans="1:10" x14ac:dyDescent="0.3">
      <c r="A540" s="9">
        <v>0.16762198600893852</v>
      </c>
      <c r="B540" s="9">
        <v>0.21670862124160131</v>
      </c>
      <c r="C540" s="9">
        <v>0.32291462547741018</v>
      </c>
      <c r="D540" s="9">
        <v>0.29275476727204996</v>
      </c>
      <c r="E540" s="9">
        <f>SQRT((A540-A$3)^2+(B540-B$3)^2+(C540-C$3)^2+(D540-D$3)^2)</f>
        <v>0.51951905225547879</v>
      </c>
      <c r="G540" s="9">
        <v>9.3314584950665747E-2</v>
      </c>
      <c r="H540" s="9">
        <v>9.5624234975773506E-2</v>
      </c>
      <c r="J540" s="31">
        <v>0.97584660388976796</v>
      </c>
    </row>
    <row r="541" spans="1:10" x14ac:dyDescent="0.3">
      <c r="A541" s="9">
        <v>0.2094966061848002</v>
      </c>
      <c r="B541" s="9">
        <v>0.23149701533985345</v>
      </c>
      <c r="C541" s="9">
        <v>0.51729293776057061</v>
      </c>
      <c r="D541" s="9">
        <v>4.1713440714775618E-2</v>
      </c>
      <c r="E541" s="9">
        <f>SQRT((A541-A$3)^2+(B541-B$3)^2+(C541-C$3)^2+(D541-D$3)^2)</f>
        <v>0.51985503632689445</v>
      </c>
      <c r="G541" s="9">
        <v>9.1092319893018414E-2</v>
      </c>
      <c r="H541" s="9">
        <v>9.2674308230949562E-2</v>
      </c>
      <c r="J541" s="31">
        <v>0.98292959107945277</v>
      </c>
    </row>
    <row r="542" spans="1:10" x14ac:dyDescent="0.3">
      <c r="A542" s="9">
        <v>0.38926906563877189</v>
      </c>
      <c r="B542" s="9">
        <v>0.31536068411770996</v>
      </c>
      <c r="C542" s="9">
        <v>9.0398484137209426E-3</v>
      </c>
      <c r="D542" s="9">
        <v>0.28633040182979724</v>
      </c>
      <c r="E542" s="9">
        <f>SQRT((A542-A$3)^2+(B542-B$3)^2+(C542-C$3)^2+(D542-D$3)^2)</f>
        <v>0.51996081803296401</v>
      </c>
      <c r="G542" s="9">
        <v>8.700160000273674E-2</v>
      </c>
      <c r="H542" s="9">
        <v>7.8626799994436419E-2</v>
      </c>
      <c r="J542" s="31">
        <v>1.1065133009214787</v>
      </c>
    </row>
    <row r="543" spans="1:10" x14ac:dyDescent="0.3">
      <c r="A543" s="9">
        <v>0.37286197619773059</v>
      </c>
      <c r="B543" s="9">
        <v>0.19364932346384417</v>
      </c>
      <c r="C543" s="9">
        <v>0.29998309559070169</v>
      </c>
      <c r="D543" s="9">
        <v>0.13350560474772347</v>
      </c>
      <c r="E543" s="9">
        <f>SQRT((A543-A$3)^2+(B543-B$3)^2+(C543-C$3)^2+(D543-D$3)^2)</f>
        <v>0.52009093220484037</v>
      </c>
      <c r="G543" s="9">
        <v>8.3372267463012753E-2</v>
      </c>
      <c r="H543" s="9">
        <v>7.970744909461501E-2</v>
      </c>
      <c r="J543" s="31">
        <v>1.0459783672671232</v>
      </c>
    </row>
    <row r="544" spans="1:10" x14ac:dyDescent="0.3">
      <c r="A544" s="9">
        <v>7.4483788860596728E-2</v>
      </c>
      <c r="B544" s="9">
        <v>0.42332854425086824</v>
      </c>
      <c r="C544" s="9">
        <v>4.5444499554316543E-2</v>
      </c>
      <c r="D544" s="9">
        <v>0.45674316733421838</v>
      </c>
      <c r="E544" s="9">
        <f>SQRT((A544-A$3)^2+(B544-B$3)^2+(C544-C$3)^2+(D544-D$3)^2)</f>
        <v>0.52016624561862923</v>
      </c>
      <c r="G544" s="9">
        <v>0.10422651234922267</v>
      </c>
      <c r="H544" s="9">
        <v>0.10255776888991028</v>
      </c>
      <c r="J544" s="31">
        <v>1.0162712535322769</v>
      </c>
    </row>
    <row r="545" spans="1:10" x14ac:dyDescent="0.3">
      <c r="A545" s="9">
        <v>0.33647970303182012</v>
      </c>
      <c r="B545" s="9">
        <v>0.18904796191333537</v>
      </c>
      <c r="C545" s="9">
        <v>0.30497876259679191</v>
      </c>
      <c r="D545" s="9">
        <v>0.16949357245805255</v>
      </c>
      <c r="E545" s="9">
        <f>SQRT((A545-A$3)^2+(B545-B$3)^2+(C545-C$3)^2+(D545-D$3)^2)</f>
        <v>0.5202364407573391</v>
      </c>
      <c r="G545" s="9">
        <v>8.4894295299240002E-2</v>
      </c>
      <c r="H545" s="9">
        <v>8.2689140614214451E-2</v>
      </c>
      <c r="J545" s="31">
        <v>1.0266680082613711</v>
      </c>
    </row>
    <row r="546" spans="1:10" x14ac:dyDescent="0.3">
      <c r="A546" s="9">
        <v>0.23303229872411457</v>
      </c>
      <c r="B546" s="9">
        <v>0.20420394821817792</v>
      </c>
      <c r="C546" s="9">
        <v>0.28490243986357927</v>
      </c>
      <c r="D546" s="9">
        <v>0.2778613131941281</v>
      </c>
      <c r="E546" s="9">
        <f>SQRT((A546-A$3)^2+(B546-B$3)^2+(C546-C$3)^2+(D546-D$3)^2)</f>
        <v>0.52058665641213731</v>
      </c>
      <c r="G546" s="9">
        <v>9.0117220178884488E-2</v>
      </c>
      <c r="H546" s="9">
        <v>9.0864649912038714E-2</v>
      </c>
      <c r="J546" s="31">
        <v>0.99177425177032241</v>
      </c>
    </row>
    <row r="547" spans="1:10" x14ac:dyDescent="0.3">
      <c r="A547" s="9">
        <v>0.21826220786336981</v>
      </c>
      <c r="B547" s="9">
        <v>0.35709528595161316</v>
      </c>
      <c r="C547" s="9">
        <v>1.60973597470143E-2</v>
      </c>
      <c r="D547" s="9">
        <v>0.40854514643800272</v>
      </c>
      <c r="E547" s="9">
        <f>SQRT((A547-A$3)^2+(B547-B$3)^2+(C547-C$3)^2+(D547-D$3)^2)</f>
        <v>0.52116520920917087</v>
      </c>
      <c r="G547" s="9">
        <v>9.5943854492517577E-2</v>
      </c>
      <c r="H547" s="9">
        <v>9.2943619408207417E-2</v>
      </c>
      <c r="J547" s="31">
        <v>1.032280161924114</v>
      </c>
    </row>
    <row r="548" spans="1:10" x14ac:dyDescent="0.3">
      <c r="A548" s="9">
        <v>0.19092750771629396</v>
      </c>
      <c r="B548" s="9">
        <v>0.21898360796214511</v>
      </c>
      <c r="C548" s="9">
        <v>0.49798850531222594</v>
      </c>
      <c r="D548" s="9">
        <v>9.2100379009334932E-2</v>
      </c>
      <c r="E548" s="9">
        <f>SQRT((A548-A$3)^2+(B548-B$3)^2+(C548-C$3)^2+(D548-D$3)^2)</f>
        <v>0.52160212002469575</v>
      </c>
      <c r="G548" s="9">
        <v>9.1671511992168761E-2</v>
      </c>
      <c r="H548" s="9">
        <v>9.4060694006613807E-2</v>
      </c>
      <c r="J548" s="31">
        <v>0.9745995706317343</v>
      </c>
    </row>
    <row r="549" spans="1:10" x14ac:dyDescent="0.3">
      <c r="A549" s="9">
        <v>0.4685293833142064</v>
      </c>
      <c r="B549" s="9">
        <v>0.23961054706580479</v>
      </c>
      <c r="C549" s="9">
        <v>0.16495904026976835</v>
      </c>
      <c r="D549" s="9">
        <v>0.12690102935022057</v>
      </c>
      <c r="E549" s="9">
        <f>SQRT((A549-A$3)^2+(B549-B$3)^2+(C549-C$3)^2+(D549-D$3)^2)</f>
        <v>0.52236997510772265</v>
      </c>
      <c r="G549" s="9">
        <v>8.0738040093672706E-2</v>
      </c>
      <c r="H549" s="9">
        <v>7.1083555587392003E-2</v>
      </c>
      <c r="J549" s="31">
        <v>1.1358188181007804</v>
      </c>
    </row>
    <row r="550" spans="1:10" x14ac:dyDescent="0.3">
      <c r="A550" s="9">
        <v>0.40006875342869674</v>
      </c>
      <c r="B550" s="9">
        <v>0.20657623276270734</v>
      </c>
      <c r="C550" s="9">
        <v>0.35780829683960919</v>
      </c>
      <c r="D550" s="9">
        <v>3.5546716968986689E-2</v>
      </c>
      <c r="E550" s="9">
        <f>SQRT((A550-A$3)^2+(B550-B$3)^2+(C550-C$3)^2+(D550-D$3)^2)</f>
        <v>0.52284567805277204</v>
      </c>
      <c r="G550" s="9">
        <v>8.2268483898647729E-2</v>
      </c>
      <c r="H550" s="9">
        <v>7.8311687532488766E-2</v>
      </c>
      <c r="J550" s="31">
        <v>1.0505262559246655</v>
      </c>
    </row>
    <row r="551" spans="1:10" x14ac:dyDescent="0.3">
      <c r="A551" s="9">
        <v>9.3200444278258576E-2</v>
      </c>
      <c r="B551" s="9">
        <v>0.24302557537287645</v>
      </c>
      <c r="C551" s="9">
        <v>0.3421077187986245</v>
      </c>
      <c r="D551" s="9">
        <v>0.32166626155024042</v>
      </c>
      <c r="E551" s="9">
        <f>SQRT((A551-A$3)^2+(B551-B$3)^2+(C551-C$3)^2+(D551-D$3)^2)</f>
        <v>0.52300282263540943</v>
      </c>
      <c r="G551" s="9">
        <v>9.7369897717550724E-2</v>
      </c>
      <c r="H551" s="9">
        <v>0.10080589817084813</v>
      </c>
      <c r="J551" s="31">
        <v>0.96591468836998018</v>
      </c>
    </row>
    <row r="552" spans="1:10" x14ac:dyDescent="0.3">
      <c r="A552" s="9">
        <v>0.25436155220619655</v>
      </c>
      <c r="B552" s="9">
        <v>0.30626006940592831</v>
      </c>
      <c r="C552" s="9">
        <v>5.8868623190320025E-2</v>
      </c>
      <c r="D552" s="9">
        <v>0.38050975519755531</v>
      </c>
      <c r="E552" s="9">
        <f>SQRT((A552-A$3)^2+(B552-B$3)^2+(C552-C$3)^2+(D552-D$3)^2)</f>
        <v>0.52321816788870412</v>
      </c>
      <c r="G552" s="9">
        <v>9.2748447703110831E-2</v>
      </c>
      <c r="H552" s="9">
        <v>8.9954199117664363E-2</v>
      </c>
      <c r="J552" s="31">
        <v>1.0310630144323942</v>
      </c>
    </row>
    <row r="553" spans="1:10" x14ac:dyDescent="0.3">
      <c r="A553" s="9">
        <v>0.23414596579187133</v>
      </c>
      <c r="B553" s="9">
        <v>0.20717474227162744</v>
      </c>
      <c r="C553" s="9">
        <v>0.26339679273354732</v>
      </c>
      <c r="D553" s="9">
        <v>0.2952824992029538</v>
      </c>
      <c r="E553" s="9">
        <f>SQRT((A553-A$3)^2+(B553-B$3)^2+(C553-C$3)^2+(D553-D$3)^2)</f>
        <v>0.52427694206510289</v>
      </c>
      <c r="G553" s="9">
        <v>9.0225652299545323E-2</v>
      </c>
      <c r="H553" s="9">
        <v>9.0999864925012025E-2</v>
      </c>
      <c r="J553" s="31">
        <v>0.99149215632237819</v>
      </c>
    </row>
    <row r="554" spans="1:10" x14ac:dyDescent="0.3">
      <c r="A554" s="9">
        <v>2.2183256390465637E-2</v>
      </c>
      <c r="B554" s="9">
        <v>0.33268648058157918</v>
      </c>
      <c r="C554" s="9">
        <v>0.22412284759141871</v>
      </c>
      <c r="D554" s="9">
        <v>0.42100741543653636</v>
      </c>
      <c r="E554" s="9">
        <f>SQRT((A554-A$3)^2+(B554-B$3)^2+(C554-C$3)^2+(D554-D$3)^2)</f>
        <v>0.5244750858035182</v>
      </c>
      <c r="G554" s="9">
        <v>0.10349725543983254</v>
      </c>
      <c r="H554" s="9">
        <v>0.10547226442713958</v>
      </c>
      <c r="J554" s="31">
        <v>0.98127461282798778</v>
      </c>
    </row>
    <row r="555" spans="1:10" x14ac:dyDescent="0.3">
      <c r="A555" s="9">
        <v>0.17240756209899785</v>
      </c>
      <c r="B555" s="9">
        <v>0.37022576016801284</v>
      </c>
      <c r="C555" s="9">
        <v>2.5215941682399771E-2</v>
      </c>
      <c r="D555" s="9">
        <v>0.43215073605058968</v>
      </c>
      <c r="E555" s="9">
        <f>SQRT((A555-A$3)^2+(B555-B$3)^2+(C555-C$3)^2+(D555-D$3)^2)</f>
        <v>0.52558835574068308</v>
      </c>
      <c r="G555" s="9">
        <v>9.8368247006840326E-2</v>
      </c>
      <c r="H555" s="9">
        <v>9.6549414099881298E-2</v>
      </c>
      <c r="J555" s="31">
        <v>1.018838362965905</v>
      </c>
    </row>
    <row r="556" spans="1:10" x14ac:dyDescent="0.3">
      <c r="A556" s="9">
        <v>0.43870472438993624</v>
      </c>
      <c r="B556" s="9">
        <v>0.20965758127467615</v>
      </c>
      <c r="C556" s="9">
        <v>0.29559773044249771</v>
      </c>
      <c r="D556" s="9">
        <v>5.6039963892889823E-2</v>
      </c>
      <c r="E556" s="9">
        <f>SQRT((A556-A$3)^2+(B556-B$3)^2+(C556-C$3)^2+(D556-D$3)^2)</f>
        <v>0.52616466575228205</v>
      </c>
      <c r="G556" s="9">
        <v>8.0810338673608845E-2</v>
      </c>
      <c r="H556" s="9">
        <v>7.4790920839631944E-2</v>
      </c>
      <c r="J556" s="31">
        <v>1.0804832694450153</v>
      </c>
    </row>
    <row r="557" spans="1:10" x14ac:dyDescent="0.3">
      <c r="A557" s="9">
        <v>0.31959424800329694</v>
      </c>
      <c r="B557" s="9">
        <v>0.23128192735539471</v>
      </c>
      <c r="C557" s="9">
        <v>0.14780628589628814</v>
      </c>
      <c r="D557" s="9">
        <v>0.30131753874502021</v>
      </c>
      <c r="E557" s="9">
        <f>SQRT((A557-A$3)^2+(B557-B$3)^2+(C557-C$3)^2+(D557-D$3)^2)</f>
        <v>0.52737597953601123</v>
      </c>
      <c r="G557" s="9">
        <v>8.739232660918092E-2</v>
      </c>
      <c r="H557" s="9">
        <v>8.4337679345040426E-2</v>
      </c>
      <c r="J557" s="31">
        <v>1.036219247290922</v>
      </c>
    </row>
    <row r="558" spans="1:10" x14ac:dyDescent="0.3">
      <c r="A558" s="9">
        <v>0.29990441381192096</v>
      </c>
      <c r="B558" s="9">
        <v>0.23046278380090554</v>
      </c>
      <c r="C558" s="9">
        <v>0.15718471378261281</v>
      </c>
      <c r="D558" s="9">
        <v>0.31244808860456064</v>
      </c>
      <c r="E558" s="9">
        <f>SQRT((A558-A$3)^2+(B558-B$3)^2+(C558-C$3)^2+(D558-D$3)^2)</f>
        <v>0.52741455865713138</v>
      </c>
      <c r="G558" s="9">
        <v>8.8237294686544926E-2</v>
      </c>
      <c r="H558" s="9">
        <v>8.5986328681992463E-2</v>
      </c>
      <c r="J558" s="31">
        <v>1.0261781848237448</v>
      </c>
    </row>
    <row r="559" spans="1:10" x14ac:dyDescent="0.3">
      <c r="A559" s="9">
        <v>8.2655404336609034E-2</v>
      </c>
      <c r="B559" s="9">
        <v>0.23707158986059956</v>
      </c>
      <c r="C559" s="9">
        <v>0.38469804405746233</v>
      </c>
      <c r="D559" s="9">
        <v>0.29557496174532899</v>
      </c>
      <c r="E559" s="9">
        <f>SQRT((A559-A$3)^2+(B559-B$3)^2+(C559-C$3)^2+(D559-D$3)^2)</f>
        <v>0.52750714123593434</v>
      </c>
      <c r="G559" s="9">
        <v>9.7535053987729825E-2</v>
      </c>
      <c r="H559" s="9">
        <v>0.10163505195671313</v>
      </c>
      <c r="J559" s="31">
        <v>0.9596596067001617</v>
      </c>
    </row>
    <row r="560" spans="1:10" x14ac:dyDescent="0.3">
      <c r="A560" s="9">
        <v>0.55240354986371332</v>
      </c>
      <c r="B560" s="9">
        <v>0.30604730872569963</v>
      </c>
      <c r="C560" s="9">
        <v>0.11415626773205689</v>
      </c>
      <c r="D560" s="9">
        <v>2.7392873678530175E-2</v>
      </c>
      <c r="E560" s="9">
        <f>SQRT((A560-A$3)^2+(B560-B$3)^2+(C560-C$3)^2+(D560-D$3)^2)</f>
        <v>0.52760921004941952</v>
      </c>
      <c r="G560" s="9">
        <v>7.8895347212839445E-2</v>
      </c>
      <c r="H560" s="9">
        <v>6.468600100184331E-2</v>
      </c>
      <c r="J560" s="31">
        <v>1.2196664810148214</v>
      </c>
    </row>
    <row r="561" spans="1:10" x14ac:dyDescent="0.3">
      <c r="A561" s="9">
        <v>0.2637841016443252</v>
      </c>
      <c r="B561" s="9">
        <v>0.23821252172045232</v>
      </c>
      <c r="C561" s="9">
        <v>0.1594586039140157</v>
      </c>
      <c r="D561" s="9">
        <v>0.33854477272120687</v>
      </c>
      <c r="E561" s="9">
        <f>SQRT((A561-A$3)^2+(B561-B$3)^2+(C561-C$3)^2+(D561-D$3)^2)</f>
        <v>0.52772214176032817</v>
      </c>
      <c r="G561" s="9">
        <v>9.0094170374672905E-2</v>
      </c>
      <c r="H561" s="9">
        <v>8.8993588019913333E-2</v>
      </c>
      <c r="J561" s="31">
        <v>1.0123669848496648</v>
      </c>
    </row>
    <row r="562" spans="1:10" x14ac:dyDescent="0.3">
      <c r="A562" s="9">
        <v>0.27319506204144878</v>
      </c>
      <c r="B562" s="9">
        <v>0.18321574945306746</v>
      </c>
      <c r="C562" s="9">
        <v>0.32387694491811531</v>
      </c>
      <c r="D562" s="9">
        <v>0.21971224358736846</v>
      </c>
      <c r="E562" s="9">
        <f>SQRT((A562-A$3)^2+(B562-B$3)^2+(C562-C$3)^2+(D562-D$3)^2)</f>
        <v>0.5280614484391406</v>
      </c>
      <c r="G562" s="9">
        <v>8.7563795718147749E-2</v>
      </c>
      <c r="H562" s="9">
        <v>8.8263948581363966E-2</v>
      </c>
      <c r="J562" s="31">
        <v>0.99206751029758433</v>
      </c>
    </row>
    <row r="563" spans="1:10" x14ac:dyDescent="0.3">
      <c r="A563" s="9">
        <v>0.21494651573490314</v>
      </c>
      <c r="B563" s="9">
        <v>0.26734729273619262</v>
      </c>
      <c r="C563" s="9">
        <v>0.13629420061275352</v>
      </c>
      <c r="D563" s="9">
        <v>0.38141199091615069</v>
      </c>
      <c r="E563" s="9">
        <f>SQRT((A563-A$3)^2+(B563-B$3)^2+(C563-C$3)^2+(D563-D$3)^2)</f>
        <v>0.52858221165782449</v>
      </c>
      <c r="G563" s="9">
        <v>9.3209374204710205E-2</v>
      </c>
      <c r="H563" s="9">
        <v>9.3014192909385895E-2</v>
      </c>
      <c r="J563" s="31">
        <v>1.0020984033642528</v>
      </c>
    </row>
    <row r="564" spans="1:10" x14ac:dyDescent="0.3">
      <c r="A564" s="9">
        <v>0.2155668325386414</v>
      </c>
      <c r="B564" s="9">
        <v>0.28352200980088538</v>
      </c>
      <c r="C564" s="9">
        <v>0.10882330302543217</v>
      </c>
      <c r="D564" s="9">
        <v>0.39208785463504109</v>
      </c>
      <c r="E564" s="9">
        <f>SQRT((A564-A$3)^2+(B564-B$3)^2+(C564-C$3)^2+(D564-D$3)^2)</f>
        <v>0.52906540441581373</v>
      </c>
      <c r="G564" s="9">
        <v>9.3722321351748378E-2</v>
      </c>
      <c r="H564" s="9">
        <v>9.3109711979228418E-2</v>
      </c>
      <c r="J564" s="31">
        <v>1.0065794358021065</v>
      </c>
    </row>
    <row r="565" spans="1:10" x14ac:dyDescent="0.3">
      <c r="A565" s="9">
        <v>0.36547805456505239</v>
      </c>
      <c r="B565" s="9">
        <v>0.18321588215970511</v>
      </c>
      <c r="C565" s="9">
        <v>0.31748965959893521</v>
      </c>
      <c r="D565" s="9">
        <v>0.13381640367630743</v>
      </c>
      <c r="E565" s="9">
        <f>SQRT((A565-A$3)^2+(B565-B$3)^2+(C565-C$3)^2+(D565-D$3)^2)</f>
        <v>0.52967593686871506</v>
      </c>
      <c r="G565" s="9">
        <v>8.3361921992177165E-2</v>
      </c>
      <c r="H565" s="9">
        <v>8.1002359598862747E-2</v>
      </c>
      <c r="J565" s="31">
        <v>1.0291295513488665</v>
      </c>
    </row>
    <row r="566" spans="1:10" x14ac:dyDescent="0.3">
      <c r="A566" s="9">
        <v>0.16128363005429627</v>
      </c>
      <c r="B566" s="9">
        <v>0.21298005214514829</v>
      </c>
      <c r="C566" s="9">
        <v>0.31577119817882454</v>
      </c>
      <c r="D566" s="9">
        <v>0.30996511962173101</v>
      </c>
      <c r="E566" s="9">
        <f>SQRT((A566-A$3)^2+(B566-B$3)^2+(C566-C$3)^2+(D566-D$3)^2)</f>
        <v>0.5301168788968188</v>
      </c>
      <c r="G566" s="9">
        <v>9.3529110520658737E-2</v>
      </c>
      <c r="H566" s="9">
        <v>9.672828919047001E-2</v>
      </c>
      <c r="J566" s="31">
        <v>0.96692613198697541</v>
      </c>
    </row>
    <row r="567" spans="1:10" x14ac:dyDescent="0.3">
      <c r="A567" s="9">
        <v>0.35048438752990185</v>
      </c>
      <c r="B567" s="9">
        <v>0.24965046102188709</v>
      </c>
      <c r="C567" s="9">
        <v>0.10003186842853651</v>
      </c>
      <c r="D567" s="9">
        <v>0.2998332830196746</v>
      </c>
      <c r="E567" s="9">
        <f>SQRT((A567-A$3)^2+(B567-B$3)^2+(C567-C$3)^2+(D567-D$3)^2)</f>
        <v>0.53032390086802206</v>
      </c>
      <c r="G567" s="9">
        <v>8.665322118953836E-2</v>
      </c>
      <c r="H567" s="9">
        <v>8.2011004602997789E-2</v>
      </c>
      <c r="J567" s="31">
        <v>1.0566048008924267</v>
      </c>
    </row>
    <row r="568" spans="1:10" x14ac:dyDescent="0.3">
      <c r="A568" s="9">
        <v>0.26401160475024016</v>
      </c>
      <c r="B568" s="9">
        <v>0.25616810893029124</v>
      </c>
      <c r="C568" s="9">
        <v>0.1222620412853699</v>
      </c>
      <c r="D568" s="9">
        <v>0.35755824503409883</v>
      </c>
      <c r="E568" s="9">
        <f>SQRT((A568-A$3)^2+(B568-B$3)^2+(C568-C$3)^2+(D568-D$3)^2)</f>
        <v>0.5305900521772533</v>
      </c>
      <c r="G568" s="9">
        <v>9.0709129399253741E-2</v>
      </c>
      <c r="H568" s="9">
        <v>8.9278721835517369E-2</v>
      </c>
      <c r="J568" s="31">
        <v>1.0160218194697241</v>
      </c>
    </row>
    <row r="569" spans="1:10" x14ac:dyDescent="0.3">
      <c r="A569" s="9">
        <v>0.3127148543494534</v>
      </c>
      <c r="B569" s="9">
        <v>0.1953567063392303</v>
      </c>
      <c r="C569" s="9">
        <v>0.23466139173147113</v>
      </c>
      <c r="D569" s="9">
        <v>0.25726704757984525</v>
      </c>
      <c r="E569" s="9">
        <f>SQRT((A569-A$3)^2+(B569-B$3)^2+(C569-C$3)^2+(D569-D$3)^2)</f>
        <v>0.53072903616694722</v>
      </c>
      <c r="G569" s="9">
        <v>8.6410744312089824E-2</v>
      </c>
      <c r="H569" s="9">
        <v>8.5053778338466737E-2</v>
      </c>
      <c r="J569" s="31">
        <v>1.0159542115603979</v>
      </c>
    </row>
    <row r="570" spans="1:10" x14ac:dyDescent="0.3">
      <c r="A570" s="9">
        <v>0.25639874273642288</v>
      </c>
      <c r="B570" s="9">
        <v>0.20114146578212591</v>
      </c>
      <c r="C570" s="9">
        <v>0.24814343626908195</v>
      </c>
      <c r="D570" s="9">
        <v>0.29431635521236932</v>
      </c>
      <c r="E570" s="9">
        <f>SQRT((A570-A$3)^2+(B570-B$3)^2+(C570-C$3)^2+(D570-D$3)^2)</f>
        <v>0.53105680840516978</v>
      </c>
      <c r="G570" s="9">
        <v>8.9097827913746708E-2</v>
      </c>
      <c r="H570" s="9">
        <v>8.9663575029884202E-2</v>
      </c>
      <c r="J570" s="31">
        <v>0.9936903350558024</v>
      </c>
    </row>
    <row r="571" spans="1:10" x14ac:dyDescent="0.3">
      <c r="A571" s="9">
        <v>0.15341849864645757</v>
      </c>
      <c r="B571" s="9">
        <v>0.20305438115161031</v>
      </c>
      <c r="C571" s="9">
        <v>0.38982974353425326</v>
      </c>
      <c r="D571" s="9">
        <v>0.25369737666767883</v>
      </c>
      <c r="E571" s="9">
        <f>SQRT((A571-A$3)^2+(B571-B$3)^2+(C571-C$3)^2+(D571-D$3)^2)</f>
        <v>0.53120325212779562</v>
      </c>
      <c r="G571" s="9">
        <v>9.3348532957593364E-2</v>
      </c>
      <c r="H571" s="9">
        <v>9.7284174751985419E-2</v>
      </c>
      <c r="J571" s="31">
        <v>0.95954489201943161</v>
      </c>
    </row>
    <row r="572" spans="1:10" x14ac:dyDescent="0.3">
      <c r="A572" s="9">
        <v>0.14685308484559459</v>
      </c>
      <c r="B572" s="9">
        <v>0.23906164293631693</v>
      </c>
      <c r="C572" s="9">
        <v>0.25035757389975438</v>
      </c>
      <c r="D572" s="9">
        <v>0.36372769831833418</v>
      </c>
      <c r="E572" s="9">
        <f>SQRT((A572-A$3)^2+(B572-B$3)^2+(C572-C$3)^2+(D572-D$3)^2)</f>
        <v>0.5320736778320293</v>
      </c>
      <c r="G572" s="9">
        <v>9.5139694713178263E-2</v>
      </c>
      <c r="H572" s="9">
        <v>9.796107393382901E-2</v>
      </c>
      <c r="J572" s="31">
        <v>0.97119897621215812</v>
      </c>
    </row>
    <row r="573" spans="1:10" x14ac:dyDescent="0.3">
      <c r="A573" s="9">
        <v>0.3298199271415721</v>
      </c>
      <c r="B573" s="9">
        <v>0.17652407956690977</v>
      </c>
      <c r="C573" s="9">
        <v>0.33892864755619601</v>
      </c>
      <c r="D573" s="9">
        <v>0.15472734573532212</v>
      </c>
      <c r="E573" s="9">
        <f>SQRT((A573-A$3)^2+(B573-B$3)^2+(C573-C$3)^2+(D573-D$3)^2)</f>
        <v>0.53254528058953787</v>
      </c>
      <c r="G573" s="9">
        <v>8.4733839404065203E-2</v>
      </c>
      <c r="H573" s="9">
        <v>8.4156832328923792E-2</v>
      </c>
      <c r="J573" s="31">
        <v>1.0068563307241198</v>
      </c>
    </row>
    <row r="574" spans="1:10" x14ac:dyDescent="0.3">
      <c r="A574" s="9">
        <v>0.36305671613595525</v>
      </c>
      <c r="B574" s="9">
        <v>0.19372498568496055</v>
      </c>
      <c r="C574" s="9">
        <v>0.22512935606270781</v>
      </c>
      <c r="D574" s="9">
        <v>0.21808894211637636</v>
      </c>
      <c r="E574" s="9">
        <f>SQRT((A574-A$3)^2+(B574-B$3)^2+(C574-C$3)^2+(D574-D$3)^2)</f>
        <v>0.53281473186612616</v>
      </c>
      <c r="G574" s="9">
        <v>8.4096083219686174E-2</v>
      </c>
      <c r="H574" s="9">
        <v>8.092280576409186E-2</v>
      </c>
      <c r="J574" s="31">
        <v>1.0392136360773887</v>
      </c>
    </row>
    <row r="575" spans="1:10" x14ac:dyDescent="0.3">
      <c r="A575" s="9">
        <v>0.44223011305221455</v>
      </c>
      <c r="B575" s="9">
        <v>0.28139080922733112</v>
      </c>
      <c r="C575" s="9">
        <v>4.2609062061652971E-2</v>
      </c>
      <c r="D575" s="9">
        <v>0.23377001565880129</v>
      </c>
      <c r="E575" s="9">
        <f>SQRT((A575-A$3)^2+(B575-B$3)^2+(C575-C$3)^2+(D575-D$3)^2)</f>
        <v>0.53295373868576057</v>
      </c>
      <c r="G575" s="9">
        <v>8.3527786652502795E-2</v>
      </c>
      <c r="H575" s="9">
        <v>7.4319755874891827E-2</v>
      </c>
      <c r="J575" s="31">
        <v>1.1238974841778484</v>
      </c>
    </row>
    <row r="576" spans="1:10" x14ac:dyDescent="0.3">
      <c r="A576" s="9">
        <v>0.30422771917475194</v>
      </c>
      <c r="B576" s="9">
        <v>0.17915709458297463</v>
      </c>
      <c r="C576" s="9">
        <v>0.2998487321312952</v>
      </c>
      <c r="D576" s="9">
        <v>0.21676645411097825</v>
      </c>
      <c r="E576" s="9">
        <f>SQRT((A576-A$3)^2+(B576-B$3)^2+(C576-C$3)^2+(D576-D$3)^2)</f>
        <v>0.53336941043395292</v>
      </c>
      <c r="G576" s="9">
        <v>8.6119833238411492E-2</v>
      </c>
      <c r="H576" s="9">
        <v>8.6057394527829817E-2</v>
      </c>
      <c r="J576" s="31">
        <v>1.0007255473039156</v>
      </c>
    </row>
    <row r="577" spans="1:10" x14ac:dyDescent="0.3">
      <c r="A577" s="9">
        <v>0.43122356453705341</v>
      </c>
      <c r="B577" s="9">
        <v>0.28405823115181283</v>
      </c>
      <c r="C577" s="9">
        <v>3.5396953944109161E-2</v>
      </c>
      <c r="D577" s="9">
        <v>0.24932125036702457</v>
      </c>
      <c r="E577" s="9">
        <f>SQRT((A577-A$3)^2+(B577-B$3)^2+(C577-C$3)^2+(D577-D$3)^2)</f>
        <v>0.53405597477441202</v>
      </c>
      <c r="G577" s="9">
        <v>8.4130768889547375E-2</v>
      </c>
      <c r="H577" s="9">
        <v>7.5435890345441237E-2</v>
      </c>
      <c r="J577" s="31">
        <v>1.1152618270201353</v>
      </c>
    </row>
    <row r="578" spans="1:10" x14ac:dyDescent="0.3">
      <c r="A578" s="9">
        <v>8.7434396540022524E-2</v>
      </c>
      <c r="B578" s="9">
        <v>0.22763143721440143</v>
      </c>
      <c r="C578" s="9">
        <v>0.39521734469840103</v>
      </c>
      <c r="D578" s="9">
        <v>0.28971682154717493</v>
      </c>
      <c r="E578" s="9">
        <f>SQRT((A578-A$3)^2+(B578-B$3)^2+(C578-C$3)^2+(D578-D$3)^2)</f>
        <v>0.53483125514628505</v>
      </c>
      <c r="G578" s="9">
        <v>9.7020394233210919E-2</v>
      </c>
      <c r="H578" s="9">
        <v>0.10178025467172945</v>
      </c>
      <c r="J578" s="31">
        <v>0.95323395039764391</v>
      </c>
    </row>
    <row r="579" spans="1:10" x14ac:dyDescent="0.3">
      <c r="A579" s="9">
        <v>7.4167432342536191E-3</v>
      </c>
      <c r="B579" s="9">
        <v>0.35929403822004491</v>
      </c>
      <c r="C579" s="9">
        <v>0.18363665021196196</v>
      </c>
      <c r="D579" s="9">
        <v>0.44965256833373946</v>
      </c>
      <c r="E579" s="9">
        <f>SQRT((A579-A$3)^2+(B579-B$3)^2+(C579-C$3)^2+(D579-D$3)^2)</f>
        <v>0.53598681647865198</v>
      </c>
      <c r="G579" s="9">
        <v>0.10504671632935517</v>
      </c>
      <c r="H579" s="9">
        <v>0.10710707204913424</v>
      </c>
      <c r="J579" s="31">
        <v>0.98076358843201406</v>
      </c>
    </row>
    <row r="580" spans="1:10" x14ac:dyDescent="0.3">
      <c r="A580" s="9">
        <v>0.34374226687315879</v>
      </c>
      <c r="B580" s="9">
        <v>0.17623888359950246</v>
      </c>
      <c r="C580" s="9">
        <v>0.29665113563175893</v>
      </c>
      <c r="D580" s="9">
        <v>0.18336771389557996</v>
      </c>
      <c r="E580" s="9">
        <f>SQRT((A580-A$3)^2+(B580-B$3)^2+(C580-C$3)^2+(D580-D$3)^2)</f>
        <v>0.53650185966439579</v>
      </c>
      <c r="G580" s="9">
        <v>8.4242717481421314E-2</v>
      </c>
      <c r="H580" s="9">
        <v>8.303740409905061E-2</v>
      </c>
      <c r="J580" s="31">
        <v>1.0145153066313701</v>
      </c>
    </row>
    <row r="581" spans="1:10" x14ac:dyDescent="0.3">
      <c r="A581" s="9">
        <v>2.8887634607950904E-2</v>
      </c>
      <c r="B581" s="9">
        <v>0.28307005868051527</v>
      </c>
      <c r="C581" s="9">
        <v>0.30387406479465118</v>
      </c>
      <c r="D581" s="9">
        <v>0.38416824191688265</v>
      </c>
      <c r="E581" s="9">
        <f>SQRT((A581-A$3)^2+(B581-B$3)^2+(C581-C$3)^2+(D581-D$3)^2)</f>
        <v>0.53655508078927394</v>
      </c>
      <c r="G581" s="9">
        <v>0.10154615686088025</v>
      </c>
      <c r="H581" s="9">
        <v>0.10564409037711288</v>
      </c>
      <c r="J581" s="31">
        <v>0.96121000709453397</v>
      </c>
    </row>
    <row r="582" spans="1:10" x14ac:dyDescent="0.3">
      <c r="A582" s="9">
        <v>0.35744900188028805</v>
      </c>
      <c r="B582" s="9">
        <v>0.21654527761276973</v>
      </c>
      <c r="C582" s="9">
        <v>0.15239900597020989</v>
      </c>
      <c r="D582" s="9">
        <v>0.2736067145367323</v>
      </c>
      <c r="E582" s="9">
        <f>SQRT((A582-A$3)^2+(B582-B$3)^2+(C582-C$3)^2+(D582-D$3)^2)</f>
        <v>0.53754708281606911</v>
      </c>
      <c r="G582" s="9">
        <v>8.5240419406153067E-2</v>
      </c>
      <c r="H582" s="9">
        <v>8.1663921651625282E-2</v>
      </c>
      <c r="J582" s="31">
        <v>1.0437953221226011</v>
      </c>
    </row>
    <row r="583" spans="1:10" x14ac:dyDescent="0.3">
      <c r="A583" s="9">
        <v>3.0247929964310447E-2</v>
      </c>
      <c r="B583" s="9">
        <v>0.27485864861778103</v>
      </c>
      <c r="C583" s="9">
        <v>0.55626383476978669</v>
      </c>
      <c r="D583" s="9">
        <v>0.13862958664812189</v>
      </c>
      <c r="E583" s="9">
        <f>SQRT((A583-A$3)^2+(B583-B$3)^2+(C583-C$3)^2+(D583-D$3)^2)</f>
        <v>0.53757579113921827</v>
      </c>
      <c r="G583" s="9">
        <v>0.10033999255750722</v>
      </c>
      <c r="H583" s="9">
        <v>0.104093302246669</v>
      </c>
      <c r="J583" s="31">
        <v>0.96394283197714692</v>
      </c>
    </row>
    <row r="584" spans="1:10" x14ac:dyDescent="0.3">
      <c r="A584" s="9">
        <v>9.5820875595268168E-2</v>
      </c>
      <c r="B584" s="9">
        <v>0.36082539730537183</v>
      </c>
      <c r="C584" s="9">
        <v>8.5204992651572206E-2</v>
      </c>
      <c r="D584" s="9">
        <v>0.45814873444778781</v>
      </c>
      <c r="E584" s="9">
        <f>SQRT((A584-A$3)^2+(B584-B$3)^2+(C584-C$3)^2+(D584-D$3)^2)</f>
        <v>0.53763569532898914</v>
      </c>
      <c r="G584" s="9">
        <v>0.10139968010488468</v>
      </c>
      <c r="H584" s="9">
        <v>0.10224116058533864</v>
      </c>
      <c r="J584" s="31">
        <v>0.99176965054351474</v>
      </c>
    </row>
    <row r="585" spans="1:10" x14ac:dyDescent="0.3">
      <c r="A585" s="9">
        <v>0.25147297410285807</v>
      </c>
      <c r="B585" s="9">
        <v>0.18369600158840607</v>
      </c>
      <c r="C585" s="9">
        <v>0.29838766616807799</v>
      </c>
      <c r="D585" s="9">
        <v>0.26644335814065778</v>
      </c>
      <c r="E585" s="9">
        <f>SQRT((A585-A$3)^2+(B585-B$3)^2+(C585-C$3)^2+(D585-D$3)^2)</f>
        <v>0.53776484291781468</v>
      </c>
      <c r="G585" s="9">
        <v>8.8664338511402402E-2</v>
      </c>
      <c r="H585" s="9">
        <v>9.0493836505320405E-2</v>
      </c>
      <c r="J585" s="31">
        <v>0.97978317568831952</v>
      </c>
    </row>
    <row r="586" spans="1:10" x14ac:dyDescent="0.3">
      <c r="A586" s="9">
        <v>7.6955338919581645E-2</v>
      </c>
      <c r="B586" s="9">
        <v>0.28754727351131643</v>
      </c>
      <c r="C586" s="9">
        <v>0.21908190860102059</v>
      </c>
      <c r="D586" s="9">
        <v>0.41641547896808134</v>
      </c>
      <c r="E586" s="9">
        <f>SQRT((A586-A$3)^2+(B586-B$3)^2+(C586-C$3)^2+(D586-D$3)^2)</f>
        <v>0.53813133868706264</v>
      </c>
      <c r="G586" s="9">
        <v>9.9776562424490331E-2</v>
      </c>
      <c r="H586" s="9">
        <v>0.10308633447787791</v>
      </c>
      <c r="J586" s="31">
        <v>0.96789320262330358</v>
      </c>
    </row>
    <row r="587" spans="1:10" x14ac:dyDescent="0.3">
      <c r="A587" s="9">
        <v>0.32364568109189623</v>
      </c>
      <c r="B587" s="9">
        <v>0.17107387250453646</v>
      </c>
      <c r="C587" s="9">
        <v>0.3393517011123765</v>
      </c>
      <c r="D587" s="9">
        <v>0.16592874529119078</v>
      </c>
      <c r="E587" s="9">
        <f>SQRT((A587-A$3)^2+(B587-B$3)^2+(C587-C$3)^2+(D587-D$3)^2)</f>
        <v>0.53839195062995149</v>
      </c>
      <c r="G587" s="9">
        <v>8.4866309622786781E-2</v>
      </c>
      <c r="H587" s="9">
        <v>8.5002502222270487E-2</v>
      </c>
      <c r="J587" s="31">
        <v>0.99839778128968981</v>
      </c>
    </row>
    <row r="588" spans="1:10" x14ac:dyDescent="0.3">
      <c r="A588" s="9">
        <v>8.8373068488166503E-3</v>
      </c>
      <c r="B588" s="9">
        <v>0.26744972454382854</v>
      </c>
      <c r="C588" s="9">
        <v>0.4128843019302022</v>
      </c>
      <c r="D588" s="9">
        <v>0.31082866667715264</v>
      </c>
      <c r="E588" s="9">
        <f>SQRT((A588-A$3)^2+(B588-B$3)^2+(C588-C$3)^2+(D588-D$3)^2)</f>
        <v>0.53893301004821448</v>
      </c>
      <c r="G588" s="9">
        <v>0.10164074434081205</v>
      </c>
      <c r="H588" s="9">
        <v>0.10647862630080449</v>
      </c>
      <c r="J588" s="31">
        <v>0.95456475982019795</v>
      </c>
    </row>
    <row r="589" spans="1:10" x14ac:dyDescent="0.3">
      <c r="A589" s="9">
        <v>0.32325326025729506</v>
      </c>
      <c r="B589" s="9">
        <v>0.17651981009393108</v>
      </c>
      <c r="C589" s="9">
        <v>0.28029168039775565</v>
      </c>
      <c r="D589" s="9">
        <v>0.21993524925101812</v>
      </c>
      <c r="E589" s="9">
        <f>SQRT((A589-A$3)^2+(B589-B$3)^2+(C589-C$3)^2+(D589-D$3)^2)</f>
        <v>0.53928749147441768</v>
      </c>
      <c r="G589" s="9">
        <v>8.5248091026229739E-2</v>
      </c>
      <c r="H589" s="9">
        <v>8.4807726901604194E-2</v>
      </c>
      <c r="J589" s="31">
        <v>1.0051925000317066</v>
      </c>
    </row>
    <row r="590" spans="1:10" x14ac:dyDescent="0.3">
      <c r="A590" s="9">
        <v>6.5428399202322865E-2</v>
      </c>
      <c r="B590" s="9">
        <v>0.3078593833217444</v>
      </c>
      <c r="C590" s="9">
        <v>0.19269817015407156</v>
      </c>
      <c r="D590" s="9">
        <v>0.43401404732186122</v>
      </c>
      <c r="E590" s="9">
        <f>SQRT((A590-A$3)^2+(B590-B$3)^2+(C590-C$3)^2+(D590-D$3)^2)</f>
        <v>0.54009605382283488</v>
      </c>
      <c r="G590" s="9">
        <v>0.10095456932528064</v>
      </c>
      <c r="H590" s="9">
        <v>0.10399889720440224</v>
      </c>
      <c r="J590" s="31">
        <v>0.97072730614500469</v>
      </c>
    </row>
    <row r="591" spans="1:10" x14ac:dyDescent="0.3">
      <c r="A591" s="9">
        <v>0.50135527953852621</v>
      </c>
      <c r="B591" s="9">
        <v>0.24923907112322191</v>
      </c>
      <c r="C591" s="9">
        <v>0.12158157635239118</v>
      </c>
      <c r="D591" s="9">
        <v>0.12782407298586071</v>
      </c>
      <c r="E591" s="9">
        <f>SQRT((A591-A$3)^2+(B591-B$3)^2+(C591-C$3)^2+(D591-D$3)^2)</f>
        <v>0.54062457963523813</v>
      </c>
      <c r="G591" s="9">
        <v>7.9655864993206246E-2</v>
      </c>
      <c r="H591" s="9">
        <v>6.9255117002372316E-2</v>
      </c>
      <c r="J591" s="31">
        <v>1.1501802096511895</v>
      </c>
    </row>
    <row r="592" spans="1:10" x14ac:dyDescent="0.3">
      <c r="A592" s="9">
        <v>8.9400395302217939E-2</v>
      </c>
      <c r="B592" s="9">
        <v>0.24408607083923228</v>
      </c>
      <c r="C592" s="9">
        <v>0.29875006214343108</v>
      </c>
      <c r="D592" s="9">
        <v>0.36776347171511869</v>
      </c>
      <c r="E592" s="9">
        <f>SQRT((A592-A$3)^2+(B592-B$3)^2+(C592-C$3)^2+(D592-D$3)^2)</f>
        <v>0.54132816082428747</v>
      </c>
      <c r="G592" s="9">
        <v>9.7730837071959759E-2</v>
      </c>
      <c r="H592" s="9">
        <v>0.10229780923855915</v>
      </c>
      <c r="J592" s="31">
        <v>0.95535610976820451</v>
      </c>
    </row>
    <row r="593" spans="1:10" x14ac:dyDescent="0.3">
      <c r="A593" s="9">
        <v>5.8134094653961473E-2</v>
      </c>
      <c r="B593" s="9">
        <v>0.26647033736292869</v>
      </c>
      <c r="C593" s="9">
        <v>0.28752627224076505</v>
      </c>
      <c r="D593" s="9">
        <v>0.38786929574234486</v>
      </c>
      <c r="E593" s="9">
        <f>SQRT((A593-A$3)^2+(B593-B$3)^2+(C593-C$3)^2+(D593-D$3)^2)</f>
        <v>0.54151248864085666</v>
      </c>
      <c r="G593" s="9">
        <v>9.9813878497748754E-2</v>
      </c>
      <c r="H593" s="9">
        <v>0.10428740884366808</v>
      </c>
      <c r="J593" s="31">
        <v>0.95710383069709437</v>
      </c>
    </row>
    <row r="594" spans="1:10" x14ac:dyDescent="0.3">
      <c r="A594" s="9">
        <v>0.41099228536784382</v>
      </c>
      <c r="B594" s="9">
        <v>0.28557285812931249</v>
      </c>
      <c r="C594" s="9">
        <v>2.2228603788069949E-2</v>
      </c>
      <c r="D594" s="9">
        <v>0.28120625271477384</v>
      </c>
      <c r="E594" s="9">
        <f>SQRT((A594-A$3)^2+(B594-B$3)^2+(C594-C$3)^2+(D594-D$3)^2)</f>
        <v>0.54191221918636334</v>
      </c>
      <c r="G594" s="9">
        <v>8.5146365502239557E-2</v>
      </c>
      <c r="H594" s="9">
        <v>7.7843127479526333E-2</v>
      </c>
      <c r="J594" s="31">
        <v>1.0938199460785289</v>
      </c>
    </row>
    <row r="595" spans="1:10" x14ac:dyDescent="0.3">
      <c r="A595" s="9">
        <v>0.25284006370812645</v>
      </c>
      <c r="B595" s="9">
        <v>0.18363457803296235</v>
      </c>
      <c r="C595" s="9">
        <v>0.46418999422825891</v>
      </c>
      <c r="D595" s="9">
        <v>9.9335364030652226E-2</v>
      </c>
      <c r="E595" s="9">
        <f>SQRT((A595-A$3)^2+(B595-B$3)^2+(C595-C$3)^2+(D595-D$3)^2)</f>
        <v>0.54202682197645369</v>
      </c>
      <c r="G595" s="9">
        <v>8.799576992101675E-2</v>
      </c>
      <c r="H595" s="9">
        <v>9.1167180046491089E-2</v>
      </c>
      <c r="J595" s="31">
        <v>0.96521324753209359</v>
      </c>
    </row>
    <row r="596" spans="1:10" x14ac:dyDescent="0.3">
      <c r="A596" s="9">
        <v>0.23514143211895422</v>
      </c>
      <c r="B596" s="9">
        <v>0.17908634466891266</v>
      </c>
      <c r="C596" s="9">
        <v>0.32165469316238771</v>
      </c>
      <c r="D596" s="9">
        <v>0.26411753004974542</v>
      </c>
      <c r="E596" s="9">
        <f>SQRT((A596-A$3)^2+(B596-B$3)^2+(C596-C$3)^2+(D596-D$3)^2)</f>
        <v>0.54256651119328803</v>
      </c>
      <c r="G596" s="9">
        <v>8.9201527830063493E-2</v>
      </c>
      <c r="H596" s="9">
        <v>9.2076802941559649E-2</v>
      </c>
      <c r="J596" s="31">
        <v>0.9687730783472025</v>
      </c>
    </row>
    <row r="597" spans="1:10" x14ac:dyDescent="0.3">
      <c r="A597" s="9">
        <v>0.4417875594858045</v>
      </c>
      <c r="B597" s="9">
        <v>0.19403882565418198</v>
      </c>
      <c r="C597" s="9">
        <v>0.24291989772540834</v>
      </c>
      <c r="D597" s="9">
        <v>0.12125371713460519</v>
      </c>
      <c r="E597" s="9">
        <f>SQRT((A597-A$3)^2+(B597-B$3)^2+(C597-C$3)^2+(D597-D$3)^2)</f>
        <v>0.54265029511095442</v>
      </c>
      <c r="G597" s="9">
        <v>8.0435128143902676E-2</v>
      </c>
      <c r="H597" s="9">
        <v>7.4957300040668501E-2</v>
      </c>
      <c r="J597" s="31">
        <v>1.0730793144932134</v>
      </c>
    </row>
    <row r="598" spans="1:10" x14ac:dyDescent="0.3">
      <c r="A598" s="9">
        <v>0.28713973385339397</v>
      </c>
      <c r="B598" s="9">
        <v>0.22855290895538249</v>
      </c>
      <c r="C598" s="9">
        <v>0.14431546247476978</v>
      </c>
      <c r="D598" s="9">
        <v>0.33999189471645375</v>
      </c>
      <c r="E598" s="9">
        <f>SQRT((A598-A$3)^2+(B598-B$3)^2+(C598-C$3)^2+(D598-D$3)^2)</f>
        <v>0.54266075050308682</v>
      </c>
      <c r="G598" s="9">
        <v>8.8816528654462407E-2</v>
      </c>
      <c r="H598" s="9">
        <v>8.8012234784800858E-2</v>
      </c>
      <c r="J598" s="31">
        <v>1.0091384325330237</v>
      </c>
    </row>
    <row r="599" spans="1:10" x14ac:dyDescent="0.3">
      <c r="A599" s="9">
        <v>0.14844872670054332</v>
      </c>
      <c r="B599" s="9">
        <v>0.20377756263326252</v>
      </c>
      <c r="C599" s="9">
        <v>0.33101296528298674</v>
      </c>
      <c r="D599" s="9">
        <v>0.31676074538320742</v>
      </c>
      <c r="E599" s="9">
        <f>SQRT((A599-A$3)^2+(B599-B$3)^2+(C599-C$3)^2+(D599-D$3)^2)</f>
        <v>0.54467304244683401</v>
      </c>
      <c r="G599" s="9">
        <v>9.3810170340800997E-2</v>
      </c>
      <c r="H599" s="9">
        <v>9.8513921130603435E-2</v>
      </c>
      <c r="J599" s="31">
        <v>0.95225293302896241</v>
      </c>
    </row>
    <row r="600" spans="1:10" x14ac:dyDescent="0.3">
      <c r="A600" s="9">
        <v>0.32702083543772442</v>
      </c>
      <c r="B600" s="9">
        <v>0.16730277712606406</v>
      </c>
      <c r="C600" s="9">
        <v>0.30873904808350389</v>
      </c>
      <c r="D600" s="9">
        <v>0.19693733935270763</v>
      </c>
      <c r="E600" s="9">
        <f>SQRT((A600-A$3)^2+(B600-B$3)^2+(C600-C$3)^2+(D600-D$3)^2)</f>
        <v>0.5452092416941583</v>
      </c>
      <c r="G600" s="9">
        <v>8.4720482617270249E-2</v>
      </c>
      <c r="H600" s="9">
        <v>8.4984021924908351E-2</v>
      </c>
      <c r="J600" s="31">
        <v>0.99689895463089562</v>
      </c>
    </row>
    <row r="601" spans="1:10" x14ac:dyDescent="0.3">
      <c r="A601" s="9">
        <v>8.5309232133471469E-2</v>
      </c>
      <c r="B601" s="9">
        <v>0.39244561094882763</v>
      </c>
      <c r="C601" s="9">
        <v>4.8774502038917152E-2</v>
      </c>
      <c r="D601" s="9">
        <v>0.47347065487878376</v>
      </c>
      <c r="E601" s="9">
        <f>SQRT((A601-A$3)^2+(B601-B$3)^2+(C601-C$3)^2+(D601-D$3)^2)</f>
        <v>0.54522192285387772</v>
      </c>
      <c r="G601" s="9">
        <v>0.10287628942571828</v>
      </c>
      <c r="H601" s="9">
        <v>0.1034907390737851</v>
      </c>
      <c r="J601" s="31">
        <v>0.9940627571745454</v>
      </c>
    </row>
    <row r="602" spans="1:10" x14ac:dyDescent="0.3">
      <c r="A602" s="9">
        <v>0.12232365497884852</v>
      </c>
      <c r="B602" s="9">
        <v>0.20773980639593764</v>
      </c>
      <c r="C602" s="9">
        <v>0.49221368193693188</v>
      </c>
      <c r="D602" s="9">
        <v>0.17772285668828194</v>
      </c>
      <c r="E602" s="9">
        <f>SQRT((A602-A$3)^2+(B602-B$3)^2+(C602-C$3)^2+(D602-D$3)^2)</f>
        <v>0.54586545871550551</v>
      </c>
      <c r="G602" s="9">
        <v>9.4526856330096137E-2</v>
      </c>
      <c r="H602" s="9">
        <v>0.1000681935037457</v>
      </c>
      <c r="J602" s="31">
        <v>0.94462439083161687</v>
      </c>
    </row>
    <row r="603" spans="1:10" x14ac:dyDescent="0.3">
      <c r="A603" s="9">
        <v>0.17645249967591942</v>
      </c>
      <c r="B603" s="9">
        <v>0.20838347213177641</v>
      </c>
      <c r="C603" s="9">
        <v>0.27170353514821671</v>
      </c>
      <c r="D603" s="9">
        <v>0.34346049304408743</v>
      </c>
      <c r="E603" s="9">
        <f>SQRT((A603-A$3)^2+(B603-B$3)^2+(C603-C$3)^2+(D603-D$3)^2)</f>
        <v>0.54592820839296607</v>
      </c>
      <c r="G603" s="9">
        <v>9.2869832238057115E-2</v>
      </c>
      <c r="H603" s="9">
        <v>9.6658079756948359E-2</v>
      </c>
      <c r="J603" s="31">
        <v>0.96080775111178518</v>
      </c>
    </row>
    <row r="604" spans="1:10" x14ac:dyDescent="0.3">
      <c r="A604" s="9">
        <v>0.3203758509397775</v>
      </c>
      <c r="B604" s="9">
        <v>0.19893564435532343</v>
      </c>
      <c r="C604" s="9">
        <v>0.18744130585987692</v>
      </c>
      <c r="D604" s="9">
        <v>0.29324719884502209</v>
      </c>
      <c r="E604" s="9">
        <f>SQRT((A604-A$3)^2+(B604-B$3)^2+(C604-C$3)^2+(D604-D$3)^2)</f>
        <v>0.54650179227591955</v>
      </c>
      <c r="G604" s="9">
        <v>8.6329719336277741E-2</v>
      </c>
      <c r="H604" s="9">
        <v>8.5356687109368931E-2</v>
      </c>
      <c r="J604" s="31">
        <v>1.0113996015996034</v>
      </c>
    </row>
    <row r="605" spans="1:10" x14ac:dyDescent="0.3">
      <c r="A605" s="9">
        <v>0.27788440539622838</v>
      </c>
      <c r="B605" s="9">
        <v>0.1654415711548925</v>
      </c>
      <c r="C605" s="9">
        <v>0.39624947605826721</v>
      </c>
      <c r="D605" s="9">
        <v>0.16042454739061179</v>
      </c>
      <c r="E605" s="9">
        <f>SQRT((A605-A$3)^2+(B605-B$3)^2+(C605-C$3)^2+(D605-D$3)^2)</f>
        <v>0.54681884586552909</v>
      </c>
      <c r="G605" s="9">
        <v>8.660046237439982E-2</v>
      </c>
      <c r="H605" s="9">
        <v>8.9351112325983972E-2</v>
      </c>
      <c r="J605" s="31">
        <v>0.96921526906627842</v>
      </c>
    </row>
    <row r="606" spans="1:10" x14ac:dyDescent="0.3">
      <c r="A606" s="9">
        <v>0.26437393274893933</v>
      </c>
      <c r="B606" s="9">
        <v>0.20514179249782338</v>
      </c>
      <c r="C606" s="9">
        <v>0.19810862871739895</v>
      </c>
      <c r="D606" s="9">
        <v>0.3323756460358383</v>
      </c>
      <c r="E606" s="9">
        <f>SQRT((A606-A$3)^2+(B606-B$3)^2+(C606-C$3)^2+(D606-D$3)^2)</f>
        <v>0.54827332749946556</v>
      </c>
      <c r="G606" s="9">
        <v>8.9024171423054341E-2</v>
      </c>
      <c r="H606" s="9">
        <v>9.0105441318489798E-2</v>
      </c>
      <c r="J606" s="31">
        <v>0.98799994895298759</v>
      </c>
    </row>
    <row r="607" spans="1:10" x14ac:dyDescent="0.3">
      <c r="A607" s="9">
        <v>0.3409385291484785</v>
      </c>
      <c r="B607" s="9">
        <v>0.26873038657637616</v>
      </c>
      <c r="C607" s="9">
        <v>4.922673449177082E-2</v>
      </c>
      <c r="D607" s="9">
        <v>0.34110434978337456</v>
      </c>
      <c r="E607" s="9">
        <f>SQRT((A607-A$3)^2+(B607-B$3)^2+(C607-C$3)^2+(D607-D$3)^2)</f>
        <v>0.54859693510328178</v>
      </c>
      <c r="G607" s="9">
        <v>8.7795921217262152E-2</v>
      </c>
      <c r="H607" s="9">
        <v>8.425435131447509E-2</v>
      </c>
      <c r="J607" s="31">
        <v>1.0420342670441831</v>
      </c>
    </row>
    <row r="608" spans="1:10" x14ac:dyDescent="0.3">
      <c r="A608" s="9">
        <v>8.5892366634631567E-2</v>
      </c>
      <c r="B608" s="9">
        <v>0.22417791539279908</v>
      </c>
      <c r="C608" s="9">
        <v>0.35550914881357004</v>
      </c>
      <c r="D608" s="9">
        <v>0.33442056915899926</v>
      </c>
      <c r="E608" s="9">
        <f>SQRT((A608-A$3)^2+(B608-B$3)^2+(C608-C$3)^2+(D608-D$3)^2)</f>
        <v>0.54923310658528313</v>
      </c>
      <c r="G608" s="9">
        <v>9.7141513046446443E-2</v>
      </c>
      <c r="H608" s="9">
        <v>0.10289561657989738</v>
      </c>
      <c r="J608" s="31">
        <v>0.94407824429544163</v>
      </c>
    </row>
    <row r="609" spans="1:10" x14ac:dyDescent="0.3">
      <c r="A609" s="9">
        <v>0.34962376878650209</v>
      </c>
      <c r="B609" s="9">
        <v>0.23366477819743908</v>
      </c>
      <c r="C609" s="9">
        <v>9.9167605555709276E-2</v>
      </c>
      <c r="D609" s="9">
        <v>0.31754384746034942</v>
      </c>
      <c r="E609" s="9">
        <f>SQRT((A609-A$3)^2+(B609-B$3)^2+(C609-C$3)^2+(D609-D$3)^2)</f>
        <v>0.55148507959892035</v>
      </c>
      <c r="G609" s="9">
        <v>8.625970621492203E-2</v>
      </c>
      <c r="H609" s="9">
        <v>8.3366262549626632E-2</v>
      </c>
      <c r="J609" s="31">
        <v>1.0347076092510801</v>
      </c>
    </row>
    <row r="610" spans="1:10" x14ac:dyDescent="0.3">
      <c r="A610" s="9">
        <v>0.50709568848191922</v>
      </c>
      <c r="B610" s="9">
        <v>0.25660918909192698</v>
      </c>
      <c r="C610" s="9">
        <v>8.3672702811761215E-2</v>
      </c>
      <c r="D610" s="9">
        <v>0.15262241961439255</v>
      </c>
      <c r="E610" s="9">
        <f>SQRT((A610-A$3)^2+(B610-B$3)^2+(C610-C$3)^2+(D610-D$3)^2)</f>
        <v>0.55153511408572686</v>
      </c>
      <c r="G610" s="9">
        <v>7.9732255416226375E-2</v>
      </c>
      <c r="H610" s="9">
        <v>6.9422499971437179E-2</v>
      </c>
      <c r="J610" s="31">
        <v>1.148507406806597</v>
      </c>
    </row>
    <row r="611" spans="1:10" x14ac:dyDescent="0.3">
      <c r="A611" s="9">
        <v>0.11998199810574885</v>
      </c>
      <c r="B611" s="9">
        <v>0.38635962446738992</v>
      </c>
      <c r="C611" s="9">
        <v>2.1712772926636193E-2</v>
      </c>
      <c r="D611" s="9">
        <v>0.47194560450022499</v>
      </c>
      <c r="E611" s="9">
        <f>SQRT((A611-A$3)^2+(B611-B$3)^2+(C611-C$3)^2+(D611-D$3)^2)</f>
        <v>0.55172971582916785</v>
      </c>
      <c r="G611" s="9">
        <v>0.10122141870609203</v>
      </c>
      <c r="H611" s="9">
        <v>0.10178915974121661</v>
      </c>
      <c r="J611" s="31">
        <v>0.99442238214198864</v>
      </c>
    </row>
    <row r="612" spans="1:10" x14ac:dyDescent="0.3">
      <c r="A612" s="9">
        <v>0.30620820099820062</v>
      </c>
      <c r="B612" s="9">
        <v>0.16273475611129207</v>
      </c>
      <c r="C612" s="9">
        <v>0.30690926196260881</v>
      </c>
      <c r="D612" s="9">
        <v>0.22414778092789844</v>
      </c>
      <c r="E612" s="9">
        <f>SQRT((A612-A$3)^2+(B612-B$3)^2+(C612-C$3)^2+(D612-D$3)^2)</f>
        <v>0.55220079236187325</v>
      </c>
      <c r="G612" s="9">
        <v>8.5555444135439709E-2</v>
      </c>
      <c r="H612" s="9">
        <v>8.7078086965344331E-2</v>
      </c>
      <c r="J612" s="31">
        <v>0.98251405281203974</v>
      </c>
    </row>
    <row r="613" spans="1:10" x14ac:dyDescent="0.3">
      <c r="A613" s="9">
        <v>0.34297611669510625</v>
      </c>
      <c r="B613" s="9">
        <v>0.16981573150606424</v>
      </c>
      <c r="C613" s="9">
        <v>0.25751027421317513</v>
      </c>
      <c r="D613" s="9">
        <v>0.22969787758565435</v>
      </c>
      <c r="E613" s="9">
        <f>SQRT((A613-A$3)^2+(B613-B$3)^2+(C613-C$3)^2+(D613-D$3)^2)</f>
        <v>0.55241199780197348</v>
      </c>
      <c r="G613" s="9">
        <v>8.4245237466459247E-2</v>
      </c>
      <c r="H613" s="9">
        <v>8.3901160927799076E-2</v>
      </c>
      <c r="J613" s="31">
        <v>1.0041009747047036</v>
      </c>
    </row>
    <row r="614" spans="1:10" x14ac:dyDescent="0.3">
      <c r="A614" s="9">
        <v>6.0685216532791657E-4</v>
      </c>
      <c r="B614" s="9">
        <v>0.354395768309612</v>
      </c>
      <c r="C614" s="9">
        <v>0.18043700022284501</v>
      </c>
      <c r="D614" s="9">
        <v>0.46456037930221517</v>
      </c>
      <c r="E614" s="9">
        <f>SQRT((A614-A$3)^2+(B614-B$3)^2+(C614-C$3)^2+(D614-D$3)^2)</f>
        <v>0.55256450208719488</v>
      </c>
      <c r="G614" s="9">
        <v>0.10523654923047049</v>
      </c>
      <c r="H614" s="9">
        <v>0.10855583960530203</v>
      </c>
      <c r="J614" s="31">
        <v>0.96942319835671531</v>
      </c>
    </row>
    <row r="615" spans="1:10" x14ac:dyDescent="0.3">
      <c r="A615" s="9">
        <v>0.42037996623974855</v>
      </c>
      <c r="B615" s="9">
        <v>0.22792978688412127</v>
      </c>
      <c r="C615" s="9">
        <v>9.9315796310093421E-2</v>
      </c>
      <c r="D615" s="9">
        <v>0.25237445056603691</v>
      </c>
      <c r="E615" s="9">
        <f>SQRT((A615-A$3)^2+(B615-B$3)^2+(C615-C$3)^2+(D615-D$3)^2)</f>
        <v>0.55379188145891056</v>
      </c>
      <c r="G615" s="9">
        <v>8.2863165737642186E-2</v>
      </c>
      <c r="H615" s="9">
        <v>7.7195821827562766E-2</v>
      </c>
      <c r="J615" s="31">
        <v>1.0734151638768601</v>
      </c>
    </row>
    <row r="616" spans="1:10" x14ac:dyDescent="0.3">
      <c r="A616" s="9">
        <v>0.16552575240196085</v>
      </c>
      <c r="B616" s="9">
        <v>0.18788750286965936</v>
      </c>
      <c r="C616" s="9">
        <v>0.48926024046385158</v>
      </c>
      <c r="D616" s="9">
        <v>0.1573265042645281</v>
      </c>
      <c r="E616" s="9">
        <f>SQRT((A616-A$3)^2+(B616-B$3)^2+(C616-C$3)^2+(D616-D$3)^2)</f>
        <v>0.55395612114847026</v>
      </c>
      <c r="G616" s="9">
        <v>9.2018077456748712E-2</v>
      </c>
      <c r="H616" s="9">
        <v>9.7887665070625754E-2</v>
      </c>
      <c r="J616" s="31">
        <v>0.94003751535352131</v>
      </c>
    </row>
    <row r="617" spans="1:10" x14ac:dyDescent="0.3">
      <c r="A617" s="9">
        <v>0.21534457035174551</v>
      </c>
      <c r="B617" s="9">
        <v>0.18967848033107193</v>
      </c>
      <c r="C617" s="9">
        <v>0.2677439076244692</v>
      </c>
      <c r="D617" s="9">
        <v>0.32723304169271333</v>
      </c>
      <c r="E617" s="9">
        <f>SQRT((A617-A$3)^2+(B617-B$3)^2+(C617-C$3)^2+(D617-D$3)^2)</f>
        <v>0.55405273960069812</v>
      </c>
      <c r="G617" s="9">
        <v>9.0593351415974688E-2</v>
      </c>
      <c r="H617" s="9">
        <v>9.4263381108685443E-2</v>
      </c>
      <c r="J617" s="31">
        <v>0.96106622052439195</v>
      </c>
    </row>
    <row r="618" spans="1:10" x14ac:dyDescent="0.3">
      <c r="A618" s="9">
        <v>0.24457527711104776</v>
      </c>
      <c r="B618" s="9">
        <v>0.19827225636835358</v>
      </c>
      <c r="C618" s="9">
        <v>0.21628931815115285</v>
      </c>
      <c r="D618" s="9">
        <v>0.34086314836944581</v>
      </c>
      <c r="E618" s="9">
        <f>SQRT((A618-A$3)^2+(B618-B$3)^2+(C618-C$3)^2+(D618-D$3)^2)</f>
        <v>0.55520274280154258</v>
      </c>
      <c r="G618" s="9">
        <v>8.9676993513361281E-2</v>
      </c>
      <c r="H618" s="9">
        <v>9.2096325833182405E-2</v>
      </c>
      <c r="J618" s="31">
        <v>0.97373041434678564</v>
      </c>
    </row>
    <row r="619" spans="1:10" x14ac:dyDescent="0.3">
      <c r="A619" s="9">
        <v>5.2877277225744951E-2</v>
      </c>
      <c r="B619" s="9">
        <v>0.39282281607814701</v>
      </c>
      <c r="C619" s="9">
        <v>6.8118790679260105E-2</v>
      </c>
      <c r="D619" s="9">
        <v>0.48618111601684788</v>
      </c>
      <c r="E619" s="9">
        <f>SQRT((A619-A$3)^2+(B619-B$3)^2+(C619-C$3)^2+(D619-D$3)^2)</f>
        <v>0.55567307980488834</v>
      </c>
      <c r="G619" s="9">
        <v>0.10430096493143028</v>
      </c>
      <c r="H619" s="9">
        <v>0.10605913509515084</v>
      </c>
      <c r="J619" s="31">
        <v>0.98342273711601336</v>
      </c>
    </row>
    <row r="620" spans="1:10" x14ac:dyDescent="0.3">
      <c r="A620" s="9">
        <v>0.15057340102525335</v>
      </c>
      <c r="B620" s="9">
        <v>0.19991357766729984</v>
      </c>
      <c r="C620" s="9">
        <v>0.31031059323728766</v>
      </c>
      <c r="D620" s="9">
        <v>0.33920242807015905</v>
      </c>
      <c r="E620" s="9">
        <f>SQRT((A620-A$3)^2+(B620-B$3)^2+(C620-C$3)^2+(D620-D$3)^2)</f>
        <v>0.55592111458839111</v>
      </c>
      <c r="G620" s="9">
        <v>9.3682942307866182E-2</v>
      </c>
      <c r="H620" s="9">
        <v>9.9089841745182095E-2</v>
      </c>
      <c r="J620" s="31">
        <v>0.94543437205985037</v>
      </c>
    </row>
    <row r="621" spans="1:10" x14ac:dyDescent="0.3">
      <c r="A621" s="9">
        <v>0.25934114373109046</v>
      </c>
      <c r="B621" s="9">
        <v>0.15861760199196764</v>
      </c>
      <c r="C621" s="9">
        <v>0.39485149031606098</v>
      </c>
      <c r="D621" s="9">
        <v>0.18718976396088083</v>
      </c>
      <c r="E621" s="9">
        <f>SQRT((A621-A$3)^2+(B621-B$3)^2+(C621-C$3)^2+(D621-D$3)^2)</f>
        <v>0.5559640146740582</v>
      </c>
      <c r="G621" s="9">
        <v>8.7268408086762297E-2</v>
      </c>
      <c r="H621" s="9">
        <v>9.1299332386460083E-2</v>
      </c>
      <c r="J621" s="31">
        <v>0.95584935624024803</v>
      </c>
    </row>
    <row r="622" spans="1:10" x14ac:dyDescent="0.3">
      <c r="A622" s="9">
        <v>0.23867891602357807</v>
      </c>
      <c r="B622" s="9">
        <v>0.18145956476098807</v>
      </c>
      <c r="C622" s="9">
        <v>0.2666615009261521</v>
      </c>
      <c r="D622" s="9">
        <v>0.31320001828928179</v>
      </c>
      <c r="E622" s="9">
        <f>SQRT((A622-A$3)^2+(B622-B$3)^2+(C622-C$3)^2+(D622-D$3)^2)</f>
        <v>0.55608841314261037</v>
      </c>
      <c r="G622" s="9">
        <v>8.9304737324823358E-2</v>
      </c>
      <c r="H622" s="9">
        <v>9.259180894341193E-2</v>
      </c>
      <c r="J622" s="31">
        <v>0.96449932606244371</v>
      </c>
    </row>
    <row r="623" spans="1:10" x14ac:dyDescent="0.3">
      <c r="A623" s="9">
        <v>0.17492495940040553</v>
      </c>
      <c r="B623" s="9">
        <v>0.17752844457038683</v>
      </c>
      <c r="C623" s="9">
        <v>0.45722764488703038</v>
      </c>
      <c r="D623" s="9">
        <v>0.19031895114217717</v>
      </c>
      <c r="E623" s="9">
        <f>SQRT((A623-A$3)^2+(B623-B$3)^2+(C623-C$3)^2+(D623-D$3)^2)</f>
        <v>0.55639483751768992</v>
      </c>
      <c r="G623" s="9">
        <v>9.1421904878374538E-2</v>
      </c>
      <c r="H623" s="9">
        <v>9.7437778046550613E-2</v>
      </c>
      <c r="J623" s="31">
        <v>0.93825933545711593</v>
      </c>
    </row>
    <row r="624" spans="1:10" x14ac:dyDescent="0.3">
      <c r="A624" s="9">
        <v>0.53122169063026514</v>
      </c>
      <c r="B624" s="9">
        <v>0.27118449046684262</v>
      </c>
      <c r="C624" s="9">
        <v>6.7032744542873501E-2</v>
      </c>
      <c r="D624" s="9">
        <v>0.13056107436001874</v>
      </c>
      <c r="E624" s="9">
        <f>SQRT((A624-A$3)^2+(B624-B$3)^2+(C624-C$3)^2+(D624-D$3)^2)</f>
        <v>0.55640964286836814</v>
      </c>
      <c r="G624" s="9">
        <v>7.9085894219232691E-2</v>
      </c>
      <c r="H624" s="9">
        <v>6.7730779387681975E-2</v>
      </c>
      <c r="J624" s="31">
        <v>1.1676507333033266</v>
      </c>
    </row>
    <row r="625" spans="1:10" x14ac:dyDescent="0.3">
      <c r="A625" s="9">
        <v>0.29750930281702542</v>
      </c>
      <c r="B625" s="9">
        <v>0.18827187865799169</v>
      </c>
      <c r="C625" s="9">
        <v>0.49388658540124991</v>
      </c>
      <c r="D625" s="9">
        <v>2.0332233123732876E-2</v>
      </c>
      <c r="E625" s="9">
        <f>SQRT((A625-A$3)^2+(B625-B$3)^2+(C625-C$3)^2+(D625-D$3)^2)</f>
        <v>0.55697791152333997</v>
      </c>
      <c r="G625" s="9">
        <v>8.5968862322671827E-2</v>
      </c>
      <c r="H625" s="9">
        <v>8.9191202305690609E-2</v>
      </c>
      <c r="J625" s="31">
        <v>0.96387154899006011</v>
      </c>
    </row>
    <row r="626" spans="1:10" x14ac:dyDescent="0.3">
      <c r="A626" s="9">
        <v>0.2947928280967787</v>
      </c>
      <c r="B626" s="9">
        <v>0.1630223383843632</v>
      </c>
      <c r="C626" s="9">
        <v>0.28742565380889173</v>
      </c>
      <c r="D626" s="9">
        <v>0.25475917970996637</v>
      </c>
      <c r="E626" s="9">
        <f>SQRT((A626-A$3)^2+(B626-B$3)^2+(C626-C$3)^2+(D626-D$3)^2)</f>
        <v>0.55782260602034406</v>
      </c>
      <c r="G626" s="9">
        <v>8.615695148217492E-2</v>
      </c>
      <c r="H626" s="9">
        <v>8.8277846386807357E-2</v>
      </c>
      <c r="J626" s="31">
        <v>0.97597477746184125</v>
      </c>
    </row>
    <row r="627" spans="1:10" x14ac:dyDescent="0.3">
      <c r="A627" s="9">
        <v>0.21734639044940277</v>
      </c>
      <c r="B627" s="9">
        <v>0.21355234049889285</v>
      </c>
      <c r="C627" s="9">
        <v>0.19770579808053934</v>
      </c>
      <c r="D627" s="9">
        <v>0.3713954709711651</v>
      </c>
      <c r="E627" s="9">
        <f>SQRT((A627-A$3)^2+(B627-B$3)^2+(C627-C$3)^2+(D627-D$3)^2)</f>
        <v>0.55789706636218372</v>
      </c>
      <c r="G627" s="9">
        <v>9.1408214205743035E-2</v>
      </c>
      <c r="H627" s="9">
        <v>9.4431181058112434E-2</v>
      </c>
      <c r="J627" s="31">
        <v>0.96798761999482907</v>
      </c>
    </row>
    <row r="628" spans="1:10" x14ac:dyDescent="0.3">
      <c r="A628" s="9">
        <v>4.3487612003993703E-3</v>
      </c>
      <c r="B628" s="9">
        <v>0.28834142436678389</v>
      </c>
      <c r="C628" s="9">
        <v>0.29182664822938376</v>
      </c>
      <c r="D628" s="9">
        <v>0.4154831662034329</v>
      </c>
      <c r="E628" s="9">
        <f>SQRT((A628-A$3)^2+(B628-B$3)^2+(C628-C$3)^2+(D628-D$3)^2)</f>
        <v>0.55902246511944831</v>
      </c>
      <c r="G628" s="9">
        <v>0.10285736912627491</v>
      </c>
      <c r="H628" s="9">
        <v>0.10850431154684814</v>
      </c>
      <c r="J628" s="31">
        <v>0.94795651582808216</v>
      </c>
    </row>
    <row r="629" spans="1:10" x14ac:dyDescent="0.3">
      <c r="A629" s="9">
        <v>0.31289062033990456</v>
      </c>
      <c r="B629" s="9">
        <v>0.16997428691184183</v>
      </c>
      <c r="C629" s="9">
        <v>0.45785525630515711</v>
      </c>
      <c r="D629" s="9">
        <v>5.9279836443096437E-2</v>
      </c>
      <c r="E629" s="9">
        <f>SQRT((A629-A$3)^2+(B629-B$3)^2+(C629-C$3)^2+(D629-D$3)^2)</f>
        <v>0.56012373544674154</v>
      </c>
      <c r="G629" s="9">
        <v>8.4896821652783352E-2</v>
      </c>
      <c r="H629" s="9">
        <v>8.8049461948454477E-2</v>
      </c>
      <c r="J629" s="31">
        <v>0.96419466711202928</v>
      </c>
    </row>
    <row r="630" spans="1:10" x14ac:dyDescent="0.3">
      <c r="A630" s="9">
        <v>3.2278302292407968E-2</v>
      </c>
      <c r="B630" s="9">
        <v>0.42175078117644105</v>
      </c>
      <c r="C630" s="9">
        <v>4.8621735681158053E-2</v>
      </c>
      <c r="D630" s="9">
        <v>0.49734918084999297</v>
      </c>
      <c r="E630" s="9">
        <f>SQRT((A630-A$3)^2+(B630-B$3)^2+(C630-C$3)^2+(D630-D$3)^2)</f>
        <v>0.56218995591115717</v>
      </c>
      <c r="G630" s="9">
        <v>0.10610426217240283</v>
      </c>
      <c r="H630" s="9">
        <v>0.1076799475275101</v>
      </c>
      <c r="J630" s="31">
        <v>0.98536695651059159</v>
      </c>
    </row>
    <row r="631" spans="1:10" x14ac:dyDescent="0.3">
      <c r="A631" s="9">
        <v>0.34914844153193419</v>
      </c>
      <c r="B631" s="9">
        <v>0.15341564660237039</v>
      </c>
      <c r="C631" s="9">
        <v>0.377852871742207</v>
      </c>
      <c r="D631" s="9">
        <v>0.11958304012348833</v>
      </c>
      <c r="E631" s="9">
        <f>SQRT((A631-A$3)^2+(B631-B$3)^2+(C631-C$3)^2+(D631-D$3)^2)</f>
        <v>0.56261722219064292</v>
      </c>
      <c r="G631" s="9">
        <v>8.3076652673407136E-2</v>
      </c>
      <c r="H631" s="9">
        <v>8.4806467328174415E-2</v>
      </c>
      <c r="J631" s="31">
        <v>0.97960279788481885</v>
      </c>
    </row>
    <row r="632" spans="1:10" x14ac:dyDescent="0.3">
      <c r="A632" s="9">
        <v>0.50965387664689288</v>
      </c>
      <c r="B632" s="9">
        <v>0.22563615503007306</v>
      </c>
      <c r="C632" s="9">
        <v>0.13224171248854746</v>
      </c>
      <c r="D632" s="9">
        <v>0.13246825583448649</v>
      </c>
      <c r="E632" s="9">
        <f>SQRT((A632-A$3)^2+(B632-B$3)^2+(C632-C$3)^2+(D632-D$3)^2)</f>
        <v>0.56265154191329703</v>
      </c>
      <c r="G632" s="9">
        <v>7.8593206188445411E-2</v>
      </c>
      <c r="H632" s="9">
        <v>6.9828082499740055E-2</v>
      </c>
      <c r="J632" s="31">
        <v>1.1255243359824179</v>
      </c>
    </row>
    <row r="633" spans="1:10" x14ac:dyDescent="0.3">
      <c r="A633" s="9">
        <v>0.32384059650525965</v>
      </c>
      <c r="B633" s="9">
        <v>0.26975746597491063</v>
      </c>
      <c r="C633" s="9">
        <v>3.5943327820345809E-2</v>
      </c>
      <c r="D633" s="9">
        <v>0.3704586096994838</v>
      </c>
      <c r="E633" s="9">
        <f>SQRT((A633-A$3)^2+(B633-B$3)^2+(C633-C$3)^2+(D633-D$3)^2)</f>
        <v>0.56406586819783955</v>
      </c>
      <c r="G633" s="9">
        <v>8.8655177923991912E-2</v>
      </c>
      <c r="H633" s="9">
        <v>8.6783344375277571E-2</v>
      </c>
      <c r="J633" s="31">
        <v>1.0215690414121397</v>
      </c>
    </row>
    <row r="634" spans="1:10" x14ac:dyDescent="0.3">
      <c r="A634" s="9">
        <v>0.14486106216257422</v>
      </c>
      <c r="B634" s="9">
        <v>0.19658797736808636</v>
      </c>
      <c r="C634" s="9">
        <v>0.30914723917523218</v>
      </c>
      <c r="D634" s="9">
        <v>0.34940372129410724</v>
      </c>
      <c r="E634" s="9">
        <f>SQRT((A634-A$3)^2+(B634-B$3)^2+(C634-C$3)^2+(D634-D$3)^2)</f>
        <v>0.56433225306138834</v>
      </c>
      <c r="G634" s="9">
        <v>9.3858002649695738E-2</v>
      </c>
      <c r="H634" s="9">
        <v>0.10001907644550451</v>
      </c>
      <c r="J634" s="31">
        <v>0.93840101293911027</v>
      </c>
    </row>
    <row r="635" spans="1:10" x14ac:dyDescent="0.3">
      <c r="A635" s="9">
        <v>0.33633814694974179</v>
      </c>
      <c r="B635" s="9">
        <v>0.27153878082617372</v>
      </c>
      <c r="C635" s="9">
        <v>2.891664084340104E-2</v>
      </c>
      <c r="D635" s="9">
        <v>0.36320643138068348</v>
      </c>
      <c r="E635" s="9">
        <f>SQRT((A635-A$3)^2+(B635-B$3)^2+(C635-C$3)^2+(D635-D$3)^2)</f>
        <v>0.56442638764870279</v>
      </c>
      <c r="G635" s="9">
        <v>8.8157182370543902E-2</v>
      </c>
      <c r="H635" s="9">
        <v>8.57796139259899E-2</v>
      </c>
      <c r="J635" s="31">
        <v>1.0277171735303607</v>
      </c>
    </row>
    <row r="636" spans="1:10" x14ac:dyDescent="0.3">
      <c r="A636" s="9">
        <v>0.30885823277363511</v>
      </c>
      <c r="B636" s="9">
        <v>0.2140634208768592</v>
      </c>
      <c r="C636" s="9">
        <v>0.13094188818230273</v>
      </c>
      <c r="D636" s="9">
        <v>0.34613645816720306</v>
      </c>
      <c r="E636" s="9">
        <f>SQRT((A636-A$3)^2+(B636-B$3)^2+(C636-C$3)^2+(D636-D$3)^2)</f>
        <v>0.56445051216136677</v>
      </c>
      <c r="G636" s="9">
        <v>8.7475640589795012E-2</v>
      </c>
      <c r="H636" s="9">
        <v>8.7558616145512386E-2</v>
      </c>
      <c r="J636" s="31">
        <v>0.99905234276910593</v>
      </c>
    </row>
    <row r="637" spans="1:10" x14ac:dyDescent="0.3">
      <c r="A637" s="9">
        <v>0.30001750323795495</v>
      </c>
      <c r="B637" s="9">
        <v>0.16410339079037559</v>
      </c>
      <c r="C637" s="9">
        <v>0.25842630585475146</v>
      </c>
      <c r="D637" s="9">
        <v>0.27745280011691797</v>
      </c>
      <c r="E637" s="9">
        <f>SQRT((A637-A$3)^2+(B637-B$3)^2+(C637-C$3)^2+(D637-D$3)^2)</f>
        <v>0.56461564563230682</v>
      </c>
      <c r="G637" s="9">
        <v>8.6052924685185522E-2</v>
      </c>
      <c r="H637" s="9">
        <v>8.8209197927745689E-2</v>
      </c>
      <c r="J637" s="31">
        <v>0.97555500681089491</v>
      </c>
    </row>
    <row r="638" spans="1:10" x14ac:dyDescent="0.3">
      <c r="A638" s="9">
        <v>0.17572626699123906</v>
      </c>
      <c r="B638" s="9">
        <v>0.22036237356189742</v>
      </c>
      <c r="C638" s="9">
        <v>0.2092922147057002</v>
      </c>
      <c r="D638" s="9">
        <v>0.39461914474116327</v>
      </c>
      <c r="E638" s="9">
        <f>SQRT((A638-A$3)^2+(B638-B$3)^2+(C638-C$3)^2+(D638-D$3)^2)</f>
        <v>0.56473934518863911</v>
      </c>
      <c r="G638" s="9">
        <v>9.3457322237074106E-2</v>
      </c>
      <c r="H638" s="9">
        <v>9.7981334460607472E-2</v>
      </c>
      <c r="J638" s="31">
        <v>0.95382781579330089</v>
      </c>
    </row>
    <row r="639" spans="1:10" x14ac:dyDescent="0.3">
      <c r="A639" s="9">
        <v>0.34235736023447061</v>
      </c>
      <c r="B639" s="9">
        <v>0.1742543618492135</v>
      </c>
      <c r="C639" s="9">
        <v>0.20712294495327355</v>
      </c>
      <c r="D639" s="9">
        <v>0.27626533296304234</v>
      </c>
      <c r="E639" s="9">
        <f>SQRT((A639-A$3)^2+(B639-B$3)^2+(C639-C$3)^2+(D639-D$3)^2)</f>
        <v>0.56534579940641971</v>
      </c>
      <c r="G639" s="9">
        <v>8.4578294162761136E-2</v>
      </c>
      <c r="H639" s="9">
        <v>8.4643052947859843E-2</v>
      </c>
      <c r="J639" s="31">
        <v>0.99923491907671858</v>
      </c>
    </row>
    <row r="640" spans="1:10" x14ac:dyDescent="0.3">
      <c r="A640" s="9">
        <v>0.16754906847777626</v>
      </c>
      <c r="B640" s="9">
        <v>0.19457527607782654</v>
      </c>
      <c r="C640" s="9">
        <v>0.28173929553619076</v>
      </c>
      <c r="D640" s="9">
        <v>0.35613635990820652</v>
      </c>
      <c r="E640" s="9">
        <f>SQRT((A640-A$3)^2+(B640-B$3)^2+(C640-C$3)^2+(D640-D$3)^2)</f>
        <v>0.56546812437939842</v>
      </c>
      <c r="G640" s="9">
        <v>9.2864227259553289E-2</v>
      </c>
      <c r="H640" s="9">
        <v>9.8510122047299475E-2</v>
      </c>
      <c r="J640" s="31">
        <v>0.94268716076673498</v>
      </c>
    </row>
    <row r="641" spans="1:10" x14ac:dyDescent="0.3">
      <c r="A641" s="9">
        <v>0.17595062137368331</v>
      </c>
      <c r="B641" s="9">
        <v>0.20599022597870253</v>
      </c>
      <c r="C641" s="9">
        <v>0.23873545508177474</v>
      </c>
      <c r="D641" s="9">
        <v>0.3793236975658395</v>
      </c>
      <c r="E641" s="9">
        <f>SQRT((A641-A$3)^2+(B641-B$3)^2+(C641-C$3)^2+(D641-D$3)^2)</f>
        <v>0.56676673650820741</v>
      </c>
      <c r="G641" s="9">
        <v>9.2947685088146742E-2</v>
      </c>
      <c r="H641" s="9">
        <v>9.8034407605531601E-2</v>
      </c>
      <c r="J641" s="31">
        <v>0.94811288565283436</v>
      </c>
    </row>
    <row r="642" spans="1:10" x14ac:dyDescent="0.3">
      <c r="A642" s="9">
        <v>1.9417157504793406E-2</v>
      </c>
      <c r="B642" s="9">
        <v>0.26259523834106718</v>
      </c>
      <c r="C642" s="9">
        <v>0.31338471251992062</v>
      </c>
      <c r="D642" s="9">
        <v>0.40460289163421886</v>
      </c>
      <c r="E642" s="9">
        <f>SQRT((A642-A$3)^2+(B642-B$3)^2+(C642-C$3)^2+(D642-D$3)^2)</f>
        <v>0.56817347705222687</v>
      </c>
      <c r="G642" s="9">
        <v>0.10138657118020779</v>
      </c>
      <c r="H642" s="9">
        <v>0.10820629593246167</v>
      </c>
      <c r="J642" s="31">
        <v>0.93697478789486977</v>
      </c>
    </row>
    <row r="643" spans="1:10" x14ac:dyDescent="0.3">
      <c r="A643" s="9">
        <v>0.12160564565805683</v>
      </c>
      <c r="B643" s="9">
        <v>0.27001813254723028</v>
      </c>
      <c r="C643" s="9">
        <v>0.16215827278402717</v>
      </c>
      <c r="D643" s="9">
        <v>0.44621794901068573</v>
      </c>
      <c r="E643" s="9">
        <f>SQRT((A643-A$3)^2+(B643-B$3)^2+(C643-C$3)^2+(D643-D$3)^2)</f>
        <v>0.56862048533752518</v>
      </c>
      <c r="G643" s="9">
        <v>9.7461556005610656E-2</v>
      </c>
      <c r="H643" s="9">
        <v>0.1022171815807182</v>
      </c>
      <c r="J643" s="31">
        <v>0.95347528173282536</v>
      </c>
    </row>
    <row r="644" spans="1:10" x14ac:dyDescent="0.3">
      <c r="A644" s="9">
        <v>0.12468697838048502</v>
      </c>
      <c r="B644" s="9">
        <v>0.32080558898159717</v>
      </c>
      <c r="C644" s="9">
        <v>8.2666846547396172E-2</v>
      </c>
      <c r="D644" s="9">
        <v>0.47184058609052165</v>
      </c>
      <c r="E644" s="9">
        <f>SQRT((A644-A$3)^2+(B644-B$3)^2+(C644-C$3)^2+(D644-D$3)^2)</f>
        <v>0.56864605599869567</v>
      </c>
      <c r="G644" s="9">
        <v>9.8995615300673065E-2</v>
      </c>
      <c r="H644" s="9">
        <v>0.10229684691712226</v>
      </c>
      <c r="J644" s="31">
        <v>0.967728901565033</v>
      </c>
    </row>
    <row r="645" spans="1:10" x14ac:dyDescent="0.3">
      <c r="A645" s="9">
        <v>0.31162390183378724</v>
      </c>
      <c r="B645" s="9">
        <v>0.15440137791494576</v>
      </c>
      <c r="C645" s="9">
        <v>0.27690701122141076</v>
      </c>
      <c r="D645" s="9">
        <v>0.2570677090298561</v>
      </c>
      <c r="E645" s="9">
        <f>SQRT((A645-A$3)^2+(B645-B$3)^2+(C645-C$3)^2+(D645-D$3)^2)</f>
        <v>0.5691314137644885</v>
      </c>
      <c r="G645" s="9">
        <v>8.5189513386776633E-2</v>
      </c>
      <c r="H645" s="9">
        <v>8.758627751804457E-2</v>
      </c>
      <c r="J645" s="31">
        <v>0.97263539221912754</v>
      </c>
    </row>
    <row r="646" spans="1:10" x14ac:dyDescent="0.3">
      <c r="A646" s="9">
        <v>0.17192760739827267</v>
      </c>
      <c r="B646" s="9">
        <v>0.23394365667416259</v>
      </c>
      <c r="C646" s="9">
        <v>0.17805054674274914</v>
      </c>
      <c r="D646" s="9">
        <v>0.41607818918481559</v>
      </c>
      <c r="E646" s="9">
        <f>SQRT((A646-A$3)^2+(B646-B$3)^2+(C646-C$3)^2+(D646-D$3)^2)</f>
        <v>0.56983046078427313</v>
      </c>
      <c r="G646" s="9">
        <v>9.4115589199202487E-2</v>
      </c>
      <c r="H646" s="9">
        <v>9.8660054324339788E-2</v>
      </c>
      <c r="J646" s="31">
        <v>0.95393814491326334</v>
      </c>
    </row>
    <row r="647" spans="1:10" x14ac:dyDescent="0.3">
      <c r="A647" s="9">
        <v>0.31168503942437631</v>
      </c>
      <c r="B647" s="9">
        <v>0.19803480048462385</v>
      </c>
      <c r="C647" s="9">
        <v>0.15277320811457276</v>
      </c>
      <c r="D647" s="9">
        <v>0.33750695197642716</v>
      </c>
      <c r="E647" s="9">
        <f>SQRT((A647-A$3)^2+(B647-B$3)^2+(C647-C$3)^2+(D647-D$3)^2)</f>
        <v>0.57025891293193598</v>
      </c>
      <c r="G647" s="9">
        <v>8.6829407569418093E-2</v>
      </c>
      <c r="H647" s="9">
        <v>8.7612366885381834E-2</v>
      </c>
      <c r="J647" s="31">
        <v>0.9910633698894582</v>
      </c>
    </row>
    <row r="648" spans="1:10" x14ac:dyDescent="0.3">
      <c r="A648" s="9">
        <v>5.9214154513829428E-2</v>
      </c>
      <c r="B648" s="9">
        <v>0.21212676362471539</v>
      </c>
      <c r="C648" s="9">
        <v>0.41164339253983623</v>
      </c>
      <c r="D648" s="9">
        <v>0.31701568932161889</v>
      </c>
      <c r="E648" s="9">
        <f>SQRT((A648-A$3)^2+(B648-B$3)^2+(C648-C$3)^2+(D648-D$3)^2)</f>
        <v>0.57082600393831018</v>
      </c>
      <c r="G648" s="9">
        <v>9.7829636930980152E-2</v>
      </c>
      <c r="H648" s="9">
        <v>0.10578941401737221</v>
      </c>
      <c r="J648" s="31">
        <v>0.92475828361158185</v>
      </c>
    </row>
    <row r="649" spans="1:10" x14ac:dyDescent="0.3">
      <c r="A649" s="9">
        <v>9.5461994300283667E-2</v>
      </c>
      <c r="B649" s="9">
        <v>0.26531420511256504</v>
      </c>
      <c r="C649" s="9">
        <v>0.19435314176203947</v>
      </c>
      <c r="D649" s="9">
        <v>0.44487065882511179</v>
      </c>
      <c r="E649" s="9">
        <f>SQRT((A649-A$3)^2+(B649-B$3)^2+(C649-C$3)^2+(D649-D$3)^2)</f>
        <v>0.57142549719824587</v>
      </c>
      <c r="G649" s="9">
        <v>9.841287970521595E-2</v>
      </c>
      <c r="H649" s="9">
        <v>0.10405766670654276</v>
      </c>
      <c r="J649" s="31">
        <v>0.9457532810413104</v>
      </c>
    </row>
    <row r="650" spans="1:10" x14ac:dyDescent="0.3">
      <c r="A650" s="9">
        <v>0.33450311870266142</v>
      </c>
      <c r="B650" s="9">
        <v>0.14861496023366638</v>
      </c>
      <c r="C650" s="9">
        <v>0.28666942470693441</v>
      </c>
      <c r="D650" s="9">
        <v>0.23021249635673777</v>
      </c>
      <c r="E650" s="9">
        <f>SQRT((A650-A$3)^2+(B650-B$3)^2+(C650-C$3)^2+(D650-D$3)^2)</f>
        <v>0.57160914705922194</v>
      </c>
      <c r="G650" s="9">
        <v>8.3948566377308076E-2</v>
      </c>
      <c r="H650" s="9">
        <v>8.590478683662596E-2</v>
      </c>
      <c r="J650" s="31">
        <v>0.9772280389562199</v>
      </c>
    </row>
    <row r="651" spans="1:10" x14ac:dyDescent="0.3">
      <c r="A651" s="9">
        <v>0.40071271858314639</v>
      </c>
      <c r="B651" s="9">
        <v>0.15048326468329465</v>
      </c>
      <c r="C651" s="9">
        <v>0.32018096403367896</v>
      </c>
      <c r="D651" s="9">
        <v>0.12862305269987995</v>
      </c>
      <c r="E651" s="9">
        <f>SQRT((A651-A$3)^2+(B651-B$3)^2+(C651-C$3)^2+(D651-D$3)^2)</f>
        <v>0.57198021851212844</v>
      </c>
      <c r="G651" s="9">
        <v>8.0845999040131483E-2</v>
      </c>
      <c r="H651" s="9">
        <v>8.0785640302281386E-2</v>
      </c>
      <c r="J651" s="31">
        <v>1.0007471468645202</v>
      </c>
    </row>
    <row r="652" spans="1:10" x14ac:dyDescent="0.3">
      <c r="A652" s="9">
        <v>0.34292656142195121</v>
      </c>
      <c r="B652" s="9">
        <v>0.15632726424574447</v>
      </c>
      <c r="C652" s="9">
        <v>0.24731043787777632</v>
      </c>
      <c r="D652" s="9">
        <v>0.25343573645452799</v>
      </c>
      <c r="E652" s="9">
        <f>SQRT((A652-A$3)^2+(B652-B$3)^2+(C652-C$3)^2+(D652-D$3)^2)</f>
        <v>0.57237501044617656</v>
      </c>
      <c r="G652" s="9">
        <v>8.3916734291949957E-2</v>
      </c>
      <c r="H652" s="9">
        <v>8.5107670518350137E-2</v>
      </c>
      <c r="J652" s="31">
        <v>0.98600671103853788</v>
      </c>
    </row>
    <row r="653" spans="1:10" x14ac:dyDescent="0.3">
      <c r="A653" s="9">
        <v>0.38491463968710593</v>
      </c>
      <c r="B653" s="9">
        <v>0.18366601267513977</v>
      </c>
      <c r="C653" s="9">
        <v>0.16056073233188006</v>
      </c>
      <c r="D653" s="9">
        <v>0.27085861530587413</v>
      </c>
      <c r="E653" s="9">
        <f>SQRT((A653-A$3)^2+(B653-B$3)^2+(C653-C$3)^2+(D653-D$3)^2)</f>
        <v>0.57245594603469407</v>
      </c>
      <c r="G653" s="9">
        <v>8.3056261222259453E-2</v>
      </c>
      <c r="H653" s="9">
        <v>8.1377792844466432E-2</v>
      </c>
      <c r="J653" s="31">
        <v>1.0206256316265667</v>
      </c>
    </row>
    <row r="654" spans="1:10" x14ac:dyDescent="0.3">
      <c r="A654" s="9">
        <v>4.673817580228188E-2</v>
      </c>
      <c r="B654" s="9">
        <v>0.29601014040902351</v>
      </c>
      <c r="C654" s="9">
        <v>0.1947487463932269</v>
      </c>
      <c r="D654" s="9">
        <v>0.46250293739546777</v>
      </c>
      <c r="E654" s="9">
        <f>SQRT((A654-A$3)^2+(B654-B$3)^2+(C654-C$3)^2+(D654-D$3)^2)</f>
        <v>0.57260364522048079</v>
      </c>
      <c r="G654" s="9">
        <v>0.1014795918498281</v>
      </c>
      <c r="H654" s="9">
        <v>0.107205852385564</v>
      </c>
      <c r="J654" s="31">
        <v>0.94658630654657272</v>
      </c>
    </row>
    <row r="655" spans="1:10" x14ac:dyDescent="0.3">
      <c r="A655" s="9">
        <v>0.33563583058306329</v>
      </c>
      <c r="B655" s="9">
        <v>0.14153665315650646</v>
      </c>
      <c r="C655" s="9">
        <v>0.36465248762480185</v>
      </c>
      <c r="D655" s="9">
        <v>0.15817502863562832</v>
      </c>
      <c r="E655" s="9">
        <f>SQRT((A655-A$3)^2+(B655-B$3)^2+(C655-C$3)^2+(D655-D$3)^2)</f>
        <v>0.57274156516482566</v>
      </c>
      <c r="G655" s="9">
        <v>8.3419393063391217E-2</v>
      </c>
      <c r="H655" s="9">
        <v>8.6369290608726959E-2</v>
      </c>
      <c r="J655" s="31">
        <v>0.96584552768067222</v>
      </c>
    </row>
    <row r="656" spans="1:10" x14ac:dyDescent="0.3">
      <c r="A656" s="9">
        <v>0.32233377423368759</v>
      </c>
      <c r="B656" s="9">
        <v>0.14392235838197351</v>
      </c>
      <c r="C656" s="9">
        <v>0.4050307043473716</v>
      </c>
      <c r="D656" s="9">
        <v>0.1287131630369672</v>
      </c>
      <c r="E656" s="9">
        <f>SQRT((A656-A$3)^2+(B656-B$3)^2+(C656-C$3)^2+(D656-D$3)^2)</f>
        <v>0.5730292582553661</v>
      </c>
      <c r="G656" s="9">
        <v>8.3946336924852691E-2</v>
      </c>
      <c r="H656" s="9">
        <v>8.7732466828735756E-2</v>
      </c>
      <c r="J656" s="31">
        <v>0.95684459766446506</v>
      </c>
    </row>
    <row r="657" spans="1:10" x14ac:dyDescent="0.3">
      <c r="A657" s="9">
        <v>0.2661357534078278</v>
      </c>
      <c r="B657" s="9">
        <v>0.15921916132518765</v>
      </c>
      <c r="C657" s="9">
        <v>0.27446163665729734</v>
      </c>
      <c r="D657" s="9">
        <v>0.30018344860968721</v>
      </c>
      <c r="E657" s="9">
        <f>SQRT((A657-A$3)^2+(B657-B$3)^2+(C657-C$3)^2+(D657-D$3)^2)</f>
        <v>0.57367435177581161</v>
      </c>
      <c r="G657" s="9">
        <v>8.7412513977451131E-2</v>
      </c>
      <c r="H657" s="9">
        <v>9.1532487236152635E-2</v>
      </c>
      <c r="J657" s="31">
        <v>0.95498895110244275</v>
      </c>
    </row>
    <row r="658" spans="1:10" x14ac:dyDescent="0.3">
      <c r="A658" s="9">
        <v>0.23205198486381587</v>
      </c>
      <c r="B658" s="9">
        <v>0.16268974767687777</v>
      </c>
      <c r="C658" s="9">
        <v>0.29136129296882657</v>
      </c>
      <c r="D658" s="9">
        <v>0.31389697449047976</v>
      </c>
      <c r="E658" s="9">
        <f>SQRT((A658-A$3)^2+(B658-B$3)^2+(C658-C$3)^2+(D658-D$3)^2)</f>
        <v>0.57441552762557668</v>
      </c>
      <c r="G658" s="9">
        <v>8.9006110723500495E-2</v>
      </c>
      <c r="H658" s="9">
        <v>9.4261818998721228E-2</v>
      </c>
      <c r="J658" s="31">
        <v>0.94424350886659603</v>
      </c>
    </row>
    <row r="659" spans="1:10" x14ac:dyDescent="0.3">
      <c r="A659" s="9">
        <v>0.57539214221671542</v>
      </c>
      <c r="B659" s="9">
        <v>0.25338602232107027</v>
      </c>
      <c r="C659" s="9">
        <v>0.14968475955280339</v>
      </c>
      <c r="D659" s="9">
        <v>2.1537075909411028E-2</v>
      </c>
      <c r="E659" s="9">
        <f>SQRT((A659-A$3)^2+(B659-B$3)^2+(C659-C$3)^2+(D659-D$3)^2)</f>
        <v>0.57459155167060716</v>
      </c>
      <c r="G659" s="9">
        <v>7.6276798436756874E-2</v>
      </c>
      <c r="H659" s="9">
        <v>6.5641606244903061E-2</v>
      </c>
      <c r="J659" s="31">
        <v>1.1620190729668443</v>
      </c>
    </row>
    <row r="660" spans="1:10" x14ac:dyDescent="0.3">
      <c r="A660" s="9">
        <v>0.19267055175496775</v>
      </c>
      <c r="B660" s="9">
        <v>0.25068648989512105</v>
      </c>
      <c r="C660" s="9">
        <v>0.12424399594155257</v>
      </c>
      <c r="D660" s="9">
        <v>0.43239896240835857</v>
      </c>
      <c r="E660" s="9">
        <f>SQRT((A660-A$3)^2+(B660-B$3)^2+(C660-C$3)^2+(D660-D$3)^2)</f>
        <v>0.57558030282777561</v>
      </c>
      <c r="G660" s="9">
        <v>9.3818709363819364E-2</v>
      </c>
      <c r="H660" s="9">
        <v>9.7656062435052426E-2</v>
      </c>
      <c r="J660" s="31">
        <v>0.96070542907886392</v>
      </c>
    </row>
    <row r="661" spans="1:10" x14ac:dyDescent="0.3">
      <c r="A661" s="9">
        <v>0.33555833408952412</v>
      </c>
      <c r="B661" s="9">
        <v>0.27935667186734636</v>
      </c>
      <c r="C661" s="9">
        <v>6.2444044023986988E-3</v>
      </c>
      <c r="D661" s="9">
        <v>0.37884058964073092</v>
      </c>
      <c r="E661" s="9">
        <f>SQRT((A661-A$3)^2+(B661-B$3)^2+(C661-C$3)^2+(D661-D$3)^2)</f>
        <v>0.57618881492218865</v>
      </c>
      <c r="G661" s="9">
        <v>8.8488781315129772E-2</v>
      </c>
      <c r="H661" s="9">
        <v>8.6772030860739396E-2</v>
      </c>
      <c r="J661" s="31">
        <v>1.0197846061381874</v>
      </c>
    </row>
    <row r="662" spans="1:10" x14ac:dyDescent="0.3">
      <c r="A662" s="9">
        <v>0.43115407672361661</v>
      </c>
      <c r="B662" s="9">
        <v>0.16183700407244059</v>
      </c>
      <c r="C662" s="9">
        <v>0.36180302054034491</v>
      </c>
      <c r="D662" s="9">
        <v>4.5205898663597782E-2</v>
      </c>
      <c r="E662" s="9">
        <f>SQRT((A662-A$3)^2+(B662-B$3)^2+(C662-C$3)^2+(D662-D$3)^2)</f>
        <v>0.57633081687003784</v>
      </c>
      <c r="G662" s="9">
        <v>7.9610262628780473E-2</v>
      </c>
      <c r="H662" s="9">
        <v>7.9251933992912055E-2</v>
      </c>
      <c r="J662" s="31">
        <v>1.0045213866440215</v>
      </c>
    </row>
    <row r="663" spans="1:10" x14ac:dyDescent="0.3">
      <c r="A663" s="9">
        <v>0.23771424342873004</v>
      </c>
      <c r="B663" s="9">
        <v>0.15390812160503764</v>
      </c>
      <c r="C663" s="9">
        <v>0.31439823979537868</v>
      </c>
      <c r="D663" s="9">
        <v>0.2939793951708537</v>
      </c>
      <c r="E663" s="9">
        <f>SQRT((A663-A$3)^2+(B663-B$3)^2+(C663-C$3)^2+(D663-D$3)^2)</f>
        <v>0.57670406406685915</v>
      </c>
      <c r="G663" s="9">
        <v>8.8423351367980699E-2</v>
      </c>
      <c r="H663" s="9">
        <v>9.4001131021397677E-2</v>
      </c>
      <c r="J663" s="31">
        <v>0.94066263253633298</v>
      </c>
    </row>
    <row r="664" spans="1:10" x14ac:dyDescent="0.3">
      <c r="A664" s="9">
        <v>0.57524102457204074</v>
      </c>
      <c r="B664" s="9">
        <v>0.2912657246706114</v>
      </c>
      <c r="C664" s="9">
        <v>3.6941515518332441E-2</v>
      </c>
      <c r="D664" s="9">
        <v>9.6551735239015529E-2</v>
      </c>
      <c r="E664" s="9">
        <f>SQRT((A664-A$3)^2+(B664-B$3)^2+(C664-C$3)^2+(D664-D$3)^2)</f>
        <v>0.5769194077227342</v>
      </c>
      <c r="G664" s="9">
        <v>7.7727941564686445E-2</v>
      </c>
      <c r="H664" s="9">
        <v>6.5532681905882031E-2</v>
      </c>
      <c r="J664" s="31">
        <v>1.1860943166696463</v>
      </c>
    </row>
    <row r="665" spans="1:10" x14ac:dyDescent="0.3">
      <c r="A665" s="9">
        <v>0.4802262141765275</v>
      </c>
      <c r="B665" s="9">
        <v>0.2563306705616834</v>
      </c>
      <c r="C665" s="9">
        <v>2.5331873798158579E-2</v>
      </c>
      <c r="D665" s="9">
        <v>0.23811124146363058</v>
      </c>
      <c r="E665" s="9">
        <f>SQRT((A665-A$3)^2+(B665-B$3)^2+(C665-C$3)^2+(D665-D$3)^2)</f>
        <v>0.57768256220686043</v>
      </c>
      <c r="G665" s="9">
        <v>8.1167506260280187E-2</v>
      </c>
      <c r="H665" s="9">
        <v>7.3684687060892193E-2</v>
      </c>
      <c r="J665" s="31">
        <v>1.1015518895154468</v>
      </c>
    </row>
    <row r="666" spans="1:10" x14ac:dyDescent="0.3">
      <c r="A666" s="9">
        <v>0.30187408211162942</v>
      </c>
      <c r="B666" s="9">
        <v>0.1374171829007968</v>
      </c>
      <c r="C666" s="9">
        <v>0.35209458886170053</v>
      </c>
      <c r="D666" s="9">
        <v>0.20861414612587312</v>
      </c>
      <c r="E666" s="9">
        <f>SQRT((A666-A$3)^2+(B666-B$3)^2+(C666-C$3)^2+(D666-D$3)^2)</f>
        <v>0.5777599671687027</v>
      </c>
      <c r="G666" s="9">
        <v>8.4898563717889841E-2</v>
      </c>
      <c r="H666" s="9">
        <v>8.923123210126907E-2</v>
      </c>
      <c r="J666" s="31">
        <v>0.95144448550859351</v>
      </c>
    </row>
    <row r="667" spans="1:10" x14ac:dyDescent="0.3">
      <c r="A667" s="9">
        <v>4.3822930145466121E-2</v>
      </c>
      <c r="B667" s="9">
        <v>0.29075409357268223</v>
      </c>
      <c r="C667" s="9">
        <v>0.64906985635120573</v>
      </c>
      <c r="D667" s="9">
        <v>1.6353119930645813E-2</v>
      </c>
      <c r="E667" s="9">
        <f>SQRT((A667-A$3)^2+(B667-B$3)^2+(C667-C$3)^2+(D667-D$3)^2)</f>
        <v>0.57811436088671408</v>
      </c>
      <c r="G667" s="9">
        <v>9.981381982276076E-2</v>
      </c>
      <c r="H667" s="9">
        <v>0.1049006397716771</v>
      </c>
      <c r="J667" s="31">
        <v>0.95150820852963214</v>
      </c>
    </row>
    <row r="668" spans="1:10" x14ac:dyDescent="0.3">
      <c r="A668" s="9">
        <v>0.29634496822903467</v>
      </c>
      <c r="B668" s="9">
        <v>0.25849998896094706</v>
      </c>
      <c r="C668" s="9">
        <v>4.7272726125924522E-2</v>
      </c>
      <c r="D668" s="9">
        <v>0.39788231668409374</v>
      </c>
      <c r="E668" s="9">
        <f>SQRT((A668-A$3)^2+(B668-B$3)^2+(C668-C$3)^2+(D668-D$3)^2)</f>
        <v>0.57837191038340729</v>
      </c>
      <c r="G668" s="9">
        <v>8.9565678021298806E-2</v>
      </c>
      <c r="H668" s="9">
        <v>8.9929706113733743E-2</v>
      </c>
      <c r="J668" s="31">
        <v>0.9959520818184977</v>
      </c>
    </row>
    <row r="669" spans="1:10" x14ac:dyDescent="0.3">
      <c r="A669" s="9">
        <v>0.37469526349615517</v>
      </c>
      <c r="B669" s="9">
        <v>0.21466874021269516</v>
      </c>
      <c r="C669" s="9">
        <v>8.8029866763218514E-2</v>
      </c>
      <c r="D669" s="9">
        <v>0.32260612952793122</v>
      </c>
      <c r="E669" s="9">
        <f>SQRT((A669-A$3)^2+(B669-B$3)^2+(C669-C$3)^2+(D669-D$3)^2)</f>
        <v>0.57954127952969148</v>
      </c>
      <c r="G669" s="9">
        <v>8.4634220285560335E-2</v>
      </c>
      <c r="H669" s="9">
        <v>8.2928857990217625E-2</v>
      </c>
      <c r="J669" s="31">
        <v>1.0205641598916493</v>
      </c>
    </row>
    <row r="670" spans="1:10" x14ac:dyDescent="0.3">
      <c r="A670" s="9">
        <v>0.27821485527426731</v>
      </c>
      <c r="B670" s="9">
        <v>0.2103341798496953</v>
      </c>
      <c r="C670" s="9">
        <v>0.1320704471526104</v>
      </c>
      <c r="D670" s="9">
        <v>0.37938051772342707</v>
      </c>
      <c r="E670" s="9">
        <f>SQRT((A670-A$3)^2+(B670-B$3)^2+(C670-C$3)^2+(D670-D$3)^2)</f>
        <v>0.57967010261322693</v>
      </c>
      <c r="G670" s="9">
        <v>8.8772799082567577E-2</v>
      </c>
      <c r="H670" s="9">
        <v>9.1076823506066384E-2</v>
      </c>
      <c r="J670" s="31">
        <v>0.97470240688241239</v>
      </c>
    </row>
    <row r="671" spans="1:10" x14ac:dyDescent="0.3">
      <c r="A671" s="9">
        <v>0.48249670622476493</v>
      </c>
      <c r="B671" s="9">
        <v>0.23846120321451172</v>
      </c>
      <c r="C671" s="9">
        <v>5.1585494375519146E-2</v>
      </c>
      <c r="D671" s="9">
        <v>0.22745659618520422</v>
      </c>
      <c r="E671" s="9">
        <f>SQRT((A671-A$3)^2+(B671-B$3)^2+(C671-C$3)^2+(D671-D$3)^2)</f>
        <v>0.57972623971660642</v>
      </c>
      <c r="G671" s="9">
        <v>8.048041012803997E-2</v>
      </c>
      <c r="H671" s="9">
        <v>7.3397151855719253E-2</v>
      </c>
      <c r="J671" s="31">
        <v>1.09650590102249</v>
      </c>
    </row>
    <row r="672" spans="1:10" x14ac:dyDescent="0.3">
      <c r="A672" s="9">
        <v>0.1648376921279128</v>
      </c>
      <c r="B672" s="9">
        <v>0.16237197884327423</v>
      </c>
      <c r="C672" s="9">
        <v>0.37559119744305175</v>
      </c>
      <c r="D672" s="9">
        <v>0.29719913158576111</v>
      </c>
      <c r="E672" s="9">
        <f>SQRT((A672-A$3)^2+(B672-B$3)^2+(C672-C$3)^2+(D672-D$3)^2)</f>
        <v>0.58035210210649568</v>
      </c>
      <c r="G672" s="9">
        <v>9.1767841037571379E-2</v>
      </c>
      <c r="H672" s="9">
        <v>9.9630741383559845E-2</v>
      </c>
      <c r="J672" s="31">
        <v>0.92107957607463986</v>
      </c>
    </row>
    <row r="673" spans="1:10" x14ac:dyDescent="0.3">
      <c r="A673" s="9">
        <v>0.28982627260166871</v>
      </c>
      <c r="B673" s="9">
        <v>0.19419953919643906</v>
      </c>
      <c r="C673" s="9">
        <v>0.15547057525526531</v>
      </c>
      <c r="D673" s="9">
        <v>0.36050361294662692</v>
      </c>
      <c r="E673" s="9">
        <f>SQRT((A673-A$3)^2+(B673-B$3)^2+(C673-C$3)^2+(D673-D$3)^2)</f>
        <v>0.58065344807095132</v>
      </c>
      <c r="G673" s="9">
        <v>8.77157545949801E-2</v>
      </c>
      <c r="H673" s="9">
        <v>9.0096859063188123E-2</v>
      </c>
      <c r="J673" s="31">
        <v>0.97357172610714349</v>
      </c>
    </row>
    <row r="674" spans="1:10" x14ac:dyDescent="0.3">
      <c r="A674" s="9">
        <v>0.31594261445438099</v>
      </c>
      <c r="B674" s="9">
        <v>0.13450787438429204</v>
      </c>
      <c r="C674" s="9">
        <v>0.34070126225376918</v>
      </c>
      <c r="D674" s="9">
        <v>0.20884824890755785</v>
      </c>
      <c r="E674" s="9">
        <f>SQRT((A674-A$3)^2+(B674-B$3)^2+(C674-C$3)^2+(D674-D$3)^2)</f>
        <v>0.58129359647891354</v>
      </c>
      <c r="G674" s="9">
        <v>8.4216602242467936E-2</v>
      </c>
      <c r="H674" s="9">
        <v>8.8287191394242071E-2</v>
      </c>
      <c r="J674" s="31">
        <v>0.953893774538629</v>
      </c>
    </row>
    <row r="675" spans="1:10" x14ac:dyDescent="0.3">
      <c r="A675" s="9">
        <v>0.38603555552212332</v>
      </c>
      <c r="B675" s="9">
        <v>0.26047945277308665</v>
      </c>
      <c r="C675" s="9">
        <v>1.2379873751644175E-2</v>
      </c>
      <c r="D675" s="9">
        <v>0.34110511795314585</v>
      </c>
      <c r="E675" s="9">
        <f>SQRT((A675-A$3)^2+(B675-B$3)^2+(C675-C$3)^2+(D675-D$3)^2)</f>
        <v>0.58196219539807215</v>
      </c>
      <c r="G675" s="9">
        <v>8.5640385019662535E-2</v>
      </c>
      <c r="H675" s="9">
        <v>8.2614879810307601E-2</v>
      </c>
      <c r="J675" s="31">
        <v>1.0366217952056798</v>
      </c>
    </row>
    <row r="676" spans="1:10" x14ac:dyDescent="0.3">
      <c r="A676" s="9">
        <v>0.33688772713988452</v>
      </c>
      <c r="B676" s="9">
        <v>0.2715030588702258</v>
      </c>
      <c r="C676" s="9">
        <v>9.7762822772498332E-3</v>
      </c>
      <c r="D676" s="9">
        <v>0.38183293171263982</v>
      </c>
      <c r="E676" s="9">
        <f>SQRT((A676-A$3)^2+(B676-B$3)^2+(C676-C$3)^2+(D676-D$3)^2)</f>
        <v>0.58224636633815763</v>
      </c>
      <c r="G676" s="9">
        <v>8.8200806536052334E-2</v>
      </c>
      <c r="H676" s="9">
        <v>8.7000238882422309E-2</v>
      </c>
      <c r="J676" s="31">
        <v>1.0137995903120742</v>
      </c>
    </row>
    <row r="677" spans="1:10" x14ac:dyDescent="0.3">
      <c r="A677" s="9">
        <v>0.15026289799540113</v>
      </c>
      <c r="B677" s="9">
        <v>0.16527332110100676</v>
      </c>
      <c r="C677" s="9">
        <v>0.37626148281670319</v>
      </c>
      <c r="D677" s="9">
        <v>0.30820229808688909</v>
      </c>
      <c r="E677" s="9">
        <f>SQRT((A677-A$3)^2+(B677-B$3)^2+(C677-C$3)^2+(D677-D$3)^2)</f>
        <v>0.58347195583456557</v>
      </c>
      <c r="G677" s="9">
        <v>9.2511846650172841E-2</v>
      </c>
      <c r="H677" s="9">
        <v>0.1008383004452921</v>
      </c>
      <c r="J677" s="31">
        <v>0.91742766628998651</v>
      </c>
    </row>
    <row r="678" spans="1:10" x14ac:dyDescent="0.3">
      <c r="A678" s="9">
        <v>0.32694112151152133</v>
      </c>
      <c r="B678" s="9">
        <v>0.13381794188862098</v>
      </c>
      <c r="C678" s="9">
        <v>0.31166744179517603</v>
      </c>
      <c r="D678" s="9">
        <v>0.22757349480468167</v>
      </c>
      <c r="E678" s="9">
        <f>SQRT((A678-A$3)^2+(B678-B$3)^2+(C678-C$3)^2+(D678-D$3)^2)</f>
        <v>0.58530379042464509</v>
      </c>
      <c r="G678" s="9">
        <v>8.3800037307263806E-2</v>
      </c>
      <c r="H678" s="9">
        <v>8.750172396464341E-2</v>
      </c>
      <c r="J678" s="31">
        <v>0.95769584312561273</v>
      </c>
    </row>
    <row r="679" spans="1:10" x14ac:dyDescent="0.3">
      <c r="A679" s="9">
        <v>0.18740694890495888</v>
      </c>
      <c r="B679" s="9">
        <v>0.14718394752746058</v>
      </c>
      <c r="C679" s="9">
        <v>0.41876814043590943</v>
      </c>
      <c r="D679" s="9">
        <v>0.24664096313167103</v>
      </c>
      <c r="E679" s="9">
        <f>SQRT((A679-A$3)^2+(B679-B$3)^2+(C679-C$3)^2+(D679-D$3)^2)</f>
        <v>0.58627841342185061</v>
      </c>
      <c r="G679" s="9">
        <v>9.0162835730492386E-2</v>
      </c>
      <c r="H679" s="9">
        <v>9.849088574652555E-2</v>
      </c>
      <c r="J679" s="31">
        <v>0.91544344481309581</v>
      </c>
    </row>
    <row r="680" spans="1:10" x14ac:dyDescent="0.3">
      <c r="A680" s="9">
        <v>0.32935940106361666</v>
      </c>
      <c r="B680" s="9">
        <v>0.2036521110030477</v>
      </c>
      <c r="C680" s="9">
        <v>0.11138534017239773</v>
      </c>
      <c r="D680" s="9">
        <v>0.35560314776093793</v>
      </c>
      <c r="E680" s="9">
        <f>SQRT((A680-A$3)^2+(B680-B$3)^2+(C680-C$3)^2+(D680-D$3)^2)</f>
        <v>0.58637230274661245</v>
      </c>
      <c r="G680" s="9">
        <v>8.6324270172134732E-2</v>
      </c>
      <c r="H680" s="9">
        <v>8.7237023158380764E-2</v>
      </c>
      <c r="J680" s="31">
        <v>0.98953709155585345</v>
      </c>
    </row>
    <row r="681" spans="1:10" x14ac:dyDescent="0.3">
      <c r="A681" s="9">
        <v>0.15005844257212558</v>
      </c>
      <c r="B681" s="9">
        <v>0.17050941264561589</v>
      </c>
      <c r="C681" s="9">
        <v>0.33780152865406987</v>
      </c>
      <c r="D681" s="9">
        <v>0.34163061612818868</v>
      </c>
      <c r="E681" s="9">
        <f>SQRT((A681-A$3)^2+(B681-B$3)^2+(C681-C$3)^2+(D681-D$3)^2)</f>
        <v>0.58660065866612532</v>
      </c>
      <c r="G681" s="9">
        <v>9.2804216541019349E-2</v>
      </c>
      <c r="H681" s="9">
        <v>0.1010583261253415</v>
      </c>
      <c r="J681" s="31">
        <v>0.91832330990635369</v>
      </c>
    </row>
    <row r="682" spans="1:10" x14ac:dyDescent="0.3">
      <c r="A682" s="9">
        <v>0.26221656800218762</v>
      </c>
      <c r="B682" s="9">
        <v>0.1443798243190853</v>
      </c>
      <c r="C682" s="9">
        <v>0.29701810933665662</v>
      </c>
      <c r="D682" s="9">
        <v>0.29638549834207056</v>
      </c>
      <c r="E682" s="9">
        <f>SQRT((A682-A$3)^2+(B682-B$3)^2+(C682-C$3)^2+(D682-D$3)^2)</f>
        <v>0.58684503168952851</v>
      </c>
      <c r="G682" s="9">
        <v>8.7104943866867679E-2</v>
      </c>
      <c r="H682" s="9">
        <v>9.2711207215063235E-2</v>
      </c>
      <c r="J682" s="31">
        <v>0.93952982043270516</v>
      </c>
    </row>
    <row r="683" spans="1:10" x14ac:dyDescent="0.3">
      <c r="A683" s="9">
        <v>4.2493300301576123E-2</v>
      </c>
      <c r="B683" s="9">
        <v>0.40839064462190361</v>
      </c>
      <c r="C683" s="9">
        <v>3.1963350666926592E-2</v>
      </c>
      <c r="D683" s="9">
        <v>0.51715270440959371</v>
      </c>
      <c r="E683" s="9">
        <f>SQRT((A683-A$3)^2+(B683-B$3)^2+(C683-C$3)^2+(D683-D$3)^2)</f>
        <v>0.58691740214856636</v>
      </c>
      <c r="G683" s="9">
        <v>0.10533283883189334</v>
      </c>
      <c r="H683" s="9">
        <v>0.10878873338296297</v>
      </c>
      <c r="J683" s="31">
        <v>0.96823297373171879</v>
      </c>
    </row>
    <row r="684" spans="1:10" x14ac:dyDescent="0.3">
      <c r="A684" s="9">
        <v>0.34752273576788562</v>
      </c>
      <c r="B684" s="9">
        <v>0.17839220586441606</v>
      </c>
      <c r="C684" s="9">
        <v>0.15040887983711368</v>
      </c>
      <c r="D684" s="9">
        <v>0.32367617853058478</v>
      </c>
      <c r="E684" s="9">
        <f>SQRT((A684-A$3)^2+(B684-B$3)^2+(C684-C$3)^2+(D684-D$3)^2)</f>
        <v>0.58918583298031357</v>
      </c>
      <c r="G684" s="9">
        <v>8.4661379664211223E-2</v>
      </c>
      <c r="H684" s="9">
        <v>8.5715711488223462E-2</v>
      </c>
      <c r="J684" s="31">
        <v>0.98769966665729547</v>
      </c>
    </row>
    <row r="685" spans="1:10" x14ac:dyDescent="0.3">
      <c r="A685" s="9">
        <v>0.23507610263964082</v>
      </c>
      <c r="B685" s="9">
        <v>0.14184419150602204</v>
      </c>
      <c r="C685" s="9">
        <v>0.32947989332414651</v>
      </c>
      <c r="D685" s="9">
        <v>0.29359981253019063</v>
      </c>
      <c r="E685" s="9">
        <f>SQRT((A685-A$3)^2+(B685-B$3)^2+(C685-C$3)^2+(D685-D$3)^2)</f>
        <v>0.58944455724207312</v>
      </c>
      <c r="G685" s="9">
        <v>8.8160081854658359E-2</v>
      </c>
      <c r="H685" s="9">
        <v>9.5039718635675827E-2</v>
      </c>
      <c r="J685" s="31">
        <v>0.92761303505758697</v>
      </c>
    </row>
    <row r="686" spans="1:10" x14ac:dyDescent="0.3">
      <c r="A686" s="9">
        <v>0.29065478916944743</v>
      </c>
      <c r="B686" s="9">
        <v>0.24229482903979904</v>
      </c>
      <c r="C686" s="9">
        <v>6.0436454844375383E-2</v>
      </c>
      <c r="D686" s="9">
        <v>0.4066139269463781</v>
      </c>
      <c r="E686" s="9">
        <f>SQRT((A686-A$3)^2+(B686-B$3)^2+(C686-C$3)^2+(D686-D$3)^2)</f>
        <v>0.59023723376270565</v>
      </c>
      <c r="G686" s="9">
        <v>8.9336168454040576E-2</v>
      </c>
      <c r="H686" s="9">
        <v>9.1062172376006889E-2</v>
      </c>
      <c r="J686" s="31">
        <v>0.98104587363851337</v>
      </c>
    </row>
    <row r="687" spans="1:10" x14ac:dyDescent="0.3">
      <c r="A687" s="9">
        <v>0.45538664131813295</v>
      </c>
      <c r="B687" s="9">
        <v>0.25661470409300191</v>
      </c>
      <c r="C687" s="9">
        <v>3.537655308704089E-3</v>
      </c>
      <c r="D687" s="9">
        <v>0.28446099928016111</v>
      </c>
      <c r="E687" s="9">
        <f>SQRT((A687-A$3)^2+(B687-B$3)^2+(C687-C$3)^2+(D687-D$3)^2)</f>
        <v>0.59046719906132616</v>
      </c>
      <c r="G687" s="9">
        <v>8.239196243588949E-2</v>
      </c>
      <c r="H687" s="9">
        <v>7.6935837033870899E-2</v>
      </c>
      <c r="J687" s="31">
        <v>1.0709178662684404</v>
      </c>
    </row>
    <row r="688" spans="1:10" x14ac:dyDescent="0.3">
      <c r="A688" s="9">
        <v>0.10392801894047986</v>
      </c>
      <c r="B688" s="9">
        <v>0.19450359928518307</v>
      </c>
      <c r="C688" s="9">
        <v>0.31650683729960999</v>
      </c>
      <c r="D688" s="9">
        <v>0.38506154447472701</v>
      </c>
      <c r="E688" s="9">
        <f>SQRT((A688-A$3)^2+(B688-B$3)^2+(C688-C$3)^2+(D688-D$3)^2)</f>
        <v>0.59101003612264746</v>
      </c>
      <c r="G688" s="9">
        <v>9.5648430650919825E-2</v>
      </c>
      <c r="H688" s="9">
        <v>0.10449164620373867</v>
      </c>
      <c r="J688" s="31">
        <v>0.91536916228139165</v>
      </c>
    </row>
    <row r="689" spans="1:10" x14ac:dyDescent="0.3">
      <c r="A689" s="9">
        <v>0.48555123439684417</v>
      </c>
      <c r="B689" s="9">
        <v>0.16441459742558193</v>
      </c>
      <c r="C689" s="9">
        <v>0.31900427919673319</v>
      </c>
      <c r="D689" s="9">
        <v>3.1029888980840643E-2</v>
      </c>
      <c r="E689" s="9">
        <f>SQRT((A689-A$3)^2+(B689-B$3)^2+(C689-C$3)^2+(D689-D$3)^2)</f>
        <v>0.59194220473291126</v>
      </c>
      <c r="G689" s="9">
        <v>7.7346002617316278E-2</v>
      </c>
      <c r="H689" s="9">
        <v>7.5482507325777465E-2</v>
      </c>
      <c r="J689" s="31">
        <v>1.0246877767784806</v>
      </c>
    </row>
    <row r="690" spans="1:10" x14ac:dyDescent="0.3">
      <c r="A690" s="9">
        <v>0.21279860557898864</v>
      </c>
      <c r="B690" s="9">
        <v>0.31397755245703052</v>
      </c>
      <c r="C690" s="9">
        <v>5.48868748969541E-3</v>
      </c>
      <c r="D690" s="9">
        <v>0.46773515447428538</v>
      </c>
      <c r="E690" s="9">
        <f>SQRT((A690-A$3)^2+(B690-B$3)^2+(C690-C$3)^2+(D690-D$3)^2)</f>
        <v>0.59249423286160119</v>
      </c>
      <c r="G690" s="9">
        <v>9.5056475343910846E-2</v>
      </c>
      <c r="H690" s="9">
        <v>9.7850708835170552E-2</v>
      </c>
      <c r="J690" s="31">
        <v>0.97144391160245358</v>
      </c>
    </row>
    <row r="691" spans="1:10" x14ac:dyDescent="0.3">
      <c r="A691" s="9">
        <v>0.39370404662229647</v>
      </c>
      <c r="B691" s="9">
        <v>0.15413244724842301</v>
      </c>
      <c r="C691" s="9">
        <v>0.44093555551894448</v>
      </c>
      <c r="D691" s="9">
        <v>1.1227950610336011E-2</v>
      </c>
      <c r="E691" s="9">
        <f>SQRT((A691-A$3)^2+(B691-B$3)^2+(C691-C$3)^2+(D691-D$3)^2)</f>
        <v>0.59251428275127915</v>
      </c>
      <c r="G691" s="9">
        <v>8.0826319178594883E-2</v>
      </c>
      <c r="H691" s="9">
        <v>8.4198220990482603E-2</v>
      </c>
      <c r="J691" s="31">
        <v>0.95995281405923216</v>
      </c>
    </row>
    <row r="692" spans="1:10" x14ac:dyDescent="0.3">
      <c r="A692" s="9">
        <v>0.34460612179719996</v>
      </c>
      <c r="B692" s="9">
        <v>0.12382455835646536</v>
      </c>
      <c r="C692" s="9">
        <v>0.35718501057980623</v>
      </c>
      <c r="D692" s="9">
        <v>0.17438430926652845</v>
      </c>
      <c r="E692" s="9">
        <f>SQRT((A692-A$3)^2+(B692-B$3)^2+(C692-C$3)^2+(D692-D$3)^2)</f>
        <v>0.59312767428619328</v>
      </c>
      <c r="G692" s="9">
        <v>8.2552744535308933E-2</v>
      </c>
      <c r="H692" s="9">
        <v>8.6897532669089964E-2</v>
      </c>
      <c r="J692" s="31">
        <v>0.95000101843712648</v>
      </c>
    </row>
    <row r="693" spans="1:10" x14ac:dyDescent="0.3">
      <c r="A693" s="9">
        <v>0.33281653334288336</v>
      </c>
      <c r="B693" s="9">
        <v>0.16601929740699778</v>
      </c>
      <c r="C693" s="9">
        <v>0.17621361283555984</v>
      </c>
      <c r="D693" s="9">
        <v>0.32495055641455911</v>
      </c>
      <c r="E693" s="9">
        <f>SQRT((A693-A$3)^2+(B693-B$3)^2+(C693-C$3)^2+(D693-D$3)^2)</f>
        <v>0.59332338900942894</v>
      </c>
      <c r="G693" s="9">
        <v>8.4903132763176681E-2</v>
      </c>
      <c r="H693" s="9">
        <v>8.7212025995103012E-2</v>
      </c>
      <c r="J693" s="31">
        <v>0.9735255177760006</v>
      </c>
    </row>
    <row r="694" spans="1:10" x14ac:dyDescent="0.3">
      <c r="A694" s="9">
        <v>0.22601694439227829</v>
      </c>
      <c r="B694" s="9">
        <v>0.1325404807321085</v>
      </c>
      <c r="C694" s="9">
        <v>0.40749831593051256</v>
      </c>
      <c r="D694" s="9">
        <v>0.23394425894510071</v>
      </c>
      <c r="E694" s="9">
        <f>SQRT((A694-A$3)^2+(B694-B$3)^2+(C694-C$3)^2+(D694-D$3)^2)</f>
        <v>0.59333923077230044</v>
      </c>
      <c r="G694" s="9">
        <v>8.8036706207293647E-2</v>
      </c>
      <c r="H694" s="9">
        <v>9.618149071502434E-2</v>
      </c>
      <c r="J694" s="31">
        <v>0.91531858731673399</v>
      </c>
    </row>
    <row r="695" spans="1:10" x14ac:dyDescent="0.3">
      <c r="A695" s="9">
        <v>0.16191569717021581</v>
      </c>
      <c r="B695" s="9">
        <v>0.15769539900692159</v>
      </c>
      <c r="C695" s="9">
        <v>0.35002567956081787</v>
      </c>
      <c r="D695" s="9">
        <v>0.33036322426204473</v>
      </c>
      <c r="E695" s="9">
        <f>SQRT((A695-A$3)^2+(B695-B$3)^2+(C695-C$3)^2+(D695-D$3)^2)</f>
        <v>0.59384853926092995</v>
      </c>
      <c r="G695" s="9">
        <v>9.1867231920741158E-2</v>
      </c>
      <c r="H695" s="9">
        <v>0.1006966186720404</v>
      </c>
      <c r="J695" s="31">
        <v>0.91231694899254023</v>
      </c>
    </row>
    <row r="696" spans="1:10" x14ac:dyDescent="0.3">
      <c r="A696" s="9">
        <v>0.33960867485122431</v>
      </c>
      <c r="B696" s="9">
        <v>0.14633899425015262</v>
      </c>
      <c r="C696" s="9">
        <v>0.22310807108839825</v>
      </c>
      <c r="D696" s="9">
        <v>0.29094425981022481</v>
      </c>
      <c r="E696" s="9">
        <f>SQRT((A696-A$3)^2+(B696-B$3)^2+(C696-C$3)^2+(D696-D$3)^2)</f>
        <v>0.59465662809333886</v>
      </c>
      <c r="G696" s="9">
        <v>8.3884386843772182E-2</v>
      </c>
      <c r="H696" s="9">
        <v>8.6733696684902106E-2</v>
      </c>
      <c r="J696" s="31">
        <v>0.96714875590416394</v>
      </c>
    </row>
    <row r="697" spans="1:10" x14ac:dyDescent="0.3">
      <c r="A697" s="9">
        <v>0.38906636809108586</v>
      </c>
      <c r="B697" s="9">
        <v>0.19938987639731487</v>
      </c>
      <c r="C697" s="9">
        <v>9.0970342869400089E-2</v>
      </c>
      <c r="D697" s="9">
        <v>0.32057341264219918</v>
      </c>
      <c r="E697" s="9">
        <f>SQRT((A697-A$3)^2+(B697-B$3)^2+(C697-C$3)^2+(D697-D$3)^2)</f>
        <v>0.59478376523550769</v>
      </c>
      <c r="G697" s="9">
        <v>8.3548738025555208E-2</v>
      </c>
      <c r="H697" s="9">
        <v>8.2583129733831168E-2</v>
      </c>
      <c r="J697" s="31">
        <v>1.0116925611179455</v>
      </c>
    </row>
    <row r="698" spans="1:10" x14ac:dyDescent="0.3">
      <c r="A698" s="9">
        <v>0.42657530319873471</v>
      </c>
      <c r="B698" s="9">
        <v>0.15793946228430916</v>
      </c>
      <c r="C698" s="9">
        <v>0.182160691989185</v>
      </c>
      <c r="D698" s="9">
        <v>0.23332454252777102</v>
      </c>
      <c r="E698" s="9">
        <f>SQRT((A698-A$3)^2+(B698-B$3)^2+(C698-C$3)^2+(D698-D$3)^2)</f>
        <v>0.59493000248954986</v>
      </c>
      <c r="G698" s="9">
        <v>8.036832492916135E-2</v>
      </c>
      <c r="H698" s="9">
        <v>7.9127954006499759E-2</v>
      </c>
      <c r="J698" s="31">
        <v>1.0156755085890341</v>
      </c>
    </row>
    <row r="699" spans="1:10" x14ac:dyDescent="0.3">
      <c r="A699" s="9">
        <v>0.3852218621579826</v>
      </c>
      <c r="B699" s="9">
        <v>0.15393259080425306</v>
      </c>
      <c r="C699" s="9">
        <v>0.19006374383810648</v>
      </c>
      <c r="D699" s="9">
        <v>0.27078180319965789</v>
      </c>
      <c r="E699" s="9">
        <f>SQRT((A699-A$3)^2+(B699-B$3)^2+(C699-C$3)^2+(D699-D$3)^2)</f>
        <v>0.59521484882104192</v>
      </c>
      <c r="G699" s="9">
        <v>8.2123576956792108E-2</v>
      </c>
      <c r="H699" s="9">
        <v>8.2790005398249891E-2</v>
      </c>
      <c r="J699" s="31">
        <v>0.99195037567334343</v>
      </c>
    </row>
    <row r="700" spans="1:10" x14ac:dyDescent="0.3">
      <c r="A700" s="9">
        <v>0.42956249358631315</v>
      </c>
      <c r="B700" s="9">
        <v>0.14073881507579264</v>
      </c>
      <c r="C700" s="9">
        <v>0.24715246560971585</v>
      </c>
      <c r="D700" s="9">
        <v>0.18254622572817833</v>
      </c>
      <c r="E700" s="9">
        <f>SQRT((A700-A$3)^2+(B700-B$3)^2+(C700-C$3)^2+(D700-D$3)^2)</f>
        <v>0.59565883573465517</v>
      </c>
      <c r="G700" s="9">
        <v>7.9525470171520882E-2</v>
      </c>
      <c r="H700" s="9">
        <v>7.9234827910951378E-2</v>
      </c>
      <c r="J700" s="31">
        <v>1.0036681124731683</v>
      </c>
    </row>
    <row r="701" spans="1:10" x14ac:dyDescent="0.3">
      <c r="A701" s="9">
        <v>0.51795183560064806</v>
      </c>
      <c r="B701" s="9">
        <v>0.17555699953817402</v>
      </c>
      <c r="C701" s="9">
        <v>0.20675439258675724</v>
      </c>
      <c r="D701" s="9">
        <v>9.9736772274420737E-2</v>
      </c>
      <c r="E701" s="9">
        <f>SQRT((A701-A$3)^2+(B701-B$3)^2+(C701-C$3)^2+(D701-D$3)^2)</f>
        <v>0.59609048567518319</v>
      </c>
      <c r="G701" s="9">
        <v>7.6575616037133351E-2</v>
      </c>
      <c r="H701" s="9">
        <v>7.159108105208084E-2</v>
      </c>
      <c r="J701" s="31">
        <v>1.0696250833455969</v>
      </c>
    </row>
    <row r="702" spans="1:10" x14ac:dyDescent="0.3">
      <c r="A702" s="9">
        <v>0.30986136547842169</v>
      </c>
      <c r="B702" s="9">
        <v>0.16319145359705609</v>
      </c>
      <c r="C702" s="9">
        <v>0.18784493613149328</v>
      </c>
      <c r="D702" s="9">
        <v>0.33910224479302903</v>
      </c>
      <c r="E702" s="9">
        <f>SQRT((A702-A$3)^2+(B702-B$3)^2+(C702-C$3)^2+(D702-D$3)^2)</f>
        <v>0.59620968637263805</v>
      </c>
      <c r="G702" s="9">
        <v>8.583459762345505E-2</v>
      </c>
      <c r="H702" s="9">
        <v>8.9337277849296973E-2</v>
      </c>
      <c r="J702" s="31">
        <v>0.96079262419713984</v>
      </c>
    </row>
    <row r="703" spans="1:10" x14ac:dyDescent="0.3">
      <c r="A703" s="9">
        <v>0.27538752029985086</v>
      </c>
      <c r="B703" s="9">
        <v>0.16932426961185534</v>
      </c>
      <c r="C703" s="9">
        <v>0.19134415987109621</v>
      </c>
      <c r="D703" s="9">
        <v>0.36394405021719767</v>
      </c>
      <c r="E703" s="9">
        <f>SQRT((A703-A$3)^2+(B703-B$3)^2+(C703-C$3)^2+(D703-D$3)^2)</f>
        <v>0.59714272519406997</v>
      </c>
      <c r="G703" s="9">
        <v>8.7567516704772697E-2</v>
      </c>
      <c r="H703" s="9">
        <v>9.2261429083404442E-2</v>
      </c>
      <c r="J703" s="31">
        <v>0.94912378417216536</v>
      </c>
    </row>
    <row r="704" spans="1:10" x14ac:dyDescent="0.3">
      <c r="A704" s="9">
        <v>5.505275061681246E-2</v>
      </c>
      <c r="B704" s="9">
        <v>0.19073046458109535</v>
      </c>
      <c r="C704" s="9">
        <v>0.50167263709960264</v>
      </c>
      <c r="D704" s="9">
        <v>0.25254414770248945</v>
      </c>
      <c r="E704" s="9">
        <f>SQRT((A704-A$3)^2+(B704-B$3)^2+(C704-C$3)^2+(D704-D$3)^2)</f>
        <v>0.59737916556684201</v>
      </c>
      <c r="G704" s="9">
        <v>9.7108372946627289E-2</v>
      </c>
      <c r="H704" s="9">
        <v>0.1075359740029361</v>
      </c>
      <c r="J704" s="31">
        <v>0.9030315096599757</v>
      </c>
    </row>
    <row r="705" spans="1:10" x14ac:dyDescent="0.3">
      <c r="A705" s="9">
        <v>0.38037680223925646</v>
      </c>
      <c r="B705" s="9">
        <v>0.16486430473171199</v>
      </c>
      <c r="C705" s="9">
        <v>0.15755569172023479</v>
      </c>
      <c r="D705" s="9">
        <v>0.29720320130879679</v>
      </c>
      <c r="E705" s="9">
        <f>SQRT((A705-A$3)^2+(B705-B$3)^2+(C705-C$3)^2+(D705-D$3)^2)</f>
        <v>0.59786695343416496</v>
      </c>
      <c r="G705" s="9">
        <v>8.2762092005610369E-2</v>
      </c>
      <c r="H705" s="9">
        <v>8.3373463481852886E-2</v>
      </c>
      <c r="J705" s="31">
        <v>0.99266707354222383</v>
      </c>
    </row>
    <row r="706" spans="1:10" x14ac:dyDescent="0.3">
      <c r="A706" s="9">
        <v>0.32568095332398089</v>
      </c>
      <c r="B706" s="9">
        <v>0.11894049162515723</v>
      </c>
      <c r="C706" s="9">
        <v>0.37396693738341108</v>
      </c>
      <c r="D706" s="9">
        <v>0.18141161766745068</v>
      </c>
      <c r="E706" s="9">
        <f>SQRT((A706-A$3)^2+(B706-B$3)^2+(C706-C$3)^2+(D706-D$3)^2)</f>
        <v>0.5981229385151019</v>
      </c>
      <c r="G706" s="9">
        <v>8.3224833253324734E-2</v>
      </c>
      <c r="H706" s="9">
        <v>8.8824391266086433E-2</v>
      </c>
      <c r="J706" s="31">
        <v>0.93695923008368942</v>
      </c>
    </row>
    <row r="707" spans="1:10" x14ac:dyDescent="0.3">
      <c r="A707" s="9">
        <v>0.32335781064535729</v>
      </c>
      <c r="B707" s="9">
        <v>0.12346318331152106</v>
      </c>
      <c r="C707" s="9">
        <v>0.42766234646116436</v>
      </c>
      <c r="D707" s="9">
        <v>0.12551665958195729</v>
      </c>
      <c r="E707" s="9">
        <f>SQRT((A707-A$3)^2+(B707-B$3)^2+(C707-C$3)^2+(D707-D$3)^2)</f>
        <v>0.59870411483499109</v>
      </c>
      <c r="G707" s="9">
        <v>8.3258866764530565E-2</v>
      </c>
      <c r="H707" s="9">
        <v>8.9500317460291176E-2</v>
      </c>
      <c r="J707" s="31">
        <v>0.93026336807654597</v>
      </c>
    </row>
    <row r="708" spans="1:10" x14ac:dyDescent="0.3">
      <c r="A708" s="9">
        <v>9.4685712707515204E-2</v>
      </c>
      <c r="B708" s="9">
        <v>0.1702934670157821</v>
      </c>
      <c r="C708" s="9">
        <v>0.48542468217773604</v>
      </c>
      <c r="D708" s="9">
        <v>0.24959613809896675</v>
      </c>
      <c r="E708" s="9">
        <f>SQRT((A708-A$3)^2+(B708-B$3)^2+(C708-C$3)^2+(D708-D$3)^2)</f>
        <v>0.59878724616204004</v>
      </c>
      <c r="G708" s="9">
        <v>9.4795511120654097E-2</v>
      </c>
      <c r="H708" s="9">
        <v>0.10536575298223559</v>
      </c>
      <c r="J708" s="31">
        <v>0.89968047907023818</v>
      </c>
    </row>
    <row r="709" spans="1:10" x14ac:dyDescent="0.3">
      <c r="A709" s="9">
        <v>0.42207609434447568</v>
      </c>
      <c r="B709" s="9">
        <v>0.13289296662179312</v>
      </c>
      <c r="C709" s="9">
        <v>0.26452318547862069</v>
      </c>
      <c r="D709" s="9">
        <v>0.18050775355511064</v>
      </c>
      <c r="E709" s="9">
        <f>SQRT((A709-A$3)^2+(B709-B$3)^2+(C709-C$3)^2+(D709-D$3)^2)</f>
        <v>0.59986967607793684</v>
      </c>
      <c r="G709" s="9">
        <v>7.9590897826359225E-2</v>
      </c>
      <c r="H709" s="9">
        <v>8.0261787905641938E-2</v>
      </c>
      <c r="J709" s="31">
        <v>0.99164122683048839</v>
      </c>
    </row>
    <row r="710" spans="1:10" x14ac:dyDescent="0.3">
      <c r="A710" s="9">
        <v>0.1058321138362093</v>
      </c>
      <c r="B710" s="9">
        <v>0.1632030691732784</v>
      </c>
      <c r="C710" s="9">
        <v>0.45239416605003058</v>
      </c>
      <c r="D710" s="9">
        <v>0.27857065094048167</v>
      </c>
      <c r="E710" s="9">
        <f>SQRT((A710-A$3)^2+(B710-B$3)^2+(C710-C$3)^2+(D710-D$3)^2)</f>
        <v>0.60058890086821248</v>
      </c>
      <c r="G710" s="9">
        <v>9.4212145479003875E-2</v>
      </c>
      <c r="H710" s="9">
        <v>0.10485172970500957</v>
      </c>
      <c r="J710" s="31">
        <v>0.89852733706979215</v>
      </c>
    </row>
    <row r="711" spans="1:10" x14ac:dyDescent="0.3">
      <c r="A711" s="9">
        <v>0.23870198403692858</v>
      </c>
      <c r="B711" s="9">
        <v>0.16700271848564011</v>
      </c>
      <c r="C711" s="9">
        <v>0.21686416046089102</v>
      </c>
      <c r="D711" s="9">
        <v>0.37743113701654041</v>
      </c>
      <c r="E711" s="9">
        <f>SQRT((A711-A$3)^2+(B711-B$3)^2+(C711-C$3)^2+(D711-D$3)^2)</f>
        <v>0.60069218790770207</v>
      </c>
      <c r="G711" s="9">
        <v>8.90908143689636E-2</v>
      </c>
      <c r="H711" s="9">
        <v>9.5412419127070658E-2</v>
      </c>
      <c r="J711" s="31">
        <v>0.93374442430090865</v>
      </c>
    </row>
    <row r="712" spans="1:10" x14ac:dyDescent="0.3">
      <c r="A712" s="9">
        <v>2.8943496693902764E-2</v>
      </c>
      <c r="B712" s="9">
        <v>0.19957654540312977</v>
      </c>
      <c r="C712" s="9">
        <v>0.48580333943053816</v>
      </c>
      <c r="D712" s="9">
        <v>0.28567661847242942</v>
      </c>
      <c r="E712" s="9">
        <f>SQRT((A712-A$3)^2+(B712-B$3)^2+(C712-C$3)^2+(D712-D$3)^2)</f>
        <v>0.60184829225556691</v>
      </c>
      <c r="G712" s="9">
        <v>9.8602927874588658E-2</v>
      </c>
      <c r="H712" s="9">
        <v>0.10936463920238185</v>
      </c>
      <c r="J712" s="31">
        <v>0.90159788935180052</v>
      </c>
    </row>
    <row r="713" spans="1:10" x14ac:dyDescent="0.3">
      <c r="A713" s="9">
        <v>0.14365852700548878</v>
      </c>
      <c r="B713" s="9">
        <v>0.17377738981420979</v>
      </c>
      <c r="C713" s="9">
        <v>0.29658541381996117</v>
      </c>
      <c r="D713" s="9">
        <v>0.38597866936034025</v>
      </c>
      <c r="E713" s="9">
        <f>SQRT((A713-A$3)^2+(B713-B$3)^2+(C713-C$3)^2+(D713-D$3)^2)</f>
        <v>0.60193313360687173</v>
      </c>
      <c r="G713" s="9">
        <v>9.3336602108015976E-2</v>
      </c>
      <c r="H713" s="9">
        <v>0.10251811072472347</v>
      </c>
      <c r="J713" s="31">
        <v>0.91044013051156181</v>
      </c>
    </row>
    <row r="714" spans="1:10" x14ac:dyDescent="0.3">
      <c r="A714" s="9">
        <v>0.23351914240282728</v>
      </c>
      <c r="B714" s="9">
        <v>0.13135856227868606</v>
      </c>
      <c r="C714" s="9">
        <v>0.3247094515263203</v>
      </c>
      <c r="D714" s="9">
        <v>0.31041284379216627</v>
      </c>
      <c r="E714" s="9">
        <f>SQRT((A714-A$3)^2+(B714-B$3)^2+(C714-C$3)^2+(D714-D$3)^2)</f>
        <v>0.6050816078321315</v>
      </c>
      <c r="G714" s="9">
        <v>8.796271977063945E-2</v>
      </c>
      <c r="H714" s="9">
        <v>9.6151737796935505E-2</v>
      </c>
      <c r="J714" s="31">
        <v>0.91483234506285693</v>
      </c>
    </row>
    <row r="715" spans="1:10" x14ac:dyDescent="0.3">
      <c r="A715" s="9">
        <v>0.26297862076956602</v>
      </c>
      <c r="B715" s="9">
        <v>0.15276933502582254</v>
      </c>
      <c r="C715" s="9">
        <v>0.22452643946143042</v>
      </c>
      <c r="D715" s="9">
        <v>0.35972560474318099</v>
      </c>
      <c r="E715" s="9">
        <f>SQRT((A715-A$3)^2+(B715-B$3)^2+(C715-C$3)^2+(D715-D$3)^2)</f>
        <v>0.6058730776893857</v>
      </c>
      <c r="G715" s="9">
        <v>8.7563119153601626E-2</v>
      </c>
      <c r="H715" s="9">
        <v>9.3799132898345183E-2</v>
      </c>
      <c r="J715" s="31">
        <v>0.93351736255918449</v>
      </c>
    </row>
    <row r="716" spans="1:10" x14ac:dyDescent="0.3">
      <c r="A716" s="9">
        <v>0.25352111788523324</v>
      </c>
      <c r="B716" s="9">
        <v>0.17871936069973959</v>
      </c>
      <c r="C716" s="9">
        <v>0.17073735534954576</v>
      </c>
      <c r="D716" s="9">
        <v>0.39702216606548141</v>
      </c>
      <c r="E716" s="9">
        <f>SQRT((A716-A$3)^2+(B716-B$3)^2+(C716-C$3)^2+(D716-D$3)^2)</f>
        <v>0.60649693179099962</v>
      </c>
      <c r="G716" s="9">
        <v>8.8900056683061793E-2</v>
      </c>
      <c r="H716" s="9">
        <v>9.4678076165982006E-2</v>
      </c>
      <c r="J716" s="31">
        <v>0.93897193820467317</v>
      </c>
    </row>
    <row r="717" spans="1:10" x14ac:dyDescent="0.3">
      <c r="A717" s="9">
        <v>0.45275380622015565</v>
      </c>
      <c r="B717" s="9">
        <v>0.14075957754972299</v>
      </c>
      <c r="C717" s="9">
        <v>0.21945333752338275</v>
      </c>
      <c r="D717" s="9">
        <v>0.18703327870673858</v>
      </c>
      <c r="E717" s="9">
        <f>SQRT((A717-A$3)^2+(B717-B$3)^2+(C717-C$3)^2+(D717-D$3)^2)</f>
        <v>0.60652836655503461</v>
      </c>
      <c r="G717" s="9">
        <v>7.8565182483331483E-2</v>
      </c>
      <c r="H717" s="9">
        <v>7.7751515110891276E-2</v>
      </c>
      <c r="J717" s="31">
        <v>1.0104649712777909</v>
      </c>
    </row>
    <row r="718" spans="1:10" x14ac:dyDescent="0.3">
      <c r="A718" s="9">
        <v>0.14336243022668424</v>
      </c>
      <c r="B718" s="9">
        <v>0.14407402201824973</v>
      </c>
      <c r="C718" s="9">
        <v>0.44301211256161049</v>
      </c>
      <c r="D718" s="9">
        <v>0.26955143519345554</v>
      </c>
      <c r="E718" s="9">
        <f>SQRT((A718-A$3)^2+(B718-B$3)^2+(C718-C$3)^2+(D718-D$3)^2)</f>
        <v>0.60654586794769882</v>
      </c>
      <c r="G718" s="9">
        <v>9.2006207780668592E-2</v>
      </c>
      <c r="H718" s="9">
        <v>0.10284005738414159</v>
      </c>
      <c r="J718" s="31">
        <v>0.89465340764051704</v>
      </c>
    </row>
    <row r="719" spans="1:10" x14ac:dyDescent="0.3">
      <c r="A719" s="9">
        <v>0.15847684577690407</v>
      </c>
      <c r="B719" s="9">
        <v>0.14794463130429755</v>
      </c>
      <c r="C719" s="9">
        <v>0.35446853414302382</v>
      </c>
      <c r="D719" s="9">
        <v>0.33910998877577453</v>
      </c>
      <c r="E719" s="9">
        <f>SQRT((A719-A$3)^2+(B719-B$3)^2+(C719-C$3)^2+(D719-D$3)^2)</f>
        <v>0.60745485588939152</v>
      </c>
      <c r="G719" s="9">
        <v>9.1742498090631702E-2</v>
      </c>
      <c r="H719" s="9">
        <v>0.10182289032468482</v>
      </c>
      <c r="J719" s="31">
        <v>0.90100072584946711</v>
      </c>
    </row>
    <row r="720" spans="1:10" x14ac:dyDescent="0.3">
      <c r="A720" s="9">
        <v>0.40979809979840898</v>
      </c>
      <c r="B720" s="9">
        <v>0.12043127068888981</v>
      </c>
      <c r="C720" s="9">
        <v>0.2934146750372994</v>
      </c>
      <c r="D720" s="9">
        <v>0.1763559544754017</v>
      </c>
      <c r="E720" s="9">
        <f>SQRT((A720-A$3)^2+(B720-B$3)^2+(C720-C$3)^2+(D720-D$3)^2)</f>
        <v>0.60772341090761328</v>
      </c>
      <c r="G720" s="9">
        <v>7.9707803613367795E-2</v>
      </c>
      <c r="H720" s="9">
        <v>8.2023856103661419E-2</v>
      </c>
      <c r="J720" s="31">
        <v>0.97176367217646287</v>
      </c>
    </row>
    <row r="721" spans="1:10" x14ac:dyDescent="0.3">
      <c r="A721" s="9">
        <v>0.32566012001950556</v>
      </c>
      <c r="B721" s="9">
        <v>0.11034625485452562</v>
      </c>
      <c r="C721" s="9">
        <v>0.34845162927824141</v>
      </c>
      <c r="D721" s="9">
        <v>0.21554199584772735</v>
      </c>
      <c r="E721" s="9">
        <f>SQRT((A721-A$3)^2+(B721-B$3)^2+(C721-C$3)^2+(D721-D$3)^2)</f>
        <v>0.60908949868642459</v>
      </c>
      <c r="G721" s="9">
        <v>8.3084343588258225E-2</v>
      </c>
      <c r="H721" s="9">
        <v>8.9344499960911372E-2</v>
      </c>
      <c r="J721" s="31">
        <v>0.92993238111588294</v>
      </c>
    </row>
    <row r="722" spans="1:10" x14ac:dyDescent="0.3">
      <c r="A722" s="9">
        <v>0.54057713568578991</v>
      </c>
      <c r="B722" s="9">
        <v>0.20337831635483533</v>
      </c>
      <c r="C722" s="9">
        <v>9.5184056462649588E-2</v>
      </c>
      <c r="D722" s="9">
        <v>0.16086049149672516</v>
      </c>
      <c r="E722" s="9">
        <f>SQRT((A722-A$3)^2+(B722-B$3)^2+(C722-C$3)^2+(D722-D$3)^2)</f>
        <v>0.61020981789820139</v>
      </c>
      <c r="G722" s="9">
        <v>7.6705291423094762E-2</v>
      </c>
      <c r="H722" s="9">
        <v>6.9961212018678193E-2</v>
      </c>
      <c r="J722" s="31">
        <v>1.0963974066460718</v>
      </c>
    </row>
    <row r="723" spans="1:10" x14ac:dyDescent="0.3">
      <c r="A723" s="9">
        <v>0.33296022761126426</v>
      </c>
      <c r="B723" s="9">
        <v>0.11434469773653254</v>
      </c>
      <c r="C723" s="9">
        <v>0.30337714117115155</v>
      </c>
      <c r="D723" s="9">
        <v>0.24931793348105158</v>
      </c>
      <c r="E723" s="9">
        <f>SQRT((A723-A$3)^2+(B723-B$3)^2+(C723-C$3)^2+(D723-D$3)^2)</f>
        <v>0.61045544600001633</v>
      </c>
      <c r="G723" s="9">
        <v>8.3023465296043611E-2</v>
      </c>
      <c r="H723" s="9">
        <v>8.8574748553539209E-2</v>
      </c>
      <c r="J723" s="31">
        <v>0.93732657051642532</v>
      </c>
    </row>
    <row r="724" spans="1:10" x14ac:dyDescent="0.3">
      <c r="A724" s="9">
        <v>0.39808643379164022</v>
      </c>
      <c r="B724" s="9">
        <v>0.21301067886689798</v>
      </c>
      <c r="C724" s="9">
        <v>4.4669674803469409E-2</v>
      </c>
      <c r="D724" s="9">
        <v>0.34423321253799238</v>
      </c>
      <c r="E724" s="9">
        <f>SQRT((A724-A$3)^2+(B724-B$3)^2+(C724-C$3)^2+(D724-D$3)^2)</f>
        <v>0.61120735509223378</v>
      </c>
      <c r="G724" s="9">
        <v>8.3676066082210537E-2</v>
      </c>
      <c r="H724" s="9">
        <v>8.3089925660155606E-2</v>
      </c>
      <c r="J724" s="31">
        <v>1.0070542898840984</v>
      </c>
    </row>
    <row r="725" spans="1:10" x14ac:dyDescent="0.3">
      <c r="A725" s="9">
        <v>0.54441905808060498</v>
      </c>
      <c r="B725" s="9">
        <v>0.19790756515055113</v>
      </c>
      <c r="C725" s="9">
        <v>0.10870752871508821</v>
      </c>
      <c r="D725" s="9">
        <v>0.14896584805375587</v>
      </c>
      <c r="E725" s="9">
        <f>SQRT((A725-A$3)^2+(B725-B$3)^2+(C725-C$3)^2+(D725-D$3)^2)</f>
        <v>0.61170732323146282</v>
      </c>
      <c r="G725" s="9">
        <v>7.6330865882539942E-2</v>
      </c>
      <c r="H725" s="9">
        <v>6.9735879203964221E-2</v>
      </c>
      <c r="J725" s="31">
        <v>1.0945709260979795</v>
      </c>
    </row>
    <row r="726" spans="1:10" x14ac:dyDescent="0.3">
      <c r="A726" s="9">
        <v>0.3492579689432122</v>
      </c>
      <c r="B726" s="9">
        <v>0.11023789045866007</v>
      </c>
      <c r="C726" s="9">
        <v>0.40607427715705674</v>
      </c>
      <c r="D726" s="9">
        <v>0.13442986344107102</v>
      </c>
      <c r="E726" s="9">
        <f>SQRT((A726-A$3)^2+(B726-B$3)^2+(C726-C$3)^2+(D726-D$3)^2)</f>
        <v>0.61193674191024894</v>
      </c>
      <c r="G726" s="9">
        <v>8.1790947322953847E-2</v>
      </c>
      <c r="H726" s="9">
        <v>8.8207380019807768E-2</v>
      </c>
      <c r="J726" s="31">
        <v>0.92725741660830363</v>
      </c>
    </row>
    <row r="727" spans="1:10" x14ac:dyDescent="0.3">
      <c r="A727" s="9">
        <v>0.2638919610882256</v>
      </c>
      <c r="B727" s="9">
        <v>0.12394943469862603</v>
      </c>
      <c r="C727" s="9">
        <v>0.30053203112635318</v>
      </c>
      <c r="D727" s="9">
        <v>0.31162657308679526</v>
      </c>
      <c r="E727" s="9">
        <f>SQRT((A727-A$3)^2+(B727-B$3)^2+(C727-C$3)^2+(D727-D$3)^2)</f>
        <v>0.61224471884250609</v>
      </c>
      <c r="G727" s="9">
        <v>8.6458115224032434E-2</v>
      </c>
      <c r="H727" s="9">
        <v>9.4213233997134174E-2</v>
      </c>
      <c r="J727" s="31">
        <v>0.91768546260350603</v>
      </c>
    </row>
    <row r="728" spans="1:10" x14ac:dyDescent="0.3">
      <c r="A728" s="9">
        <v>0.24566247595767859</v>
      </c>
      <c r="B728" s="9">
        <v>0.11882695606900062</v>
      </c>
      <c r="C728" s="9">
        <v>0.47361128838888789</v>
      </c>
      <c r="D728" s="9">
        <v>0.16189927958443276</v>
      </c>
      <c r="E728" s="9">
        <f>SQRT((A728-A$3)^2+(B728-B$3)^2+(C728-C$3)^2+(D728-D$3)^2)</f>
        <v>0.61235448588548835</v>
      </c>
      <c r="G728" s="9">
        <v>8.6522190481433156E-2</v>
      </c>
      <c r="H728" s="9">
        <v>9.6329133447891027E-2</v>
      </c>
      <c r="J728" s="31">
        <v>0.89819338537117732</v>
      </c>
    </row>
    <row r="729" spans="1:10" x14ac:dyDescent="0.3">
      <c r="A729" s="9">
        <v>0.26617424455526262</v>
      </c>
      <c r="B729" s="9">
        <v>0.26826283430638787</v>
      </c>
      <c r="C729" s="9">
        <v>1.3552302321917091E-2</v>
      </c>
      <c r="D729" s="9">
        <v>0.45201061881643245</v>
      </c>
      <c r="E729" s="9">
        <f>SQRT((A729-A$3)^2+(B729-B$3)^2+(C729-C$3)^2+(D729-D$3)^2)</f>
        <v>0.61246680157699696</v>
      </c>
      <c r="G729" s="9">
        <v>9.1336256743763916E-2</v>
      </c>
      <c r="H729" s="9">
        <v>9.484090560461525E-2</v>
      </c>
      <c r="J729" s="31">
        <v>0.96304707511480381</v>
      </c>
    </row>
    <row r="730" spans="1:10" x14ac:dyDescent="0.3">
      <c r="A730" s="9">
        <v>7.3260203234829166E-2</v>
      </c>
      <c r="B730" s="9">
        <v>0.26706215623483409</v>
      </c>
      <c r="C730" s="9">
        <v>0.16431749078293151</v>
      </c>
      <c r="D730" s="9">
        <v>0.49536014974740522</v>
      </c>
      <c r="E730" s="9">
        <f>SQRT((A730-A$3)^2+(B730-B$3)^2+(C730-C$3)^2+(D730-D$3)^2)</f>
        <v>0.61265221973077033</v>
      </c>
      <c r="G730" s="9">
        <v>9.9586536950224583E-2</v>
      </c>
      <c r="H730" s="9">
        <v>0.10824949696062645</v>
      </c>
      <c r="J730" s="31">
        <v>0.9199722839030573</v>
      </c>
    </row>
    <row r="731" spans="1:10" x14ac:dyDescent="0.3">
      <c r="A731" s="9">
        <v>0.27183215212887785</v>
      </c>
      <c r="B731" s="9">
        <v>0.12591216088614568</v>
      </c>
      <c r="C731" s="9">
        <v>0.28345593440097822</v>
      </c>
      <c r="D731" s="9">
        <v>0.31879975258399817</v>
      </c>
      <c r="E731" s="9">
        <f>SQRT((A731-A$3)^2+(B731-B$3)^2+(C731-C$3)^2+(D731-D$3)^2)</f>
        <v>0.61304404149332137</v>
      </c>
      <c r="G731" s="9">
        <v>8.621035322742715E-2</v>
      </c>
      <c r="H731" s="9">
        <v>9.3599460397906925E-2</v>
      </c>
      <c r="J731" s="31">
        <v>0.92105609221391394</v>
      </c>
    </row>
    <row r="732" spans="1:10" x14ac:dyDescent="0.3">
      <c r="A732" s="9">
        <v>3.2285921956587492E-2</v>
      </c>
      <c r="B732" s="9">
        <v>0.24849785872036753</v>
      </c>
      <c r="C732" s="9">
        <v>0.24814414728629694</v>
      </c>
      <c r="D732" s="9">
        <v>0.47107207203674806</v>
      </c>
      <c r="E732" s="9">
        <f>SQRT((A732-A$3)^2+(B732-B$3)^2+(C732-C$3)^2+(D732-D$3)^2)</f>
        <v>0.61313858983101144</v>
      </c>
      <c r="G732" s="9">
        <v>0.10065060257514533</v>
      </c>
      <c r="H732" s="9">
        <v>0.1105957849503432</v>
      </c>
      <c r="J732" s="31">
        <v>0.91007629829958536</v>
      </c>
    </row>
    <row r="733" spans="1:10" x14ac:dyDescent="0.3">
      <c r="A733" s="9">
        <v>0.33312504105709756</v>
      </c>
      <c r="B733" s="9">
        <v>0.18100893524564449</v>
      </c>
      <c r="C733" s="9">
        <v>0.11426524455445647</v>
      </c>
      <c r="D733" s="9">
        <v>0.37160077914280132</v>
      </c>
      <c r="E733" s="9">
        <f>SQRT((A733-A$3)^2+(B733-B$3)^2+(C733-C$3)^2+(D733-D$3)^2)</f>
        <v>0.61319761725776778</v>
      </c>
      <c r="G733" s="9">
        <v>8.5523688960485705E-2</v>
      </c>
      <c r="H733" s="9">
        <v>8.8600204968437013E-2</v>
      </c>
      <c r="J733" s="31">
        <v>0.96527642335537156</v>
      </c>
    </row>
    <row r="734" spans="1:10" x14ac:dyDescent="0.3">
      <c r="A734" s="9">
        <v>0.37688203021909111</v>
      </c>
      <c r="B734" s="9">
        <v>0.11282646212804112</v>
      </c>
      <c r="C734" s="9">
        <v>0.2907107534346377</v>
      </c>
      <c r="D734" s="9">
        <v>0.21958075421823006</v>
      </c>
      <c r="E734" s="9">
        <f>SQRT((A734-A$3)^2+(B734-B$3)^2+(C734-C$3)^2+(D734-D$3)^2)</f>
        <v>0.61369424916840143</v>
      </c>
      <c r="G734" s="9">
        <v>8.1017264764980251E-2</v>
      </c>
      <c r="H734" s="9">
        <v>8.5099964716526644E-2</v>
      </c>
      <c r="J734" s="31">
        <v>0.95202465752898813</v>
      </c>
    </row>
    <row r="735" spans="1:10" x14ac:dyDescent="0.3">
      <c r="A735" s="9">
        <v>0.3072470522762008</v>
      </c>
      <c r="B735" s="9">
        <v>0.18874431428105351</v>
      </c>
      <c r="C735" s="9">
        <v>0.11065181672681035</v>
      </c>
      <c r="D735" s="9">
        <v>0.39335681671593536</v>
      </c>
      <c r="E735" s="9">
        <f>SQRT((A735-A$3)^2+(B735-B$3)^2+(C735-C$3)^2+(D735-D$3)^2)</f>
        <v>0.61389952454768149</v>
      </c>
      <c r="G735" s="9">
        <v>8.693268792167308E-2</v>
      </c>
      <c r="H735" s="9">
        <v>9.0886300342756354E-2</v>
      </c>
      <c r="J735" s="31">
        <v>0.95649935792112617</v>
      </c>
    </row>
    <row r="736" spans="1:10" x14ac:dyDescent="0.3">
      <c r="A736" s="9">
        <v>0.51631521749669917</v>
      </c>
      <c r="B736" s="9">
        <v>0.16142818595663894</v>
      </c>
      <c r="C736" s="9">
        <v>0.17771917417512734</v>
      </c>
      <c r="D736" s="9">
        <v>0.1445374223715345</v>
      </c>
      <c r="E736" s="9">
        <f>SQRT((A736-A$3)^2+(B736-B$3)^2+(C736-C$3)^2+(D736-D$3)^2)</f>
        <v>0.61431796388581117</v>
      </c>
      <c r="G736" s="9">
        <v>7.6370957872913439E-2</v>
      </c>
      <c r="H736" s="9">
        <v>7.2554102894918024E-2</v>
      </c>
      <c r="J736" s="31">
        <v>1.0526070177385207</v>
      </c>
    </row>
    <row r="737" spans="1:10" x14ac:dyDescent="0.3">
      <c r="A737" s="9">
        <v>5.1616246531453427E-2</v>
      </c>
      <c r="B737" s="9">
        <v>0.1917727394644696</v>
      </c>
      <c r="C737" s="9">
        <v>0.36392048805047872</v>
      </c>
      <c r="D737" s="9">
        <v>0.39269052595359832</v>
      </c>
      <c r="E737" s="9">
        <f>SQRT((A737-A$3)^2+(B737-B$3)^2+(C737-C$3)^2+(D737-D$3)^2)</f>
        <v>0.6151988113703647</v>
      </c>
      <c r="G737" s="9">
        <v>9.7796210837988742E-2</v>
      </c>
      <c r="H737" s="9">
        <v>0.10931376062347334</v>
      </c>
      <c r="J737" s="31">
        <v>0.89463769501850443</v>
      </c>
    </row>
    <row r="738" spans="1:10" x14ac:dyDescent="0.3">
      <c r="A738" s="9">
        <v>0.34126976147860089</v>
      </c>
      <c r="B738" s="9">
        <v>0.10489780473714612</v>
      </c>
      <c r="C738" s="9">
        <v>0.3256374305340976</v>
      </c>
      <c r="D738" s="9">
        <v>0.22819500325015529</v>
      </c>
      <c r="E738" s="9">
        <f>SQRT((A738-A$3)^2+(B738-B$3)^2+(C738-C$3)^2+(D738-D$3)^2)</f>
        <v>0.61757913905463513</v>
      </c>
      <c r="G738" s="9">
        <v>8.2304184096504168E-2</v>
      </c>
      <c r="H738" s="9">
        <v>8.8494603021452109E-2</v>
      </c>
      <c r="J738" s="31">
        <v>0.93004749765985939</v>
      </c>
    </row>
    <row r="739" spans="1:10" x14ac:dyDescent="0.3">
      <c r="A739" s="9">
        <v>0.4235910912686161</v>
      </c>
      <c r="B739" s="9">
        <v>0.17969427395104612</v>
      </c>
      <c r="C739" s="9">
        <v>8.7070006303419545E-2</v>
      </c>
      <c r="D739" s="9">
        <v>0.30964462847691815</v>
      </c>
      <c r="E739" s="9">
        <f>SQRT((A739-A$3)^2+(B739-B$3)^2+(C739-C$3)^2+(D739-D$3)^2)</f>
        <v>0.61914561351956798</v>
      </c>
      <c r="G739" s="9">
        <v>8.1444976635954222E-2</v>
      </c>
      <c r="H739" s="9">
        <v>8.1027591963063653E-2</v>
      </c>
      <c r="J739" s="31">
        <v>1.0051511425031714</v>
      </c>
    </row>
    <row r="740" spans="1:10" x14ac:dyDescent="0.3">
      <c r="A740" s="9">
        <v>0.26161252459726753</v>
      </c>
      <c r="B740" s="9">
        <v>0.10461350671451</v>
      </c>
      <c r="C740" s="9">
        <v>0.4002381902971533</v>
      </c>
      <c r="D740" s="9">
        <v>0.23353577839106926</v>
      </c>
      <c r="E740" s="9">
        <f>SQRT((A740-A$3)^2+(B740-B$3)^2+(C740-C$3)^2+(D740-D$3)^2)</f>
        <v>0.62007432930648843</v>
      </c>
      <c r="G740" s="9">
        <v>8.5671620418995453E-2</v>
      </c>
      <c r="H740" s="9">
        <v>9.5284529624920941E-2</v>
      </c>
      <c r="J740" s="31">
        <v>0.89911364159779295</v>
      </c>
    </row>
    <row r="741" spans="1:10" x14ac:dyDescent="0.3">
      <c r="A741" s="9">
        <v>4.0670341738537459E-2</v>
      </c>
      <c r="B741" s="9">
        <v>0.19013717588622162</v>
      </c>
      <c r="C741" s="9">
        <v>0.38063075145327452</v>
      </c>
      <c r="D741" s="9">
        <v>0.38856173092196639</v>
      </c>
      <c r="E741" s="9">
        <f>SQRT((A741-A$3)^2+(B741-B$3)^2+(C741-C$3)^2+(D741-D$3)^2)</f>
        <v>0.62041199954564741</v>
      </c>
      <c r="G741" s="9">
        <v>9.8191846715373177E-2</v>
      </c>
      <c r="H741" s="9">
        <v>0.11028493446382988</v>
      </c>
      <c r="J741" s="31">
        <v>0.89034687460033024</v>
      </c>
    </row>
    <row r="742" spans="1:10" x14ac:dyDescent="0.3">
      <c r="A742" s="9">
        <v>0.2987351695135711</v>
      </c>
      <c r="B742" s="9">
        <v>0.10160542519452168</v>
      </c>
      <c r="C742" s="9">
        <v>0.35286285809393847</v>
      </c>
      <c r="D742" s="9">
        <v>0.24679654719796873</v>
      </c>
      <c r="E742" s="9">
        <f>SQRT((A742-A$3)^2+(B742-B$3)^2+(C742-C$3)^2+(D742-D$3)^2)</f>
        <v>0.6216576996647456</v>
      </c>
      <c r="G742" s="9">
        <v>8.4062580834656717E-2</v>
      </c>
      <c r="H742" s="9">
        <v>9.2298694203865328E-2</v>
      </c>
      <c r="J742" s="31">
        <v>0.91076674009041725</v>
      </c>
    </row>
    <row r="743" spans="1:10" x14ac:dyDescent="0.3">
      <c r="A743" s="9">
        <v>0.45849268680158156</v>
      </c>
      <c r="B743" s="9">
        <v>0.13386166082870418</v>
      </c>
      <c r="C743" s="9">
        <v>0.19660159832219681</v>
      </c>
      <c r="D743" s="9">
        <v>0.21104405404751744</v>
      </c>
      <c r="E743" s="9">
        <f>SQRT((A743-A$3)^2+(B743-B$3)^2+(C743-C$3)^2+(D743-D$3)^2)</f>
        <v>0.62185897260195411</v>
      </c>
      <c r="G743" s="9">
        <v>7.8197550973185259E-2</v>
      </c>
      <c r="H743" s="9">
        <v>7.8092780957499705E-2</v>
      </c>
      <c r="J743" s="31">
        <v>1.0013416094855498</v>
      </c>
    </row>
    <row r="744" spans="1:10" x14ac:dyDescent="0.3">
      <c r="A744" s="9">
        <v>0.27747557977625803</v>
      </c>
      <c r="B744" s="9">
        <v>0.11356455877410715</v>
      </c>
      <c r="C744" s="9">
        <v>0.29898196988519354</v>
      </c>
      <c r="D744" s="9">
        <v>0.30997789156444122</v>
      </c>
      <c r="E744" s="9">
        <f>SQRT((A744-A$3)^2+(B744-B$3)^2+(C744-C$3)^2+(D744-D$3)^2)</f>
        <v>0.6225608186951872</v>
      </c>
      <c r="G744" s="9">
        <v>8.5558556030278746E-2</v>
      </c>
      <c r="H744" s="9">
        <v>9.3804889758548268E-2</v>
      </c>
      <c r="J744" s="31">
        <v>0.91209057705312158</v>
      </c>
    </row>
    <row r="745" spans="1:10" x14ac:dyDescent="0.3">
      <c r="A745" s="9">
        <v>0.19542510148493494</v>
      </c>
      <c r="B745" s="9">
        <v>0.28337921902623864</v>
      </c>
      <c r="C745" s="9">
        <v>2.6326444446553573E-2</v>
      </c>
      <c r="D745" s="9">
        <v>0.49486923504227287</v>
      </c>
      <c r="E745" s="9">
        <f>SQRT((A745-A$3)^2+(B745-B$3)^2+(C745-C$3)^2+(D745-D$3)^2)</f>
        <v>0.62258896590559276</v>
      </c>
      <c r="G745" s="9">
        <v>9.4941288061257331E-2</v>
      </c>
      <c r="H745" s="9">
        <v>0.10095983253344044</v>
      </c>
      <c r="J745" s="31">
        <v>0.9403867427158259</v>
      </c>
    </row>
    <row r="746" spans="1:10" x14ac:dyDescent="0.3">
      <c r="A746" s="9">
        <v>0.3582950288674136</v>
      </c>
      <c r="B746" s="9">
        <v>0.10902283653626463</v>
      </c>
      <c r="C746" s="9">
        <v>0.2691284195982605</v>
      </c>
      <c r="D746" s="9">
        <v>0.26355371499806113</v>
      </c>
      <c r="E746" s="9">
        <f>SQRT((A746-A$3)^2+(B746-B$3)^2+(C746-C$3)^2+(D746-D$3)^2)</f>
        <v>0.62371579570362756</v>
      </c>
      <c r="G746" s="9">
        <v>8.1843170114916763E-2</v>
      </c>
      <c r="H746" s="9">
        <v>8.7168385622922603E-2</v>
      </c>
      <c r="J746" s="31">
        <v>0.93890886621392844</v>
      </c>
    </row>
    <row r="747" spans="1:10" x14ac:dyDescent="0.3">
      <c r="A747" s="9">
        <v>5.8807332928075814E-2</v>
      </c>
      <c r="B747" s="9">
        <v>0.20265096497992832</v>
      </c>
      <c r="C747" s="9">
        <v>0.62632253843729668</v>
      </c>
      <c r="D747" s="9">
        <v>0.11221916365469926</v>
      </c>
      <c r="E747" s="9">
        <f>SQRT((A747-A$3)^2+(B747-B$3)^2+(C747-C$3)^2+(D747-D$3)^2)</f>
        <v>0.62418775403307436</v>
      </c>
      <c r="G747" s="9">
        <v>9.6807333084860919E-2</v>
      </c>
      <c r="H747" s="9">
        <v>0.10847594892662969</v>
      </c>
      <c r="J747" s="31">
        <v>0.89243130890091482</v>
      </c>
    </row>
    <row r="748" spans="1:10" x14ac:dyDescent="0.3">
      <c r="A748" s="9">
        <v>0.38535422854651419</v>
      </c>
      <c r="B748" s="9">
        <v>0.10077253797601425</v>
      </c>
      <c r="C748" s="9">
        <v>0.37973532226103618</v>
      </c>
      <c r="D748" s="9">
        <v>0.13413791121643537</v>
      </c>
      <c r="E748" s="9">
        <f>SQRT((A748-A$3)^2+(B748-B$3)^2+(C748-C$3)^2+(D748-D$3)^2)</f>
        <v>0.62439931032604978</v>
      </c>
      <c r="G748" s="9">
        <v>7.9976083331290609E-2</v>
      </c>
      <c r="H748" s="9">
        <v>8.5963662067027671E-2</v>
      </c>
      <c r="J748" s="31">
        <v>0.93034756091395432</v>
      </c>
    </row>
    <row r="749" spans="1:10" x14ac:dyDescent="0.3">
      <c r="A749" s="9">
        <v>2.6947909221945645E-3</v>
      </c>
      <c r="B749" s="9">
        <v>0.41329573762615474</v>
      </c>
      <c r="C749" s="9">
        <v>3.0929640111778543E-2</v>
      </c>
      <c r="D749" s="9">
        <v>0.55307983133987215</v>
      </c>
      <c r="E749" s="9">
        <f>SQRT((A749-A$3)^2+(B749-B$3)^2+(C749-C$3)^2+(D749-D$3)^2)</f>
        <v>0.62465655944448129</v>
      </c>
      <c r="G749" s="9">
        <v>0.10729257709804008</v>
      </c>
      <c r="H749" s="9">
        <v>0.11353356867040292</v>
      </c>
      <c r="J749" s="31">
        <v>0.94502954812879225</v>
      </c>
    </row>
    <row r="750" spans="1:10" x14ac:dyDescent="0.3">
      <c r="A750" s="9">
        <v>0.11509463769617946</v>
      </c>
      <c r="B750" s="9">
        <v>0.14717036407288553</v>
      </c>
      <c r="C750" s="9">
        <v>0.5396046956797802</v>
      </c>
      <c r="D750" s="9">
        <v>0.19813030255115488</v>
      </c>
      <c r="E750" s="9">
        <f>SQRT((A750-A$3)^2+(B750-B$3)^2+(C750-C$3)^2+(D750-D$3)^2)</f>
        <v>0.62550707383533144</v>
      </c>
      <c r="G750" s="9">
        <v>9.3032854940696949E-2</v>
      </c>
      <c r="H750" s="9">
        <v>0.10589743795634705</v>
      </c>
      <c r="J750" s="31">
        <v>0.87851846783155285</v>
      </c>
    </row>
    <row r="751" spans="1:10" x14ac:dyDescent="0.3">
      <c r="A751" s="9">
        <v>0.38222151479080857</v>
      </c>
      <c r="B751" s="9">
        <v>0.12525530740378293</v>
      </c>
      <c r="C751" s="9">
        <v>0.20106628456033171</v>
      </c>
      <c r="D751" s="9">
        <v>0.29145689324507684</v>
      </c>
      <c r="E751" s="9">
        <f>SQRT((A751-A$3)^2+(B751-B$3)^2+(C751-C$3)^2+(D751-D$3)^2)</f>
        <v>0.62639740611955708</v>
      </c>
      <c r="G751" s="9">
        <v>8.1438567947175883E-2</v>
      </c>
      <c r="H751" s="9">
        <v>8.5067613324590313E-2</v>
      </c>
      <c r="J751" s="31">
        <v>0.95733928300577598</v>
      </c>
    </row>
    <row r="752" spans="1:10" x14ac:dyDescent="0.3">
      <c r="A752" s="9">
        <v>0.26268632528030572</v>
      </c>
      <c r="B752" s="9">
        <v>0.14534067733601755</v>
      </c>
      <c r="C752" s="9">
        <v>0.20595171856771738</v>
      </c>
      <c r="D752" s="9">
        <v>0.38602127881595938</v>
      </c>
      <c r="E752" s="9">
        <f>SQRT((A752-A$3)^2+(B752-B$3)^2+(C752-C$3)^2+(D752-D$3)^2)</f>
        <v>0.62649903692411135</v>
      </c>
      <c r="G752" s="9">
        <v>8.7441557360572519E-2</v>
      </c>
      <c r="H752" s="9">
        <v>9.5163555400542124E-2</v>
      </c>
      <c r="J752" s="31">
        <v>0.91885551136180421</v>
      </c>
    </row>
    <row r="753" spans="1:10" x14ac:dyDescent="0.3">
      <c r="A753" s="9">
        <v>0.35876468893041585</v>
      </c>
      <c r="B753" s="9">
        <v>0.15148993447929487</v>
      </c>
      <c r="C753" s="9">
        <v>0.14267192948184904</v>
      </c>
      <c r="D753" s="9">
        <v>0.34707344710844024</v>
      </c>
      <c r="E753" s="9">
        <f>SQRT((A753-A$3)^2+(B753-B$3)^2+(C753-C$3)^2+(D753-D$3)^2)</f>
        <v>0.62683498532496007</v>
      </c>
      <c r="G753" s="9">
        <v>8.34410099125001E-2</v>
      </c>
      <c r="H753" s="9">
        <v>8.7154575748160795E-2</v>
      </c>
      <c r="J753" s="31">
        <v>0.95739103995651009</v>
      </c>
    </row>
    <row r="754" spans="1:10" x14ac:dyDescent="0.3">
      <c r="A754" s="9">
        <v>0.47587991728055695</v>
      </c>
      <c r="B754" s="9">
        <v>0.12110301968548777</v>
      </c>
      <c r="C754" s="9">
        <v>0.336365241203474</v>
      </c>
      <c r="D754" s="9">
        <v>6.6651821830481212E-2</v>
      </c>
      <c r="E754" s="9">
        <f>SQRT((A754-A$3)^2+(B754-B$3)^2+(C754-C$3)^2+(D754-D$3)^2)</f>
        <v>0.62750277343044691</v>
      </c>
      <c r="G754" s="9">
        <v>7.6544043821694274E-2</v>
      </c>
      <c r="H754" s="9">
        <v>7.8632857324516914E-2</v>
      </c>
      <c r="J754" s="31">
        <v>0.97343586925498427</v>
      </c>
    </row>
    <row r="755" spans="1:10" x14ac:dyDescent="0.3">
      <c r="A755" s="9">
        <v>0.41048870408502441</v>
      </c>
      <c r="B755" s="9">
        <v>0.13216820335457033</v>
      </c>
      <c r="C755" s="9">
        <v>0.17679715002651639</v>
      </c>
      <c r="D755" s="9">
        <v>0.28054594253388881</v>
      </c>
      <c r="E755" s="9">
        <f>SQRT((A755-A$3)^2+(B755-B$3)^2+(C755-C$3)^2+(D755-D$3)^2)</f>
        <v>0.62752458809320655</v>
      </c>
      <c r="G755" s="9">
        <v>8.0421389254002246E-2</v>
      </c>
      <c r="H755" s="9">
        <v>8.2618694808876028E-2</v>
      </c>
      <c r="J755" s="31">
        <v>0.9734042572331012</v>
      </c>
    </row>
    <row r="756" spans="1:10" x14ac:dyDescent="0.3">
      <c r="A756" s="9">
        <v>0.14419687342015169</v>
      </c>
      <c r="B756" s="9">
        <v>0.25942447548571701</v>
      </c>
      <c r="C756" s="9">
        <v>9.1530053397374772E-2</v>
      </c>
      <c r="D756" s="9">
        <v>0.5048485976967565</v>
      </c>
      <c r="E756" s="9">
        <f>SQRT((A756-A$3)^2+(B756-B$3)^2+(C756-C$3)^2+(D756-D$3)^2)</f>
        <v>0.62819678768836917</v>
      </c>
      <c r="G756" s="9">
        <v>9.6395659819034279E-2</v>
      </c>
      <c r="H756" s="9">
        <v>0.10472880804704265</v>
      </c>
      <c r="J756" s="31">
        <v>0.92043117473212099</v>
      </c>
    </row>
    <row r="757" spans="1:10" x14ac:dyDescent="0.3">
      <c r="A757" s="9">
        <v>9.6993363195697749E-2</v>
      </c>
      <c r="B757" s="9">
        <v>0.25570594179252709</v>
      </c>
      <c r="C757" s="9">
        <v>0.1400109749460651</v>
      </c>
      <c r="D757" s="9">
        <v>0.50728972006571005</v>
      </c>
      <c r="E757" s="9">
        <f>SQRT((A757-A$3)^2+(B757-B$3)^2+(C757-C$3)^2+(D757-D$3)^2)</f>
        <v>0.62820879819352227</v>
      </c>
      <c r="G757" s="9">
        <v>9.8278726988147713E-2</v>
      </c>
      <c r="H757" s="9">
        <v>0.10779711264346903</v>
      </c>
      <c r="J757" s="31">
        <v>0.91170092202002972</v>
      </c>
    </row>
    <row r="758" spans="1:10" x14ac:dyDescent="0.3">
      <c r="A758" s="9">
        <v>0.3295666148881945</v>
      </c>
      <c r="B758" s="9">
        <v>9.9877814512621094E-2</v>
      </c>
      <c r="C758" s="9">
        <v>0.30592067539254603</v>
      </c>
      <c r="D758" s="9">
        <v>0.26463489520663847</v>
      </c>
      <c r="E758" s="9">
        <f>SQRT((A758-A$3)^2+(B758-B$3)^2+(C758-C$3)^2+(D758-D$3)^2)</f>
        <v>0.62827714003000257</v>
      </c>
      <c r="G758" s="9">
        <v>8.2774933321093258E-2</v>
      </c>
      <c r="H758" s="9">
        <v>9.001766202770857E-2</v>
      </c>
      <c r="J758" s="31">
        <v>0.91954102624453959</v>
      </c>
    </row>
    <row r="759" spans="1:10" x14ac:dyDescent="0.3">
      <c r="A759" s="9">
        <v>0.32810961073616046</v>
      </c>
      <c r="B759" s="9">
        <v>9.9870329826933973E-2</v>
      </c>
      <c r="C759" s="9">
        <v>0.30555335654621196</v>
      </c>
      <c r="D759" s="9">
        <v>0.26646670289069357</v>
      </c>
      <c r="E759" s="9">
        <f>SQRT((A759-A$3)^2+(B759-B$3)^2+(C759-C$3)^2+(D759-D$3)^2)</f>
        <v>0.62853954556817737</v>
      </c>
      <c r="G759" s="9">
        <v>8.2842776543345639E-2</v>
      </c>
      <c r="H759" s="9">
        <v>9.0151143733471245E-2</v>
      </c>
      <c r="J759" s="31">
        <v>0.9189320635605851</v>
      </c>
    </row>
    <row r="760" spans="1:10" x14ac:dyDescent="0.3">
      <c r="A760" s="9">
        <v>0.31356201513244192</v>
      </c>
      <c r="B760" s="9">
        <v>9.6363480645289476E-2</v>
      </c>
      <c r="C760" s="9">
        <v>0.33210752223289286</v>
      </c>
      <c r="D760" s="9">
        <v>0.25796698198937562</v>
      </c>
      <c r="E760" s="9">
        <f>SQRT((A760-A$3)^2+(B760-B$3)^2+(C760-C$3)^2+(D760-D$3)^2)</f>
        <v>0.62933175142271702</v>
      </c>
      <c r="G760" s="9">
        <v>8.3316390726557554E-2</v>
      </c>
      <c r="H760" s="9">
        <v>9.1514640264528851E-2</v>
      </c>
      <c r="J760" s="31">
        <v>0.91041597809625063</v>
      </c>
    </row>
    <row r="761" spans="1:10" x14ac:dyDescent="0.3">
      <c r="A761" s="9">
        <v>0.36123955166253069</v>
      </c>
      <c r="B761" s="9">
        <v>0.10668995461291601</v>
      </c>
      <c r="C761" s="9">
        <v>0.25880738881456583</v>
      </c>
      <c r="D761" s="9">
        <v>0.27326310490998751</v>
      </c>
      <c r="E761" s="9">
        <f>SQRT((A761-A$3)^2+(B761-B$3)^2+(C761-C$3)^2+(D761-D$3)^2)</f>
        <v>0.62952836680890201</v>
      </c>
      <c r="G761" s="9">
        <v>8.1682334991725961E-2</v>
      </c>
      <c r="H761" s="9">
        <v>8.7251679815969221E-2</v>
      </c>
      <c r="J761" s="31">
        <v>0.93616919655885034</v>
      </c>
    </row>
    <row r="762" spans="1:10" x14ac:dyDescent="0.3">
      <c r="A762" s="9">
        <v>0.27030079738466278</v>
      </c>
      <c r="B762" s="9">
        <v>9.5415279318649168E-2</v>
      </c>
      <c r="C762" s="9">
        <v>0.39750256788484956</v>
      </c>
      <c r="D762" s="9">
        <v>0.23678135541183853</v>
      </c>
      <c r="E762" s="9">
        <f>SQRT((A762-A$3)^2+(B762-B$3)^2+(C762-C$3)^2+(D762-D$3)^2)</f>
        <v>0.62985297310516752</v>
      </c>
      <c r="G762" s="9">
        <v>8.503288481492427E-2</v>
      </c>
      <c r="H762" s="9">
        <v>9.5264400091684992E-2</v>
      </c>
      <c r="J762" s="31">
        <v>0.89259875392157362</v>
      </c>
    </row>
    <row r="763" spans="1:10" x14ac:dyDescent="0.3">
      <c r="A763" s="9">
        <v>0.50673292766871847</v>
      </c>
      <c r="B763" s="9">
        <v>0.12891942784585889</v>
      </c>
      <c r="C763" s="9">
        <v>0.28811663056533987</v>
      </c>
      <c r="D763" s="9">
        <v>7.6231013920082746E-2</v>
      </c>
      <c r="E763" s="9">
        <f>SQRT((A763-A$3)^2+(B763-B$3)^2+(C763-C$3)^2+(D763-D$3)^2)</f>
        <v>0.630009232082683</v>
      </c>
      <c r="G763" s="9">
        <v>7.552051867171633E-2</v>
      </c>
      <c r="H763" s="9">
        <v>7.5631999102337186E-2</v>
      </c>
      <c r="J763" s="31">
        <v>0.99852601502083782</v>
      </c>
    </row>
    <row r="764" spans="1:10" x14ac:dyDescent="0.3">
      <c r="A764" s="9">
        <v>0.34291284965264313</v>
      </c>
      <c r="B764" s="9">
        <v>9.1446748519382948E-2</v>
      </c>
      <c r="C764" s="9">
        <v>0.36242721383802595</v>
      </c>
      <c r="D764" s="9">
        <v>0.20321318798994792</v>
      </c>
      <c r="E764" s="9">
        <f>SQRT((A764-A$3)^2+(B764-B$3)^2+(C764-C$3)^2+(D764-D$3)^2)</f>
        <v>0.6302165978233496</v>
      </c>
      <c r="G764" s="9">
        <v>8.1727940666668886E-2</v>
      </c>
      <c r="H764" s="9">
        <v>8.9463772984844869E-2</v>
      </c>
      <c r="J764" s="31">
        <v>0.91353111924436237</v>
      </c>
    </row>
    <row r="765" spans="1:10" x14ac:dyDescent="0.3">
      <c r="A765" s="9">
        <v>0.17453128853604374</v>
      </c>
      <c r="B765" s="9">
        <v>0.16465110259883367</v>
      </c>
      <c r="C765" s="9">
        <v>0.23030056851647704</v>
      </c>
      <c r="D765" s="9">
        <v>0.43051704034864557</v>
      </c>
      <c r="E765" s="9">
        <f>SQRT((A765-A$3)^2+(B765-B$3)^2+(C765-C$3)^2+(D765-D$3)^2)</f>
        <v>0.63077666446152869</v>
      </c>
      <c r="G765" s="9">
        <v>9.1915735233082552E-2</v>
      </c>
      <c r="H765" s="9">
        <v>0.10224487989094549</v>
      </c>
      <c r="J765" s="31">
        <v>0.89897641164154118</v>
      </c>
    </row>
    <row r="766" spans="1:10" x14ac:dyDescent="0.3">
      <c r="A766" s="9">
        <v>0.28005523178873487</v>
      </c>
      <c r="B766" s="9">
        <v>9.7667806667423446E-2</v>
      </c>
      <c r="C766" s="9">
        <v>0.34589234674077146</v>
      </c>
      <c r="D766" s="9">
        <v>0.27638461480307025</v>
      </c>
      <c r="E766" s="9">
        <f>SQRT((A766-A$3)^2+(B766-B$3)^2+(C766-C$3)^2+(D766-D$3)^2)</f>
        <v>0.6308940951174985</v>
      </c>
      <c r="G766" s="9">
        <v>8.483583027566316E-2</v>
      </c>
      <c r="H766" s="9">
        <v>9.4320606992552E-2</v>
      </c>
      <c r="J766" s="31">
        <v>0.8994410975574213</v>
      </c>
    </row>
    <row r="767" spans="1:10" x14ac:dyDescent="0.3">
      <c r="A767" s="9">
        <v>0.23781173286962609</v>
      </c>
      <c r="B767" s="9">
        <v>0.1324729747040134</v>
      </c>
      <c r="C767" s="9">
        <v>0.25038452297206992</v>
      </c>
      <c r="D767" s="9">
        <v>0.37933076945429056</v>
      </c>
      <c r="E767" s="9">
        <f>SQRT((A767-A$3)^2+(B767-B$3)^2+(C767-C$3)^2+(D767-D$3)^2)</f>
        <v>0.63091840558573509</v>
      </c>
      <c r="G767" s="9">
        <v>8.806747681133259E-2</v>
      </c>
      <c r="H767" s="9">
        <v>9.7413890853112112E-2</v>
      </c>
      <c r="J767" s="31">
        <v>0.90405460699775619</v>
      </c>
    </row>
    <row r="768" spans="1:10" x14ac:dyDescent="0.3">
      <c r="A768" s="9">
        <v>4.1988164426580321E-2</v>
      </c>
      <c r="B768" s="9">
        <v>0.27555955532942861</v>
      </c>
      <c r="C768" s="9">
        <v>0.16161451844170316</v>
      </c>
      <c r="D768" s="9">
        <v>0.5208377618022878</v>
      </c>
      <c r="E768" s="9">
        <f>SQRT((A768-A$3)^2+(B768-B$3)^2+(C768-C$3)^2+(D768-D$3)^2)</f>
        <v>0.63268145574231804</v>
      </c>
      <c r="G768" s="9">
        <v>0.10125996989282704</v>
      </c>
      <c r="H768" s="9">
        <v>0.111538292068263</v>
      </c>
      <c r="J768" s="31">
        <v>0.90784938531114068</v>
      </c>
    </row>
    <row r="769" spans="1:10" x14ac:dyDescent="0.3">
      <c r="A769" s="9">
        <v>0.27436060204068208</v>
      </c>
      <c r="B769" s="9">
        <v>0.1167322769599508</v>
      </c>
      <c r="C769" s="9">
        <v>0.26219174119165889</v>
      </c>
      <c r="D769" s="9">
        <v>0.34671537980770828</v>
      </c>
      <c r="E769" s="9">
        <f>SQRT((A769-A$3)^2+(B769-B$3)^2+(C769-C$3)^2+(D769-D$3)^2)</f>
        <v>0.632873559123453</v>
      </c>
      <c r="G769" s="9">
        <v>8.5921675422846192E-2</v>
      </c>
      <c r="H769" s="9">
        <v>9.4647537767086662E-2</v>
      </c>
      <c r="J769" s="31">
        <v>0.90780676866931809</v>
      </c>
    </row>
    <row r="770" spans="1:10" x14ac:dyDescent="0.3">
      <c r="A770" s="9">
        <v>0.44206839543230475</v>
      </c>
      <c r="B770" s="9">
        <v>0.1227297245025567</v>
      </c>
      <c r="C770" s="9">
        <v>0.18903411265878256</v>
      </c>
      <c r="D770" s="9">
        <v>0.2461677674063559</v>
      </c>
      <c r="E770" s="9">
        <f>SQRT((A770-A$3)^2+(B770-B$3)^2+(C770-C$3)^2+(D770-D$3)^2)</f>
        <v>0.63507701902216163</v>
      </c>
      <c r="G770" s="9">
        <v>7.8673450484874563E-2</v>
      </c>
      <c r="H770" s="9">
        <v>8.0349176606026154E-2</v>
      </c>
      <c r="J770" s="31">
        <v>0.97914445185458299</v>
      </c>
    </row>
    <row r="771" spans="1:10" x14ac:dyDescent="0.3">
      <c r="A771" s="9">
        <v>0.15647347579007559</v>
      </c>
      <c r="B771" s="9">
        <v>0.12816172555474251</v>
      </c>
      <c r="C771" s="9">
        <v>0.35314431493165549</v>
      </c>
      <c r="D771" s="9">
        <v>0.36222048372352644</v>
      </c>
      <c r="E771" s="9">
        <f>SQRT((A771-A$3)^2+(B771-B$3)^2+(C771-C$3)^2+(D771-D$3)^2)</f>
        <v>0.63548992706422724</v>
      </c>
      <c r="G771" s="9">
        <v>9.1299396944202416E-2</v>
      </c>
      <c r="H771" s="9">
        <v>0.10380691137489684</v>
      </c>
      <c r="J771" s="31">
        <v>0.87951173707958852</v>
      </c>
    </row>
    <row r="772" spans="1:10" x14ac:dyDescent="0.3">
      <c r="A772" s="9">
        <v>0.32864663890254897</v>
      </c>
      <c r="B772" s="9">
        <v>8.6040593531121243E-2</v>
      </c>
      <c r="C772" s="9">
        <v>0.37477550467651483</v>
      </c>
      <c r="D772" s="9">
        <v>0.21053726288981495</v>
      </c>
      <c r="E772" s="9">
        <f>SQRT((A772-A$3)^2+(B772-B$3)^2+(C772-C$3)^2+(D772-D$3)^2)</f>
        <v>0.63626471234431092</v>
      </c>
      <c r="G772" s="9">
        <v>8.2188637434099071E-2</v>
      </c>
      <c r="H772" s="9">
        <v>9.1075508128554333E-2</v>
      </c>
      <c r="J772" s="31">
        <v>0.90242304570059251</v>
      </c>
    </row>
    <row r="773" spans="1:10" x14ac:dyDescent="0.3">
      <c r="A773" s="9">
        <v>0.10526856347495829</v>
      </c>
      <c r="B773" s="9">
        <v>0.14465786811341216</v>
      </c>
      <c r="C773" s="9">
        <v>0.37596013283566498</v>
      </c>
      <c r="D773" s="9">
        <v>0.37411343557596455</v>
      </c>
      <c r="E773" s="9">
        <f>SQRT((A773-A$3)^2+(B773-B$3)^2+(C773-C$3)^2+(D773-D$3)^2)</f>
        <v>0.63665452705265702</v>
      </c>
      <c r="G773" s="9">
        <v>9.4010638805888586E-2</v>
      </c>
      <c r="H773" s="9">
        <v>0.10735591128448636</v>
      </c>
      <c r="J773" s="31">
        <v>0.87569131202068928</v>
      </c>
    </row>
    <row r="774" spans="1:10" x14ac:dyDescent="0.3">
      <c r="A774" s="9">
        <v>0.22313403448491037</v>
      </c>
      <c r="B774" s="9">
        <v>0.10671009230132029</v>
      </c>
      <c r="C774" s="9">
        <v>0.34186902310830208</v>
      </c>
      <c r="D774" s="9">
        <v>0.32828685010546726</v>
      </c>
      <c r="E774" s="9">
        <f>SQRT((A774-A$3)^2+(B774-B$3)^2+(C774-C$3)^2+(D774-D$3)^2)</f>
        <v>0.63684132622153977</v>
      </c>
      <c r="G774" s="9">
        <v>8.7703280548504653E-2</v>
      </c>
      <c r="H774" s="9">
        <v>9.9044133880989718E-2</v>
      </c>
      <c r="J774" s="31">
        <v>0.88549697101584934</v>
      </c>
    </row>
    <row r="775" spans="1:10" x14ac:dyDescent="0.3">
      <c r="A775" s="9">
        <v>0.14023938476451211</v>
      </c>
      <c r="B775" s="9">
        <v>0.15470008789104123</v>
      </c>
      <c r="C775" s="9">
        <v>0.27992967223658105</v>
      </c>
      <c r="D775" s="9">
        <v>0.42513085510786552</v>
      </c>
      <c r="E775" s="9">
        <f>SQRT((A775-A$3)^2+(B775-B$3)^2+(C775-C$3)^2+(D775-D$3)^2)</f>
        <v>0.63879870468687361</v>
      </c>
      <c r="G775" s="9">
        <v>9.3033448655860773E-2</v>
      </c>
      <c r="H775" s="9">
        <v>0.10518259036365514</v>
      </c>
      <c r="J775" s="31">
        <v>0.88449474703189679</v>
      </c>
    </row>
    <row r="776" spans="1:10" x14ac:dyDescent="0.3">
      <c r="A776" s="9">
        <v>0.3904345255370712</v>
      </c>
      <c r="B776" s="9">
        <v>9.0872140699015294E-2</v>
      </c>
      <c r="C776" s="9">
        <v>0.29896288919033071</v>
      </c>
      <c r="D776" s="9">
        <v>0.21973044457358273</v>
      </c>
      <c r="E776" s="9">
        <f>SQRT((A776-A$3)^2+(B776-B$3)^2+(C776-C$3)^2+(D776-D$3)^2)</f>
        <v>0.6388185247645437</v>
      </c>
      <c r="G776" s="9">
        <v>7.9767805283849719E-2</v>
      </c>
      <c r="H776" s="9">
        <v>8.5667701797054838E-2</v>
      </c>
      <c r="J776" s="31">
        <v>0.931130444853279</v>
      </c>
    </row>
    <row r="777" spans="1:10" x14ac:dyDescent="0.3">
      <c r="A777" s="9">
        <v>0.42219168195298329</v>
      </c>
      <c r="B777" s="9">
        <v>9.1533524925067708E-2</v>
      </c>
      <c r="C777" s="9">
        <v>0.35007245498497847</v>
      </c>
      <c r="D777" s="9">
        <v>0.13620233813697064</v>
      </c>
      <c r="E777" s="9">
        <f>SQRT((A777-A$3)^2+(B777-B$3)^2+(C777-C$3)^2+(D777-D$3)^2)</f>
        <v>0.63965679106126871</v>
      </c>
      <c r="G777" s="9">
        <v>7.8145572869840266E-2</v>
      </c>
      <c r="H777" s="9">
        <v>8.3711557258391578E-2</v>
      </c>
      <c r="J777" s="31">
        <v>0.93350996480246029</v>
      </c>
    </row>
    <row r="778" spans="1:10" x14ac:dyDescent="0.3">
      <c r="A778" s="9">
        <v>8.2755282931807131E-2</v>
      </c>
      <c r="B778" s="9">
        <v>0.17939650165454382</v>
      </c>
      <c r="C778" s="9">
        <v>0.29156344830319525</v>
      </c>
      <c r="D778" s="9">
        <v>0.44628476711045373</v>
      </c>
      <c r="E778" s="9">
        <f>SQRT((A778-A$3)^2+(B778-B$3)^2+(C778-C$3)^2+(D778-D$3)^2)</f>
        <v>0.63967734086969386</v>
      </c>
      <c r="G778" s="9">
        <v>9.629662966486216E-2</v>
      </c>
      <c r="H778" s="9">
        <v>0.10911880906056218</v>
      </c>
      <c r="J778" s="31">
        <v>0.88249340781767915</v>
      </c>
    </row>
    <row r="779" spans="1:10" x14ac:dyDescent="0.3">
      <c r="A779" s="9">
        <v>0.1892179541976077</v>
      </c>
      <c r="B779" s="9">
        <v>0.13053267877131872</v>
      </c>
      <c r="C779" s="9">
        <v>0.28731941091914609</v>
      </c>
      <c r="D779" s="9">
        <v>0.39292995611192749</v>
      </c>
      <c r="E779" s="9">
        <f>SQRT((A779-A$3)^2+(B779-B$3)^2+(C779-C$3)^2+(D779-D$3)^2)</f>
        <v>0.63968438217516177</v>
      </c>
      <c r="G779" s="9">
        <v>9.0104787015602678E-2</v>
      </c>
      <c r="H779" s="9">
        <v>0.10169721596215092</v>
      </c>
      <c r="J779" s="31">
        <v>0.88601036088477936</v>
      </c>
    </row>
    <row r="780" spans="1:10" x14ac:dyDescent="0.3">
      <c r="A780" s="9">
        <v>0.21019217439120566</v>
      </c>
      <c r="B780" s="9">
        <v>0.10163513366116382</v>
      </c>
      <c r="C780" s="9">
        <v>0.49399572035407235</v>
      </c>
      <c r="D780" s="9">
        <v>0.19417697159355812</v>
      </c>
      <c r="E780" s="9">
        <f>SQRT((A780-A$3)^2+(B780-B$3)^2+(C780-C$3)^2+(D780-D$3)^2)</f>
        <v>0.64014859449093642</v>
      </c>
      <c r="G780" s="9">
        <v>8.7602925273789239E-2</v>
      </c>
      <c r="H780" s="9">
        <v>0.10074417133002041</v>
      </c>
      <c r="J780" s="31">
        <v>0.86955824954693683</v>
      </c>
    </row>
    <row r="781" spans="1:10" x14ac:dyDescent="0.3">
      <c r="A781" s="9">
        <v>0.33250497831230952</v>
      </c>
      <c r="B781" s="9">
        <v>8.2979349142073222E-2</v>
      </c>
      <c r="C781" s="9">
        <v>0.4035833142292844</v>
      </c>
      <c r="D781" s="9">
        <v>0.18093235831633292</v>
      </c>
      <c r="E781" s="9">
        <f>SQRT((A781-A$3)^2+(B781-B$3)^2+(C781-C$3)^2+(D781-D$3)^2)</f>
        <v>0.640194224470225</v>
      </c>
      <c r="G781" s="9">
        <v>8.1823481439370627E-2</v>
      </c>
      <c r="H781" s="9">
        <v>9.1292125002691113E-2</v>
      </c>
      <c r="J781" s="31">
        <v>0.89628192395520023</v>
      </c>
    </row>
    <row r="782" spans="1:10" x14ac:dyDescent="0.3">
      <c r="A782" s="9">
        <v>0.39987039633026594</v>
      </c>
      <c r="B782" s="9">
        <v>0.19716806635602876</v>
      </c>
      <c r="C782" s="9">
        <v>3.2123086605986478E-2</v>
      </c>
      <c r="D782" s="9">
        <v>0.37083845070771881</v>
      </c>
      <c r="E782" s="9">
        <f>SQRT((A782-A$3)^2+(B782-B$3)^2+(C782-C$3)^2+(D782-D$3)^2)</f>
        <v>0.64064468766573923</v>
      </c>
      <c r="G782" s="9">
        <v>8.3207950954418741E-2</v>
      </c>
      <c r="H782" s="9">
        <v>8.4919557313603233E-2</v>
      </c>
      <c r="J782" s="31">
        <v>0.97984437963019966</v>
      </c>
    </row>
    <row r="783" spans="1:10" x14ac:dyDescent="0.3">
      <c r="A783" s="9">
        <v>6.0444562405377921E-3</v>
      </c>
      <c r="B783" s="9">
        <v>0.1994715136810776</v>
      </c>
      <c r="C783" s="9">
        <v>0.36082801586573293</v>
      </c>
      <c r="D783" s="9">
        <v>0.43365601421265171</v>
      </c>
      <c r="E783" s="9">
        <f>SQRT((A783-A$3)^2+(B783-B$3)^2+(C783-C$3)^2+(D783-D$3)^2)</f>
        <v>0.64375611164909396</v>
      </c>
      <c r="G783" s="9">
        <v>0.10010398904040142</v>
      </c>
      <c r="H783" s="9">
        <v>0.11392514876054363</v>
      </c>
      <c r="J783" s="31">
        <v>0.87868210074324715</v>
      </c>
    </row>
    <row r="784" spans="1:10" x14ac:dyDescent="0.3">
      <c r="A784" s="9">
        <v>0.35228561066400299</v>
      </c>
      <c r="B784" s="9">
        <v>0.10141355457232881</v>
      </c>
      <c r="C784" s="9">
        <v>0.24014980952047127</v>
      </c>
      <c r="D784" s="9">
        <v>0.30615102524319693</v>
      </c>
      <c r="E784" s="9">
        <f>SQRT((A784-A$3)^2+(B784-B$3)^2+(C784-C$3)^2+(D784-D$3)^2)</f>
        <v>0.64377545008982684</v>
      </c>
      <c r="G784" s="9">
        <v>8.2016357517949695E-2</v>
      </c>
      <c r="H784" s="9">
        <v>8.8871186151715686E-2</v>
      </c>
      <c r="J784" s="31">
        <v>0.92286781654895622</v>
      </c>
    </row>
    <row r="785" spans="1:10" x14ac:dyDescent="0.3">
      <c r="A785" s="9">
        <v>0.25952993871159075</v>
      </c>
      <c r="B785" s="9">
        <v>0.10132057357790783</v>
      </c>
      <c r="C785" s="9">
        <v>0.52466636269206546</v>
      </c>
      <c r="D785" s="9">
        <v>0.11448312501843608</v>
      </c>
      <c r="E785" s="9">
        <f>SQRT((A785-A$3)^2+(B785-B$3)^2+(C785-C$3)^2+(D785-D$3)^2)</f>
        <v>0.64436660527005396</v>
      </c>
      <c r="G785" s="9">
        <v>8.5223639925012543E-2</v>
      </c>
      <c r="H785" s="9">
        <v>9.7866951833432164E-2</v>
      </c>
      <c r="J785" s="31">
        <v>0.87081122205646788</v>
      </c>
    </row>
    <row r="786" spans="1:10" x14ac:dyDescent="0.3">
      <c r="A786" s="9">
        <v>0.56304495983945713</v>
      </c>
      <c r="B786" s="9">
        <v>0.1532998228545151</v>
      </c>
      <c r="C786" s="9">
        <v>0.16719789043716879</v>
      </c>
      <c r="D786" s="9">
        <v>0.116457326868859</v>
      </c>
      <c r="E786" s="9">
        <f>SQRT((A786-A$3)^2+(B786-B$3)^2+(C786-C$3)^2+(D786-D$3)^2)</f>
        <v>0.64465988611199709</v>
      </c>
      <c r="G786" s="9">
        <v>7.4048062638187181E-2</v>
      </c>
      <c r="H786" s="9">
        <v>7.0507799858459314E-2</v>
      </c>
      <c r="J786" s="31">
        <v>1.0502109381775457</v>
      </c>
    </row>
    <row r="787" spans="1:10" x14ac:dyDescent="0.3">
      <c r="A787" s="9">
        <v>1.4313890483033489E-2</v>
      </c>
      <c r="B787" s="9">
        <v>0.18197791788655907</v>
      </c>
      <c r="C787" s="9">
        <v>0.39505816948088235</v>
      </c>
      <c r="D787" s="9">
        <v>0.40865002214952517</v>
      </c>
      <c r="E787" s="9">
        <f>SQRT((A787-A$3)^2+(B787-B$3)^2+(C787-C$3)^2+(D787-D$3)^2)</f>
        <v>0.64780508534992609</v>
      </c>
      <c r="G787" s="9">
        <v>9.9123413759091825E-2</v>
      </c>
      <c r="H787" s="9">
        <v>0.11365564008420632</v>
      </c>
      <c r="J787" s="31">
        <v>0.87213809790391639</v>
      </c>
    </row>
    <row r="788" spans="1:10" x14ac:dyDescent="0.3">
      <c r="A788" s="9">
        <v>0.29115651698670686</v>
      </c>
      <c r="B788" s="9">
        <v>8.3172483771245712E-2</v>
      </c>
      <c r="C788" s="9">
        <v>0.34040898642031781</v>
      </c>
      <c r="D788" s="9">
        <v>0.28526201282172964</v>
      </c>
      <c r="E788" s="9">
        <f>SQRT((A788-A$3)^2+(B788-B$3)^2+(C788-C$3)^2+(D788-D$3)^2)</f>
        <v>0.64808841225369518</v>
      </c>
      <c r="G788" s="9">
        <v>8.3952132382804245E-2</v>
      </c>
      <c r="H788" s="9">
        <v>9.4560750848273964E-2</v>
      </c>
      <c r="J788" s="31">
        <v>0.88781160925327662</v>
      </c>
    </row>
    <row r="789" spans="1:10" x14ac:dyDescent="0.3">
      <c r="A789" s="9">
        <v>0.42837584302195925</v>
      </c>
      <c r="B789" s="9">
        <v>0.17110192914754724</v>
      </c>
      <c r="C789" s="9">
        <v>5.7418315513550859E-2</v>
      </c>
      <c r="D789" s="9">
        <v>0.34310391231694254</v>
      </c>
      <c r="E789" s="9">
        <f>SQRT((A789-A$3)^2+(B789-B$3)^2+(C789-C$3)^2+(D789-D$3)^2)</f>
        <v>0.64983131529091054</v>
      </c>
      <c r="G789" s="9">
        <v>8.109959180245549E-2</v>
      </c>
      <c r="H789" s="9">
        <v>8.2737350921654532E-2</v>
      </c>
      <c r="J789" s="31">
        <v>0.98020532321913634</v>
      </c>
    </row>
    <row r="790" spans="1:10" x14ac:dyDescent="0.3">
      <c r="A790" s="9">
        <v>5.6714926966582646E-2</v>
      </c>
      <c r="B790" s="9">
        <v>0.19183488706012922</v>
      </c>
      <c r="C790" s="9">
        <v>0.27972202440242055</v>
      </c>
      <c r="D790" s="9">
        <v>0.47172816157086755</v>
      </c>
      <c r="E790" s="9">
        <f>SQRT((A790-A$3)^2+(B790-B$3)^2+(C790-C$3)^2+(D790-D$3)^2)</f>
        <v>0.65017471349630485</v>
      </c>
      <c r="G790" s="9">
        <v>9.7871342989569288E-2</v>
      </c>
      <c r="H790" s="9">
        <v>0.11150860844795103</v>
      </c>
      <c r="J790" s="31">
        <v>0.87770212857828622</v>
      </c>
    </row>
    <row r="791" spans="1:10" x14ac:dyDescent="0.3">
      <c r="A791" s="9">
        <v>0.34967645926064106</v>
      </c>
      <c r="B791" s="9">
        <v>8.2815127672332733E-2</v>
      </c>
      <c r="C791" s="9">
        <v>0.45939469599748023</v>
      </c>
      <c r="D791" s="9">
        <v>0.10811371706954608</v>
      </c>
      <c r="E791" s="9">
        <f>SQRT((A791-A$3)^2+(B791-B$3)^2+(C791-C$3)^2+(D791-D$3)^2)</f>
        <v>0.65086153793265655</v>
      </c>
      <c r="G791" s="9">
        <v>8.0829392891647173E-2</v>
      </c>
      <c r="H791" s="9">
        <v>9.1350070228018138E-2</v>
      </c>
      <c r="J791" s="31">
        <v>0.88483120691521755</v>
      </c>
    </row>
    <row r="792" spans="1:10" x14ac:dyDescent="0.3">
      <c r="A792" s="9">
        <v>0.33963151896272675</v>
      </c>
      <c r="B792" s="9">
        <v>0.1670752257519888</v>
      </c>
      <c r="C792" s="9">
        <v>8.599852470692726E-2</v>
      </c>
      <c r="D792" s="9">
        <v>0.40729473057835719</v>
      </c>
      <c r="E792" s="9">
        <f>SQRT((A792-A$3)^2+(B792-B$3)^2+(C792-C$3)^2+(D792-D$3)^2)</f>
        <v>0.65090171306024924</v>
      </c>
      <c r="G792" s="9">
        <v>8.4948722108926067E-2</v>
      </c>
      <c r="H792" s="9">
        <v>9.060944917440468E-2</v>
      </c>
      <c r="J792" s="31">
        <v>0.93752608456340059</v>
      </c>
    </row>
    <row r="793" spans="1:10" x14ac:dyDescent="0.3">
      <c r="A793" s="9">
        <v>0.40097785672713937</v>
      </c>
      <c r="B793" s="9">
        <v>0.16367271999727295</v>
      </c>
      <c r="C793" s="9">
        <v>7.2307316272766847E-2</v>
      </c>
      <c r="D793" s="9">
        <v>0.3630421070028208</v>
      </c>
      <c r="E793" s="9">
        <f>SQRT((A793-A$3)^2+(B793-B$3)^2+(C793-C$3)^2+(D793-D$3)^2)</f>
        <v>0.65138780944146524</v>
      </c>
      <c r="G793" s="9">
        <v>8.2097077734925999E-2</v>
      </c>
      <c r="H793" s="9">
        <v>8.5249480042797685E-2</v>
      </c>
      <c r="J793" s="31">
        <v>0.96302144826819958</v>
      </c>
    </row>
    <row r="794" spans="1:10" x14ac:dyDescent="0.3">
      <c r="A794" s="9">
        <v>0.35328996028648435</v>
      </c>
      <c r="B794" s="9">
        <v>0.10705570615628056</v>
      </c>
      <c r="C794" s="9">
        <v>0.20418003853351957</v>
      </c>
      <c r="D794" s="9">
        <v>0.33547429502371562</v>
      </c>
      <c r="E794" s="9">
        <f>SQRT((A794-A$3)^2+(B794-B$3)^2+(C794-C$3)^2+(D794-D$3)^2)</f>
        <v>0.65200900264099715</v>
      </c>
      <c r="G794" s="9">
        <v>8.2255383314878749E-2</v>
      </c>
      <c r="H794" s="9">
        <v>8.9252737022337242E-2</v>
      </c>
      <c r="J794" s="31">
        <v>0.92160068205295187</v>
      </c>
    </row>
    <row r="795" spans="1:10" x14ac:dyDescent="0.3">
      <c r="A795" s="9">
        <v>0.36923740571508135</v>
      </c>
      <c r="B795" s="9">
        <v>7.3031760050427899E-2</v>
      </c>
      <c r="C795" s="9">
        <v>0.37191989585514018</v>
      </c>
      <c r="D795" s="9">
        <v>0.18581093837935073</v>
      </c>
      <c r="E795" s="9">
        <f>SQRT((A795-A$3)^2+(B795-B$3)^2+(C795-C$3)^2+(D795-D$3)^2)</f>
        <v>0.6521967982694673</v>
      </c>
      <c r="G795" s="9">
        <v>7.9985741982666586E-2</v>
      </c>
      <c r="H795" s="9">
        <v>8.8933804123796159E-2</v>
      </c>
      <c r="J795" s="31">
        <v>0.8993851412374777</v>
      </c>
    </row>
    <row r="796" spans="1:10" x14ac:dyDescent="0.3">
      <c r="A796" s="9">
        <v>0.36418366125698165</v>
      </c>
      <c r="B796" s="9">
        <v>9.5732114051376757E-2</v>
      </c>
      <c r="C796" s="9">
        <v>0.23289047307679048</v>
      </c>
      <c r="D796" s="9">
        <v>0.30719375161485118</v>
      </c>
      <c r="E796" s="9">
        <f>SQRT((A796-A$3)^2+(B796-B$3)^2+(C796-C$3)^2+(D796-D$3)^2)</f>
        <v>0.65235524753727925</v>
      </c>
      <c r="G796" s="9">
        <v>8.1343083817118814E-2</v>
      </c>
      <c r="H796" s="9">
        <v>8.8402679515858049E-2</v>
      </c>
      <c r="J796" s="31">
        <v>0.92014274072458568</v>
      </c>
    </row>
    <row r="797" spans="1:10" x14ac:dyDescent="0.3">
      <c r="A797" s="9">
        <v>0.3545107845902799</v>
      </c>
      <c r="B797" s="9">
        <v>0.1057362281222707</v>
      </c>
      <c r="C797" s="9">
        <v>0.20651477940752039</v>
      </c>
      <c r="D797" s="9">
        <v>0.33323820787992897</v>
      </c>
      <c r="E797" s="9">
        <f>SQRT((A797-A$3)^2+(B797-B$3)^2+(C797-C$3)^2+(D797-D$3)^2)</f>
        <v>0.65239043863721424</v>
      </c>
      <c r="G797" s="9">
        <v>8.2154985075665682E-2</v>
      </c>
      <c r="H797" s="9">
        <v>8.9175929011850355E-2</v>
      </c>
      <c r="J797" s="31">
        <v>0.92126862019848788</v>
      </c>
    </row>
    <row r="798" spans="1:10" x14ac:dyDescent="0.3">
      <c r="A798" s="9">
        <v>2.7594140048100277E-2</v>
      </c>
      <c r="B798" s="9">
        <v>0.1597805590897528</v>
      </c>
      <c r="C798" s="9">
        <v>0.54480036530587594</v>
      </c>
      <c r="D798" s="9">
        <v>0.26782493555627102</v>
      </c>
      <c r="E798" s="9">
        <f>SQRT((A798-A$3)^2+(B798-B$3)^2+(C798-C$3)^2+(D798-D$3)^2)</f>
        <v>0.65341792269416399</v>
      </c>
      <c r="G798" s="9">
        <v>9.7364099250141639E-2</v>
      </c>
      <c r="H798" s="9">
        <v>0.11287766905630731</v>
      </c>
      <c r="J798" s="31">
        <v>0.86256298578927104</v>
      </c>
    </row>
    <row r="799" spans="1:10" x14ac:dyDescent="0.3">
      <c r="A799" s="9">
        <v>2.7495382792008839E-2</v>
      </c>
      <c r="B799" s="9">
        <v>0.15673427403595785</v>
      </c>
      <c r="C799" s="9">
        <v>0.49050195202373809</v>
      </c>
      <c r="D799" s="9">
        <v>0.3252683911482952</v>
      </c>
      <c r="E799" s="9">
        <f>SQRT((A799-A$3)^2+(B799-B$3)^2+(C799-C$3)^2+(D799-D$3)^2)</f>
        <v>0.65395972232094346</v>
      </c>
      <c r="G799" s="9">
        <v>9.7483424098573024E-2</v>
      </c>
      <c r="H799" s="9">
        <v>0.11310788816605769</v>
      </c>
      <c r="J799" s="31">
        <v>0.86186229518717705</v>
      </c>
    </row>
    <row r="800" spans="1:10" x14ac:dyDescent="0.3">
      <c r="A800" s="9">
        <v>0.38083017838985678</v>
      </c>
      <c r="B800" s="9">
        <v>7.14767655381114E-2</v>
      </c>
      <c r="C800" s="9">
        <v>0.36232056937213514</v>
      </c>
      <c r="D800" s="9">
        <v>0.18537248669989664</v>
      </c>
      <c r="E800" s="9">
        <f>SQRT((A800-A$3)^2+(B800-B$3)^2+(C800-C$3)^2+(D800-D$3)^2)</f>
        <v>0.65493314739213881</v>
      </c>
      <c r="G800" s="9">
        <v>7.944753791674411E-2</v>
      </c>
      <c r="H800" s="9">
        <v>8.8102041476769324E-2</v>
      </c>
      <c r="J800" s="31">
        <v>0.90176727559363956</v>
      </c>
    </row>
    <row r="801" spans="1:10" x14ac:dyDescent="0.3">
      <c r="A801" s="9">
        <v>0.45589787960387684</v>
      </c>
      <c r="B801" s="9">
        <v>9.217071530704192E-2</v>
      </c>
      <c r="C801" s="9">
        <v>0.24614702717748604</v>
      </c>
      <c r="D801" s="9">
        <v>0.20578437791159515</v>
      </c>
      <c r="E801" s="9">
        <f>SQRT((A801-A$3)^2+(B801-B$3)^2+(C801-C$3)^2+(D801-D$3)^2)</f>
        <v>0.65500090690555868</v>
      </c>
      <c r="G801" s="9">
        <v>7.699850137976734E-2</v>
      </c>
      <c r="H801" s="9">
        <v>8.0795499563609319E-2</v>
      </c>
      <c r="J801" s="31">
        <v>0.95300483066073938</v>
      </c>
    </row>
    <row r="802" spans="1:10" x14ac:dyDescent="0.3">
      <c r="A802" s="9">
        <v>0.2789811872383483</v>
      </c>
      <c r="B802" s="9">
        <v>0.11775232782836284</v>
      </c>
      <c r="C802" s="9">
        <v>0.21103971950868386</v>
      </c>
      <c r="D802" s="9">
        <v>0.392226765424605</v>
      </c>
      <c r="E802" s="9">
        <f>SQRT((A802-A$3)^2+(B802-B$3)^2+(C802-C$3)^2+(D802-D$3)^2)</f>
        <v>0.65503043707725772</v>
      </c>
      <c r="G802" s="9">
        <v>8.5924382749303585E-2</v>
      </c>
      <c r="H802" s="9">
        <v>9.5700937351590853E-2</v>
      </c>
      <c r="J802" s="31">
        <v>0.89784264529855462</v>
      </c>
    </row>
    <row r="803" spans="1:10" x14ac:dyDescent="0.3">
      <c r="A803" s="9">
        <v>0.36371364935474998</v>
      </c>
      <c r="B803" s="9">
        <v>7.0157889506943891E-2</v>
      </c>
      <c r="C803" s="9">
        <v>0.37052472773666845</v>
      </c>
      <c r="D803" s="9">
        <v>0.19560373340163784</v>
      </c>
      <c r="E803" s="9">
        <f>SQRT((A803-A$3)^2+(B803-B$3)^2+(C803-C$3)^2+(D803-D$3)^2)</f>
        <v>0.65513063190453147</v>
      </c>
      <c r="G803" s="9">
        <v>8.016533559752477E-2</v>
      </c>
      <c r="H803" s="9">
        <v>8.9544761616949756E-2</v>
      </c>
      <c r="J803" s="31">
        <v>0.89525433034767754</v>
      </c>
    </row>
    <row r="804" spans="1:10" x14ac:dyDescent="0.3">
      <c r="A804" s="9">
        <v>0.48838311749590224</v>
      </c>
      <c r="B804" s="9">
        <v>0.10685815984481566</v>
      </c>
      <c r="C804" s="9">
        <v>0.38338969014642071</v>
      </c>
      <c r="D804" s="9">
        <v>2.1369032512861246E-2</v>
      </c>
      <c r="E804" s="9">
        <f>SQRT((A804-A$3)^2+(B804-B$3)^2+(C804-C$3)^2+(D804-D$3)^2)</f>
        <v>0.65531693556119286</v>
      </c>
      <c r="G804" s="9">
        <v>7.5411616196916831E-2</v>
      </c>
      <c r="H804" s="9">
        <v>8.0421254041067147E-2</v>
      </c>
      <c r="J804" s="31">
        <v>0.93770753883554037</v>
      </c>
    </row>
    <row r="805" spans="1:10" x14ac:dyDescent="0.3">
      <c r="A805" s="9">
        <v>0.29629153481466419</v>
      </c>
      <c r="B805" s="9">
        <v>7.0866872659715821E-2</v>
      </c>
      <c r="C805" s="9">
        <v>0.43216131504491823</v>
      </c>
      <c r="D805" s="9">
        <v>0.2006802774807018</v>
      </c>
      <c r="E805" s="9">
        <f>SQRT((A805-A$3)^2+(B805-B$3)^2+(C805-C$3)^2+(D805-D$3)^2)</f>
        <v>0.656541792436243</v>
      </c>
      <c r="G805" s="9">
        <v>8.304693547172444E-2</v>
      </c>
      <c r="H805" s="9">
        <v>9.5346379421061653E-2</v>
      </c>
      <c r="J805" s="31">
        <v>0.87100250660781453</v>
      </c>
    </row>
    <row r="806" spans="1:10" x14ac:dyDescent="0.3">
      <c r="A806" s="9">
        <v>0.22326710765630728</v>
      </c>
      <c r="B806" s="9">
        <v>8.3856600922297131E-2</v>
      </c>
      <c r="C806" s="9">
        <v>0.38910643249168692</v>
      </c>
      <c r="D806" s="9">
        <v>0.3037698589297087</v>
      </c>
      <c r="E806" s="9">
        <f>SQRT((A806-A$3)^2+(B806-B$3)^2+(C806-C$3)^2+(D806-D$3)^2)</f>
        <v>0.65675300870125686</v>
      </c>
      <c r="G806" s="9">
        <v>8.6901608334074704E-2</v>
      </c>
      <c r="H806" s="9">
        <v>0.10050082412962216</v>
      </c>
      <c r="J806" s="31">
        <v>0.86468552956334266</v>
      </c>
    </row>
    <row r="807" spans="1:10" x14ac:dyDescent="0.3">
      <c r="A807" s="9">
        <v>0.38341043446170259</v>
      </c>
      <c r="B807" s="9">
        <v>7.0221953442533375E-2</v>
      </c>
      <c r="C807" s="9">
        <v>0.35049246071375073</v>
      </c>
      <c r="D807" s="9">
        <v>0.19587515138201325</v>
      </c>
      <c r="E807" s="9">
        <f>SQRT((A807-A$3)^2+(B807-B$3)^2+(C807-C$3)^2+(D807-D$3)^2)</f>
        <v>0.65690343738607659</v>
      </c>
      <c r="G807" s="9">
        <v>7.9338281840908326E-2</v>
      </c>
      <c r="H807" s="9">
        <v>8.7901541210857109E-2</v>
      </c>
      <c r="J807" s="31">
        <v>0.90258123746195362</v>
      </c>
    </row>
    <row r="808" spans="1:10" x14ac:dyDescent="0.3">
      <c r="A808" s="9">
        <v>0.17696741099023408</v>
      </c>
      <c r="B808" s="9">
        <v>9.6982647717062831E-2</v>
      </c>
      <c r="C808" s="9">
        <v>0.39164007396007161</v>
      </c>
      <c r="D808" s="9">
        <v>0.33440986733263162</v>
      </c>
      <c r="E808" s="9">
        <f>SQRT((A808-A$3)^2+(B808-B$3)^2+(C808-C$3)^2+(D808-D$3)^2)</f>
        <v>0.65728537614410432</v>
      </c>
      <c r="G808" s="9">
        <v>8.9370256822434768E-2</v>
      </c>
      <c r="H808" s="9">
        <v>0.10387254774107885</v>
      </c>
      <c r="J808" s="31">
        <v>0.86038379500622564</v>
      </c>
    </row>
    <row r="809" spans="1:10" x14ac:dyDescent="0.3">
      <c r="A809" s="9">
        <v>0.19020840667734601</v>
      </c>
      <c r="B809" s="9">
        <v>9.9122775909652822E-2</v>
      </c>
      <c r="C809" s="9">
        <v>0.35295805356779741</v>
      </c>
      <c r="D809" s="9">
        <v>0.35771076384520367</v>
      </c>
      <c r="E809" s="9">
        <f>SQRT((A809-A$3)^2+(B809-B$3)^2+(C809-C$3)^2+(D809-D$3)^2)</f>
        <v>0.65773178326904169</v>
      </c>
      <c r="G809" s="9">
        <v>8.8963385197021655E-2</v>
      </c>
      <c r="H809" s="9">
        <v>0.10288195432571359</v>
      </c>
      <c r="J809" s="31">
        <v>0.86471321214770869</v>
      </c>
    </row>
    <row r="810" spans="1:10" x14ac:dyDescent="0.3">
      <c r="A810" s="9">
        <v>0.37059596785272519</v>
      </c>
      <c r="B810" s="9">
        <v>0.20031727066202459</v>
      </c>
      <c r="C810" s="9">
        <v>1.2845429288483767E-2</v>
      </c>
      <c r="D810" s="9">
        <v>0.41624133219676634</v>
      </c>
      <c r="E810" s="9">
        <f>SQRT((A810-A$3)^2+(B810-B$3)^2+(C810-C$3)^2+(D810-D$3)^2)</f>
        <v>0.65965175703920931</v>
      </c>
      <c r="G810" s="9">
        <v>8.4704441972722574E-2</v>
      </c>
      <c r="H810" s="9">
        <v>8.8962379192962598E-2</v>
      </c>
      <c r="J810" s="31">
        <v>0.95213777712706615</v>
      </c>
    </row>
    <row r="811" spans="1:10" x14ac:dyDescent="0.3">
      <c r="A811" s="9">
        <v>0.27020715110133847</v>
      </c>
      <c r="B811" s="9">
        <v>9.5775541246150092E-2</v>
      </c>
      <c r="C811" s="9">
        <v>0.26888578870364138</v>
      </c>
      <c r="D811" s="9">
        <v>0.36513151894887003</v>
      </c>
      <c r="E811" s="9">
        <f>SQRT((A811-A$3)^2+(B811-B$3)^2+(C811-C$3)^2+(D811-D$3)^2)</f>
        <v>0.65972673921815417</v>
      </c>
      <c r="G811" s="9">
        <v>8.5515770507513716E-2</v>
      </c>
      <c r="H811" s="9">
        <v>9.6759211766625164E-2</v>
      </c>
      <c r="J811" s="31">
        <v>0.88379978449773178</v>
      </c>
    </row>
    <row r="812" spans="1:10" x14ac:dyDescent="0.3">
      <c r="A812" s="9">
        <v>0.4245071340140083</v>
      </c>
      <c r="B812" s="9">
        <v>7.2009539990399232E-2</v>
      </c>
      <c r="C812" s="9">
        <v>0.32791211311205898</v>
      </c>
      <c r="D812" s="9">
        <v>0.17557121288353347</v>
      </c>
      <c r="E812" s="9">
        <f>SQRT((A812-A$3)^2+(B812-B$3)^2+(C812-C$3)^2+(D812-D$3)^2)</f>
        <v>0.66107806787119971</v>
      </c>
      <c r="G812" s="9">
        <v>7.7587739983280085E-2</v>
      </c>
      <c r="H812" s="9">
        <v>8.4637183096606838E-2</v>
      </c>
      <c r="J812" s="31">
        <v>0.91670985664444482</v>
      </c>
    </row>
    <row r="813" spans="1:10" x14ac:dyDescent="0.3">
      <c r="A813" s="9">
        <v>0.20313514220815812</v>
      </c>
      <c r="B813" s="9">
        <v>9.1843335249800775E-2</v>
      </c>
      <c r="C813" s="9">
        <v>0.53423503505412573</v>
      </c>
      <c r="D813" s="9">
        <v>0.17078648748791525</v>
      </c>
      <c r="E813" s="9">
        <f>SQRT((A813-A$3)^2+(B813-B$3)^2+(C813-C$3)^2+(D813-D$3)^2)</f>
        <v>0.66114118795053178</v>
      </c>
      <c r="G813" s="9">
        <v>8.7512262159030657E-2</v>
      </c>
      <c r="H813" s="9">
        <v>0.10283731531207202</v>
      </c>
      <c r="J813" s="31">
        <v>0.85097770097813552</v>
      </c>
    </row>
    <row r="814" spans="1:10" x14ac:dyDescent="0.3">
      <c r="A814" s="9">
        <v>0.20607358862233799</v>
      </c>
      <c r="B814" s="9">
        <v>0.12181368126977635</v>
      </c>
      <c r="C814" s="9">
        <v>0.25040268546022826</v>
      </c>
      <c r="D814" s="9">
        <v>0.42171004464765738</v>
      </c>
      <c r="E814" s="9">
        <f>SQRT((A814-A$3)^2+(B814-B$3)^2+(C814-C$3)^2+(D814-D$3)^2)</f>
        <v>0.66115244152992936</v>
      </c>
      <c r="G814" s="9">
        <v>8.9229763407595142E-2</v>
      </c>
      <c r="H814" s="9">
        <v>0.10185646758707793</v>
      </c>
      <c r="J814" s="31">
        <v>0.87603434049302642</v>
      </c>
    </row>
    <row r="815" spans="1:10" x14ac:dyDescent="0.3">
      <c r="A815" s="9">
        <v>0.27428390860878127</v>
      </c>
      <c r="B815" s="9">
        <v>7.4406921018064023E-2</v>
      </c>
      <c r="C815" s="9">
        <v>0.3498757636090209</v>
      </c>
      <c r="D815" s="9">
        <v>0.30143340676413388</v>
      </c>
      <c r="E815" s="9">
        <f>SQRT((A815-A$3)^2+(B815-B$3)^2+(C815-C$3)^2+(D815-D$3)^2)</f>
        <v>0.66116574536208461</v>
      </c>
      <c r="G815" s="9">
        <v>8.4451024602632416E-2</v>
      </c>
      <c r="H815" s="9">
        <v>9.6789228543030972E-2</v>
      </c>
      <c r="J815" s="31">
        <v>0.87252503066585363</v>
      </c>
    </row>
    <row r="816" spans="1:10" x14ac:dyDescent="0.3">
      <c r="A816" s="9">
        <v>0.26340643039505196</v>
      </c>
      <c r="B816" s="9">
        <v>7.1575406252091481E-2</v>
      </c>
      <c r="C816" s="9">
        <v>0.38712855294214693</v>
      </c>
      <c r="D816" s="9">
        <v>0.27788961041070959</v>
      </c>
      <c r="E816" s="9">
        <f>SQRT((A816-A$3)^2+(B816-B$3)^2+(C816-C$3)^2+(D816-D$3)^2)</f>
        <v>0.66140539013594668</v>
      </c>
      <c r="G816" s="9">
        <v>8.4736032106906875E-2</v>
      </c>
      <c r="H816" s="9">
        <v>9.7821821543913209E-2</v>
      </c>
      <c r="J816" s="31">
        <v>0.86622831970950376</v>
      </c>
    </row>
    <row r="817" spans="1:10" x14ac:dyDescent="0.3">
      <c r="A817" s="9">
        <v>0.18324243021955028</v>
      </c>
      <c r="B817" s="9">
        <v>9.6036854929722332E-2</v>
      </c>
      <c r="C817" s="9">
        <v>0.36515565718490128</v>
      </c>
      <c r="D817" s="9">
        <v>0.35556505766582602</v>
      </c>
      <c r="E817" s="9">
        <f>SQRT((A817-A$3)^2+(B817-B$3)^2+(C817-C$3)^2+(D817-D$3)^2)</f>
        <v>0.66172622527685765</v>
      </c>
      <c r="G817" s="9">
        <v>8.9153684408373957E-2</v>
      </c>
      <c r="H817" s="9">
        <v>0.10367388802334722</v>
      </c>
      <c r="J817" s="31">
        <v>0.85994348343815052</v>
      </c>
    </row>
    <row r="818" spans="1:10" x14ac:dyDescent="0.3">
      <c r="A818" s="9">
        <v>0.29709061579347479</v>
      </c>
      <c r="B818" s="9">
        <v>7.6675085155863326E-2</v>
      </c>
      <c r="C818" s="9">
        <v>0.31072027769885868</v>
      </c>
      <c r="D818" s="9">
        <v>0.31551402135180312</v>
      </c>
      <c r="E818" s="9">
        <f>SQRT((A818-A$3)^2+(B818-B$3)^2+(C818-C$3)^2+(D818-D$3)^2)</f>
        <v>0.66236485369916032</v>
      </c>
      <c r="G818" s="9">
        <v>8.3611407210032421E-2</v>
      </c>
      <c r="H818" s="9">
        <v>9.4903728312101213E-2</v>
      </c>
      <c r="J818" s="31">
        <v>0.88101288218169083</v>
      </c>
    </row>
    <row r="819" spans="1:10" x14ac:dyDescent="0.3">
      <c r="A819" s="9">
        <v>0.5390527879534025</v>
      </c>
      <c r="B819" s="9">
        <v>0.11141663605824206</v>
      </c>
      <c r="C819" s="9">
        <v>0.23176856207485771</v>
      </c>
      <c r="D819" s="9">
        <v>0.11776201391349782</v>
      </c>
      <c r="E819" s="9">
        <f>SQRT((A819-A$3)^2+(B819-B$3)^2+(C819-C$3)^2+(D819-D$3)^2)</f>
        <v>0.66258834486795404</v>
      </c>
      <c r="G819" s="9">
        <v>7.3768680110417609E-2</v>
      </c>
      <c r="H819" s="9">
        <v>7.4262088479810084E-2</v>
      </c>
      <c r="J819" s="31">
        <v>0.99335585115510694</v>
      </c>
    </row>
    <row r="820" spans="1:10" x14ac:dyDescent="0.3">
      <c r="A820" s="9">
        <v>0.30798640296733837</v>
      </c>
      <c r="B820" s="9">
        <v>6.555580686586876E-2</v>
      </c>
      <c r="C820" s="9">
        <v>0.44496728040231481</v>
      </c>
      <c r="D820" s="9">
        <v>0.18149050976447817</v>
      </c>
      <c r="E820" s="9">
        <f>SQRT((A820-A$3)^2+(B820-B$3)^2+(C820-C$3)^2+(D820-D$3)^2)</f>
        <v>0.6633254701587743</v>
      </c>
      <c r="G820" s="9">
        <v>8.2319935593263532E-2</v>
      </c>
      <c r="H820" s="9">
        <v>9.5054556377235061E-2</v>
      </c>
      <c r="J820" s="31">
        <v>0.8660282971240989</v>
      </c>
    </row>
    <row r="821" spans="1:10" x14ac:dyDescent="0.3">
      <c r="A821" s="9">
        <v>0.15948320751849912</v>
      </c>
      <c r="B821" s="9">
        <v>0.10554862708068788</v>
      </c>
      <c r="C821" s="9">
        <v>0.35554629712720753</v>
      </c>
      <c r="D821" s="9">
        <v>0.37942186827360547</v>
      </c>
      <c r="E821" s="9">
        <f>SQRT((A821-A$3)^2+(B821-B$3)^2+(C821-C$3)^2+(D821-D$3)^2)</f>
        <v>0.66364758253062417</v>
      </c>
      <c r="G821" s="9">
        <v>9.0535987186662392E-2</v>
      </c>
      <c r="H821" s="9">
        <v>0.10547879655435687</v>
      </c>
      <c r="J821" s="31">
        <v>0.85833352431174237</v>
      </c>
    </row>
    <row r="822" spans="1:10" x14ac:dyDescent="0.3">
      <c r="A822" s="9">
        <v>0.16787940929003128</v>
      </c>
      <c r="B822" s="9">
        <v>9.3587088794214554E-2</v>
      </c>
      <c r="C822" s="9">
        <v>0.39806173397862205</v>
      </c>
      <c r="D822" s="9">
        <v>0.34047176793713219</v>
      </c>
      <c r="E822" s="9">
        <f>SQRT((A822-A$3)^2+(B822-B$3)^2+(C822-C$3)^2+(D822-D$3)^2)</f>
        <v>0.66463656824146888</v>
      </c>
      <c r="G822" s="9">
        <v>8.9670317624984952E-2</v>
      </c>
      <c r="H822" s="9">
        <v>0.10501840754519914</v>
      </c>
      <c r="J822" s="31">
        <v>0.8538533360105609</v>
      </c>
    </row>
    <row r="823" spans="1:10" x14ac:dyDescent="0.3">
      <c r="A823" s="9">
        <v>0.34022342233645181</v>
      </c>
      <c r="B823" s="9">
        <v>9.6821852586970375E-2</v>
      </c>
      <c r="C823" s="9">
        <v>0.21125334224904993</v>
      </c>
      <c r="D823" s="9">
        <v>0.35170138282752778</v>
      </c>
      <c r="E823" s="9">
        <f>SQRT((A823-A$3)^2+(B823-B$3)^2+(C823-C$3)^2+(D823-D$3)^2)</f>
        <v>0.66464407249572688</v>
      </c>
      <c r="G823" s="9">
        <v>8.2548685900081756E-2</v>
      </c>
      <c r="H823" s="9">
        <v>9.121730890358519E-2</v>
      </c>
      <c r="J823" s="31">
        <v>0.90496734547753444</v>
      </c>
    </row>
    <row r="824" spans="1:10" x14ac:dyDescent="0.3">
      <c r="A824" s="9">
        <v>0.43959532699624726</v>
      </c>
      <c r="B824" s="9">
        <v>7.336931467713162E-2</v>
      </c>
      <c r="C824" s="9">
        <v>0.38510187161613008</v>
      </c>
      <c r="D824" s="9">
        <v>0.10193348671049093</v>
      </c>
      <c r="E824" s="9">
        <f>SQRT((A824-A$3)^2+(B824-B$3)^2+(C824-C$3)^2+(D824-D$3)^2)</f>
        <v>0.66613260899535609</v>
      </c>
      <c r="G824" s="9">
        <v>7.6725583141760756E-2</v>
      </c>
      <c r="H824" s="9">
        <v>8.4627858154278979E-2</v>
      </c>
      <c r="J824" s="31">
        <v>0.90662324221756685</v>
      </c>
    </row>
    <row r="825" spans="1:10" x14ac:dyDescent="0.3">
      <c r="A825" s="9">
        <v>0.41454536677457193</v>
      </c>
      <c r="B825" s="9">
        <v>7.402316039645189E-2</v>
      </c>
      <c r="C825" s="9">
        <v>0.42760941554659204</v>
      </c>
      <c r="D825" s="9">
        <v>8.3822057282384024E-2</v>
      </c>
      <c r="E825" s="9">
        <f>SQRT((A825-A$3)^2+(B825-B$3)^2+(C825-C$3)^2+(D825-D$3)^2)</f>
        <v>0.66630308262605475</v>
      </c>
      <c r="G825" s="9">
        <v>7.7735398672441003E-2</v>
      </c>
      <c r="H825" s="9">
        <v>8.7207384475586611E-2</v>
      </c>
      <c r="J825" s="31">
        <v>0.89138550754498025</v>
      </c>
    </row>
    <row r="826" spans="1:10" x14ac:dyDescent="0.3">
      <c r="A826" s="9">
        <v>0.30442442662873537</v>
      </c>
      <c r="B826" s="9">
        <v>8.9140934809656694E-2</v>
      </c>
      <c r="C826" s="9">
        <v>0.2488856373326537</v>
      </c>
      <c r="D826" s="9">
        <v>0.35754900122895411</v>
      </c>
      <c r="E826" s="9">
        <f>SQRT((A826-A$3)^2+(B826-B$3)^2+(C826-C$3)^2+(D826-D$3)^2)</f>
        <v>0.66644963115600853</v>
      </c>
      <c r="G826" s="9">
        <v>8.3841051305287864E-2</v>
      </c>
      <c r="H826" s="9">
        <v>9.4394584402468035E-2</v>
      </c>
      <c r="J826" s="31">
        <v>0.88819768460250526</v>
      </c>
    </row>
    <row r="827" spans="1:10" x14ac:dyDescent="0.3">
      <c r="A827" s="9">
        <v>0.27851476984500517</v>
      </c>
      <c r="B827" s="9">
        <v>0.20273462558093799</v>
      </c>
      <c r="C827" s="9">
        <v>4.1098683424797139E-2</v>
      </c>
      <c r="D827" s="9">
        <v>0.4776519211492597</v>
      </c>
      <c r="E827" s="9">
        <f>SQRT((A827-A$3)^2+(B827-B$3)^2+(C827-C$3)^2+(D827-D$3)^2)</f>
        <v>0.66664042826606951</v>
      </c>
      <c r="G827" s="9">
        <v>8.8883327353659128E-2</v>
      </c>
      <c r="H827" s="9">
        <v>9.7142852201474839E-2</v>
      </c>
      <c r="J827" s="31">
        <v>0.91497547518282241</v>
      </c>
    </row>
    <row r="828" spans="1:10" x14ac:dyDescent="0.3">
      <c r="A828" s="9">
        <v>0.22073897017358715</v>
      </c>
      <c r="B828" s="9">
        <v>0.14327902344688132</v>
      </c>
      <c r="C828" s="9">
        <v>0.1788879698305188</v>
      </c>
      <c r="D828" s="9">
        <v>0.45709403654901271</v>
      </c>
      <c r="E828" s="9">
        <f>SQRT((A828-A$3)^2+(B828-B$3)^2+(C828-C$3)^2+(D828-D$3)^2)</f>
        <v>0.66715154978791058</v>
      </c>
      <c r="G828" s="9">
        <v>8.9404508361116561E-2</v>
      </c>
      <c r="H828" s="9">
        <v>0.10122110078926301</v>
      </c>
      <c r="J828" s="31">
        <v>0.88325959374075602</v>
      </c>
    </row>
    <row r="829" spans="1:10" x14ac:dyDescent="0.3">
      <c r="A829" s="9">
        <v>0.47282325049996199</v>
      </c>
      <c r="B829" s="9">
        <v>7.6894808310867244E-2</v>
      </c>
      <c r="C829" s="9">
        <v>0.32141037981452669</v>
      </c>
      <c r="D829" s="9">
        <v>0.12887156137464414</v>
      </c>
      <c r="E829" s="9">
        <f>SQRT((A829-A$3)^2+(B829-B$3)^2+(C829-C$3)^2+(D829-D$3)^2)</f>
        <v>0.66770319924815313</v>
      </c>
      <c r="G829" s="9">
        <v>7.5532557447105603E-2</v>
      </c>
      <c r="H829" s="9">
        <v>8.1144861685273018E-2</v>
      </c>
      <c r="J829" s="31">
        <v>0.93083598737360362</v>
      </c>
    </row>
    <row r="830" spans="1:10" x14ac:dyDescent="0.3">
      <c r="A830" s="9">
        <v>0.43870889463334389</v>
      </c>
      <c r="B830" s="9">
        <v>0.12312605995925693</v>
      </c>
      <c r="C830" s="9">
        <v>0.1191088574258122</v>
      </c>
      <c r="D830" s="9">
        <v>0.31905618798158691</v>
      </c>
      <c r="E830" s="9">
        <f>SQRT((A830-A$3)^2+(B830-B$3)^2+(C830-C$3)^2+(D830-D$3)^2)</f>
        <v>0.66805247108230359</v>
      </c>
      <c r="G830" s="9">
        <v>7.9092933180176003E-2</v>
      </c>
      <c r="H830" s="9">
        <v>8.275367422324223E-2</v>
      </c>
      <c r="J830" s="31">
        <v>0.95576340171687424</v>
      </c>
    </row>
    <row r="831" spans="1:10" x14ac:dyDescent="0.3">
      <c r="A831" s="9">
        <v>0.52404300004993953</v>
      </c>
      <c r="B831" s="9">
        <v>9.7440185188050851E-2</v>
      </c>
      <c r="C831" s="9">
        <v>0.23676929015484632</v>
      </c>
      <c r="D831" s="9">
        <v>0.14174752460716333</v>
      </c>
      <c r="E831" s="9">
        <f>SQRT((A831-A$3)^2+(B831-B$3)^2+(C831-C$3)^2+(D831-D$3)^2)</f>
        <v>0.66959903290517242</v>
      </c>
      <c r="G831" s="9">
        <v>7.4056414828127914E-2</v>
      </c>
      <c r="H831" s="9">
        <v>7.5967541514175396E-2</v>
      </c>
      <c r="J831" s="31">
        <v>0.97484285198710996</v>
      </c>
    </row>
    <row r="832" spans="1:10" x14ac:dyDescent="0.3">
      <c r="A832" s="9">
        <v>6.8232706460391868E-2</v>
      </c>
      <c r="B832" s="9">
        <v>0.1232055024922553</v>
      </c>
      <c r="C832" s="9">
        <v>0.48237909747407648</v>
      </c>
      <c r="D832" s="9">
        <v>0.32618269357327634</v>
      </c>
      <c r="E832" s="9">
        <f>SQRT((A832-A$3)^2+(B832-B$3)^2+(C832-C$3)^2+(D832-D$3)^2)</f>
        <v>0.66972041227898982</v>
      </c>
      <c r="G832" s="9">
        <v>9.473325947718883E-2</v>
      </c>
      <c r="H832" s="9">
        <v>0.11188569119334742</v>
      </c>
      <c r="J832" s="31">
        <v>0.84669682482885311</v>
      </c>
    </row>
    <row r="833" spans="1:10" x14ac:dyDescent="0.3">
      <c r="A833" s="9">
        <v>0.26496148044913864</v>
      </c>
      <c r="B833" s="9">
        <v>8.825690221538636E-2</v>
      </c>
      <c r="C833" s="9">
        <v>0.26973433422246401</v>
      </c>
      <c r="D833" s="9">
        <v>0.37704728311301094</v>
      </c>
      <c r="E833" s="9">
        <f>SQRT((A833-A$3)^2+(B833-B$3)^2+(C833-C$3)^2+(D833-D$3)^2)</f>
        <v>0.67143657958582326</v>
      </c>
      <c r="G833" s="9">
        <v>8.554775122726857E-2</v>
      </c>
      <c r="H833" s="9">
        <v>9.7959546450480536E-2</v>
      </c>
      <c r="J833" s="31">
        <v>0.87329672632277611</v>
      </c>
    </row>
    <row r="834" spans="1:10" x14ac:dyDescent="0.3">
      <c r="A834" s="9">
        <v>0.36803124910194046</v>
      </c>
      <c r="B834" s="9">
        <v>6.4428459093499618E-2</v>
      </c>
      <c r="C834" s="9">
        <v>0.29469201953361668</v>
      </c>
      <c r="D834" s="9">
        <v>0.27284827227094327</v>
      </c>
      <c r="E834" s="9">
        <f>SQRT((A834-A$3)^2+(B834-B$3)^2+(C834-C$3)^2+(D834-D$3)^2)</f>
        <v>0.6717297090301142</v>
      </c>
      <c r="G834" s="9">
        <v>8.008775206331406E-2</v>
      </c>
      <c r="H834" s="9">
        <v>8.9664376059835751E-2</v>
      </c>
      <c r="J834" s="31">
        <v>0.89319477347245557</v>
      </c>
    </row>
    <row r="835" spans="1:10" x14ac:dyDescent="0.3">
      <c r="A835" s="9">
        <v>0.22169117002900018</v>
      </c>
      <c r="B835" s="9">
        <v>9.8448555048463407E-2</v>
      </c>
      <c r="C835" s="9">
        <v>0.27502804080983179</v>
      </c>
      <c r="D835" s="9">
        <v>0.40483223411270469</v>
      </c>
      <c r="E835" s="9">
        <f>SQRT((A835-A$3)^2+(B835-B$3)^2+(C835-C$3)^2+(D835-D$3)^2)</f>
        <v>0.67336310137808431</v>
      </c>
      <c r="G835" s="9">
        <v>8.7787593907940928E-2</v>
      </c>
      <c r="H835" s="9">
        <v>0.10147847634583497</v>
      </c>
      <c r="J835" s="31">
        <v>0.86508584942450251</v>
      </c>
    </row>
    <row r="836" spans="1:10" x14ac:dyDescent="0.3">
      <c r="A836" s="9">
        <v>0.38312801441388383</v>
      </c>
      <c r="B836" s="9">
        <v>8.8822053530213552E-2</v>
      </c>
      <c r="C836" s="9">
        <v>0.51292847139354192</v>
      </c>
      <c r="D836" s="9">
        <v>1.5121460662360761E-2</v>
      </c>
      <c r="E836" s="9">
        <f>SQRT((A836-A$3)^2+(B836-B$3)^2+(C836-C$3)^2+(D836-D$3)^2)</f>
        <v>0.67338646035946226</v>
      </c>
      <c r="G836" s="9">
        <v>7.9266566535185976E-2</v>
      </c>
      <c r="H836" s="9">
        <v>9.1354084238769964E-2</v>
      </c>
      <c r="J836" s="31">
        <v>0.86768497758686813</v>
      </c>
    </row>
    <row r="837" spans="1:10" x14ac:dyDescent="0.3">
      <c r="A837" s="9">
        <v>0.60084749602919418</v>
      </c>
      <c r="B837" s="9">
        <v>0.16419552703819112</v>
      </c>
      <c r="C837" s="9">
        <v>9.371162677808241E-2</v>
      </c>
      <c r="D837" s="9">
        <v>0.14124535015453232</v>
      </c>
      <c r="E837" s="9">
        <f>SQRT((A837-A$3)^2+(B837-B$3)^2+(C837-C$3)^2+(D837-D$3)^2)</f>
        <v>0.67340366383453798</v>
      </c>
      <c r="G837" s="9">
        <v>7.2882337923701759E-2</v>
      </c>
      <c r="H837" s="9">
        <v>6.8773257900692511E-2</v>
      </c>
      <c r="J837" s="31">
        <v>1.0597482240690517</v>
      </c>
    </row>
    <row r="838" spans="1:10" x14ac:dyDescent="0.3">
      <c r="A838" s="9">
        <v>0.50977928524714278</v>
      </c>
      <c r="B838" s="9">
        <v>8.4256791547548324E-2</v>
      </c>
      <c r="C838" s="9">
        <v>0.31520382887952414</v>
      </c>
      <c r="D838" s="9">
        <v>9.0760094325784732E-2</v>
      </c>
      <c r="E838" s="9">
        <f>SQRT((A838-A$3)^2+(B838-B$3)^2+(C838-C$3)^2+(D838-D$3)^2)</f>
        <v>0.67384295992880561</v>
      </c>
      <c r="G838" s="9">
        <v>7.4063979472850067E-2</v>
      </c>
      <c r="H838" s="9">
        <v>7.8601185275236463E-2</v>
      </c>
      <c r="J838" s="31">
        <v>0.94227560581308623</v>
      </c>
    </row>
    <row r="839" spans="1:10" x14ac:dyDescent="0.3">
      <c r="A839" s="9">
        <v>0.30084872838038584</v>
      </c>
      <c r="B839" s="9">
        <v>8.4941607057112622E-2</v>
      </c>
      <c r="C839" s="9">
        <v>0.55115961997116913</v>
      </c>
      <c r="D839" s="9">
        <v>6.3050044591332441E-2</v>
      </c>
      <c r="E839" s="9">
        <f>SQRT((A839-A$3)^2+(B839-B$3)^2+(C839-C$3)^2+(D839-D$3)^2)</f>
        <v>0.67384806612990689</v>
      </c>
      <c r="G839" s="9">
        <v>8.278851128920621E-2</v>
      </c>
      <c r="H839" s="9">
        <v>9.7380128006837582E-2</v>
      </c>
      <c r="J839" s="31">
        <v>0.85015816865010885</v>
      </c>
    </row>
    <row r="840" spans="1:10" x14ac:dyDescent="0.3">
      <c r="A840" s="9">
        <v>0.26612219903566525</v>
      </c>
      <c r="B840" s="9">
        <v>0.20807706891632102</v>
      </c>
      <c r="C840" s="9">
        <v>3.2255068629659461E-2</v>
      </c>
      <c r="D840" s="9">
        <v>0.49354566341835426</v>
      </c>
      <c r="E840" s="9">
        <f>SQRT((A840-A$3)^2+(B840-B$3)^2+(C840-C$3)^2+(D840-D$3)^2)</f>
        <v>0.67425564225416534</v>
      </c>
      <c r="G840" s="9">
        <v>8.9628685724966517E-2</v>
      </c>
      <c r="H840" s="9">
        <v>9.8734494133916523E-2</v>
      </c>
      <c r="J840" s="31">
        <v>0.90777480060211246</v>
      </c>
    </row>
    <row r="841" spans="1:10" x14ac:dyDescent="0.3">
      <c r="A841" s="9">
        <v>0.49878185397371261</v>
      </c>
      <c r="B841" s="9">
        <v>8.4215230160566271E-2</v>
      </c>
      <c r="C841" s="9">
        <v>0.2351051105164019</v>
      </c>
      <c r="D841" s="9">
        <v>0.18189780534931932</v>
      </c>
      <c r="E841" s="9">
        <f>SQRT((A841-A$3)^2+(B841-B$3)^2+(C841-C$3)^2+(D841-D$3)^2)</f>
        <v>0.67549241235434054</v>
      </c>
      <c r="G841" s="9">
        <v>7.4858297248076702E-2</v>
      </c>
      <c r="H841" s="9">
        <v>7.8410553424245605E-2</v>
      </c>
      <c r="J841" s="31">
        <v>0.95469670827408681</v>
      </c>
    </row>
    <row r="842" spans="1:10" x14ac:dyDescent="0.3">
      <c r="A842" s="9">
        <v>0.40980472453126959</v>
      </c>
      <c r="B842" s="9">
        <v>5.7477503641331681E-2</v>
      </c>
      <c r="C842" s="9">
        <v>0.32137058986373557</v>
      </c>
      <c r="D842" s="9">
        <v>0.21134718196366314</v>
      </c>
      <c r="E842" s="9">
        <f>SQRT((A842-A$3)^2+(B842-B$3)^2+(C842-C$3)^2+(D842-D$3)^2)</f>
        <v>0.67600260155951986</v>
      </c>
      <c r="G842" s="9">
        <v>7.7888313951118365E-2</v>
      </c>
      <c r="H842" s="9">
        <v>8.6739019575287832E-2</v>
      </c>
      <c r="J842" s="31">
        <v>0.89796165938344252</v>
      </c>
    </row>
    <row r="843" spans="1:10" x14ac:dyDescent="0.3">
      <c r="A843" s="9">
        <v>0.4789810256335284</v>
      </c>
      <c r="B843" s="9">
        <v>7.2072790774206391E-2</v>
      </c>
      <c r="C843" s="9">
        <v>0.28338751499318154</v>
      </c>
      <c r="D843" s="9">
        <v>0.16555866859908366</v>
      </c>
      <c r="E843" s="9">
        <f>SQRT((A843-A$3)^2+(B843-B$3)^2+(C843-C$3)^2+(D843-D$3)^2)</f>
        <v>0.6761005873664101</v>
      </c>
      <c r="G843" s="9">
        <v>7.5257669041565819E-2</v>
      </c>
      <c r="H843" s="9">
        <v>8.0654724698411479E-2</v>
      </c>
      <c r="J843" s="31">
        <v>0.93308444512052302</v>
      </c>
    </row>
    <row r="844" spans="1:10" x14ac:dyDescent="0.3">
      <c r="A844" s="9">
        <v>0.31164899732338164</v>
      </c>
      <c r="B844" s="9">
        <v>5.2732653874977255E-2</v>
      </c>
      <c r="C844" s="9">
        <v>0.3846685803542475</v>
      </c>
      <c r="D844" s="9">
        <v>0.25094976844739353</v>
      </c>
      <c r="E844" s="9">
        <f>SQRT((A844-A$3)^2+(B844-B$3)^2+(C844-C$3)^2+(D844-D$3)^2)</f>
        <v>0.67671977847972786</v>
      </c>
      <c r="G844" s="9">
        <v>8.20222170768726E-2</v>
      </c>
      <c r="H844" s="9">
        <v>9.5159152169949746E-2</v>
      </c>
      <c r="J844" s="31">
        <v>0.86194774970656318</v>
      </c>
    </row>
    <row r="845" spans="1:10" x14ac:dyDescent="0.3">
      <c r="A845" s="9">
        <v>0.35255140400228369</v>
      </c>
      <c r="B845" s="9">
        <v>5.3095655946937922E-2</v>
      </c>
      <c r="C845" s="9">
        <v>0.34162386369754688</v>
      </c>
      <c r="D845" s="9">
        <v>0.25272907635323161</v>
      </c>
      <c r="E845" s="9">
        <f>SQRT((A845-A$3)^2+(B845-B$3)^2+(C845-C$3)^2+(D845-D$3)^2)</f>
        <v>0.67753974998007893</v>
      </c>
      <c r="G845" s="9">
        <v>8.0316296760647277E-2</v>
      </c>
      <c r="H845" s="9">
        <v>9.1658886797529482E-2</v>
      </c>
      <c r="J845" s="31">
        <v>0.87625215150236879</v>
      </c>
    </row>
    <row r="846" spans="1:10" x14ac:dyDescent="0.3">
      <c r="A846" s="9">
        <v>0.44928383949541439</v>
      </c>
      <c r="B846" s="9">
        <v>7.8586595891871835E-2</v>
      </c>
      <c r="C846" s="9">
        <v>0.43963725861802705</v>
      </c>
      <c r="D846" s="9">
        <v>3.2492305994686853E-2</v>
      </c>
      <c r="E846" s="9">
        <f>SQRT((A846-A$3)^2+(B846-B$3)^2+(C846-C$3)^2+(D846-D$3)^2)</f>
        <v>0.67790486461474542</v>
      </c>
      <c r="G846" s="9">
        <v>7.6225551587203066E-2</v>
      </c>
      <c r="H846" s="9">
        <v>8.5753194663837046E-2</v>
      </c>
      <c r="J846" s="31">
        <v>0.88889459904107948</v>
      </c>
    </row>
    <row r="847" spans="1:10" x14ac:dyDescent="0.3">
      <c r="A847" s="9">
        <v>0.35466305486869593</v>
      </c>
      <c r="B847" s="9">
        <v>5.8818204062050607E-2</v>
      </c>
      <c r="C847" s="9">
        <v>0.30226299712161342</v>
      </c>
      <c r="D847" s="9">
        <v>0.28425574394763997</v>
      </c>
      <c r="E847" s="9">
        <f>SQRT((A847-A$3)^2+(B847-B$3)^2+(C847-C$3)^2+(D847-D$3)^2)</f>
        <v>0.67792257580789428</v>
      </c>
      <c r="G847" s="9">
        <v>8.0519177671283026E-2</v>
      </c>
      <c r="H847" s="9">
        <v>9.1230736827392911E-2</v>
      </c>
      <c r="J847" s="31">
        <v>0.88258826434367199</v>
      </c>
    </row>
    <row r="848" spans="1:10" x14ac:dyDescent="0.3">
      <c r="A848" s="9">
        <v>0.36119045597424321</v>
      </c>
      <c r="B848" s="9">
        <v>0.15865119273867548</v>
      </c>
      <c r="C848" s="9">
        <v>5.7693772370654921E-2</v>
      </c>
      <c r="D848" s="9">
        <v>0.42246457891642647</v>
      </c>
      <c r="E848" s="9">
        <f>SQRT((A848-A$3)^2+(B848-B$3)^2+(C848-C$3)^2+(D848-D$3)^2)</f>
        <v>0.67794339622328492</v>
      </c>
      <c r="G848" s="9">
        <v>8.3835016903947915E-2</v>
      </c>
      <c r="H848" s="9">
        <v>9.0668024533515551E-2</v>
      </c>
      <c r="J848" s="31">
        <v>0.92463707393291883</v>
      </c>
    </row>
    <row r="849" spans="1:10" x14ac:dyDescent="0.3">
      <c r="A849" s="9">
        <v>0.39674830844060638</v>
      </c>
      <c r="B849" s="9">
        <v>0.15251688175659572</v>
      </c>
      <c r="C849" s="9">
        <v>5.2646471705892532E-2</v>
      </c>
      <c r="D849" s="9">
        <v>0.39808833809690541</v>
      </c>
      <c r="E849" s="9">
        <f>SQRT((A849-A$3)^2+(B849-B$3)^2+(C849-C$3)^2+(D849-D$3)^2)</f>
        <v>0.6811087577640289</v>
      </c>
      <c r="G849" s="9">
        <v>8.2058068288254279E-2</v>
      </c>
      <c r="H849" s="9">
        <v>8.7724990200205147E-2</v>
      </c>
      <c r="J849" s="31">
        <v>0.93540128190361871</v>
      </c>
    </row>
    <row r="850" spans="1:10" x14ac:dyDescent="0.3">
      <c r="A850" s="9">
        <v>0.535592318394018</v>
      </c>
      <c r="B850" s="9">
        <v>0.16590852754485003</v>
      </c>
      <c r="C850" s="9">
        <v>2.8544462389517244E-2</v>
      </c>
      <c r="D850" s="9">
        <v>0.26995469167161473</v>
      </c>
      <c r="E850" s="9">
        <f>SQRT((A850-A$3)^2+(B850-B$3)^2+(C850-C$3)^2+(D850-D$3)^2)</f>
        <v>0.68152436816210205</v>
      </c>
      <c r="G850" s="9">
        <v>7.6154276008182642E-2</v>
      </c>
      <c r="H850" s="9">
        <v>7.5124254001492877E-2</v>
      </c>
      <c r="J850" s="31">
        <v>1.0137109116141012</v>
      </c>
    </row>
    <row r="851" spans="1:10" x14ac:dyDescent="0.3">
      <c r="A851" s="9">
        <v>0.43253583752204927</v>
      </c>
      <c r="B851" s="9">
        <v>8.4335286398089862E-2</v>
      </c>
      <c r="C851" s="9">
        <v>0.18641222535211707</v>
      </c>
      <c r="D851" s="9">
        <v>0.29671665072774372</v>
      </c>
      <c r="E851" s="9">
        <f>SQRT((A851-A$3)^2+(B851-B$3)^2+(C851-C$3)^2+(D851-D$3)^2)</f>
        <v>0.68181031306322193</v>
      </c>
      <c r="G851" s="9">
        <v>7.8072103328285403E-2</v>
      </c>
      <c r="H851" s="9">
        <v>8.4272703265240265E-2</v>
      </c>
      <c r="J851" s="31">
        <v>0.92642220200959891</v>
      </c>
    </row>
    <row r="852" spans="1:10" x14ac:dyDescent="0.3">
      <c r="A852" s="9">
        <v>0.29909221014678344</v>
      </c>
      <c r="B852" s="9">
        <v>0.10937780522060382</v>
      </c>
      <c r="C852" s="9">
        <v>0.17184311828241056</v>
      </c>
      <c r="D852" s="9">
        <v>0.41968686635020219</v>
      </c>
      <c r="E852" s="9">
        <f>SQRT((A852-A$3)^2+(B852-B$3)^2+(C852-C$3)^2+(D852-D$3)^2)</f>
        <v>0.68225362691009184</v>
      </c>
      <c r="G852" s="9">
        <v>8.491801817368938E-2</v>
      </c>
      <c r="H852" s="9">
        <v>9.5885378818627839E-2</v>
      </c>
      <c r="J852" s="31">
        <v>0.88562009369870887</v>
      </c>
    </row>
    <row r="853" spans="1:10" x14ac:dyDescent="0.3">
      <c r="A853" s="9">
        <v>0.30361041529590943</v>
      </c>
      <c r="B853" s="9">
        <v>5.5786605119431863E-2</v>
      </c>
      <c r="C853" s="9">
        <v>0.32755098491528306</v>
      </c>
      <c r="D853" s="9">
        <v>0.31305199466937567</v>
      </c>
      <c r="E853" s="9">
        <f>SQRT((A853-A$3)^2+(B853-B$3)^2+(C853-C$3)^2+(D853-D$3)^2)</f>
        <v>0.68345313068318991</v>
      </c>
      <c r="G853" s="9">
        <v>8.2681746554628635E-2</v>
      </c>
      <c r="H853" s="9">
        <v>9.5876450456401391E-2</v>
      </c>
      <c r="J853" s="31">
        <v>0.86237805176389082</v>
      </c>
    </row>
    <row r="854" spans="1:10" x14ac:dyDescent="0.3">
      <c r="A854" s="9">
        <v>0.43731043061847624</v>
      </c>
      <c r="B854" s="9">
        <v>0.1016305062443472</v>
      </c>
      <c r="C854" s="9">
        <v>0.13786311645841864</v>
      </c>
      <c r="D854" s="9">
        <v>0.32319594667875789</v>
      </c>
      <c r="E854" s="9">
        <f>SQRT((A854-A$3)^2+(B854-B$3)^2+(C854-C$3)^2+(D854-D$3)^2)</f>
        <v>0.68407242085981723</v>
      </c>
      <c r="G854" s="9">
        <v>7.8502237582318821E-2</v>
      </c>
      <c r="H854" s="9">
        <v>8.3935617202894122E-2</v>
      </c>
      <c r="J854" s="31">
        <v>0.93526729412805276</v>
      </c>
    </row>
    <row r="855" spans="1:10" x14ac:dyDescent="0.3">
      <c r="A855" s="9">
        <v>0.52172198772316769</v>
      </c>
      <c r="B855" s="9">
        <v>7.8440304734899352E-2</v>
      </c>
      <c r="C855" s="9">
        <v>0.3150917989540174</v>
      </c>
      <c r="D855" s="9">
        <v>8.4745908587915711E-2</v>
      </c>
      <c r="E855" s="9">
        <f>SQRT((A855-A$3)^2+(B855-B$3)^2+(C855-C$3)^2+(D855-D$3)^2)</f>
        <v>0.68435674299121085</v>
      </c>
      <c r="G855" s="9">
        <v>7.3358927663690926E-2</v>
      </c>
      <c r="H855" s="9">
        <v>7.8374476615941685E-2</v>
      </c>
      <c r="J855" s="31">
        <v>0.93600532764220623</v>
      </c>
    </row>
    <row r="856" spans="1:10" x14ac:dyDescent="0.3">
      <c r="A856" s="9">
        <v>0.30983476139395433</v>
      </c>
      <c r="B856" s="9">
        <v>5.6756438305651205E-2</v>
      </c>
      <c r="C856" s="9">
        <v>0.31373966069340498</v>
      </c>
      <c r="D856" s="9">
        <v>0.31966913960698951</v>
      </c>
      <c r="E856" s="9">
        <f>SQRT((A856-A$3)^2+(B856-B$3)^2+(C856-C$3)^2+(D856-D$3)^2)</f>
        <v>0.68450815699968171</v>
      </c>
      <c r="G856" s="9">
        <v>8.2473560206262383E-2</v>
      </c>
      <c r="H856" s="9">
        <v>9.5381839843360544E-2</v>
      </c>
      <c r="J856" s="31">
        <v>0.86466732390257306</v>
      </c>
    </row>
    <row r="857" spans="1:10" x14ac:dyDescent="0.3">
      <c r="A857" s="9">
        <v>0.30390585790982527</v>
      </c>
      <c r="B857" s="9">
        <v>5.8884498320789916E-2</v>
      </c>
      <c r="C857" s="9">
        <v>0.30346562474684474</v>
      </c>
      <c r="D857" s="9">
        <v>0.33374401902254003</v>
      </c>
      <c r="E857" s="9">
        <f>SQRT((A857-A$3)^2+(B857-B$3)^2+(C857-C$3)^2+(D857-D$3)^2)</f>
        <v>0.68612179701170506</v>
      </c>
      <c r="G857" s="9">
        <v>8.2840510305173962E-2</v>
      </c>
      <c r="H857" s="9">
        <v>9.5921374604230988E-2</v>
      </c>
      <c r="J857" s="31">
        <v>0.86362930730477627</v>
      </c>
    </row>
    <row r="858" spans="1:10" x14ac:dyDescent="0.3">
      <c r="A858" s="9">
        <v>0.42443930736496366</v>
      </c>
      <c r="B858" s="9">
        <v>6.6772952021536783E-2</v>
      </c>
      <c r="C858" s="9">
        <v>0.22949575620742693</v>
      </c>
      <c r="D858" s="9">
        <v>0.27929198440607239</v>
      </c>
      <c r="E858" s="9">
        <f>SQRT((A858-A$3)^2+(B858-B$3)^2+(C858-C$3)^2+(D858-D$3)^2)</f>
        <v>0.68655422126866028</v>
      </c>
      <c r="G858" s="9">
        <v>7.7806697162525418E-2</v>
      </c>
      <c r="H858" s="9">
        <v>8.5480955136032447E-2</v>
      </c>
      <c r="J858" s="31">
        <v>0.9102225991591415</v>
      </c>
    </row>
    <row r="859" spans="1:10" x14ac:dyDescent="0.3">
      <c r="A859" s="9">
        <v>0.32611976897708267</v>
      </c>
      <c r="B859" s="9">
        <v>6.1724996283201237E-2</v>
      </c>
      <c r="C859" s="9">
        <v>0.2721814126578318</v>
      </c>
      <c r="D859" s="9">
        <v>0.33997382208188426</v>
      </c>
      <c r="E859" s="9">
        <f>SQRT((A859-A$3)^2+(B859-B$3)^2+(C859-C$3)^2+(D859-D$3)^2)</f>
        <v>0.68791754588876997</v>
      </c>
      <c r="G859" s="9">
        <v>8.2014957965888285E-2</v>
      </c>
      <c r="H859" s="9">
        <v>9.4109893878053685E-2</v>
      </c>
      <c r="J859" s="31">
        <v>0.87148071883028733</v>
      </c>
    </row>
    <row r="860" spans="1:10" x14ac:dyDescent="0.3">
      <c r="A860" s="9">
        <v>0.21328094960898819</v>
      </c>
      <c r="B860" s="9">
        <v>6.5115855109772205E-2</v>
      </c>
      <c r="C860" s="9">
        <v>0.3701301545120928</v>
      </c>
      <c r="D860" s="9">
        <v>0.35147304076914682</v>
      </c>
      <c r="E860" s="9">
        <f>SQRT((A860-A$3)^2+(B860-B$3)^2+(C860-C$3)^2+(D860-D$3)^2)</f>
        <v>0.68852693623974126</v>
      </c>
      <c r="G860" s="9">
        <v>8.6916762782867307E-2</v>
      </c>
      <c r="H860" s="9">
        <v>0.10331557969742176</v>
      </c>
      <c r="J860" s="31">
        <v>0.84127450126513992</v>
      </c>
    </row>
    <row r="861" spans="1:10" x14ac:dyDescent="0.3">
      <c r="A861" s="9">
        <v>0.21022729214127589</v>
      </c>
      <c r="B861" s="9">
        <v>7.3101626659851399E-2</v>
      </c>
      <c r="C861" s="9">
        <v>0.56481525690888679</v>
      </c>
      <c r="D861" s="9">
        <v>0.1518558242899859</v>
      </c>
      <c r="E861" s="9">
        <f>SQRT((A861-A$3)^2+(B861-B$3)^2+(C861-C$3)^2+(D861-D$3)^2)</f>
        <v>0.68890588976754263</v>
      </c>
      <c r="G861" s="9">
        <v>8.6564844665446838E-2</v>
      </c>
      <c r="H861" s="9">
        <v>0.10448099578719869</v>
      </c>
      <c r="J861" s="31">
        <v>0.82852239312264486</v>
      </c>
    </row>
    <row r="862" spans="1:10" x14ac:dyDescent="0.3">
      <c r="A862" s="9">
        <v>0.30044028487180968</v>
      </c>
      <c r="B862" s="9">
        <v>4.419348689349694E-2</v>
      </c>
      <c r="C862" s="9">
        <v>0.3744360956250436</v>
      </c>
      <c r="D862" s="9">
        <v>0.28093013260964972</v>
      </c>
      <c r="E862" s="9">
        <f>SQRT((A862-A$3)^2+(B862-B$3)^2+(C862-C$3)^2+(D862-D$3)^2)</f>
        <v>0.68985072868739505</v>
      </c>
      <c r="G862" s="9">
        <v>8.2339762869950789E-2</v>
      </c>
      <c r="H862" s="9">
        <v>9.6837601748170285E-2</v>
      </c>
      <c r="J862" s="31">
        <v>0.85028709285963466</v>
      </c>
    </row>
    <row r="863" spans="1:10" x14ac:dyDescent="0.3">
      <c r="A863" s="9">
        <v>5.1419131547118073E-2</v>
      </c>
      <c r="B863" s="9">
        <v>0.13578119140914513</v>
      </c>
      <c r="C863" s="9">
        <v>0.36302876535628736</v>
      </c>
      <c r="D863" s="9">
        <v>0.44977091168744943</v>
      </c>
      <c r="E863" s="9">
        <f>SQRT((A863-A$3)^2+(B863-B$3)^2+(C863-C$3)^2+(D863-D$3)^2)</f>
        <v>0.69112606946537358</v>
      </c>
      <c r="G863" s="9">
        <v>9.6281110672642861E-2</v>
      </c>
      <c r="H863" s="9">
        <v>0.11450936330135188</v>
      </c>
      <c r="J863" s="31">
        <v>0.84081430458452455</v>
      </c>
    </row>
    <row r="864" spans="1:10" x14ac:dyDescent="0.3">
      <c r="A864" s="9">
        <v>3.0436952789590972E-2</v>
      </c>
      <c r="B864" s="9">
        <v>0.17290898705615906</v>
      </c>
      <c r="C864" s="9">
        <v>0.29238050027390672</v>
      </c>
      <c r="D864" s="9">
        <v>0.50427355988034317</v>
      </c>
      <c r="E864" s="9">
        <f>SQRT((A864-A$3)^2+(B864-B$3)^2+(C864-C$3)^2+(D864-D$3)^2)</f>
        <v>0.69180760442015055</v>
      </c>
      <c r="G864" s="9">
        <v>9.8512064554109408E-2</v>
      </c>
      <c r="H864" s="9">
        <v>0.11595234786308521</v>
      </c>
      <c r="J864" s="31">
        <v>0.84959094291416137</v>
      </c>
    </row>
    <row r="865" spans="1:10" x14ac:dyDescent="0.3">
      <c r="A865" s="9">
        <v>4.8034371877499912E-2</v>
      </c>
      <c r="B865" s="9">
        <v>0.17439651231529529</v>
      </c>
      <c r="C865" s="9">
        <v>0.69938622599479427</v>
      </c>
      <c r="D865" s="9">
        <v>7.8182889812410533E-2</v>
      </c>
      <c r="E865" s="9">
        <f>SQRT((A865-A$3)^2+(B865-B$3)^2+(C865-C$3)^2+(D865-D$3)^2)</f>
        <v>0.69237759261951715</v>
      </c>
      <c r="G865" s="9">
        <v>9.6263531016094139E-2</v>
      </c>
      <c r="H865" s="9">
        <v>0.11372274302893323</v>
      </c>
      <c r="J865" s="31">
        <v>0.84647563409196758</v>
      </c>
    </row>
    <row r="866" spans="1:10" x14ac:dyDescent="0.3">
      <c r="A866" s="9">
        <v>0.28803359899589481</v>
      </c>
      <c r="B866" s="9">
        <v>6.0924913669794183E-2</v>
      </c>
      <c r="C866" s="9">
        <v>0.28793372155127178</v>
      </c>
      <c r="D866" s="9">
        <v>0.36310776578303933</v>
      </c>
      <c r="E866" s="9">
        <f>SQRT((A866-A$3)^2+(B866-B$3)^2+(C866-C$3)^2+(D866-D$3)^2)</f>
        <v>0.69310212051524422</v>
      </c>
      <c r="G866" s="9">
        <v>8.3679487375120598E-2</v>
      </c>
      <c r="H866" s="9">
        <v>9.761440490942204E-2</v>
      </c>
      <c r="J866" s="31">
        <v>0.85724527494449332</v>
      </c>
    </row>
    <row r="867" spans="1:10" x14ac:dyDescent="0.3">
      <c r="A867" s="9">
        <v>0.34332573155353197</v>
      </c>
      <c r="B867" s="9">
        <v>7.4027933937186249E-2</v>
      </c>
      <c r="C867" s="9">
        <v>0.21263816716142739</v>
      </c>
      <c r="D867" s="9">
        <v>0.37000816734785447</v>
      </c>
      <c r="E867" s="9">
        <f>SQRT((A867-A$3)^2+(B867-B$3)^2+(C867-C$3)^2+(D867-D$3)^2)</f>
        <v>0.69340246163724839</v>
      </c>
      <c r="G867" s="9">
        <v>8.1779812209259756E-2</v>
      </c>
      <c r="H867" s="9">
        <v>9.288752919841449E-2</v>
      </c>
      <c r="J867" s="31">
        <v>0.88041756428435247</v>
      </c>
    </row>
    <row r="868" spans="1:10" x14ac:dyDescent="0.3">
      <c r="A868" s="9">
        <v>0.29935811019447151</v>
      </c>
      <c r="B868" s="9">
        <v>4.3106494998271044E-2</v>
      </c>
      <c r="C868" s="9">
        <v>0.35911157841976188</v>
      </c>
      <c r="D868" s="9">
        <v>0.29842381638749566</v>
      </c>
      <c r="E868" s="9">
        <f>SQRT((A868-A$3)^2+(B868-B$3)^2+(C868-C$3)^2+(D868-D$3)^2)</f>
        <v>0.69378495474936452</v>
      </c>
      <c r="G868" s="9">
        <v>8.2415511706892375E-2</v>
      </c>
      <c r="H868" s="9">
        <v>9.7089398013769784E-2</v>
      </c>
      <c r="J868" s="31">
        <v>0.84886211463793115</v>
      </c>
    </row>
    <row r="869" spans="1:10" x14ac:dyDescent="0.3">
      <c r="A869" s="9">
        <v>0.53668220147512014</v>
      </c>
      <c r="B869" s="9">
        <v>0.1145124306658535</v>
      </c>
      <c r="C869" s="9">
        <v>0.10761349105883999</v>
      </c>
      <c r="D869" s="9">
        <v>0.24119187680018628</v>
      </c>
      <c r="E869" s="9">
        <f>SQRT((A869-A$3)^2+(B869-B$3)^2+(C869-C$3)^2+(D869-D$3)^2)</f>
        <v>0.69416954119109531</v>
      </c>
      <c r="G869" s="9">
        <v>7.4414175099433405E-2</v>
      </c>
      <c r="H869" s="9">
        <v>7.56037748933545E-2</v>
      </c>
      <c r="J869" s="31">
        <v>0.98426533866068033</v>
      </c>
    </row>
    <row r="870" spans="1:10" x14ac:dyDescent="0.3">
      <c r="A870" s="9">
        <v>0.21499766648623073</v>
      </c>
      <c r="B870" s="9">
        <v>0.14922461317074129</v>
      </c>
      <c r="C870" s="9">
        <v>0.1357626223201614</v>
      </c>
      <c r="D870" s="9">
        <v>0.5000150980228667</v>
      </c>
      <c r="E870" s="9">
        <f>SQRT((A870-A$3)^2+(B870-B$3)^2+(C870-C$3)^2+(D870-D$3)^2)</f>
        <v>0.6941799381660273</v>
      </c>
      <c r="G870" s="9">
        <v>8.9986739835901774E-2</v>
      </c>
      <c r="H870" s="9">
        <v>0.10361090437590738</v>
      </c>
      <c r="J870" s="31">
        <v>0.86850646056928316</v>
      </c>
    </row>
    <row r="871" spans="1:10" x14ac:dyDescent="0.3">
      <c r="A871" s="9">
        <v>0.12443738453240955</v>
      </c>
      <c r="B871" s="9">
        <v>9.4934167236724543E-2</v>
      </c>
      <c r="C871" s="9">
        <v>0.3639498994025186</v>
      </c>
      <c r="D871" s="9">
        <v>0.41667854882834721</v>
      </c>
      <c r="E871" s="9">
        <f>SQRT((A871-A$3)^2+(B871-B$3)^2+(C871-C$3)^2+(D871-D$3)^2)</f>
        <v>0.69549848964785055</v>
      </c>
      <c r="G871" s="9">
        <v>9.1820375667123783E-2</v>
      </c>
      <c r="H871" s="9">
        <v>0.11007293794472116</v>
      </c>
      <c r="J871" s="31">
        <v>0.83417756790716491</v>
      </c>
    </row>
    <row r="872" spans="1:10" x14ac:dyDescent="0.3">
      <c r="A872" s="9">
        <v>0.13075070589788959</v>
      </c>
      <c r="B872" s="9">
        <v>0.13611897210804863</v>
      </c>
      <c r="C872" s="9">
        <v>0.23729235398136772</v>
      </c>
      <c r="D872" s="9">
        <v>0.49583796801269414</v>
      </c>
      <c r="E872" s="9">
        <f>SQRT((A872-A$3)^2+(B872-B$3)^2+(C872-C$3)^2+(D872-D$3)^2)</f>
        <v>0.6961205200673779</v>
      </c>
      <c r="G872" s="9">
        <v>9.3116418213025381E-2</v>
      </c>
      <c r="H872" s="9">
        <v>0.10975024556793929</v>
      </c>
      <c r="J872" s="31">
        <v>0.84843926982726448</v>
      </c>
    </row>
    <row r="873" spans="1:10" x14ac:dyDescent="0.3">
      <c r="A873" s="9">
        <v>0.41845419044572746</v>
      </c>
      <c r="B873" s="9">
        <v>9.669340212368055E-2</v>
      </c>
      <c r="C873" s="9">
        <v>0.12785934351732928</v>
      </c>
      <c r="D873" s="9">
        <v>0.35699306391326274</v>
      </c>
      <c r="E873" s="9">
        <f>SQRT((A873-A$3)^2+(B873-B$3)^2+(C873-C$3)^2+(D873-D$3)^2)</f>
        <v>0.69723450663330144</v>
      </c>
      <c r="G873" s="9">
        <v>7.926734970701077E-2</v>
      </c>
      <c r="H873" s="9">
        <v>8.654045878949651E-2</v>
      </c>
      <c r="J873" s="31">
        <v>0.91595712359028436</v>
      </c>
    </row>
    <row r="874" spans="1:10" x14ac:dyDescent="0.3">
      <c r="A874" s="9">
        <v>0.33390965247903975</v>
      </c>
      <c r="B874" s="9">
        <v>3.7137401983127628E-2</v>
      </c>
      <c r="C874" s="9">
        <v>0.33765568608955771</v>
      </c>
      <c r="D874" s="9">
        <v>0.29129725944827489</v>
      </c>
      <c r="E874" s="9">
        <f>SQRT((A874-A$3)^2+(B874-B$3)^2+(C874-C$3)^2+(D874-D$3)^2)</f>
        <v>0.69965604741209142</v>
      </c>
      <c r="G874" s="9">
        <v>8.0748948246362182E-2</v>
      </c>
      <c r="H874" s="9">
        <v>9.4617655717427321E-2</v>
      </c>
      <c r="J874" s="31">
        <v>0.85342368328714879</v>
      </c>
    </row>
    <row r="875" spans="1:10" x14ac:dyDescent="0.3">
      <c r="A875" s="9">
        <v>0.40340661549646945</v>
      </c>
      <c r="B875" s="9">
        <v>6.3087525216852333E-2</v>
      </c>
      <c r="C875" s="9">
        <v>0.50892800846701169</v>
      </c>
      <c r="D875" s="9">
        <v>2.4577850819666548E-2</v>
      </c>
      <c r="E875" s="9">
        <f>SQRT((A875-A$3)^2+(B875-B$3)^2+(C875-C$3)^2+(D875-D$3)^2)</f>
        <v>0.69984090216911965</v>
      </c>
      <c r="G875" s="9">
        <v>7.7650691858888413E-2</v>
      </c>
      <c r="H875" s="9">
        <v>9.1698593578278545E-2</v>
      </c>
      <c r="J875" s="31">
        <v>0.8468035204117047</v>
      </c>
    </row>
    <row r="876" spans="1:10" x14ac:dyDescent="0.3">
      <c r="A876" s="9">
        <v>0.43260033504075668</v>
      </c>
      <c r="B876" s="9">
        <v>0.15804974967735472</v>
      </c>
      <c r="C876" s="9">
        <v>1.2284839366891263E-2</v>
      </c>
      <c r="D876" s="9">
        <v>0.39706507591499735</v>
      </c>
      <c r="E876" s="9">
        <f>SQRT((A876-A$3)^2+(B876-B$3)^2+(C876-C$3)^2+(D876-D$3)^2)</f>
        <v>0.70010491205437086</v>
      </c>
      <c r="G876" s="9">
        <v>8.071462656471097E-2</v>
      </c>
      <c r="H876" s="9">
        <v>8.6040934041414358E-2</v>
      </c>
      <c r="J876" s="31">
        <v>0.93809565718870902</v>
      </c>
    </row>
    <row r="877" spans="1:10" x14ac:dyDescent="0.3">
      <c r="A877" s="9">
        <v>0.37671211887007217</v>
      </c>
      <c r="B877" s="9">
        <v>3.1632584754009277E-2</v>
      </c>
      <c r="C877" s="9">
        <v>0.40840884886157264</v>
      </c>
      <c r="D877" s="9">
        <v>0.18324644751434591</v>
      </c>
      <c r="E877" s="9">
        <f>SQRT((A877-A$3)^2+(B877-B$3)^2+(C877-C$3)^2+(D877-D$3)^2)</f>
        <v>0.70014709694717947</v>
      </c>
      <c r="G877" s="9">
        <v>7.8381207697791916E-2</v>
      </c>
      <c r="H877" s="9">
        <v>9.1985630236585431E-2</v>
      </c>
      <c r="J877" s="31">
        <v>0.85210274144121012</v>
      </c>
    </row>
    <row r="878" spans="1:10" x14ac:dyDescent="0.3">
      <c r="A878" s="9">
        <v>0.31316756770264847</v>
      </c>
      <c r="B878" s="9">
        <v>4.951144983443078E-2</v>
      </c>
      <c r="C878" s="9">
        <v>0.29090085156908685</v>
      </c>
      <c r="D878" s="9">
        <v>0.34642013089383389</v>
      </c>
      <c r="E878" s="9">
        <f>SQRT((A878-A$3)^2+(B878-B$3)^2+(C878-C$3)^2+(D878-D$3)^2)</f>
        <v>0.70028256225016261</v>
      </c>
      <c r="G878" s="9">
        <v>8.2206575510759092E-2</v>
      </c>
      <c r="H878" s="9">
        <v>9.6081328240648883E-2</v>
      </c>
      <c r="J878" s="31">
        <v>0.85559366232803769</v>
      </c>
    </row>
    <row r="879" spans="1:10" x14ac:dyDescent="0.3">
      <c r="A879" s="9">
        <v>2.0747952717979901E-2</v>
      </c>
      <c r="B879" s="9">
        <v>0.1247971611073411</v>
      </c>
      <c r="C879" s="9">
        <v>0.46206678848035726</v>
      </c>
      <c r="D879" s="9">
        <v>0.3923880976943217</v>
      </c>
      <c r="E879" s="9">
        <f>SQRT((A879-A$3)^2+(B879-B$3)^2+(C879-C$3)^2+(D879-D$3)^2)</f>
        <v>0.7010787259834893</v>
      </c>
      <c r="G879" s="9">
        <v>9.7024789580169191E-2</v>
      </c>
      <c r="H879" s="9">
        <v>0.11690839574932886</v>
      </c>
      <c r="J879" s="31">
        <v>0.82992148646198649</v>
      </c>
    </row>
    <row r="880" spans="1:10" x14ac:dyDescent="0.3">
      <c r="A880" s="9">
        <v>0.4405490557604505</v>
      </c>
      <c r="B880" s="9">
        <v>3.7289307619899667E-2</v>
      </c>
      <c r="C880" s="9">
        <v>0.36427322151744934</v>
      </c>
      <c r="D880" s="9">
        <v>0.15788841510220047</v>
      </c>
      <c r="E880" s="9">
        <f>SQRT((A880-A$3)^2+(B880-B$3)^2+(C880-C$3)^2+(D880-D$3)^2)</f>
        <v>0.70132173536280928</v>
      </c>
      <c r="G880" s="9">
        <v>7.5773616532542165E-2</v>
      </c>
      <c r="H880" s="9">
        <v>8.6530618735689721E-2</v>
      </c>
      <c r="J880" s="31">
        <v>0.87568559707165472</v>
      </c>
    </row>
    <row r="881" spans="1:10" x14ac:dyDescent="0.3">
      <c r="A881" s="9">
        <v>0.40939621704686108</v>
      </c>
      <c r="B881" s="9">
        <v>4.2450995986950547E-2</v>
      </c>
      <c r="C881" s="9">
        <v>0.45436158499805362</v>
      </c>
      <c r="D881" s="9">
        <v>9.3791201968134771E-2</v>
      </c>
      <c r="E881" s="9">
        <f>SQRT((A881-A$3)^2+(B881-B$3)^2+(C881-C$3)^2+(D881-D$3)^2)</f>
        <v>0.70161739751376451</v>
      </c>
      <c r="G881" s="9">
        <v>7.7012400806319728E-2</v>
      </c>
      <c r="H881" s="9">
        <v>9.0371841755900545E-2</v>
      </c>
      <c r="J881" s="31">
        <v>0.85217252752615769</v>
      </c>
    </row>
    <row r="882" spans="1:10" x14ac:dyDescent="0.3">
      <c r="A882" s="9">
        <v>0.46394599023209754</v>
      </c>
      <c r="B882" s="9">
        <v>4.2853898487297912E-2</v>
      </c>
      <c r="C882" s="9">
        <v>0.37298981451115409</v>
      </c>
      <c r="D882" s="9">
        <v>0.12021029676945044</v>
      </c>
      <c r="E882" s="9">
        <f>SQRT((A882-A$3)^2+(B882-B$3)^2+(C882-C$3)^2+(D882-D$3)^2)</f>
        <v>0.70206778979254481</v>
      </c>
      <c r="G882" s="9">
        <v>7.4822418088413695E-2</v>
      </c>
      <c r="H882" s="9">
        <v>8.4936363229479978E-2</v>
      </c>
      <c r="J882" s="31">
        <v>0.88092326117448005</v>
      </c>
    </row>
    <row r="883" spans="1:10" x14ac:dyDescent="0.3">
      <c r="A883" s="9">
        <v>7.7818912510309547E-3</v>
      </c>
      <c r="B883" s="9">
        <v>0.35814888814961066</v>
      </c>
      <c r="C883" s="9">
        <v>1.6607449468505807E-2</v>
      </c>
      <c r="D883" s="9">
        <v>0.61746177113085254</v>
      </c>
      <c r="E883" s="9">
        <f>SQRT((A883-A$3)^2+(B883-B$3)^2+(C883-C$3)^2+(D883-D$3)^2)</f>
        <v>0.70352768910079277</v>
      </c>
      <c r="G883" s="9">
        <v>0.10560753265586434</v>
      </c>
      <c r="H883" s="9">
        <v>0.11884918357052542</v>
      </c>
      <c r="J883" s="31">
        <v>0.88858441836242441</v>
      </c>
    </row>
    <row r="884" spans="1:10" x14ac:dyDescent="0.3">
      <c r="A884" s="9">
        <v>0.466211110100482</v>
      </c>
      <c r="B884" s="9">
        <v>6.3730642766040319E-2</v>
      </c>
      <c r="C884" s="9">
        <v>0.1957702369006166</v>
      </c>
      <c r="D884" s="9">
        <v>0.27428801023286103</v>
      </c>
      <c r="E884" s="9">
        <f>SQRT((A884-A$3)^2+(B884-B$3)^2+(C884-C$3)^2+(D884-D$3)^2)</f>
        <v>0.70419703693544555</v>
      </c>
      <c r="G884" s="9">
        <v>7.5934113604255171E-2</v>
      </c>
      <c r="H884" s="9">
        <v>8.284332506723481E-2</v>
      </c>
      <c r="J884" s="31">
        <v>0.91659905662439078</v>
      </c>
    </row>
    <row r="885" spans="1:10" x14ac:dyDescent="0.3">
      <c r="A885" s="9">
        <v>8.467188451173141E-3</v>
      </c>
      <c r="B885" s="9">
        <v>0.19487206648531896</v>
      </c>
      <c r="C885" s="9">
        <v>0.25536645487967019</v>
      </c>
      <c r="D885" s="9">
        <v>0.54129429018383768</v>
      </c>
      <c r="E885" s="9">
        <f>SQRT((A885-A$3)^2+(B885-B$3)^2+(C885-C$3)^2+(D885-D$3)^2)</f>
        <v>0.70464222095303075</v>
      </c>
      <c r="G885" s="9">
        <v>0.1002519745819351</v>
      </c>
      <c r="H885" s="9">
        <v>0.11823831523664988</v>
      </c>
      <c r="J885" s="31">
        <v>0.84788060774787144</v>
      </c>
    </row>
    <row r="886" spans="1:10" x14ac:dyDescent="0.3">
      <c r="A886" s="9">
        <v>0.35440745969594267</v>
      </c>
      <c r="B886" s="9">
        <v>3.1041746775137671E-2</v>
      </c>
      <c r="C886" s="9">
        <v>0.46331864010658896</v>
      </c>
      <c r="D886" s="9">
        <v>0.15123215342233085</v>
      </c>
      <c r="E886" s="9">
        <f>SQRT((A886-A$3)^2+(B886-B$3)^2+(C886-C$3)^2+(D886-D$3)^2)</f>
        <v>0.70540653657975638</v>
      </c>
      <c r="G886" s="9">
        <v>7.9186174311862034E-2</v>
      </c>
      <c r="H886" s="9">
        <v>9.4723834528288475E-2</v>
      </c>
      <c r="J886" s="31">
        <v>0.8359688425431484</v>
      </c>
    </row>
    <row r="887" spans="1:10" x14ac:dyDescent="0.3">
      <c r="A887" s="9">
        <v>0.37266551395275321</v>
      </c>
      <c r="B887" s="9">
        <v>7.0378373344472819E-2</v>
      </c>
      <c r="C887" s="9">
        <v>0.18483952651603577</v>
      </c>
      <c r="D887" s="9">
        <v>0.37211658618673821</v>
      </c>
      <c r="E887" s="9">
        <f>SQRT((A887-A$3)^2+(B887-B$3)^2+(C887-C$3)^2+(D887-D$3)^2)</f>
        <v>0.70611711544542832</v>
      </c>
      <c r="G887" s="9">
        <v>8.0438259297058362E-2</v>
      </c>
      <c r="H887" s="9">
        <v>9.1194197627548323E-2</v>
      </c>
      <c r="J887" s="31">
        <v>0.88205457572619994</v>
      </c>
    </row>
    <row r="888" spans="1:10" x14ac:dyDescent="0.3">
      <c r="A888" s="9">
        <v>2.3665623857675889E-2</v>
      </c>
      <c r="B888" s="9">
        <v>0.11527096954013373</v>
      </c>
      <c r="C888" s="9">
        <v>0.48902287587177645</v>
      </c>
      <c r="D888" s="9">
        <v>0.37204053073041388</v>
      </c>
      <c r="E888" s="9">
        <f>SQRT((A888-A$3)^2+(B888-B$3)^2+(C888-C$3)^2+(D888-D$3)^2)</f>
        <v>0.70751336572119472</v>
      </c>
      <c r="G888" s="9">
        <v>9.6533095692092508E-2</v>
      </c>
      <c r="H888" s="9">
        <v>0.11716295969740168</v>
      </c>
      <c r="J888" s="31">
        <v>0.82392162114553791</v>
      </c>
    </row>
    <row r="889" spans="1:10" x14ac:dyDescent="0.3">
      <c r="A889" s="9">
        <v>0.13422624436573516</v>
      </c>
      <c r="B889" s="9">
        <v>6.420373390477277E-2</v>
      </c>
      <c r="C889" s="9">
        <v>0.48089028976289344</v>
      </c>
      <c r="D889" s="9">
        <v>0.32067973196659871</v>
      </c>
      <c r="E889" s="9">
        <f>SQRT((A889-A$3)^2+(B889-B$3)^2+(C889-C$3)^2+(D889-D$3)^2)</f>
        <v>0.70844341939490763</v>
      </c>
      <c r="G889" s="9">
        <v>9.010769576165048E-2</v>
      </c>
      <c r="H889" s="9">
        <v>0.11048456646379778</v>
      </c>
      <c r="J889" s="31">
        <v>0.81556817070170484</v>
      </c>
    </row>
    <row r="890" spans="1:10" x14ac:dyDescent="0.3">
      <c r="A890" s="9">
        <v>0.15504358450549885</v>
      </c>
      <c r="B890" s="9">
        <v>8.4082790736927218E-2</v>
      </c>
      <c r="C890" s="9">
        <v>0.32058976486215551</v>
      </c>
      <c r="D890" s="9">
        <v>0.44028385989541852</v>
      </c>
      <c r="E890" s="9">
        <f>SQRT((A890-A$3)^2+(B890-B$3)^2+(C890-C$3)^2+(D890-D$3)^2)</f>
        <v>0.70854208141735953</v>
      </c>
      <c r="G890" s="9">
        <v>9.0281101225677229E-2</v>
      </c>
      <c r="H890" s="9">
        <v>0.10881975557752674</v>
      </c>
      <c r="J890" s="31">
        <v>0.8296388899840712</v>
      </c>
    </row>
    <row r="891" spans="1:10" x14ac:dyDescent="0.3">
      <c r="A891" s="9">
        <v>0.31263614160927644</v>
      </c>
      <c r="B891" s="9">
        <v>2.5647659970908388E-2</v>
      </c>
      <c r="C891" s="9">
        <v>0.38950340578231474</v>
      </c>
      <c r="D891" s="9">
        <v>0.27221279263750031</v>
      </c>
      <c r="E891" s="9">
        <f>SQRT((A891-A$3)^2+(B891-B$3)^2+(C891-C$3)^2+(D891-D$3)^2)</f>
        <v>0.70921653722708988</v>
      </c>
      <c r="G891" s="9">
        <v>8.1220556679231504E-2</v>
      </c>
      <c r="H891" s="9">
        <v>9.7329239125683878E-2</v>
      </c>
      <c r="J891" s="31">
        <v>0.8344928760241227</v>
      </c>
    </row>
    <row r="892" spans="1:10" x14ac:dyDescent="0.3">
      <c r="A892" s="9">
        <v>0.66807797477328024</v>
      </c>
      <c r="B892" s="9">
        <v>0.1605330302008737</v>
      </c>
      <c r="C892" s="9">
        <v>0.10687349633967366</v>
      </c>
      <c r="D892" s="9">
        <v>6.4515498686172304E-2</v>
      </c>
      <c r="E892" s="9">
        <f>SQRT((A892-A$3)^2+(B892-B$3)^2+(C892-C$3)^2+(D892-D$3)^2)</f>
        <v>0.71123595828653263</v>
      </c>
      <c r="G892" s="9">
        <v>6.9656325559966939E-2</v>
      </c>
      <c r="H892" s="9">
        <v>6.6215753696104718E-2</v>
      </c>
      <c r="J892" s="31">
        <v>1.0519600196601646</v>
      </c>
    </row>
    <row r="893" spans="1:10" x14ac:dyDescent="0.3">
      <c r="A893" s="9">
        <v>0.39314009954563539</v>
      </c>
      <c r="B893" s="9">
        <v>3.6830466197947893E-2</v>
      </c>
      <c r="C893" s="9">
        <v>0.26968809803452493</v>
      </c>
      <c r="D893" s="9">
        <v>0.30034133622189174</v>
      </c>
      <c r="E893" s="9">
        <f>SQRT((A893-A$3)^2+(B893-B$3)^2+(C893-C$3)^2+(D893-D$3)^2)</f>
        <v>0.71128666071564084</v>
      </c>
      <c r="G893" s="9">
        <v>7.8276444090816133E-2</v>
      </c>
      <c r="H893" s="9">
        <v>9.0079268269276994E-2</v>
      </c>
      <c r="J893" s="31">
        <v>0.86897291235561236</v>
      </c>
    </row>
    <row r="894" spans="1:10" x14ac:dyDescent="0.3">
      <c r="A894" s="9">
        <v>0.26152824747825976</v>
      </c>
      <c r="B894" s="9">
        <v>3.2817494706509159E-2</v>
      </c>
      <c r="C894" s="9">
        <v>0.38286763068990426</v>
      </c>
      <c r="D894" s="9">
        <v>0.32278662712532674</v>
      </c>
      <c r="E894" s="9">
        <f>SQRT((A894-A$3)^2+(B894-B$3)^2+(C894-C$3)^2+(D894-D$3)^2)</f>
        <v>0.71165836620358203</v>
      </c>
      <c r="G894" s="9">
        <v>8.3780289754538981E-2</v>
      </c>
      <c r="H894" s="9">
        <v>0.10135274053353426</v>
      </c>
      <c r="J894" s="31">
        <v>0.82662086208531149</v>
      </c>
    </row>
    <row r="895" spans="1:10" x14ac:dyDescent="0.3">
      <c r="A895" s="9">
        <v>0.39828293699596851</v>
      </c>
      <c r="B895" s="9">
        <v>6.802828856895167E-2</v>
      </c>
      <c r="C895" s="9">
        <v>0.16919813733715833</v>
      </c>
      <c r="D895" s="9">
        <v>0.36449063709792162</v>
      </c>
      <c r="E895" s="9">
        <f>SQRT((A895-A$3)^2+(B895-B$3)^2+(C895-C$3)^2+(D895-D$3)^2)</f>
        <v>0.7131523154828856</v>
      </c>
      <c r="G895" s="9">
        <v>7.9258272153554965E-2</v>
      </c>
      <c r="H895" s="9">
        <v>8.9414832049412266E-2</v>
      </c>
      <c r="J895" s="31">
        <v>0.88641079267201883</v>
      </c>
    </row>
    <row r="896" spans="1:10" x14ac:dyDescent="0.3">
      <c r="A896" s="9">
        <v>0.39912865542821258</v>
      </c>
      <c r="B896" s="9">
        <v>4.0235000375052836E-2</v>
      </c>
      <c r="C896" s="9">
        <v>0.24917769510835019</v>
      </c>
      <c r="D896" s="9">
        <v>0.31145864908838439</v>
      </c>
      <c r="E896" s="9">
        <f>SQRT((A896-A$3)^2+(B896-B$3)^2+(C896-C$3)^2+(D896-D$3)^2)</f>
        <v>0.71328914369055252</v>
      </c>
      <c r="G896" s="9">
        <v>7.8169884946314327E-2</v>
      </c>
      <c r="H896" s="9">
        <v>8.9587500825743266E-2</v>
      </c>
      <c r="J896" s="31">
        <v>0.87255347259170279</v>
      </c>
    </row>
    <row r="897" spans="1:10" x14ac:dyDescent="0.3">
      <c r="A897" s="9">
        <v>0.36301160439136809</v>
      </c>
      <c r="B897" s="9">
        <v>1.8440342286215647E-2</v>
      </c>
      <c r="C897" s="9">
        <v>0.42277377187413107</v>
      </c>
      <c r="D897" s="9">
        <v>0.19577428144828524</v>
      </c>
      <c r="E897" s="9">
        <f>SQRT((A897-A$3)^2+(B897-B$3)^2+(C897-C$3)^2+(D897-D$3)^2)</f>
        <v>0.71481760701872088</v>
      </c>
      <c r="G897" s="9">
        <v>7.8596260015504821E-2</v>
      </c>
      <c r="H897" s="9">
        <v>9.4202092823538044E-2</v>
      </c>
      <c r="J897" s="31">
        <v>0.83433666556361441</v>
      </c>
    </row>
    <row r="898" spans="1:10" x14ac:dyDescent="0.3">
      <c r="A898" s="9">
        <v>0.48277563825424513</v>
      </c>
      <c r="B898" s="9">
        <v>0.11030985085802905</v>
      </c>
      <c r="C898" s="9">
        <v>6.5394917682594561E-2</v>
      </c>
      <c r="D898" s="9">
        <v>0.3415195932051312</v>
      </c>
      <c r="E898" s="9">
        <f>SQRT((A898-A$3)^2+(B898-B$3)^2+(C898-C$3)^2+(D898-D$3)^2)</f>
        <v>0.71595376620999918</v>
      </c>
      <c r="G898" s="9">
        <v>7.692150919289753E-2</v>
      </c>
      <c r="H898" s="9">
        <v>8.2105732901993314E-2</v>
      </c>
      <c r="J898" s="31">
        <v>0.93685917504342842</v>
      </c>
    </row>
    <row r="899" spans="1:10" x14ac:dyDescent="0.3">
      <c r="A899" s="9">
        <v>0.19105667293049527</v>
      </c>
      <c r="B899" s="9">
        <v>0.2104543532986862</v>
      </c>
      <c r="C899" s="9">
        <v>3.3194018014570753E-2</v>
      </c>
      <c r="D899" s="9">
        <v>0.56529495575624766</v>
      </c>
      <c r="E899" s="9">
        <f>SQRT((A899-A$3)^2+(B899-B$3)^2+(C899-C$3)^2+(D899-D$3)^2)</f>
        <v>0.71725685389690319</v>
      </c>
      <c r="G899" s="9">
        <v>9.3126971799371711E-2</v>
      </c>
      <c r="H899" s="9">
        <v>0.10755216215478759</v>
      </c>
      <c r="J899" s="31">
        <v>0.86587726302837742</v>
      </c>
    </row>
    <row r="900" spans="1:10" x14ac:dyDescent="0.3">
      <c r="A900" s="9">
        <v>0.25451054818501179</v>
      </c>
      <c r="B900" s="9">
        <v>3.2346737827370464E-2</v>
      </c>
      <c r="C900" s="9">
        <v>0.36481807962089791</v>
      </c>
      <c r="D900" s="9">
        <v>0.34832463436671984</v>
      </c>
      <c r="E900" s="9">
        <f>SQRT((A900-A$3)^2+(B900-B$3)^2+(C900-C$3)^2+(D900-D$3)^2)</f>
        <v>0.71804944733281362</v>
      </c>
      <c r="G900" s="9">
        <v>8.4154537347474023E-2</v>
      </c>
      <c r="H900" s="9">
        <v>0.10223396978754518</v>
      </c>
      <c r="J900" s="31">
        <v>0.82315631020058744</v>
      </c>
    </row>
    <row r="901" spans="1:10" x14ac:dyDescent="0.3">
      <c r="A901" s="9">
        <v>7.1545253266283276E-2</v>
      </c>
      <c r="B901" s="9">
        <v>0.16411153181542398</v>
      </c>
      <c r="C901" s="9">
        <v>0.21384937529538259</v>
      </c>
      <c r="D901" s="9">
        <v>0.55049383962291021</v>
      </c>
      <c r="E901" s="9">
        <f>SQRT((A901-A$3)^2+(B901-B$3)^2+(C901-C$3)^2+(D901-D$3)^2)</f>
        <v>0.71938714981552943</v>
      </c>
      <c r="G901" s="9">
        <v>9.667616992836911E-2</v>
      </c>
      <c r="H901" s="9">
        <v>0.11542752280249054</v>
      </c>
      <c r="J901" s="31">
        <v>0.83754868493360024</v>
      </c>
    </row>
    <row r="902" spans="1:10" x14ac:dyDescent="0.3">
      <c r="A902" s="9">
        <v>0.25828886063439022</v>
      </c>
      <c r="B902" s="9">
        <v>2.7866222908580228E-2</v>
      </c>
      <c r="C902" s="9">
        <v>0.38041152239806952</v>
      </c>
      <c r="D902" s="9">
        <v>0.33343339405896</v>
      </c>
      <c r="E902" s="9">
        <f>SQRT((A902-A$3)^2+(B902-B$3)^2+(C902-C$3)^2+(D902-D$3)^2)</f>
        <v>0.71940078245066574</v>
      </c>
      <c r="G902" s="9">
        <v>8.3802492067160034E-2</v>
      </c>
      <c r="H902" s="9">
        <v>0.10211763400429329</v>
      </c>
      <c r="J902" s="31">
        <v>0.82064662860908788</v>
      </c>
    </row>
    <row r="903" spans="1:10" x14ac:dyDescent="0.3">
      <c r="A903" s="9">
        <v>0.32376217079617892</v>
      </c>
      <c r="B903" s="9">
        <v>2.30081612722054E-2</v>
      </c>
      <c r="C903" s="9">
        <v>0.33607275777274942</v>
      </c>
      <c r="D903" s="9">
        <v>0.31715691015886627</v>
      </c>
      <c r="E903" s="9">
        <f>SQRT((A903-A$3)^2+(B903-B$3)^2+(C903-C$3)^2+(D903-D$3)^2)</f>
        <v>0.7194463731308679</v>
      </c>
      <c r="G903" s="9">
        <v>8.0833890913875037E-2</v>
      </c>
      <c r="H903" s="9">
        <v>9.6773062954884484E-2</v>
      </c>
      <c r="J903" s="31">
        <v>0.83529329800752228</v>
      </c>
    </row>
    <row r="904" spans="1:10" x14ac:dyDescent="0.3">
      <c r="A904" s="9">
        <v>0.38017998397827718</v>
      </c>
      <c r="B904" s="9">
        <v>1.3572347461375485E-2</v>
      </c>
      <c r="C904" s="9">
        <v>0.4123506650969963</v>
      </c>
      <c r="D904" s="9">
        <v>0.19389700346335106</v>
      </c>
      <c r="E904" s="9">
        <f>SQRT((A904-A$3)^2+(B904-B$3)^2+(C904-C$3)^2+(D904-D$3)^2)</f>
        <v>0.72066636733119915</v>
      </c>
      <c r="G904" s="9">
        <v>7.7715406164228173E-2</v>
      </c>
      <c r="H904" s="9">
        <v>9.3167536293511807E-2</v>
      </c>
      <c r="J904" s="31">
        <v>0.83414684187200383</v>
      </c>
    </row>
    <row r="905" spans="1:10" x14ac:dyDescent="0.3">
      <c r="A905" s="9">
        <v>0.37217508188826276</v>
      </c>
      <c r="B905" s="9">
        <v>1.4921475485048817E-2</v>
      </c>
      <c r="C905" s="9">
        <v>0.35580548221321434</v>
      </c>
      <c r="D905" s="9">
        <v>0.25709796041347405</v>
      </c>
      <c r="E905" s="9">
        <f>SQRT((A905-A$3)^2+(B905-B$3)^2+(C905-C$3)^2+(D905-D$3)^2)</f>
        <v>0.72095356805466104</v>
      </c>
      <c r="G905" s="9">
        <v>7.8324802022096712E-2</v>
      </c>
      <c r="H905" s="9">
        <v>9.3164191464652185E-2</v>
      </c>
      <c r="J905" s="31">
        <v>0.8407178851738788</v>
      </c>
    </row>
    <row r="906" spans="1:10" x14ac:dyDescent="0.3">
      <c r="A906" s="9">
        <v>0.54188672898747048</v>
      </c>
      <c r="B906" s="9">
        <v>0.12604643772588514</v>
      </c>
      <c r="C906" s="9">
        <v>3.6282176682378015E-2</v>
      </c>
      <c r="D906" s="9">
        <v>0.29578465660426639</v>
      </c>
      <c r="E906" s="9">
        <f>SQRT((A906-A$3)^2+(B906-B$3)^2+(C906-C$3)^2+(D906-D$3)^2)</f>
        <v>0.72097786978763345</v>
      </c>
      <c r="G906" s="9">
        <v>7.4750501155895752E-2</v>
      </c>
      <c r="H906" s="9">
        <v>7.7115271290233794E-2</v>
      </c>
      <c r="J906" s="31">
        <v>0.96933460656012072</v>
      </c>
    </row>
    <row r="907" spans="1:10" x14ac:dyDescent="0.3">
      <c r="A907" s="9">
        <v>0.60295994217996118</v>
      </c>
      <c r="B907" s="9">
        <v>0.14315870520413429</v>
      </c>
      <c r="C907" s="9">
        <v>3.1019762611887287E-2</v>
      </c>
      <c r="D907" s="9">
        <v>0.22286159000401728</v>
      </c>
      <c r="E907" s="9">
        <f>SQRT((A907-A$3)^2+(B907-B$3)^2+(C907-C$3)^2+(D907-D$3)^2)</f>
        <v>0.72122412382321144</v>
      </c>
      <c r="G907" s="9">
        <v>7.2440257015294121E-2</v>
      </c>
      <c r="H907" s="9">
        <v>7.1653892954597426E-2</v>
      </c>
      <c r="J907" s="31">
        <v>1.0109744778444203</v>
      </c>
    </row>
    <row r="908" spans="1:10" x14ac:dyDescent="0.3">
      <c r="A908" s="9">
        <v>0.40990520617033532</v>
      </c>
      <c r="B908" s="9">
        <v>6.410285947531566E-2</v>
      </c>
      <c r="C908" s="9">
        <v>0.16005987073301803</v>
      </c>
      <c r="D908" s="9">
        <v>0.36593206362133102</v>
      </c>
      <c r="E908" s="9">
        <f>SQRT((A908-A$3)^2+(B908-B$3)^2+(C908-C$3)^2+(D908-D$3)^2)</f>
        <v>0.72152307016298767</v>
      </c>
      <c r="G908" s="9">
        <v>7.8652374859271318E-2</v>
      </c>
      <c r="H908" s="9">
        <v>8.8954748994435423E-2</v>
      </c>
      <c r="J908" s="31">
        <v>0.88418410201114084</v>
      </c>
    </row>
    <row r="909" spans="1:10" x14ac:dyDescent="0.3">
      <c r="A909" s="9">
        <v>3.537723074422456E-2</v>
      </c>
      <c r="B909" s="9">
        <v>0.29328597437419573</v>
      </c>
      <c r="C909" s="9">
        <v>4.9548440371742317E-2</v>
      </c>
      <c r="D909" s="9">
        <v>0.62178835450983749</v>
      </c>
      <c r="E909" s="9">
        <f>SQRT((A909-A$3)^2+(B909-B$3)^2+(C909-C$3)^2+(D909-D$3)^2)</f>
        <v>0.72287850383010677</v>
      </c>
      <c r="G909" s="9">
        <v>0.10245465143335283</v>
      </c>
      <c r="H909" s="9">
        <v>0.11850819090306082</v>
      </c>
      <c r="J909" s="31">
        <v>0.86453645653202393</v>
      </c>
    </row>
    <row r="910" spans="1:10" x14ac:dyDescent="0.3">
      <c r="A910" s="9">
        <v>0.42296371255319437</v>
      </c>
      <c r="B910" s="9">
        <v>1.5105996054670619E-2</v>
      </c>
      <c r="C910" s="9">
        <v>0.39177809235636446</v>
      </c>
      <c r="D910" s="9">
        <v>0.17015219903577053</v>
      </c>
      <c r="E910" s="9">
        <f>SQRT((A910-A$3)^2+(B910-B$3)^2+(C910-C$3)^2+(D910-D$3)^2)</f>
        <v>0.72291150769741064</v>
      </c>
      <c r="G910" s="9">
        <v>7.5873379198350355E-2</v>
      </c>
      <c r="H910" s="9">
        <v>8.9759411677066456E-2</v>
      </c>
      <c r="J910" s="31">
        <v>0.8452971981514894</v>
      </c>
    </row>
    <row r="911" spans="1:10" x14ac:dyDescent="0.3">
      <c r="A911" s="9">
        <v>0.32227585944564596</v>
      </c>
      <c r="B911" s="9">
        <v>6.928638334036713E-2</v>
      </c>
      <c r="C911" s="9">
        <v>0.17971139997918542</v>
      </c>
      <c r="D911" s="9">
        <v>0.42872635723480162</v>
      </c>
      <c r="E911" s="9">
        <f>SQRT((A911-A$3)^2+(B911-B$3)^2+(C911-C$3)^2+(D911-D$3)^2)</f>
        <v>0.72378371397233188</v>
      </c>
      <c r="G911" s="9">
        <v>8.2734241373709619E-2</v>
      </c>
      <c r="H911" s="9">
        <v>9.6745505729611991E-2</v>
      </c>
      <c r="J911" s="31">
        <v>0.85517400265536281</v>
      </c>
    </row>
    <row r="912" spans="1:10" x14ac:dyDescent="0.3">
      <c r="A912" s="9">
        <v>0.55434088337026066</v>
      </c>
      <c r="B912" s="9">
        <v>8.2888610454339207E-2</v>
      </c>
      <c r="C912" s="9">
        <v>0.12343101151699332</v>
      </c>
      <c r="D912" s="9">
        <v>0.23933949465840684</v>
      </c>
      <c r="E912" s="9">
        <f>SQRT((A912-A$3)^2+(B912-B$3)^2+(C912-C$3)^2+(D912-D$3)^2)</f>
        <v>0.72553780925875677</v>
      </c>
      <c r="G912" s="9">
        <v>7.268537002991754E-2</v>
      </c>
      <c r="H912" s="9">
        <v>7.6158887050298399E-2</v>
      </c>
      <c r="J912" s="31">
        <v>0.95439117934999751</v>
      </c>
    </row>
    <row r="913" spans="1:10" x14ac:dyDescent="0.3">
      <c r="A913" s="9">
        <v>0.38995113655287139</v>
      </c>
      <c r="B913" s="9">
        <v>3.7227918158172016E-2</v>
      </c>
      <c r="C913" s="9">
        <v>0.22775386875739739</v>
      </c>
      <c r="D913" s="9">
        <v>0.34506707653155927</v>
      </c>
      <c r="E913" s="9">
        <f>SQRT((A913-A$3)^2+(B913-B$3)^2+(C913-C$3)^2+(D913-D$3)^2)</f>
        <v>0.72614681086852018</v>
      </c>
      <c r="G913" s="9">
        <v>7.8586130079442207E-2</v>
      </c>
      <c r="H913" s="9">
        <v>9.1165904648059251E-2</v>
      </c>
      <c r="J913" s="31">
        <v>0.86201228828715581</v>
      </c>
    </row>
    <row r="914" spans="1:10" x14ac:dyDescent="0.3">
      <c r="A914" s="9">
        <v>0.23094942046339506</v>
      </c>
      <c r="B914" s="9">
        <v>7.1768578146894857E-2</v>
      </c>
      <c r="C914" s="9">
        <v>0.23328264013030034</v>
      </c>
      <c r="D914" s="9">
        <v>0.46399936125940983</v>
      </c>
      <c r="E914" s="9">
        <f>SQRT((A914-A$3)^2+(B914-B$3)^2+(C914-C$3)^2+(D914-D$3)^2)</f>
        <v>0.72755496567174849</v>
      </c>
      <c r="G914" s="9">
        <v>8.6788062344345843E-2</v>
      </c>
      <c r="H914" s="9">
        <v>0.10443464212764181</v>
      </c>
      <c r="J914" s="31">
        <v>0.83102752665415358</v>
      </c>
    </row>
    <row r="915" spans="1:10" x14ac:dyDescent="0.3">
      <c r="A915" s="9">
        <v>0.44334378333420638</v>
      </c>
      <c r="B915" s="9">
        <v>1.3769190370447649E-2</v>
      </c>
      <c r="C915" s="9">
        <v>0.34308197121513606</v>
      </c>
      <c r="D915" s="9">
        <v>0.19980505508021001</v>
      </c>
      <c r="E915" s="9">
        <f>SQRT((A915-A$3)^2+(B915-B$3)^2+(C915-C$3)^2+(D915-D$3)^2)</f>
        <v>0.7276399946129628</v>
      </c>
      <c r="G915" s="9">
        <v>7.508129887799031E-2</v>
      </c>
      <c r="H915" s="9">
        <v>8.7777603782122737E-2</v>
      </c>
      <c r="J915" s="31">
        <v>0.8553582650120346</v>
      </c>
    </row>
    <row r="916" spans="1:10" x14ac:dyDescent="0.3">
      <c r="A916" s="9">
        <v>0.15345830711728339</v>
      </c>
      <c r="B916" s="9">
        <v>4.3432625612352879E-2</v>
      </c>
      <c r="C916" s="9">
        <v>0.45197565798282113</v>
      </c>
      <c r="D916" s="9">
        <v>0.3511334092875425</v>
      </c>
      <c r="E916" s="9">
        <f>SQRT((A916-A$3)^2+(B916-B$3)^2+(C916-C$3)^2+(D916-D$3)^2)</f>
        <v>0.72798165976125118</v>
      </c>
      <c r="G916" s="9">
        <v>8.8765937008447149E-2</v>
      </c>
      <c r="H916" s="9">
        <v>0.11051036956999617</v>
      </c>
      <c r="J916" s="31">
        <v>0.80323626962647776</v>
      </c>
    </row>
    <row r="917" spans="1:10" x14ac:dyDescent="0.3">
      <c r="A917" s="9">
        <v>0.24605184074206721</v>
      </c>
      <c r="B917" s="9">
        <v>6.740107128674451E-2</v>
      </c>
      <c r="C917" s="9">
        <v>0.64149620172098964</v>
      </c>
      <c r="D917" s="9">
        <v>4.5050886250198707E-2</v>
      </c>
      <c r="E917" s="9">
        <f>SQRT((A917-A$3)^2+(B917-B$3)^2+(C917-C$3)^2+(D917-D$3)^2)</f>
        <v>0.72849452930107017</v>
      </c>
      <c r="G917" s="9">
        <v>8.4489642081747515E-2</v>
      </c>
      <c r="H917" s="9">
        <v>0.10560227550274504</v>
      </c>
      <c r="J917" s="31">
        <v>0.80007406733911979</v>
      </c>
    </row>
    <row r="918" spans="1:10" x14ac:dyDescent="0.3">
      <c r="A918" s="9">
        <v>0.4264403694788797</v>
      </c>
      <c r="B918" s="9">
        <v>0.10797065580051253</v>
      </c>
      <c r="C918" s="9">
        <v>5.562129153275186E-2</v>
      </c>
      <c r="D918" s="9">
        <v>0.40996768318785587</v>
      </c>
      <c r="E918" s="9">
        <f>SQRT((A918-A$3)^2+(B918-B$3)^2+(C918-C$3)^2+(D918-D$3)^2)</f>
        <v>0.73004255568912002</v>
      </c>
      <c r="G918" s="9">
        <v>7.947261934432083E-2</v>
      </c>
      <c r="H918" s="9">
        <v>8.8333752570486285E-2</v>
      </c>
      <c r="J918" s="31">
        <v>0.89968576033159375</v>
      </c>
    </row>
    <row r="919" spans="1:10" x14ac:dyDescent="0.3">
      <c r="A919" s="9">
        <v>0.31471567637253506</v>
      </c>
      <c r="B919" s="9">
        <v>6.0049935292875216E-2</v>
      </c>
      <c r="C919" s="9">
        <v>0.19249100754075965</v>
      </c>
      <c r="D919" s="9">
        <v>0.43274338079383007</v>
      </c>
      <c r="E919" s="9">
        <f>SQRT((A919-A$3)^2+(B919-B$3)^2+(C919-C$3)^2+(D919-D$3)^2)</f>
        <v>0.73138321672192652</v>
      </c>
      <c r="G919" s="9">
        <v>8.2781846760055011E-2</v>
      </c>
      <c r="H919" s="9">
        <v>9.7902535818983602E-2</v>
      </c>
      <c r="J919" s="31">
        <v>0.84555365259500614</v>
      </c>
    </row>
    <row r="920" spans="1:10" x14ac:dyDescent="0.3">
      <c r="A920" s="9">
        <v>0.10080969561475794</v>
      </c>
      <c r="B920" s="9">
        <v>6.3247093454516082E-2</v>
      </c>
      <c r="C920" s="9">
        <v>0.44176147903748508</v>
      </c>
      <c r="D920" s="9">
        <v>0.39418173189324074</v>
      </c>
      <c r="E920" s="9">
        <f>SQRT((A920-A$3)^2+(B920-B$3)^2+(C920-C$3)^2+(D920-D$3)^2)</f>
        <v>0.73147820177902667</v>
      </c>
      <c r="G920" s="9">
        <v>9.1754182543938467E-2</v>
      </c>
      <c r="H920" s="9">
        <v>0.11420671619996059</v>
      </c>
      <c r="J920" s="31">
        <v>0.80340443711987342</v>
      </c>
    </row>
    <row r="921" spans="1:10" x14ac:dyDescent="0.3">
      <c r="A921" s="9">
        <v>0.29640704640108301</v>
      </c>
      <c r="B921" s="9">
        <v>5.9214655993894312E-2</v>
      </c>
      <c r="C921" s="9">
        <v>0.2033294380920245</v>
      </c>
      <c r="D921" s="9">
        <v>0.44104885951299816</v>
      </c>
      <c r="E921" s="9">
        <f>SQRT((A921-A$3)^2+(B921-B$3)^2+(C921-C$3)^2+(D921-D$3)^2)</f>
        <v>0.73294707769434175</v>
      </c>
      <c r="G921" s="9">
        <v>8.3557815251070172E-2</v>
      </c>
      <c r="H921" s="9">
        <v>9.9537445898669877E-2</v>
      </c>
      <c r="J921" s="31">
        <v>0.83946111432407933</v>
      </c>
    </row>
    <row r="922" spans="1:10" x14ac:dyDescent="0.3">
      <c r="A922" s="9">
        <v>0.43043751671347857</v>
      </c>
      <c r="B922" s="9">
        <v>1.1759415741230092E-2</v>
      </c>
      <c r="C922" s="9">
        <v>0.30330937488605159</v>
      </c>
      <c r="D922" s="9">
        <v>0.25449369265923966</v>
      </c>
      <c r="E922" s="9">
        <f>SQRT((A922-A$3)^2+(B922-B$3)^2+(C922-C$3)^2+(D922-D$3)^2)</f>
        <v>0.73344117311538837</v>
      </c>
      <c r="G922" s="9">
        <v>7.5762345074084039E-2</v>
      </c>
      <c r="H922" s="9">
        <v>8.8750402433381156E-2</v>
      </c>
      <c r="J922" s="31">
        <v>0.85365635531572537</v>
      </c>
    </row>
    <row r="923" spans="1:10" x14ac:dyDescent="0.3">
      <c r="A923" s="9">
        <v>0.18734160883937928</v>
      </c>
      <c r="B923" s="9">
        <v>7.8460592356969588E-2</v>
      </c>
      <c r="C923" s="9">
        <v>0.24820796181988056</v>
      </c>
      <c r="D923" s="9">
        <v>0.48598983698377052</v>
      </c>
      <c r="E923" s="9">
        <f>SQRT((A923-A$3)^2+(B923-B$3)^2+(C923-C$3)^2+(D923-D$3)^2)</f>
        <v>0.73363256208043781</v>
      </c>
      <c r="G923" s="9">
        <v>8.8912787521741532E-2</v>
      </c>
      <c r="H923" s="9">
        <v>0.108187466464111</v>
      </c>
      <c r="J923" s="31">
        <v>0.8218400007660458</v>
      </c>
    </row>
    <row r="924" spans="1:10" x14ac:dyDescent="0.3">
      <c r="A924" s="9">
        <v>8.1462032418385386E-2</v>
      </c>
      <c r="B924" s="9">
        <v>9.3073391732185304E-2</v>
      </c>
      <c r="C924" s="9">
        <v>0.34629359756886069</v>
      </c>
      <c r="D924" s="9">
        <v>0.47917097828056859</v>
      </c>
      <c r="E924" s="9">
        <f>SQRT((A924-A$3)^2+(B924-B$3)^2+(C924-C$3)^2+(D924-D$3)^2)</f>
        <v>0.73381434307115623</v>
      </c>
      <c r="G924" s="9">
        <v>9.380158558676957E-2</v>
      </c>
      <c r="H924" s="9">
        <v>0.11559140444963636</v>
      </c>
      <c r="J924" s="31">
        <v>0.81149274060113441</v>
      </c>
    </row>
    <row r="925" spans="1:10" x14ac:dyDescent="0.3">
      <c r="A925" s="9">
        <v>0.38213855321276913</v>
      </c>
      <c r="B925" s="9">
        <v>7.7297528904949936E-4</v>
      </c>
      <c r="C925" s="9">
        <v>0.3718871830852426</v>
      </c>
      <c r="D925" s="9">
        <v>0.24520128841293884</v>
      </c>
      <c r="E925" s="9">
        <f>SQRT((A925-A$3)^2+(B925-B$3)^2+(C925-C$3)^2+(D925-D$3)^2)</f>
        <v>0.73605457158859211</v>
      </c>
      <c r="G925" s="9">
        <v>7.7424061198893154E-2</v>
      </c>
      <c r="H925" s="9">
        <v>9.3581543373986512E-2</v>
      </c>
      <c r="J925" s="31">
        <v>0.8273432816712365</v>
      </c>
    </row>
    <row r="926" spans="1:10" x14ac:dyDescent="0.3">
      <c r="A926" s="9">
        <v>0.36758593397490846</v>
      </c>
      <c r="B926" s="9">
        <v>7.8213690455311555E-2</v>
      </c>
      <c r="C926" s="9">
        <v>0.1199010106427732</v>
      </c>
      <c r="D926" s="9">
        <v>0.43429936492700666</v>
      </c>
      <c r="E926" s="9">
        <f>SQRT((A926-A$3)^2+(B926-B$3)^2+(C926-C$3)^2+(D926-D$3)^2)</f>
        <v>0.73614562848611031</v>
      </c>
      <c r="G926" s="9">
        <v>8.1121245784474244E-2</v>
      </c>
      <c r="H926" s="9">
        <v>9.3780213410360719E-2</v>
      </c>
      <c r="J926" s="31">
        <v>0.86501451462374335</v>
      </c>
    </row>
    <row r="927" spans="1:10" x14ac:dyDescent="0.3">
      <c r="A927" s="9">
        <v>0.39441785374956079</v>
      </c>
      <c r="B927" s="9">
        <v>4.6151605010016972E-2</v>
      </c>
      <c r="C927" s="9">
        <v>0.18017653632099545</v>
      </c>
      <c r="D927" s="9">
        <v>0.37925400491942679</v>
      </c>
      <c r="E927" s="9">
        <f>SQRT((A927-A$3)^2+(B927-B$3)^2+(C927-C$3)^2+(D927-D$3)^2)</f>
        <v>0.73626772853759859</v>
      </c>
      <c r="G927" s="9">
        <v>7.8798454217270913E-2</v>
      </c>
      <c r="H927" s="9">
        <v>9.1364377312612863E-2</v>
      </c>
      <c r="J927" s="31">
        <v>0.86246364868939762</v>
      </c>
    </row>
    <row r="928" spans="1:10" x14ac:dyDescent="0.3">
      <c r="A928" s="9">
        <v>0.51478063945941877</v>
      </c>
      <c r="B928" s="9">
        <v>2.2418149933709441E-2</v>
      </c>
      <c r="C928" s="9">
        <v>0.34657086920970465</v>
      </c>
      <c r="D928" s="9">
        <v>0.11623034139716709</v>
      </c>
      <c r="E928" s="9">
        <f>SQRT((A928-A$3)^2+(B928-B$3)^2+(C928-C$3)^2+(D928-D$3)^2)</f>
        <v>0.73668870957127564</v>
      </c>
      <c r="G928" s="9">
        <v>7.2033793770106269E-2</v>
      </c>
      <c r="H928" s="9">
        <v>8.2899027664940061E-2</v>
      </c>
      <c r="J928" s="31">
        <v>0.8689341214139602</v>
      </c>
    </row>
    <row r="929" spans="1:10" x14ac:dyDescent="0.3">
      <c r="A929" s="9">
        <v>0.41438532458850436</v>
      </c>
      <c r="B929" s="9">
        <v>3.9099772414721568E-2</v>
      </c>
      <c r="C929" s="9">
        <v>0.19128076939924785</v>
      </c>
      <c r="D929" s="9">
        <v>0.35523413359752626</v>
      </c>
      <c r="E929" s="9">
        <f>SQRT((A929-A$3)^2+(B929-B$3)^2+(C929-C$3)^2+(D929-D$3)^2)</f>
        <v>0.73714065396264017</v>
      </c>
      <c r="G929" s="9">
        <v>7.7651411498906558E-2</v>
      </c>
      <c r="H929" s="9">
        <v>8.9683982034642146E-2</v>
      </c>
      <c r="J929" s="31">
        <v>0.86583367215911777</v>
      </c>
    </row>
    <row r="930" spans="1:10" x14ac:dyDescent="0.3">
      <c r="A930" s="9">
        <v>0.4258946487726728</v>
      </c>
      <c r="B930" s="9">
        <v>7.1732683708980467E-3</v>
      </c>
      <c r="C930" s="9">
        <v>0.29994387322693328</v>
      </c>
      <c r="D930" s="9">
        <v>0.26698820962949571</v>
      </c>
      <c r="E930" s="9">
        <f>SQRT((A930-A$3)^2+(B930-B$3)^2+(C930-C$3)^2+(D930-D$3)^2)</f>
        <v>0.73934551345705324</v>
      </c>
      <c r="G930" s="9">
        <v>7.5857501574119718E-2</v>
      </c>
      <c r="H930" s="9">
        <v>8.9502639291072481E-2</v>
      </c>
      <c r="J930" s="31">
        <v>0.8475448564977256</v>
      </c>
    </row>
    <row r="931" spans="1:10" x14ac:dyDescent="0.3">
      <c r="A931" s="9">
        <v>0.3214202974449365</v>
      </c>
      <c r="B931" s="9">
        <v>3.3818887536828046E-2</v>
      </c>
      <c r="C931" s="9">
        <v>0.23756780819261344</v>
      </c>
      <c r="D931" s="9">
        <v>0.40719300682562193</v>
      </c>
      <c r="E931" s="9">
        <f>SQRT((A931-A$3)^2+(B931-B$3)^2+(C931-C$3)^2+(D931-D$3)^2)</f>
        <v>0.74086592363911052</v>
      </c>
      <c r="G931" s="9">
        <v>8.1595037160467718E-2</v>
      </c>
      <c r="H931" s="9">
        <v>9.8035702427362995E-2</v>
      </c>
      <c r="J931" s="31">
        <v>0.83229920467926921</v>
      </c>
    </row>
    <row r="932" spans="1:10" x14ac:dyDescent="0.3">
      <c r="A932" s="9">
        <v>0.154793399904641</v>
      </c>
      <c r="B932" s="9">
        <v>8.1479822810401975E-2</v>
      </c>
      <c r="C932" s="9">
        <v>0.26064972054836777</v>
      </c>
      <c r="D932" s="9">
        <v>0.5030770567365892</v>
      </c>
      <c r="E932" s="9">
        <f>SQRT((A932-A$3)^2+(B932-B$3)^2+(C932-C$3)^2+(D932-D$3)^2)</f>
        <v>0.74250387855594691</v>
      </c>
      <c r="G932" s="9">
        <v>9.0440014345318259E-2</v>
      </c>
      <c r="H932" s="9">
        <v>0.11119142744015524</v>
      </c>
      <c r="J932" s="31">
        <v>0.81337218549509427</v>
      </c>
    </row>
    <row r="933" spans="1:10" x14ac:dyDescent="0.3">
      <c r="A933" s="9">
        <v>0.3489413303681031</v>
      </c>
      <c r="B933" s="9">
        <v>1.3898155248272709E-2</v>
      </c>
      <c r="C933" s="9">
        <v>0.27962977416846979</v>
      </c>
      <c r="D933" s="9">
        <v>0.35753074021515446</v>
      </c>
      <c r="E933" s="9">
        <f>SQRT((A933-A$3)^2+(B933-B$3)^2+(C933-C$3)^2+(D933-D$3)^2)</f>
        <v>0.74295122872107178</v>
      </c>
      <c r="G933" s="9">
        <v>7.9638277804433111E-2</v>
      </c>
      <c r="H933" s="9">
        <v>9.6030314373688835E-2</v>
      </c>
      <c r="J933" s="31">
        <v>0.82930352070421887</v>
      </c>
    </row>
    <row r="934" spans="1:10" x14ac:dyDescent="0.3">
      <c r="A934" s="9">
        <v>0.45105663154673231</v>
      </c>
      <c r="B934" s="9">
        <v>3.985613377452979E-4</v>
      </c>
      <c r="C934" s="9">
        <v>0.37140782629770186</v>
      </c>
      <c r="D934" s="9">
        <v>0.17713698081782051</v>
      </c>
      <c r="E934" s="9">
        <f>SQRT((A934-A$3)^2+(B934-B$3)^2+(C934-C$3)^2+(D934-D$3)^2)</f>
        <v>0.74295224102840773</v>
      </c>
      <c r="G934" s="9">
        <v>7.4260195275637278E-2</v>
      </c>
      <c r="H934" s="9">
        <v>8.8637708329922918E-2</v>
      </c>
      <c r="J934" s="31">
        <v>0.83779462121504356</v>
      </c>
    </row>
    <row r="935" spans="1:10" x14ac:dyDescent="0.3">
      <c r="A935" s="9">
        <v>0.51533168218943282</v>
      </c>
      <c r="B935" s="9">
        <v>3.2655473675118153E-2</v>
      </c>
      <c r="C935" s="9">
        <v>0.43584506046463894</v>
      </c>
      <c r="D935" s="9">
        <v>1.6167783670810187E-2</v>
      </c>
      <c r="E935" s="9">
        <f>SQRT((A935-A$3)^2+(B935-B$3)^2+(C935-C$3)^2+(D935-D$3)^2)</f>
        <v>0.74475247981237136</v>
      </c>
      <c r="G935" s="9">
        <v>7.1962446606574026E-2</v>
      </c>
      <c r="H935" s="9">
        <v>8.5562498678611612E-2</v>
      </c>
      <c r="J935" s="31">
        <v>0.84105125163394456</v>
      </c>
    </row>
    <row r="936" spans="1:10" x14ac:dyDescent="0.3">
      <c r="A936" s="9">
        <v>0.62477658795990487</v>
      </c>
      <c r="B936" s="9">
        <v>6.8344351325069219E-2</v>
      </c>
      <c r="C936" s="9">
        <v>0.2091138842540621</v>
      </c>
      <c r="D936" s="9">
        <v>9.7765176460963749E-2</v>
      </c>
      <c r="E936" s="9">
        <f>SQRT((A936-A$3)^2+(B936-B$3)^2+(C936-C$3)^2+(D936-D$3)^2)</f>
        <v>0.74525012884857389</v>
      </c>
      <c r="G936" s="9">
        <v>6.875144914786796E-2</v>
      </c>
      <c r="H936" s="9">
        <v>7.2580037839543157E-2</v>
      </c>
      <c r="J936" s="31">
        <v>0.94725011441659379</v>
      </c>
    </row>
    <row r="937" spans="1:10" x14ac:dyDescent="0.3">
      <c r="A937" s="9">
        <v>0.32027842183367211</v>
      </c>
      <c r="B937" s="9">
        <v>4.6573738533088778E-3</v>
      </c>
      <c r="C937" s="9">
        <v>0.32938410148666569</v>
      </c>
      <c r="D937" s="9">
        <v>0.3456801028263532</v>
      </c>
      <c r="E937" s="9">
        <f>SQRT((A937-A$3)^2+(B937-B$3)^2+(C937-C$3)^2+(D937-D$3)^2)</f>
        <v>0.74536632063416941</v>
      </c>
      <c r="G937" s="9">
        <v>8.0517186698808474E-2</v>
      </c>
      <c r="H937" s="9">
        <v>9.8806188535978778E-2</v>
      </c>
      <c r="J937" s="31">
        <v>0.81490023946718038</v>
      </c>
    </row>
    <row r="938" spans="1:10" x14ac:dyDescent="0.3">
      <c r="A938" s="9">
        <v>0.23585763206402682</v>
      </c>
      <c r="B938" s="9">
        <v>4.0170002462239316E-3</v>
      </c>
      <c r="C938" s="9">
        <v>0.4805320765424656</v>
      </c>
      <c r="D938" s="9">
        <v>0.27959329114728354</v>
      </c>
      <c r="E938" s="9">
        <f>SQRT((A938-A$3)^2+(B938-B$3)^2+(C938-C$3)^2+(D938-D$3)^2)</f>
        <v>0.74686387728392611</v>
      </c>
      <c r="G938" s="9">
        <v>8.3814015729938574E-2</v>
      </c>
      <c r="H938" s="9">
        <v>0.10629294853686048</v>
      </c>
      <c r="J938" s="31">
        <v>0.78851905873016004</v>
      </c>
    </row>
    <row r="939" spans="1:10" x14ac:dyDescent="0.3">
      <c r="A939" s="9">
        <v>0.22050327673850076</v>
      </c>
      <c r="B939" s="9">
        <v>6.2542873896806678E-3</v>
      </c>
      <c r="C939" s="9">
        <v>0.46202748068002081</v>
      </c>
      <c r="D939" s="9">
        <v>0.31121495519179776</v>
      </c>
      <c r="E939" s="9">
        <f>SQRT((A939-A$3)^2+(B939-B$3)^2+(C939-C$3)^2+(D939-D$3)^2)</f>
        <v>0.74851381278932105</v>
      </c>
      <c r="G939" s="9">
        <v>8.4645485693525646E-2</v>
      </c>
      <c r="H939" s="9">
        <v>0.10736997801156484</v>
      </c>
      <c r="J939" s="31">
        <v>0.78835338575191349</v>
      </c>
    </row>
    <row r="940" spans="1:10" x14ac:dyDescent="0.3">
      <c r="A940" s="9">
        <v>0.27755289782243614</v>
      </c>
      <c r="B940" s="9">
        <v>6.9126024609150608E-3</v>
      </c>
      <c r="C940" s="9">
        <v>0.34133702792516851</v>
      </c>
      <c r="D940" s="9">
        <v>0.37419747179148033</v>
      </c>
      <c r="E940" s="9">
        <f>SQRT((A940-A$3)^2+(B940-B$3)^2+(C940-C$3)^2+(D940-D$3)^2)</f>
        <v>0.75034600622614167</v>
      </c>
      <c r="G940" s="9">
        <v>8.2491320418383418E-2</v>
      </c>
      <c r="H940" s="9">
        <v>0.10259304462760231</v>
      </c>
      <c r="J940" s="31">
        <v>0.80406347933054134</v>
      </c>
    </row>
    <row r="941" spans="1:10" x14ac:dyDescent="0.3">
      <c r="A941" s="9">
        <v>0.268508917884281</v>
      </c>
      <c r="B941" s="9">
        <v>0.12664711003940649</v>
      </c>
      <c r="C941" s="9">
        <v>6.8544180274083627E-2</v>
      </c>
      <c r="D941" s="9">
        <v>0.53629979180222886</v>
      </c>
      <c r="E941" s="9">
        <f>SQRT((A941-A$3)^2+(B941-B$3)^2+(C941-C$3)^2+(D941-D$3)^2)</f>
        <v>0.75080712150729423</v>
      </c>
      <c r="G941" s="9">
        <v>8.7165845903030004E-2</v>
      </c>
      <c r="H941" s="9">
        <v>0.10350430903582684</v>
      </c>
      <c r="J941" s="31">
        <v>0.84214702474713909</v>
      </c>
    </row>
    <row r="942" spans="1:10" x14ac:dyDescent="0.3">
      <c r="A942" s="9">
        <v>9.893428458279413E-2</v>
      </c>
      <c r="B942" s="9">
        <v>0.11022026250184835</v>
      </c>
      <c r="C942" s="9">
        <v>0.24579963568721666</v>
      </c>
      <c r="D942" s="9">
        <v>0.54504581722814083</v>
      </c>
      <c r="E942" s="9">
        <f>SQRT((A942-A$3)^2+(B942-B$3)^2+(C942-C$3)^2+(D942-D$3)^2)</f>
        <v>0.7510014101559116</v>
      </c>
      <c r="G942" s="9">
        <v>9.3835637301555488E-2</v>
      </c>
      <c r="H942" s="9">
        <v>0.11572977247688114</v>
      </c>
      <c r="J942" s="31">
        <v>0.81081674398263115</v>
      </c>
    </row>
    <row r="943" spans="1:10" x14ac:dyDescent="0.3">
      <c r="A943" s="9">
        <v>0.59354387846900114</v>
      </c>
      <c r="B943" s="9">
        <v>4.933120035309578E-2</v>
      </c>
      <c r="C943" s="9">
        <v>0.35151930740949389</v>
      </c>
      <c r="D943" s="9">
        <v>5.6056137684092162E-3</v>
      </c>
      <c r="E943" s="9">
        <f>SQRT((A943-A$3)^2+(B943-B$3)^2+(C943-C$3)^2+(D943-D$3)^2)</f>
        <v>0.75175498664008111</v>
      </c>
      <c r="G943" s="9">
        <v>6.9143752338368086E-2</v>
      </c>
      <c r="H943" s="9">
        <v>7.8633618690687745E-2</v>
      </c>
      <c r="J943" s="31">
        <v>0.8793154059251822</v>
      </c>
    </row>
    <row r="944" spans="1:10" x14ac:dyDescent="0.3">
      <c r="A944" s="9">
        <v>0.40945193160988086</v>
      </c>
      <c r="B944" s="9">
        <v>4.3722455512460311E-2</v>
      </c>
      <c r="C944" s="9">
        <v>0.15183231126295074</v>
      </c>
      <c r="D944" s="9">
        <v>0.39499330161470814</v>
      </c>
      <c r="E944" s="9">
        <f>SQRT((A944-A$3)^2+(B944-B$3)^2+(C944-C$3)^2+(D944-D$3)^2)</f>
        <v>0.75240106577708976</v>
      </c>
      <c r="G944" s="9">
        <v>7.8147164628096621E-2</v>
      </c>
      <c r="H944" s="9">
        <v>9.1146456250456837E-2</v>
      </c>
      <c r="J944" s="31">
        <v>0.85738017519145115</v>
      </c>
    </row>
    <row r="945" spans="1:10" x14ac:dyDescent="0.3">
      <c r="A945" s="9">
        <v>0.39392812643257735</v>
      </c>
      <c r="B945" s="9">
        <v>3.6796387937594655E-2</v>
      </c>
      <c r="C945" s="9">
        <v>0.1714379049241003</v>
      </c>
      <c r="D945" s="9">
        <v>0.39783758070572772</v>
      </c>
      <c r="E945" s="9">
        <f>SQRT((A945-A$3)^2+(B945-B$3)^2+(C945-C$3)^2+(D945-D$3)^2)</f>
        <v>0.75319251096635254</v>
      </c>
      <c r="G945" s="9">
        <v>7.8597528138316164E-2</v>
      </c>
      <c r="H945" s="9">
        <v>9.2584151206192539E-2</v>
      </c>
      <c r="J945" s="31">
        <v>0.84893069833597101</v>
      </c>
    </row>
    <row r="946" spans="1:10" x14ac:dyDescent="0.3">
      <c r="A946" s="9">
        <v>0.54685449637847172</v>
      </c>
      <c r="B946" s="9">
        <v>1.8398818055065842E-2</v>
      </c>
      <c r="C946" s="9">
        <v>0.26935109693916748</v>
      </c>
      <c r="D946" s="9">
        <v>0.16539558862729498</v>
      </c>
      <c r="E946" s="9">
        <f>SQRT((A946-A$3)^2+(B946-B$3)^2+(C946-C$3)^2+(D946-D$3)^2)</f>
        <v>0.75339487004975692</v>
      </c>
      <c r="G946" s="9">
        <v>7.0737100580705883E-2</v>
      </c>
      <c r="H946" s="9">
        <v>8.0109549527894369E-2</v>
      </c>
      <c r="J946" s="31">
        <v>0.88300459804826426</v>
      </c>
    </row>
    <row r="947" spans="1:10" x14ac:dyDescent="0.3">
      <c r="A947" s="9">
        <v>4.2379892696087412E-2</v>
      </c>
      <c r="B947" s="9">
        <v>6.8249484759602283E-2</v>
      </c>
      <c r="C947" s="9">
        <v>0.47842887480870055</v>
      </c>
      <c r="D947" s="9">
        <v>0.41094174773560976</v>
      </c>
      <c r="E947" s="9">
        <f>SQRT((A947-A$3)^2+(B947-B$3)^2+(C947-C$3)^2+(D947-D$3)^2)</f>
        <v>0.75548280311469962</v>
      </c>
      <c r="G947" s="9">
        <v>9.4432195243713074E-2</v>
      </c>
      <c r="H947" s="9">
        <v>0.11955737462366174</v>
      </c>
      <c r="J947" s="31">
        <v>0.78984835139583176</v>
      </c>
    </row>
    <row r="948" spans="1:10" x14ac:dyDescent="0.3">
      <c r="A948" s="9">
        <v>0.32984151013232144</v>
      </c>
      <c r="B948" s="9">
        <v>0.12279657668877203</v>
      </c>
      <c r="C948" s="9">
        <v>3.3852171925333636E-2</v>
      </c>
      <c r="D948" s="9">
        <v>0.51350974125357296</v>
      </c>
      <c r="E948" s="9">
        <f>SQRT((A948-A$3)^2+(B948-B$3)^2+(C948-C$3)^2+(D948-D$3)^2)</f>
        <v>0.75686961497743077</v>
      </c>
      <c r="G948" s="9">
        <v>8.4379151057526386E-2</v>
      </c>
      <c r="H948" s="9">
        <v>9.897336394509762E-2</v>
      </c>
      <c r="J948" s="31">
        <v>0.8525440350227268</v>
      </c>
    </row>
    <row r="949" spans="1:10" x14ac:dyDescent="0.3">
      <c r="A949" s="9">
        <v>0.45314857456142887</v>
      </c>
      <c r="B949" s="9">
        <v>2.0083432577232607E-2</v>
      </c>
      <c r="C949" s="9">
        <v>0.19459929700132184</v>
      </c>
      <c r="D949" s="9">
        <v>0.33216869586001679</v>
      </c>
      <c r="E949" s="9">
        <f>SQRT((A949-A$3)^2+(B949-B$3)^2+(C949-C$3)^2+(D949-D$3)^2)</f>
        <v>0.75710670660778578</v>
      </c>
      <c r="G949" s="9">
        <v>7.5345808791280416E-2</v>
      </c>
      <c r="H949" s="9">
        <v>8.7661413379750197E-2</v>
      </c>
      <c r="J949" s="31">
        <v>0.85950939970453766</v>
      </c>
    </row>
    <row r="950" spans="1:10" x14ac:dyDescent="0.3">
      <c r="A950" s="9">
        <v>0.36370953516903226</v>
      </c>
      <c r="B950" s="9">
        <v>2.5217106232362408E-3</v>
      </c>
      <c r="C950" s="9">
        <v>0.27307571453990748</v>
      </c>
      <c r="D950" s="9">
        <v>0.36069303966782396</v>
      </c>
      <c r="E950" s="9">
        <f>SQRT((A950-A$3)^2+(B950-B$3)^2+(C950-C$3)^2+(D950-D$3)^2)</f>
        <v>0.75731378669539218</v>
      </c>
      <c r="G950" s="9">
        <v>7.8675672024967142E-2</v>
      </c>
      <c r="H950" s="9">
        <v>9.5771097488211152E-2</v>
      </c>
      <c r="J950" s="31">
        <v>0.82149702873198927</v>
      </c>
    </row>
    <row r="951" spans="1:10" x14ac:dyDescent="0.3">
      <c r="A951" s="9">
        <v>6.6970652462407562E-2</v>
      </c>
      <c r="B951" s="9">
        <v>0.21501982262878025</v>
      </c>
      <c r="C951" s="9">
        <v>8.9893208288360157E-2</v>
      </c>
      <c r="D951" s="9">
        <v>0.62811631662045198</v>
      </c>
      <c r="E951" s="9">
        <f>SQRT((A951-A$3)^2+(B951-B$3)^2+(C951-C$3)^2+(D951-D$3)^2)</f>
        <v>0.7573226640243067</v>
      </c>
      <c r="G951" s="9">
        <v>9.8726111721580231E-2</v>
      </c>
      <c r="H951" s="9">
        <v>0.11878772635522672</v>
      </c>
      <c r="J951" s="31">
        <v>0.83111374172064223</v>
      </c>
    </row>
    <row r="952" spans="1:10" x14ac:dyDescent="0.3">
      <c r="A952" s="9">
        <v>0.73748426469721551</v>
      </c>
      <c r="B952" s="9">
        <v>0.17505446027935176</v>
      </c>
      <c r="C952" s="9">
        <v>5.785653816117714E-2</v>
      </c>
      <c r="D952" s="9">
        <v>2.9604736862255798E-2</v>
      </c>
      <c r="E952" s="9">
        <f>SQRT((A952-A$3)^2+(B952-B$3)^2+(C952-C$3)^2+(D952-D$3)^2)</f>
        <v>0.76026694624528202</v>
      </c>
      <c r="G952" s="9">
        <v>6.7053351225585867E-2</v>
      </c>
      <c r="H952" s="9">
        <v>6.4533064932606923E-2</v>
      </c>
      <c r="J952" s="31">
        <v>1.0390541855653521</v>
      </c>
    </row>
    <row r="953" spans="1:10" x14ac:dyDescent="0.3">
      <c r="A953" s="9">
        <v>0.31633008220680425</v>
      </c>
      <c r="B953" s="9">
        <v>0.13330640547516173</v>
      </c>
      <c r="C953" s="9">
        <v>1.9906239700001934E-2</v>
      </c>
      <c r="D953" s="9">
        <v>0.53045727261803211</v>
      </c>
      <c r="E953" s="9">
        <f>SQRT((A953-A$3)^2+(B953-B$3)^2+(C953-C$3)^2+(D953-D$3)^2)</f>
        <v>0.76123823137891067</v>
      </c>
      <c r="G953" s="9">
        <v>8.53352919377421E-2</v>
      </c>
      <c r="H953" s="9">
        <v>0.10054621376495379</v>
      </c>
      <c r="J953" s="31">
        <v>0.8487171096987286</v>
      </c>
    </row>
    <row r="954" spans="1:10" x14ac:dyDescent="0.3">
      <c r="A954" s="9">
        <v>0.24167773112004737</v>
      </c>
      <c r="B954" s="9">
        <v>2.0473529529800177E-2</v>
      </c>
      <c r="C954" s="9">
        <v>0.29640212344267686</v>
      </c>
      <c r="D954" s="9">
        <v>0.44144661590747569</v>
      </c>
      <c r="E954" s="9">
        <f>SQRT((A954-A$3)^2+(B954-B$3)^2+(C954-C$3)^2+(D954-D$3)^2)</f>
        <v>0.76183363860421216</v>
      </c>
      <c r="G954" s="9">
        <v>8.4667555987680332E-2</v>
      </c>
      <c r="H954" s="9">
        <v>0.10603573145219977</v>
      </c>
      <c r="J954" s="31">
        <v>0.79848136876245268</v>
      </c>
    </row>
    <row r="955" spans="1:10" x14ac:dyDescent="0.3">
      <c r="A955" s="9">
        <v>0.31989262992814255</v>
      </c>
      <c r="B955" s="9">
        <v>1.0572115620920714E-2</v>
      </c>
      <c r="C955" s="9">
        <v>0.25677124213749758</v>
      </c>
      <c r="D955" s="9">
        <v>0.41276401231343918</v>
      </c>
      <c r="E955" s="9">
        <f>SQRT((A955-A$3)^2+(B955-B$3)^2+(C955-C$3)^2+(D955-D$3)^2)</f>
        <v>0.76368927310882428</v>
      </c>
      <c r="G955" s="9">
        <v>8.0960849098065543E-2</v>
      </c>
      <c r="H955" s="9">
        <v>9.9804364225650283E-2</v>
      </c>
      <c r="J955" s="31">
        <v>0.81119547953854054</v>
      </c>
    </row>
    <row r="956" spans="1:10" x14ac:dyDescent="0.3">
      <c r="A956" s="9">
        <v>1.5411696147038542E-2</v>
      </c>
      <c r="B956" s="9">
        <v>7.4414985483835058E-2</v>
      </c>
      <c r="C956" s="9">
        <v>0.48983070575260523</v>
      </c>
      <c r="D956" s="9">
        <v>0.42034261261652128</v>
      </c>
      <c r="E956" s="9">
        <f>SQRT((A956-A$3)^2+(B956-B$3)^2+(C956-C$3)^2+(D956-D$3)^2)</f>
        <v>0.76445604194737848</v>
      </c>
      <c r="G956" s="9">
        <v>9.5793558699649811E-2</v>
      </c>
      <c r="H956" s="9">
        <v>0.12177514908347335</v>
      </c>
      <c r="J956" s="31">
        <v>0.78664291869588343</v>
      </c>
    </row>
    <row r="957" spans="1:10" x14ac:dyDescent="0.3">
      <c r="A957" s="9">
        <v>0.24892261782625785</v>
      </c>
      <c r="B957" s="9">
        <v>3.0514222492149811E-2</v>
      </c>
      <c r="C957" s="9">
        <v>0.25116056136316811</v>
      </c>
      <c r="D957" s="9">
        <v>0.46940259831842429</v>
      </c>
      <c r="E957" s="9">
        <f>SQRT((A957-A$3)^2+(B957-B$3)^2+(C957-C$3)^2+(D957-D$3)^2)</f>
        <v>0.76638075122649008</v>
      </c>
      <c r="G957" s="9">
        <v>8.4774639468932239E-2</v>
      </c>
      <c r="H957" s="9">
        <v>0.10572459266119479</v>
      </c>
      <c r="J957" s="31">
        <v>0.80184408693444864</v>
      </c>
    </row>
    <row r="958" spans="1:10" x14ac:dyDescent="0.3">
      <c r="A958" s="9">
        <v>0.31217767208889946</v>
      </c>
      <c r="B958" s="9">
        <v>4.7265154093759313E-3</v>
      </c>
      <c r="C958" s="9">
        <v>0.59449169912059718</v>
      </c>
      <c r="D958" s="9">
        <v>8.86041133811276E-2</v>
      </c>
      <c r="E958" s="9">
        <f>SQRT((A958-A$3)^2+(B958-B$3)^2+(C958-C$3)^2+(D958-D$3)^2)</f>
        <v>0.76693138888847601</v>
      </c>
      <c r="G958" s="9">
        <v>7.9923724011242106E-2</v>
      </c>
      <c r="H958" s="9">
        <v>0.10373505502282691</v>
      </c>
      <c r="J958" s="31">
        <v>0.77046013031616822</v>
      </c>
    </row>
    <row r="959" spans="1:10" x14ac:dyDescent="0.3">
      <c r="A959" s="9">
        <v>0.39754742246716651</v>
      </c>
      <c r="B959" s="9">
        <v>3.0548743504057838E-3</v>
      </c>
      <c r="C959" s="9">
        <v>0.55104166686109535</v>
      </c>
      <c r="D959" s="9">
        <v>4.835603632133232E-2</v>
      </c>
      <c r="E959" s="9">
        <f>SQRT((A959-A$3)^2+(B959-B$3)^2+(C959-C$3)^2+(D959-D$3)^2)</f>
        <v>0.76702269801625911</v>
      </c>
      <c r="G959" s="9">
        <v>7.6127850737594788E-2</v>
      </c>
      <c r="H959" s="9">
        <v>9.7472649286774252E-2</v>
      </c>
      <c r="J959" s="31">
        <v>0.78101756025548319</v>
      </c>
    </row>
    <row r="960" spans="1:10" x14ac:dyDescent="0.3">
      <c r="A960" s="9">
        <v>0.15744692973018262</v>
      </c>
      <c r="B960" s="9">
        <v>7.7506839822030519E-3</v>
      </c>
      <c r="C960" s="9">
        <v>0.53807418376881089</v>
      </c>
      <c r="D960" s="9">
        <v>0.29672820251880344</v>
      </c>
      <c r="E960" s="9">
        <f>SQRT((A960-A$3)^2+(B960-B$3)^2+(C960-C$3)^2+(D960-D$3)^2)</f>
        <v>0.76876181848869751</v>
      </c>
      <c r="G960" s="9">
        <v>8.7296158755938991E-2</v>
      </c>
      <c r="H960" s="9">
        <v>0.1134791035213647</v>
      </c>
      <c r="J960" s="31">
        <v>0.76927078243532077</v>
      </c>
    </row>
    <row r="961" spans="1:10" x14ac:dyDescent="0.3">
      <c r="A961" s="9">
        <v>0.69257243358089726</v>
      </c>
      <c r="B961" s="9">
        <v>0.10462467503083761</v>
      </c>
      <c r="C961" s="9">
        <v>0.10855712963973781</v>
      </c>
      <c r="D961" s="9">
        <v>9.4245761748527307E-2</v>
      </c>
      <c r="E961" s="9">
        <f>SQRT((A961-A$3)^2+(B961-B$3)^2+(C961-C$3)^2+(D961-D$3)^2)</f>
        <v>0.76926969736247375</v>
      </c>
      <c r="G961" s="9">
        <v>6.7003609922676038E-2</v>
      </c>
      <c r="H961" s="9">
        <v>6.7838954231387028E-2</v>
      </c>
      <c r="J961" s="31">
        <v>0.98768636223574768</v>
      </c>
    </row>
    <row r="962" spans="1:10" x14ac:dyDescent="0.3">
      <c r="A962" s="9">
        <v>0.58922356416975363</v>
      </c>
      <c r="B962" s="9">
        <v>2.0938446006037E-2</v>
      </c>
      <c r="C962" s="9">
        <v>0.34037287606640393</v>
      </c>
      <c r="D962" s="9">
        <v>4.9465113757805476E-2</v>
      </c>
      <c r="E962" s="9">
        <f>SQRT((A962-A$3)^2+(B962-B$3)^2+(C962-C$3)^2+(D962-D$3)^2)</f>
        <v>0.77030683435239666</v>
      </c>
      <c r="G962" s="9">
        <v>6.8607665851843344E-2</v>
      </c>
      <c r="H962" s="9">
        <v>7.9686081536109607E-2</v>
      </c>
      <c r="J962" s="31">
        <v>0.8609742696502638</v>
      </c>
    </row>
    <row r="963" spans="1:10" x14ac:dyDescent="0.3">
      <c r="A963" s="9">
        <v>0.11354914064232059</v>
      </c>
      <c r="B963" s="9">
        <v>2.5213883240171691E-2</v>
      </c>
      <c r="C963" s="9">
        <v>0.58516949044550393</v>
      </c>
      <c r="D963" s="9">
        <v>0.27606748567200379</v>
      </c>
      <c r="E963" s="9">
        <f>SQRT((A963-A$3)^2+(B963-B$3)^2+(C963-C$3)^2+(D963-D$3)^2)</f>
        <v>0.77044968863525076</v>
      </c>
      <c r="G963" s="9">
        <v>8.9610733905798851E-2</v>
      </c>
      <c r="H963" s="9">
        <v>0.11651188215282038</v>
      </c>
      <c r="J963" s="31">
        <v>0.76911240510442358</v>
      </c>
    </row>
    <row r="964" spans="1:10" x14ac:dyDescent="0.3">
      <c r="A964" s="9">
        <v>0.49249962915689993</v>
      </c>
      <c r="B964" s="9">
        <v>6.3335555447945543E-2</v>
      </c>
      <c r="C964" s="9">
        <v>6.534165432447063E-2</v>
      </c>
      <c r="D964" s="9">
        <v>0.37882316107068398</v>
      </c>
      <c r="E964" s="9">
        <f>SQRT((A964-A$3)^2+(B964-B$3)^2+(C964-C$3)^2+(D964-D$3)^2)</f>
        <v>0.77243052262517109</v>
      </c>
      <c r="G964" s="9">
        <v>7.5195096051652449E-2</v>
      </c>
      <c r="H964" s="9">
        <v>8.5142523656735664E-2</v>
      </c>
      <c r="J964" s="31">
        <v>0.88316733897637678</v>
      </c>
    </row>
    <row r="965" spans="1:10" x14ac:dyDescent="0.3">
      <c r="A965" s="9">
        <v>0.40769589865339112</v>
      </c>
      <c r="B965" s="9">
        <v>9.6319185722758063E-2</v>
      </c>
      <c r="C965" s="9">
        <v>2.2587814872887319E-2</v>
      </c>
      <c r="D965" s="9">
        <v>0.47339710075096353</v>
      </c>
      <c r="E965" s="9">
        <f>SQRT((A965-A$3)^2+(B965-B$3)^2+(C965-C$3)^2+(D965-D$3)^2)</f>
        <v>0.77470990859615019</v>
      </c>
      <c r="G965" s="9">
        <v>8.0133391696980444E-2</v>
      </c>
      <c r="H965" s="9">
        <v>9.339832337983095E-2</v>
      </c>
      <c r="J965" s="31">
        <v>0.85797462735059093</v>
      </c>
    </row>
    <row r="966" spans="1:10" x14ac:dyDescent="0.3">
      <c r="A966" s="9">
        <v>0.35378206416030722</v>
      </c>
      <c r="B966" s="9">
        <v>7.0345612295767232E-2</v>
      </c>
      <c r="C966" s="9">
        <v>8.5588405387956965E-2</v>
      </c>
      <c r="D966" s="9">
        <v>0.49028391815596867</v>
      </c>
      <c r="E966" s="9">
        <f>SQRT((A966-A$3)^2+(B966-B$3)^2+(C966-C$3)^2+(D966-D$3)^2)</f>
        <v>0.77568781718985236</v>
      </c>
      <c r="G966" s="9">
        <v>8.1663681732922738E-2</v>
      </c>
      <c r="H966" s="9">
        <v>9.7895821587992315E-2</v>
      </c>
      <c r="J966" s="31">
        <v>0.83418965598567918</v>
      </c>
    </row>
    <row r="967" spans="1:10" x14ac:dyDescent="0.3">
      <c r="A967" s="9">
        <v>0.47166953240852505</v>
      </c>
      <c r="B967" s="9">
        <v>2.6872723458081248E-2</v>
      </c>
      <c r="C967" s="9">
        <v>0.13591860749854609</v>
      </c>
      <c r="D967" s="9">
        <v>0.36553913663484755</v>
      </c>
      <c r="E967" s="9">
        <f>SQRT((A967-A$3)^2+(B967-B$3)^2+(C967-C$3)^2+(D967-D$3)^2)</f>
        <v>0.77631668684104316</v>
      </c>
      <c r="G967" s="9">
        <v>7.4896907526905171E-2</v>
      </c>
      <c r="H967" s="9">
        <v>8.7218774276520236E-2</v>
      </c>
      <c r="J967" s="31">
        <v>0.85872460543243179</v>
      </c>
    </row>
    <row r="968" spans="1:10" x14ac:dyDescent="0.3">
      <c r="A968" s="9">
        <v>0.50946337440057199</v>
      </c>
      <c r="B968" s="9">
        <v>2.1953379531204235E-2</v>
      </c>
      <c r="C968" s="9">
        <v>0.13700364511218474</v>
      </c>
      <c r="D968" s="9">
        <v>0.33157960095603911</v>
      </c>
      <c r="E968" s="9">
        <f>SQRT((A968-A$3)^2+(B968-B$3)^2+(C968-C$3)^2+(D968-D$3)^2)</f>
        <v>0.78202854266024469</v>
      </c>
      <c r="G968" s="9">
        <v>7.3028376711288145E-2</v>
      </c>
      <c r="H968" s="9">
        <v>8.4181293596498494E-2</v>
      </c>
      <c r="J968" s="31">
        <v>0.86751312068606357</v>
      </c>
    </row>
    <row r="969" spans="1:10" x14ac:dyDescent="0.3">
      <c r="A969" s="9">
        <v>0.56076779739764837</v>
      </c>
      <c r="B969" s="9">
        <v>5.8316980526156763E-3</v>
      </c>
      <c r="C969" s="9">
        <v>0.20638754281043015</v>
      </c>
      <c r="D969" s="9">
        <v>0.2270129617393058</v>
      </c>
      <c r="E969" s="9">
        <f>SQRT((A969-A$3)^2+(B969-B$3)^2+(C969-C$3)^2+(D969-D$3)^2)</f>
        <v>0.78229971040032331</v>
      </c>
      <c r="G969" s="9">
        <v>6.9986752501150357E-2</v>
      </c>
      <c r="H969" s="9">
        <v>8.0087446174059607E-2</v>
      </c>
      <c r="J969" s="31">
        <v>0.87387918886866844</v>
      </c>
    </row>
    <row r="970" spans="1:10" x14ac:dyDescent="0.3">
      <c r="A970" s="9">
        <v>0.49218800126209644</v>
      </c>
      <c r="B970" s="9">
        <v>7.8081714887400525E-2</v>
      </c>
      <c r="C970" s="9">
        <v>2.3719539581618935E-2</v>
      </c>
      <c r="D970" s="9">
        <v>0.40601074426888401</v>
      </c>
      <c r="E970" s="9">
        <f>SQRT((A970-A$3)^2+(B970-B$3)^2+(C970-C$3)^2+(D970-D$3)^2)</f>
        <v>0.78301586314152771</v>
      </c>
      <c r="G970" s="9">
        <v>7.5763319991895839E-2</v>
      </c>
      <c r="H970" s="9">
        <v>8.6161422646360522E-2</v>
      </c>
      <c r="J970" s="31">
        <v>0.8793183499633882</v>
      </c>
    </row>
    <row r="971" spans="1:10" x14ac:dyDescent="0.3">
      <c r="A971" s="9">
        <v>0.48609918051345741</v>
      </c>
      <c r="B971" s="9">
        <v>1.8480127709510814E-2</v>
      </c>
      <c r="C971" s="9">
        <v>0.14111206126967829</v>
      </c>
      <c r="D971" s="9">
        <v>0.35430863050735351</v>
      </c>
      <c r="E971" s="9">
        <f>SQRT((A971-A$3)^2+(B971-B$3)^2+(C971-C$3)^2+(D971-D$3)^2)</f>
        <v>0.78362714549583257</v>
      </c>
      <c r="G971" s="9">
        <v>7.398838166957078E-2</v>
      </c>
      <c r="H971" s="9">
        <v>8.643174947861039E-2</v>
      </c>
      <c r="J971" s="31">
        <v>0.85603244312300975</v>
      </c>
    </row>
    <row r="972" spans="1:10" x14ac:dyDescent="0.3">
      <c r="A972" s="9">
        <v>7.1611558858933793E-3</v>
      </c>
      <c r="B972" s="9">
        <v>0.11421384629965868</v>
      </c>
      <c r="C972" s="9">
        <v>0.75872816224278461</v>
      </c>
      <c r="D972" s="9">
        <v>0.11989683557166335</v>
      </c>
      <c r="E972" s="9">
        <f>SQRT((A972-A$3)^2+(B972-B$3)^2+(C972-C$3)^2+(D972-D$3)^2)</f>
        <v>0.78661255982075706</v>
      </c>
      <c r="G972" s="9">
        <v>9.6276915208794042E-2</v>
      </c>
      <c r="H972" s="9">
        <v>0.12303018424920602</v>
      </c>
      <c r="J972" s="31">
        <v>0.78254711066496163</v>
      </c>
    </row>
    <row r="973" spans="1:10" x14ac:dyDescent="0.3">
      <c r="A973" s="9">
        <v>0.12021402417747178</v>
      </c>
      <c r="B973" s="9">
        <v>6.2072058867804002E-2</v>
      </c>
      <c r="C973" s="9">
        <v>0.26775878809177339</v>
      </c>
      <c r="D973" s="9">
        <v>0.54995512886295095</v>
      </c>
      <c r="E973" s="9">
        <f>SQRT((A973-A$3)^2+(B973-B$3)^2+(C973-C$3)^2+(D973-D$3)^2)</f>
        <v>0.78936607470560294</v>
      </c>
      <c r="G973" s="9">
        <v>9.1467895176356145E-2</v>
      </c>
      <c r="H973" s="9">
        <v>0.11693897267093196</v>
      </c>
      <c r="J973" s="31">
        <v>0.78218487034043116</v>
      </c>
    </row>
    <row r="974" spans="1:10" x14ac:dyDescent="0.3">
      <c r="A974" s="9">
        <v>0.59534462466186666</v>
      </c>
      <c r="B974" s="9">
        <v>1.878593495711909E-2</v>
      </c>
      <c r="C974" s="9">
        <v>0.16329325413068299</v>
      </c>
      <c r="D974" s="9">
        <v>0.22257618625033124</v>
      </c>
      <c r="E974" s="9">
        <f>SQRT((A974-A$3)^2+(B974-B$3)^2+(C974-C$3)^2+(D974-D$3)^2)</f>
        <v>0.79037512336342797</v>
      </c>
      <c r="G974" s="9">
        <v>6.8914100336736367E-2</v>
      </c>
      <c r="H974" s="9">
        <v>7.7273008430439313E-2</v>
      </c>
      <c r="J974" s="31">
        <v>0.89182628884926118</v>
      </c>
    </row>
    <row r="975" spans="1:10" x14ac:dyDescent="0.3">
      <c r="A975" s="9">
        <v>0.16306917700837686</v>
      </c>
      <c r="B975" s="9">
        <v>4.4525547069534044E-2</v>
      </c>
      <c r="C975" s="9">
        <v>0.24856195706238313</v>
      </c>
      <c r="D975" s="9">
        <v>0.54384331885970594</v>
      </c>
      <c r="E975" s="9">
        <f>SQRT((A975-A$3)^2+(B975-B$3)^2+(C975-C$3)^2+(D975-D$3)^2)</f>
        <v>0.79625883789011975</v>
      </c>
      <c r="G975" s="9">
        <v>8.909710244230476E-2</v>
      </c>
      <c r="H975" s="9">
        <v>0.11437757073349065</v>
      </c>
      <c r="J975" s="31">
        <v>0.77897355111614053</v>
      </c>
    </row>
    <row r="976" spans="1:10" x14ac:dyDescent="0.3">
      <c r="A976" s="9">
        <v>0.51783016192204145</v>
      </c>
      <c r="B976" s="9">
        <v>2.1607456822978155E-2</v>
      </c>
      <c r="C976" s="9">
        <v>0.10618335914763358</v>
      </c>
      <c r="D976" s="9">
        <v>0.35437902210734679</v>
      </c>
      <c r="E976" s="9">
        <f>SQRT((A976-A$3)^2+(B976-B$3)^2+(C976-C$3)^2+(D976-D$3)^2)</f>
        <v>0.79862414677692195</v>
      </c>
      <c r="G976" s="9">
        <v>7.2748199770042321E-2</v>
      </c>
      <c r="H976" s="9">
        <v>8.4576893089155461E-2</v>
      </c>
      <c r="J976" s="31">
        <v>0.86014273063159108</v>
      </c>
    </row>
    <row r="977" spans="1:10" x14ac:dyDescent="0.3">
      <c r="A977" s="9">
        <v>0.46725712842261991</v>
      </c>
      <c r="B977" s="9">
        <v>3.9892871504463641E-2</v>
      </c>
      <c r="C977" s="9">
        <v>6.8960584528832802E-2</v>
      </c>
      <c r="D977" s="9">
        <v>0.4238894155440836</v>
      </c>
      <c r="E977" s="9">
        <f>SQRT((A977-A$3)^2+(B977-B$3)^2+(C977-C$3)^2+(D977-D$3)^2)</f>
        <v>0.80087080891471896</v>
      </c>
      <c r="G977" s="9">
        <v>7.5698143323214284E-2</v>
      </c>
      <c r="H977" s="9">
        <v>8.9509410952226157E-2</v>
      </c>
      <c r="J977" s="31">
        <v>0.84570038522113211</v>
      </c>
    </row>
    <row r="978" spans="1:10" x14ac:dyDescent="0.3">
      <c r="A978" s="9">
        <v>0.19963489754929234</v>
      </c>
      <c r="B978" s="9">
        <v>5.268431041492453E-2</v>
      </c>
      <c r="C978" s="9">
        <v>0.18714796929193431</v>
      </c>
      <c r="D978" s="9">
        <v>0.56053282274384886</v>
      </c>
      <c r="E978" s="9">
        <f>SQRT((A978-A$3)^2+(B978-B$3)^2+(C978-C$3)^2+(D978-D$3)^2)</f>
        <v>0.80141629106143131</v>
      </c>
      <c r="G978" s="9">
        <v>8.7869345030984661E-2</v>
      </c>
      <c r="H978" s="9">
        <v>0.11208814754004254</v>
      </c>
      <c r="J978" s="31">
        <v>0.78393074521634043</v>
      </c>
    </row>
    <row r="979" spans="1:10" x14ac:dyDescent="0.3">
      <c r="A979" s="9">
        <v>0.42811483666170064</v>
      </c>
      <c r="B979" s="9">
        <v>2.3512658732266063E-2</v>
      </c>
      <c r="C979" s="9">
        <v>0.10033095539329061</v>
      </c>
      <c r="D979" s="9">
        <v>0.44804154921274275</v>
      </c>
      <c r="E979" s="9">
        <f>SQRT((A979-A$3)^2+(B979-B$3)^2+(C979-C$3)^2+(D979-D$3)^2)</f>
        <v>0.8069536273262824</v>
      </c>
      <c r="G979" s="9">
        <v>7.6929098493861814E-2</v>
      </c>
      <c r="H979" s="9">
        <v>9.3431071925124162E-2</v>
      </c>
      <c r="J979" s="31">
        <v>0.82337810011976464</v>
      </c>
    </row>
    <row r="980" spans="1:10" x14ac:dyDescent="0.3">
      <c r="A980" s="9">
        <v>4.6728245691221748E-2</v>
      </c>
      <c r="B980" s="9">
        <v>5.250202713955289E-2</v>
      </c>
      <c r="C980" s="9">
        <v>0.36597511988015485</v>
      </c>
      <c r="D980" s="9">
        <v>0.53479460728907058</v>
      </c>
      <c r="E980" s="9">
        <f>SQRT((A980-A$3)^2+(B980-B$3)^2+(C980-C$3)^2+(D980-D$3)^2)</f>
        <v>0.80701308969506258</v>
      </c>
      <c r="G980" s="9">
        <v>9.4213398230518525E-2</v>
      </c>
      <c r="H980" s="9">
        <v>0.12303154249378311</v>
      </c>
      <c r="J980" s="31">
        <v>0.76576621182555049</v>
      </c>
    </row>
    <row r="981" spans="1:10" x14ac:dyDescent="0.3">
      <c r="A981" s="9">
        <v>6.8603271662654758E-2</v>
      </c>
      <c r="B981" s="9">
        <v>6.2440663980215779E-3</v>
      </c>
      <c r="C981" s="9">
        <v>0.56581516992282599</v>
      </c>
      <c r="D981" s="9">
        <v>0.35933749201649762</v>
      </c>
      <c r="E981" s="9">
        <f>SQRT((A981-A$3)^2+(B981-B$3)^2+(C981-C$3)^2+(D981-D$3)^2)</f>
        <v>0.81143705565652102</v>
      </c>
      <c r="G981" s="9">
        <v>9.1221640367543752E-2</v>
      </c>
      <c r="H981" s="9">
        <v>0.12219664549459688</v>
      </c>
      <c r="J981" s="31">
        <v>0.74651509457006537</v>
      </c>
    </row>
    <row r="982" spans="1:10" x14ac:dyDescent="0.3">
      <c r="A982" s="9">
        <v>0.18641139223750294</v>
      </c>
      <c r="B982" s="9">
        <v>3.2033039639776423E-5</v>
      </c>
      <c r="C982" s="9">
        <v>0.30834847131785859</v>
      </c>
      <c r="D982" s="9">
        <v>0.50520810340499867</v>
      </c>
      <c r="E982" s="9">
        <f>SQRT((A982-A$3)^2+(B982-B$3)^2+(C982-C$3)^2+(D982-D$3)^2)</f>
        <v>0.81240098182320031</v>
      </c>
      <c r="G982" s="9">
        <v>8.6596755688707103E-2</v>
      </c>
      <c r="H982" s="9">
        <v>0.11382374551065425</v>
      </c>
      <c r="J982" s="31">
        <v>0.76079692598589976</v>
      </c>
    </row>
    <row r="983" spans="1:10" x14ac:dyDescent="0.3">
      <c r="A983" s="9">
        <v>1.4965430714938487E-2</v>
      </c>
      <c r="B983" s="9">
        <v>0.1010311821967121</v>
      </c>
      <c r="C983" s="9">
        <v>0.79163087537875709</v>
      </c>
      <c r="D983" s="9">
        <v>9.2372511709592431E-2</v>
      </c>
      <c r="E983" s="9">
        <f>SQRT((A983-A$3)^2+(B983-B$3)^2+(C983-C$3)^2+(D983-D$3)^2)</f>
        <v>0.81451397560902761</v>
      </c>
      <c r="G983" s="9">
        <v>9.5440071779244906E-2</v>
      </c>
      <c r="H983" s="9">
        <v>0.12475680463108722</v>
      </c>
      <c r="J983" s="31">
        <v>0.76500894729923941</v>
      </c>
    </row>
    <row r="984" spans="1:10" x14ac:dyDescent="0.3">
      <c r="A984" s="9">
        <v>0.18179345332570748</v>
      </c>
      <c r="B984" s="9">
        <v>4.1072296436466468E-2</v>
      </c>
      <c r="C984" s="9">
        <v>0.20732806509647431</v>
      </c>
      <c r="D984" s="9">
        <v>0.56980618514135173</v>
      </c>
      <c r="E984" s="9">
        <f>SQRT((A984-A$3)^2+(B984-B$3)^2+(C984-C$3)^2+(D984-D$3)^2)</f>
        <v>0.81529079663704385</v>
      </c>
      <c r="G984" s="9">
        <v>8.8295900860774323E-2</v>
      </c>
      <c r="H984" s="9">
        <v>0.11439460902834216</v>
      </c>
      <c r="J984" s="31">
        <v>0.77185368795568265</v>
      </c>
    </row>
    <row r="985" spans="1:10" x14ac:dyDescent="0.3">
      <c r="A985" s="9">
        <v>0.38122279620754507</v>
      </c>
      <c r="B985" s="9">
        <v>5.4905356937439006E-4</v>
      </c>
      <c r="C985" s="9">
        <v>0.14580363350119202</v>
      </c>
      <c r="D985" s="9">
        <v>0.47242451672188862</v>
      </c>
      <c r="E985" s="9">
        <f>SQRT((A985-A$3)^2+(B985-B$3)^2+(C985-C$3)^2+(D985-D$3)^2)</f>
        <v>0.81909366752461354</v>
      </c>
      <c r="G985" s="9">
        <v>7.8283889254148697E-2</v>
      </c>
      <c r="H985" s="9">
        <v>9.8415831471449167E-2</v>
      </c>
      <c r="J985" s="31">
        <v>0.79544000272821114</v>
      </c>
    </row>
    <row r="986" spans="1:10" x14ac:dyDescent="0.3">
      <c r="A986" s="9">
        <v>0.16494951940327937</v>
      </c>
      <c r="B986" s="9">
        <v>4.4776180925602494E-3</v>
      </c>
      <c r="C986" s="9">
        <v>0.30588316890178419</v>
      </c>
      <c r="D986" s="9">
        <v>0.52468969360237627</v>
      </c>
      <c r="E986" s="9">
        <f>SQRT((A986-A$3)^2+(B986-B$3)^2+(C986-C$3)^2+(D986-D$3)^2)</f>
        <v>0.8199017190455139</v>
      </c>
      <c r="G986" s="9">
        <v>8.770963792785974E-2</v>
      </c>
      <c r="H986" s="9">
        <v>0.11593030512532249</v>
      </c>
      <c r="J986" s="31">
        <v>0.75657213041097615</v>
      </c>
    </row>
    <row r="987" spans="1:10" x14ac:dyDescent="0.3">
      <c r="A987" s="9">
        <v>0.24290315961758954</v>
      </c>
      <c r="B987" s="9">
        <v>4.6072797165918354E-2</v>
      </c>
      <c r="C987" s="9">
        <v>0.13891047809348009</v>
      </c>
      <c r="D987" s="9">
        <v>0.57211356512301192</v>
      </c>
      <c r="E987" s="9">
        <f>SQRT((A987-A$3)^2+(B987-B$3)^2+(C987-C$3)^2+(D987-D$3)^2)</f>
        <v>0.81998612887739064</v>
      </c>
      <c r="G987" s="9">
        <v>8.5883775159663445E-2</v>
      </c>
      <c r="H987" s="9">
        <v>0.1101495223779743</v>
      </c>
      <c r="J987" s="31">
        <v>0.77970174818331228</v>
      </c>
    </row>
    <row r="988" spans="1:10" x14ac:dyDescent="0.3">
      <c r="A988" s="9">
        <v>6.3472048270909645E-2</v>
      </c>
      <c r="B988" s="9">
        <v>5.4656929778591642E-2</v>
      </c>
      <c r="C988" s="9">
        <v>0.30643102326509364</v>
      </c>
      <c r="D988" s="9">
        <v>0.57543999868540496</v>
      </c>
      <c r="E988" s="9">
        <f>SQRT((A988-A$3)^2+(B988-B$3)^2+(C988-C$3)^2+(D988-D$3)^2)</f>
        <v>0.82044446582354535</v>
      </c>
      <c r="G988" s="9">
        <v>9.3722590549222398E-2</v>
      </c>
      <c r="H988" s="9">
        <v>0.12296599430889452</v>
      </c>
      <c r="J988" s="31">
        <v>0.76218300088549884</v>
      </c>
    </row>
    <row r="989" spans="1:10" x14ac:dyDescent="0.3">
      <c r="A989" s="9">
        <v>0.23747152239850727</v>
      </c>
      <c r="B989" s="9">
        <v>0.13123225137518751</v>
      </c>
      <c r="C989" s="9">
        <v>5.243176508662759E-3</v>
      </c>
      <c r="D989" s="9">
        <v>0.62605304971764242</v>
      </c>
      <c r="E989" s="9">
        <f>SQRT((A989-A$3)^2+(B989-B$3)^2+(C989-C$3)^2+(D989-D$3)^2)</f>
        <v>0.82152469963464214</v>
      </c>
      <c r="G989" s="9">
        <v>8.8942676704750256E-2</v>
      </c>
      <c r="H989" s="9">
        <v>0.11143103389705208</v>
      </c>
      <c r="J989" s="31">
        <v>0.79818586971850081</v>
      </c>
    </row>
    <row r="990" spans="1:10" x14ac:dyDescent="0.3">
      <c r="A990" s="9">
        <v>0.13243669763975072</v>
      </c>
      <c r="B990" s="9">
        <v>7.9235792144009387E-2</v>
      </c>
      <c r="C990" s="9">
        <v>0.17081069427029724</v>
      </c>
      <c r="D990" s="9">
        <v>0.61751681594594265</v>
      </c>
      <c r="E990" s="9">
        <f>SQRT((A990-A$3)^2+(B990-B$3)^2+(C990-C$3)^2+(D990-D$3)^2)</f>
        <v>0.82218329444752258</v>
      </c>
      <c r="G990" s="9">
        <v>9.1729834064655014E-2</v>
      </c>
      <c r="H990" s="9">
        <v>0.11860095620674457</v>
      </c>
      <c r="J990" s="31">
        <v>0.77343250002767294</v>
      </c>
    </row>
    <row r="991" spans="1:10" x14ac:dyDescent="0.3">
      <c r="A991" s="9">
        <v>5.18353837354864E-2</v>
      </c>
      <c r="B991" s="9">
        <v>5.5867904652142928E-3</v>
      </c>
      <c r="C991" s="9">
        <v>0.503892645341256</v>
      </c>
      <c r="D991" s="9">
        <v>0.43868518045804328</v>
      </c>
      <c r="E991" s="9">
        <f>SQRT((A991-A$3)^2+(B991-B$3)^2+(C991-C$3)^2+(D991-D$3)^2)</f>
        <v>0.82563934509076076</v>
      </c>
      <c r="G991" s="9">
        <v>9.2197114469538391E-2</v>
      </c>
      <c r="H991" s="9">
        <v>0.12415711852459617</v>
      </c>
      <c r="J991" s="31">
        <v>0.74258419948167265</v>
      </c>
    </row>
    <row r="992" spans="1:10" x14ac:dyDescent="0.3">
      <c r="A992" s="9">
        <v>0.67809503688920403</v>
      </c>
      <c r="B992" s="9">
        <v>4.8532123193833772E-2</v>
      </c>
      <c r="C992" s="9">
        <v>5.7860611928562969E-2</v>
      </c>
      <c r="D992" s="9">
        <v>0.21551222798839917</v>
      </c>
      <c r="E992" s="9">
        <f>SQRT((A992-A$3)^2+(B992-B$3)^2+(C992-C$3)^2+(D992-D$3)^2)</f>
        <v>0.82760819547055564</v>
      </c>
      <c r="G992" s="9">
        <v>6.6321098114480947E-2</v>
      </c>
      <c r="H992" s="9">
        <v>7.2259674899144546E-2</v>
      </c>
      <c r="J992" s="31">
        <v>0.91781617073489075</v>
      </c>
    </row>
    <row r="993" spans="1:10" x14ac:dyDescent="0.3">
      <c r="A993" s="9">
        <v>0.12525579778244433</v>
      </c>
      <c r="B993" s="9">
        <v>1.706977955402875E-2</v>
      </c>
      <c r="C993" s="9">
        <v>0.29901074894041307</v>
      </c>
      <c r="D993" s="9">
        <v>0.55866367372311387</v>
      </c>
      <c r="E993" s="9">
        <f>SQRT((A993-A$3)^2+(B993-B$3)^2+(C993-C$3)^2+(D993-D$3)^2)</f>
        <v>0.83144211122274014</v>
      </c>
      <c r="G993" s="9">
        <v>8.9895551924718736E-2</v>
      </c>
      <c r="H993" s="9">
        <v>0.11958830597163582</v>
      </c>
      <c r="J993" s="31">
        <v>0.75170854871077719</v>
      </c>
    </row>
    <row r="994" spans="1:10" x14ac:dyDescent="0.3">
      <c r="A994" s="9">
        <v>0.35231863418746401</v>
      </c>
      <c r="B994" s="9">
        <v>1.3138805385636913E-2</v>
      </c>
      <c r="C994" s="9">
        <v>0.11433409872472916</v>
      </c>
      <c r="D994" s="9">
        <v>0.52020846170216994</v>
      </c>
      <c r="E994" s="9">
        <f>SQRT((A994-A$3)^2+(B994-B$3)^2+(C994-C$3)^2+(D994-D$3)^2)</f>
        <v>0.83241445552007165</v>
      </c>
      <c r="G994" s="9">
        <v>8.0065389143069307E-2</v>
      </c>
      <c r="H994" s="9">
        <v>0.10197706155649837</v>
      </c>
      <c r="J994" s="31">
        <v>0.78513136112193882</v>
      </c>
    </row>
    <row r="995" spans="1:10" x14ac:dyDescent="0.3">
      <c r="A995" s="9">
        <v>7.3927035306706718E-2</v>
      </c>
      <c r="B995" s="9">
        <v>6.5964146328348237E-3</v>
      </c>
      <c r="C995" s="9">
        <v>0.40206175134674571</v>
      </c>
      <c r="D995" s="9">
        <v>0.51741479871371288</v>
      </c>
      <c r="E995" s="9">
        <f>SQRT((A995-A$3)^2+(B995-B$3)^2+(C995-C$3)^2+(D995-D$3)^2)</f>
        <v>0.83530467151370147</v>
      </c>
      <c r="G995" s="9">
        <v>9.1584338029903456E-2</v>
      </c>
      <c r="H995" s="9">
        <v>0.12337132813841011</v>
      </c>
      <c r="J995" s="31">
        <v>0.74234702188789869</v>
      </c>
    </row>
    <row r="996" spans="1:10" x14ac:dyDescent="0.3">
      <c r="A996" s="9">
        <v>0.54417707148730787</v>
      </c>
      <c r="B996" s="9">
        <v>4.0238574101257668E-2</v>
      </c>
      <c r="C996" s="9">
        <v>7.8753783029744569E-3</v>
      </c>
      <c r="D996" s="9">
        <v>0.40770897610845996</v>
      </c>
      <c r="E996" s="9">
        <f>SQRT((A996-A$3)^2+(B996-B$3)^2+(C996-C$3)^2+(D996-D$3)^2)</f>
        <v>0.83797777796713557</v>
      </c>
      <c r="G996" s="9">
        <v>7.2408448198834269E-2</v>
      </c>
      <c r="H996" s="9">
        <v>8.5348843195619695E-2</v>
      </c>
      <c r="J996" s="31">
        <v>0.84838230358757161</v>
      </c>
    </row>
    <row r="997" spans="1:10" x14ac:dyDescent="0.3">
      <c r="A997" s="9">
        <v>0.35898346426233896</v>
      </c>
      <c r="B997" s="9">
        <v>2.9792489982011977E-2</v>
      </c>
      <c r="C997" s="9">
        <v>6.5515003962056603E-2</v>
      </c>
      <c r="D997" s="9">
        <v>0.54570904179359236</v>
      </c>
      <c r="E997" s="9">
        <f>SQRT((A997-A$3)^2+(B997-B$3)^2+(C997-C$3)^2+(D997-D$3)^2)</f>
        <v>0.84392147736772916</v>
      </c>
      <c r="G997" s="9">
        <v>8.0392463089813931E-2</v>
      </c>
      <c r="H997" s="9">
        <v>0.10243967009023068</v>
      </c>
      <c r="J997" s="31">
        <v>0.78477862159261957</v>
      </c>
    </row>
    <row r="998" spans="1:10" x14ac:dyDescent="0.3">
      <c r="A998" s="9">
        <v>0.13768401951304479</v>
      </c>
      <c r="B998" s="9">
        <v>1.966513085688864E-3</v>
      </c>
      <c r="C998" s="9">
        <v>0.75434498263464811</v>
      </c>
      <c r="D998" s="9">
        <v>0.10600448476661828</v>
      </c>
      <c r="E998" s="9">
        <f>SQRT((A998-A$3)^2+(B998-B$3)^2+(C998-C$3)^2+(D998-D$3)^2)</f>
        <v>0.84894985834922576</v>
      </c>
      <c r="G998" s="9">
        <v>8.7254970894595094E-2</v>
      </c>
      <c r="H998" s="9">
        <v>0.12166603310040643</v>
      </c>
      <c r="J998" s="31">
        <v>0.71716787891478984</v>
      </c>
    </row>
    <row r="999" spans="1:10" x14ac:dyDescent="0.3">
      <c r="A999" s="9">
        <v>7.4089463167974406E-2</v>
      </c>
      <c r="B999" s="9">
        <v>7.560896896227734E-2</v>
      </c>
      <c r="C999" s="9">
        <v>0.18564057916743831</v>
      </c>
      <c r="D999" s="9">
        <v>0.66466098870231005</v>
      </c>
      <c r="E999" s="9">
        <f>SQRT((A999-A$3)^2+(B999-B$3)^2+(C999-C$3)^2+(D999-D$3)^2)</f>
        <v>0.86257916251584277</v>
      </c>
      <c r="G999" s="9">
        <v>9.4248264228241854E-2</v>
      </c>
      <c r="H999" s="9">
        <v>0.12554065527492447</v>
      </c>
      <c r="J999" s="31">
        <v>0.75073898588346011</v>
      </c>
    </row>
    <row r="1000" spans="1:10" x14ac:dyDescent="0.3">
      <c r="A1000" s="9">
        <v>0.33372174068214977</v>
      </c>
      <c r="B1000" s="9">
        <v>3.8488484368370157E-2</v>
      </c>
      <c r="C1000" s="9">
        <v>3.5050993771571462E-2</v>
      </c>
      <c r="D1000" s="9">
        <v>0.59273878117790868</v>
      </c>
      <c r="E1000" s="9">
        <f>SQRT((A1000-A$3)^2+(B1000-B$3)^2+(C1000-C$3)^2+(D1000-D$3)^2)</f>
        <v>0.86778241510338572</v>
      </c>
      <c r="G1000" s="9">
        <v>8.1897313333740632E-2</v>
      </c>
      <c r="H1000" s="9">
        <v>0.1065648600803188</v>
      </c>
      <c r="J1000" s="31">
        <v>0.76852081701241814</v>
      </c>
    </row>
    <row r="1001" spans="1:10" x14ac:dyDescent="0.3">
      <c r="A1001" s="9">
        <v>0.80714361864530293</v>
      </c>
      <c r="B1001" s="9">
        <v>5.7006248827313234E-2</v>
      </c>
      <c r="C1001" s="9">
        <v>8.8831246525497384E-2</v>
      </c>
      <c r="D1001" s="9">
        <v>4.7018886001886404E-2</v>
      </c>
      <c r="E1001" s="9">
        <f>SQRT((A1001-A$3)^2+(B1001-B$3)^2+(C1001-C$3)^2+(D1001-D$3)^2)</f>
        <v>0.88358082122293269</v>
      </c>
      <c r="G1001" s="9">
        <v>6.0530920278577274E-2</v>
      </c>
      <c r="H1001" s="9">
        <v>6.7536427125644977E-2</v>
      </c>
      <c r="J1001" s="31">
        <v>0.89627069205134824</v>
      </c>
    </row>
    <row r="1002" spans="1:10" x14ac:dyDescent="0.3">
      <c r="A1002" s="9">
        <v>0.39162004707032627</v>
      </c>
      <c r="B1002" s="9">
        <v>1.4334944209906778E-2</v>
      </c>
      <c r="C1002" s="9">
        <v>1.0773067125590011E-2</v>
      </c>
      <c r="D1002" s="9">
        <v>0.58327194159417695</v>
      </c>
      <c r="E1002" s="9">
        <f>SQRT((A1002-A$3)^2+(B1002-B$3)^2+(C1002-C$3)^2+(D1002-D$3)^2)</f>
        <v>0.89709627906009837</v>
      </c>
      <c r="G1002" s="9">
        <v>7.867606117007743E-2</v>
      </c>
      <c r="H1002" s="9">
        <v>0.10382694734133588</v>
      </c>
      <c r="J1002" s="31">
        <v>0.75776147892922485</v>
      </c>
    </row>
  </sheetData>
  <sortState xmlns:xlrd2="http://schemas.microsoft.com/office/spreadsheetml/2017/richdata2" ref="A4:K1002">
    <sortCondition ref="E4:E100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8A86A-325F-4299-B98E-9DB36C0E1104}">
  <sheetPr codeName="Sheet7"/>
  <dimension ref="A1:AI53"/>
  <sheetViews>
    <sheetView tabSelected="1" zoomScale="85" zoomScaleNormal="85" workbookViewId="0">
      <selection activeCell="P39" sqref="P39"/>
    </sheetView>
  </sheetViews>
  <sheetFormatPr defaultRowHeight="14.4" x14ac:dyDescent="0.3"/>
  <cols>
    <col min="1" max="1" width="8.88671875" style="6"/>
    <col min="16" max="19" width="10.77734375" style="9" bestFit="1" customWidth="1"/>
    <col min="20" max="23" width="8.88671875" style="9"/>
    <col min="24" max="24" width="7.21875" style="31" bestFit="1" customWidth="1"/>
    <col min="25" max="25" width="3.44140625" style="31" customWidth="1"/>
    <col min="27" max="27" width="12.44140625" style="9" bestFit="1" customWidth="1"/>
    <col min="28" max="30" width="8.88671875" style="9"/>
    <col min="32" max="35" width="9.33203125" style="9" customWidth="1"/>
  </cols>
  <sheetData>
    <row r="1" spans="1:35" s="2" customFormat="1" x14ac:dyDescent="0.3">
      <c r="A1" s="1"/>
      <c r="B1" s="2" t="s">
        <v>57</v>
      </c>
      <c r="F1" s="2" t="s">
        <v>47</v>
      </c>
      <c r="K1" s="2" t="s">
        <v>48</v>
      </c>
      <c r="P1" s="44" t="s">
        <v>49</v>
      </c>
      <c r="Q1" s="44"/>
      <c r="R1" s="44"/>
      <c r="S1" s="44"/>
      <c r="T1" s="44"/>
      <c r="U1" s="44" t="s">
        <v>65</v>
      </c>
      <c r="V1" s="44" t="s">
        <v>46</v>
      </c>
      <c r="W1" s="44"/>
      <c r="X1" s="53" t="s">
        <v>61</v>
      </c>
      <c r="Y1" s="53"/>
      <c r="AA1" s="44"/>
      <c r="AB1" s="44"/>
      <c r="AC1" s="44"/>
      <c r="AD1" s="44"/>
      <c r="AF1" s="44"/>
      <c r="AG1" s="44"/>
      <c r="AH1" s="44"/>
      <c r="AI1" s="44"/>
    </row>
    <row r="2" spans="1:35" s="2" customFormat="1" x14ac:dyDescent="0.3">
      <c r="A2" s="1" t="s">
        <v>40</v>
      </c>
      <c r="B2" s="2" t="s">
        <v>56</v>
      </c>
      <c r="C2" s="41" t="s">
        <v>46</v>
      </c>
      <c r="D2" s="41" t="s">
        <v>61</v>
      </c>
      <c r="F2" s="1" t="s">
        <v>53</v>
      </c>
      <c r="G2" s="1" t="s">
        <v>54</v>
      </c>
      <c r="H2" s="1" t="s">
        <v>55</v>
      </c>
      <c r="I2" s="1" t="s">
        <v>7</v>
      </c>
      <c r="J2" s="1"/>
      <c r="K2" s="1" t="s">
        <v>53</v>
      </c>
      <c r="L2" s="1" t="s">
        <v>54</v>
      </c>
      <c r="M2" s="1" t="s">
        <v>55</v>
      </c>
      <c r="N2" s="1" t="s">
        <v>7</v>
      </c>
      <c r="P2" s="46" t="s">
        <v>53</v>
      </c>
      <c r="Q2" s="46" t="s">
        <v>54</v>
      </c>
      <c r="R2" s="46" t="s">
        <v>55</v>
      </c>
      <c r="S2" s="46" t="s">
        <v>7</v>
      </c>
      <c r="T2" s="44"/>
      <c r="U2" s="44"/>
      <c r="V2" s="44"/>
      <c r="W2" s="44"/>
      <c r="X2" s="53"/>
      <c r="Y2" s="53"/>
      <c r="AA2" s="44"/>
      <c r="AB2" s="44"/>
      <c r="AC2" s="44"/>
      <c r="AD2" s="44"/>
      <c r="AF2" s="44"/>
      <c r="AG2" s="44"/>
      <c r="AH2" s="44"/>
      <c r="AI2" s="44"/>
    </row>
    <row r="3" spans="1:35" x14ac:dyDescent="0.3">
      <c r="A3" s="43" t="s">
        <v>9</v>
      </c>
      <c r="B3" s="9">
        <v>5.04697411694357E-2</v>
      </c>
      <c r="C3" s="9">
        <f>SQRT(K3)</f>
        <v>6.9999999999999993E-2</v>
      </c>
      <c r="D3" s="31">
        <f>B3/C3</f>
        <v>0.72099630242051005</v>
      </c>
      <c r="F3" s="31"/>
      <c r="G3" s="31"/>
      <c r="H3" s="31"/>
      <c r="I3" s="31"/>
      <c r="K3" s="16">
        <v>4.8999999999999998E-3</v>
      </c>
      <c r="L3" s="16">
        <v>2.1099999999999999E-3</v>
      </c>
      <c r="M3" s="16">
        <v>3.8419999999999999E-3</v>
      </c>
      <c r="N3" s="16">
        <v>2.8500000000000001E-3</v>
      </c>
      <c r="P3" s="9">
        <v>9.7561306424907748E-2</v>
      </c>
      <c r="Q3" s="9">
        <v>0.82367745751794197</v>
      </c>
      <c r="R3" s="9">
        <v>7.8761236057150311E-2</v>
      </c>
      <c r="S3" s="9">
        <v>0</v>
      </c>
      <c r="U3" s="9">
        <f t="array" ref="U3">MMULT(TRANSPOSE($B$3:$B$6),TRANSPOSE(P3:S3))</f>
        <v>0.11396947022933764</v>
      </c>
      <c r="V3" s="9">
        <f t="array" ref="V3">SQRT(MMULT(MMULT(P3:S3,$K$3:$N$6),TRANSPOSE(P3:S3)))</f>
        <v>7.8372862815321839E-2</v>
      </c>
      <c r="X3" s="31">
        <f>U3/V3</f>
        <v>1.454195574020255</v>
      </c>
      <c r="AA3" s="9">
        <f>P3*(P$40-P$39)+P$39</f>
        <v>9.7254948275115938E-2</v>
      </c>
      <c r="AB3" s="9">
        <f>Q3*(Q$40-Q$39)+Q$39</f>
        <v>0.8239166044107743</v>
      </c>
      <c r="AC3" s="9">
        <f>R3*(R$40-R$39)+R$39</f>
        <v>7.8765106196294316E-2</v>
      </c>
      <c r="AD3" s="9">
        <f>S3*(S$40-S$39)+S$39</f>
        <v>0</v>
      </c>
      <c r="AF3" s="9">
        <f>AA3/SUM($AA3:$AD3)</f>
        <v>9.7261108902473789E-2</v>
      </c>
      <c r="AG3" s="9">
        <f>AB3/SUM($AA3:$AD3)</f>
        <v>0.82396879551532731</v>
      </c>
      <c r="AH3" s="9">
        <f>AC3/SUM($AA3:$AD3)</f>
        <v>7.8770095582198926E-2</v>
      </c>
      <c r="AI3" s="9">
        <f>AD3/SUM($AA3:$AD3)</f>
        <v>0</v>
      </c>
    </row>
    <row r="4" spans="1:35" x14ac:dyDescent="0.3">
      <c r="A4" s="43" t="s">
        <v>15</v>
      </c>
      <c r="B4" s="9">
        <v>0.12353320047005689</v>
      </c>
      <c r="C4" s="9">
        <f>SQRT(L4)</f>
        <v>8.7549985722443158E-2</v>
      </c>
      <c r="D4" s="31">
        <f t="shared" ref="D4:D6" si="0">B4/C4</f>
        <v>1.4110019487803247</v>
      </c>
      <c r="F4" s="31"/>
      <c r="G4" s="31"/>
      <c r="H4" s="31"/>
      <c r="I4" s="31"/>
      <c r="K4" s="16">
        <v>2.1099999999999999E-3</v>
      </c>
      <c r="L4" s="16">
        <v>7.6649999999999999E-3</v>
      </c>
      <c r="M4" s="16">
        <v>2.8479999999999998E-3</v>
      </c>
      <c r="N4" s="16">
        <v>7.7380000000000001E-3</v>
      </c>
      <c r="P4" s="9">
        <v>9.7392663665450699E-2</v>
      </c>
      <c r="Q4" s="9">
        <v>0.82382169015110707</v>
      </c>
      <c r="R4" s="9">
        <v>7.878564618344229E-2</v>
      </c>
      <c r="S4" s="9">
        <v>0</v>
      </c>
      <c r="U4" s="9">
        <f t="array" ref="U4">MMULT(TRANSPOSE($B$3:$B$6),TRANSPOSE(P4:S4))</f>
        <v>0.11398103700909747</v>
      </c>
      <c r="V4" s="9">
        <f t="array" ref="V4">SQRT(MMULT(MMULT(P4:S4,$K$3:$N$6),TRANSPOSE(P4:S4)))</f>
        <v>7.838120709270445E-2</v>
      </c>
      <c r="X4" s="31">
        <f>U4/V4</f>
        <v>1.454188334638528</v>
      </c>
      <c r="AA4" s="9">
        <f>P4*(P$40-P$39)+P$39</f>
        <v>9.7254891024596724E-2</v>
      </c>
      <c r="AB4" s="9">
        <f>Q4*(Q$40-Q$39)+Q$39</f>
        <v>0.82391664628734351</v>
      </c>
      <c r="AC4" s="9">
        <f>R4*(R$40-R$39)+R$39</f>
        <v>7.8765107395749656E-2</v>
      </c>
      <c r="AD4" s="9">
        <f>S4*(S$40-S$39)+S$39</f>
        <v>0</v>
      </c>
      <c r="AF4" s="9">
        <f>AA4/SUM($AA4:$AD4)</f>
        <v>9.7261053027041647E-2</v>
      </c>
      <c r="AG4" s="9">
        <f>AB4/SUM($AA4:$AD4)</f>
        <v>0.82396884907463108</v>
      </c>
      <c r="AH4" s="9">
        <f>AC4/SUM($AA4:$AD4)</f>
        <v>7.8770097898327299E-2</v>
      </c>
      <c r="AI4" s="9">
        <f>AD4/SUM($AA4:$AD4)</f>
        <v>0</v>
      </c>
    </row>
    <row r="5" spans="1:35" x14ac:dyDescent="0.3">
      <c r="A5" s="43" t="s">
        <v>17</v>
      </c>
      <c r="B5" s="9">
        <v>9.2609819612241351E-2</v>
      </c>
      <c r="C5" s="9">
        <f>SQRT(M5)</f>
        <v>0.14348170615099334</v>
      </c>
      <c r="D5" s="31">
        <f t="shared" si="0"/>
        <v>0.64544688027882224</v>
      </c>
      <c r="F5" s="31"/>
      <c r="G5" s="31"/>
      <c r="H5" s="31"/>
      <c r="I5" s="31"/>
      <c r="K5" s="16">
        <v>3.8419999999999999E-3</v>
      </c>
      <c r="L5" s="16">
        <v>2.8479999999999998E-3</v>
      </c>
      <c r="M5" s="16">
        <v>2.0587000000000001E-2</v>
      </c>
      <c r="N5" s="16">
        <v>1.1403E-2</v>
      </c>
      <c r="P5" s="9">
        <v>9.7424675462589705E-2</v>
      </c>
      <c r="Q5" s="9">
        <v>0.82381079621867204</v>
      </c>
      <c r="R5" s="9">
        <v>7.8764528318738244E-2</v>
      </c>
      <c r="S5" s="9">
        <v>0</v>
      </c>
      <c r="U5" s="9">
        <f t="array" ref="U5">MMULT(TRANSPOSE($B$3:$B$6),TRANSPOSE(P5:S5))</f>
        <v>0.1139793511522332</v>
      </c>
      <c r="V5" s="9">
        <f t="array" ref="V5">SQRT(MMULT(MMULT(P5:S5,$K$3:$N$6),TRANSPOSE(P5:S5)))</f>
        <v>7.8380128263453475E-2</v>
      </c>
      <c r="X5" s="31">
        <f>U5/V5</f>
        <v>1.4541868414545409</v>
      </c>
      <c r="AA5" s="9">
        <f>P5*(P$40-P$39)+P$39</f>
        <v>9.7254901891899975E-2</v>
      </c>
      <c r="AB5" s="9">
        <f>Q5*(Q$40-Q$39)+Q$39</f>
        <v>0.82391664312439417</v>
      </c>
      <c r="AC5" s="9">
        <f>R5*(R$40-R$39)+R$39</f>
        <v>7.8765106358068201E-2</v>
      </c>
      <c r="AD5" s="9">
        <f>S5*(S$40-S$39)+S$39</f>
        <v>0</v>
      </c>
      <c r="AF5" s="9">
        <f>AA5/SUM($AA5:$AD5)</f>
        <v>9.7261063246584706E-2</v>
      </c>
      <c r="AG5" s="9">
        <f>AB5/SUM($AA5:$AD5)</f>
        <v>0.82396884041800289</v>
      </c>
      <c r="AH5" s="9">
        <f>AC5/SUM($AA5:$AD5)</f>
        <v>7.877009633541239E-2</v>
      </c>
      <c r="AI5" s="9">
        <f>AD5/SUM($AA5:$AD5)</f>
        <v>0</v>
      </c>
    </row>
    <row r="6" spans="1:35" x14ac:dyDescent="0.3">
      <c r="A6" s="43" t="s">
        <v>7</v>
      </c>
      <c r="B6" s="9">
        <v>9.6254527972403636E-2</v>
      </c>
      <c r="C6" s="9">
        <f>SQRT(N6)</f>
        <v>0.15706686474237652</v>
      </c>
      <c r="D6" s="31">
        <f t="shared" si="0"/>
        <v>0.61282516926967245</v>
      </c>
      <c r="F6" s="31"/>
      <c r="G6" s="31"/>
      <c r="H6" s="31"/>
      <c r="I6" s="31"/>
      <c r="K6" s="16">
        <v>2.8500000000000001E-3</v>
      </c>
      <c r="L6" s="16">
        <v>7.7380000000000001E-3</v>
      </c>
      <c r="M6" s="16">
        <v>1.1403E-2</v>
      </c>
      <c r="N6" s="16">
        <v>2.4670000000000001E-2</v>
      </c>
      <c r="P6" s="9">
        <v>9.7221828350692929E-2</v>
      </c>
      <c r="Q6" s="9">
        <v>0.82396779797906494</v>
      </c>
      <c r="R6" s="9">
        <v>7.8810373670242143E-2</v>
      </c>
      <c r="S6" s="9">
        <v>0</v>
      </c>
      <c r="U6" s="9">
        <f t="array" ref="U6">MMULT(TRANSPOSE($B$3:$B$6),TRANSPOSE(P6:S6))</f>
        <v>0.11399275417067241</v>
      </c>
      <c r="V6" s="9">
        <f t="array" ref="V6">SQRT(MMULT(MMULT(P6:S6,$K$3:$N$6),TRANSPOSE(P6:S6)))</f>
        <v>7.8389661510382486E-2</v>
      </c>
      <c r="X6" s="31">
        <f>U6/V6</f>
        <v>1.4541809720096113</v>
      </c>
      <c r="AA6" s="9">
        <f>P6*(P$40-P$39)+P$39</f>
        <v>9.725483302975306E-2</v>
      </c>
      <c r="AB6" s="9">
        <f>Q6*(Q$40-Q$39)+Q$39</f>
        <v>0.82391668870835766</v>
      </c>
      <c r="AC6" s="9">
        <f>R6*(R$40-R$39)+R$39</f>
        <v>7.8765108610799342E-2</v>
      </c>
      <c r="AD6" s="9">
        <f>S6*(S$40-S$39)+S$39</f>
        <v>0</v>
      </c>
      <c r="AF6" s="9">
        <f>AA6/SUM($AA6:$AD6)</f>
        <v>9.7260996425161186E-2</v>
      </c>
      <c r="AG6" s="9">
        <f>AB6/SUM($AA6:$AD6)</f>
        <v>0.82396890333027073</v>
      </c>
      <c r="AH6" s="9">
        <f>AC6/SUM($AA6:$AD6)</f>
        <v>7.8770100244568167E-2</v>
      </c>
      <c r="AI6" s="9">
        <f>AD6/SUM($AA6:$AD6)</f>
        <v>0</v>
      </c>
    </row>
    <row r="7" spans="1:35" x14ac:dyDescent="0.3">
      <c r="P7" s="9">
        <v>9.7330151667044049E-2</v>
      </c>
      <c r="Q7" s="9">
        <v>0.823903042367512</v>
      </c>
      <c r="R7" s="9">
        <v>7.876680596544397E-2</v>
      </c>
      <c r="S7" s="9">
        <v>0</v>
      </c>
      <c r="U7" s="9">
        <f t="array" ref="U7">MMULT(TRANSPOSE($B$3:$B$6),TRANSPOSE(P7:S7))</f>
        <v>0.11398618695518545</v>
      </c>
      <c r="V7" s="9">
        <f t="array" ref="V7">SQRT(MMULT(MMULT(P7:S7,$K$3:$N$6),TRANSPOSE(P7:S7)))</f>
        <v>7.8385155359996808E-2</v>
      </c>
      <c r="X7" s="31">
        <f>U7/V7</f>
        <v>1.4541807875698531</v>
      </c>
      <c r="AA7" s="9">
        <f>P7*(P$40-P$39)+P$39</f>
        <v>9.7254869803143892E-2</v>
      </c>
      <c r="AB7" s="9">
        <f>Q7*(Q$40-Q$39)+Q$39</f>
        <v>0.8239166699071836</v>
      </c>
      <c r="AC7" s="9">
        <f>R7*(R$40-R$39)+R$39</f>
        <v>7.8765106469986315E-2</v>
      </c>
      <c r="AD7" s="9">
        <f>S7*(S$40-S$39)+S$39</f>
        <v>0</v>
      </c>
      <c r="AF7" s="9">
        <f>AA7/SUM($AA7:$AD7)</f>
        <v>9.7261031661006234E-2</v>
      </c>
      <c r="AG7" s="9">
        <f>AB7/SUM($AA7:$AD7)</f>
        <v>0.82396887148249454</v>
      </c>
      <c r="AH7" s="9">
        <f>AC7/SUM($AA7:$AD7)</f>
        <v>7.8770096856499217E-2</v>
      </c>
      <c r="AI7" s="9">
        <f>AD7/SUM($AA7:$AD7)</f>
        <v>0</v>
      </c>
    </row>
    <row r="8" spans="1:35" x14ac:dyDescent="0.3">
      <c r="P8" s="9">
        <v>9.7239708095064464E-2</v>
      </c>
      <c r="Q8" s="9">
        <v>0.82396910672512302</v>
      </c>
      <c r="R8" s="9">
        <v>7.8791185179812512E-2</v>
      </c>
      <c r="S8" s="9">
        <v>0</v>
      </c>
      <c r="U8" s="9">
        <f t="array" ref="U8">MMULT(TRANSPOSE($B$3:$B$6),TRANSPOSE(P8:S8))</f>
        <v>0.11399204118769485</v>
      </c>
      <c r="V8" s="9">
        <f t="array" ref="V8">SQRT(MMULT(MMULT(P8:S8,$K$3:$N$6),TRANSPOSE(P8:S8)))</f>
        <v>7.8389285424425581E-2</v>
      </c>
      <c r="X8" s="31">
        <f>U8/V8</f>
        <v>1.4541788532770026</v>
      </c>
      <c r="AA8" s="9">
        <f>P8*(P$40-P$39)+P$39</f>
        <v>9.7254839099534252E-2</v>
      </c>
      <c r="AB8" s="9">
        <f>Q8*(Q$40-Q$39)+Q$39</f>
        <v>0.82391668908833959</v>
      </c>
      <c r="AC8" s="9">
        <f>R8*(R$40-R$39)+R$39</f>
        <v>7.8765107667922718E-2</v>
      </c>
      <c r="AD8" s="9">
        <f>S8*(S$40-S$39)+S$39</f>
        <v>0</v>
      </c>
      <c r="AF8" s="9">
        <f>AA8/SUM($AA8:$AD8)</f>
        <v>9.7261001959687787E-2</v>
      </c>
      <c r="AG8" s="9">
        <f>AB8/SUM($AA8:$AD8)</f>
        <v>0.82396889917248584</v>
      </c>
      <c r="AH8" s="9">
        <f>AC8/SUM($AA8:$AD8)</f>
        <v>7.8770098867826294E-2</v>
      </c>
      <c r="AI8" s="9">
        <f>AD8/SUM($AA8:$AD8)</f>
        <v>0</v>
      </c>
    </row>
    <row r="9" spans="1:35" x14ac:dyDescent="0.3">
      <c r="P9" s="9">
        <v>9.7260868957777497E-2</v>
      </c>
      <c r="Q9" s="9">
        <v>0.82397065563964256</v>
      </c>
      <c r="R9" s="9">
        <v>7.8768475402580015E-2</v>
      </c>
      <c r="S9" s="9">
        <v>0</v>
      </c>
      <c r="U9" s="9">
        <f t="array" ref="U9">MMULT(TRANSPOSE($B$3:$B$6),TRANSPOSE(P9:S9))</f>
        <v>0.11399119736495381</v>
      </c>
      <c r="V9" s="9">
        <f t="array" ref="V9">SQRT(MMULT(MMULT(P9:S9,$K$3:$N$6),TRANSPOSE(P9:S9)))</f>
        <v>7.8388840427264628E-2</v>
      </c>
      <c r="X9" s="31">
        <f>U9/V9</f>
        <v>1.4541763437708186</v>
      </c>
      <c r="AA9" s="9">
        <f>P9*(P$40-P$39)+P$39</f>
        <v>9.7254846283183177E-2</v>
      </c>
      <c r="AB9" s="9">
        <f>Q9*(Q$40-Q$39)+Q$39</f>
        <v>0.82391668953805219</v>
      </c>
      <c r="AC9" s="9">
        <f>R9*(R$40-R$39)+R$39</f>
        <v>7.8765106552018474E-2</v>
      </c>
      <c r="AD9" s="9">
        <f>S9*(S$40-S$39)+S$39</f>
        <v>0</v>
      </c>
      <c r="AF9" s="9">
        <f>AA9/SUM($AA9:$AD9)</f>
        <v>9.7261008509857291E-2</v>
      </c>
      <c r="AG9" s="9">
        <f>AB9/SUM($AA9:$AD9)</f>
        <v>0.82396889425170461</v>
      </c>
      <c r="AH9" s="9">
        <f>AC9/SUM($AA9:$AD9)</f>
        <v>7.8770097238438058E-2</v>
      </c>
      <c r="AI9" s="9">
        <f>AD9/SUM($AA9:$AD9)</f>
        <v>0</v>
      </c>
    </row>
    <row r="10" spans="1:35" x14ac:dyDescent="0.3">
      <c r="P10" s="9">
        <v>9.7173292947282913E-2</v>
      </c>
      <c r="Q10" s="9">
        <v>0.82403736270152239</v>
      </c>
      <c r="R10" s="9">
        <v>7.8789344351194709E-2</v>
      </c>
      <c r="S10" s="9">
        <v>0</v>
      </c>
      <c r="U10" s="9">
        <f t="array" ref="U10">MMULT(TRANSPOSE($B$3:$B$6),TRANSPOSE(P10:S10))</f>
        <v>0.11399695063278617</v>
      </c>
      <c r="V10" s="9">
        <f t="array" ref="V10">SQRT(MMULT(MMULT(P10:S10,$K$3:$N$6),TRANSPOSE(P10:S10)))</f>
        <v>7.8392923781041748E-2</v>
      </c>
      <c r="X10" s="31">
        <f>U10/V10</f>
        <v>1.45417398834606</v>
      </c>
      <c r="AA10" s="9">
        <f>P10*(P$40-P$39)+P$39</f>
        <v>9.7254816553047782E-2</v>
      </c>
      <c r="AB10" s="9">
        <f>Q10*(Q$40-Q$39)+Q$39</f>
        <v>0.82391670890581126</v>
      </c>
      <c r="AC10" s="9">
        <f>R10*(R$40-R$39)+R$39</f>
        <v>7.8765107577468796E-2</v>
      </c>
      <c r="AD10" s="9">
        <f>S10*(S$40-S$39)+S$39</f>
        <v>0</v>
      </c>
      <c r="AF10" s="9">
        <f>AA10/SUM($AA10:$AD10)</f>
        <v>9.7260979686014257E-2</v>
      </c>
      <c r="AG10" s="9">
        <f>AB10/SUM($AA10:$AD10)</f>
        <v>0.82396892131451516</v>
      </c>
      <c r="AH10" s="9">
        <f>AC10/SUM($AA10:$AD10)</f>
        <v>7.8770098999470545E-2</v>
      </c>
      <c r="AI10" s="9">
        <f>AD10/SUM($AA10:$AD10)</f>
        <v>0</v>
      </c>
    </row>
    <row r="11" spans="1:35" x14ac:dyDescent="0.3">
      <c r="P11" s="9">
        <v>9.7048757442141254E-2</v>
      </c>
      <c r="Q11" s="9">
        <v>0.82411581781072007</v>
      </c>
      <c r="R11" s="9">
        <v>7.8835424747138755E-2</v>
      </c>
      <c r="S11" s="9">
        <v>0</v>
      </c>
      <c r="U11" s="9">
        <f t="array" ref="U11">MMULT(TRANSPOSE($B$3:$B$6),TRANSPOSE(P11:S11))</f>
        <v>0.11400462466596371</v>
      </c>
      <c r="V11" s="9">
        <f t="array" ref="V11">SQRT(MMULT(MMULT(P11:S11,$K$3:$N$6),TRANSPOSE(P11:S11)))</f>
        <v>7.8398228262487435E-2</v>
      </c>
      <c r="X11" s="31">
        <f>U11/V11</f>
        <v>1.454173483159102</v>
      </c>
      <c r="AA11" s="9">
        <f>P11*(P$40-P$39)+P$39</f>
        <v>9.7254774275974329E-2</v>
      </c>
      <c r="AB11" s="9">
        <f>Q11*(Q$40-Q$39)+Q$39</f>
        <v>0.82391673168450386</v>
      </c>
      <c r="AC11" s="9">
        <f>R11*(R$40-R$39)+R$39</f>
        <v>7.8765109841749462E-2</v>
      </c>
      <c r="AD11" s="9">
        <f>S11*(S$40-S$39)+S$39</f>
        <v>0</v>
      </c>
      <c r="AF11" s="9">
        <f>AA11/SUM($AA11:$AD11)</f>
        <v>9.7260939082572676E-2</v>
      </c>
      <c r="AG11" s="9">
        <f>AB11/SUM($AA11:$AD11)</f>
        <v>0.82396895829591477</v>
      </c>
      <c r="AH11" s="9">
        <f>AC11/SUM($AA11:$AD11)</f>
        <v>7.8770102621512572E-2</v>
      </c>
      <c r="AI11" s="9">
        <f>AD11/SUM($AA11:$AD11)</f>
        <v>0</v>
      </c>
    </row>
    <row r="12" spans="1:35" x14ac:dyDescent="0.3">
      <c r="P12" s="9">
        <v>9.7185845837804402E-2</v>
      </c>
      <c r="Q12" s="9">
        <v>0.82404387100146248</v>
      </c>
      <c r="R12" s="9">
        <v>7.8770283160733104E-2</v>
      </c>
      <c r="S12" s="9">
        <v>0</v>
      </c>
      <c r="U12" s="9">
        <f t="array" ref="U12">MMULT(TRANSPOSE($B$3:$B$6),TRANSPOSE(P12:S12))</f>
        <v>0.11399662291163269</v>
      </c>
      <c r="V12" s="9">
        <f t="array" ref="V12">SQRT(MMULT(MMULT(P12:S12,$K$3:$N$6),TRANSPOSE(P12:S12)))</f>
        <v>7.8392831180341419E-2</v>
      </c>
      <c r="X12" s="31">
        <f>U12/V12</f>
        <v>1.4541715255746452</v>
      </c>
      <c r="AA12" s="9">
        <f>P12*(P$40-P$39)+P$39</f>
        <v>9.7254820814478879E-2</v>
      </c>
      <c r="AB12" s="9">
        <f>Q12*(Q$40-Q$39)+Q$39</f>
        <v>0.82391671079543405</v>
      </c>
      <c r="AC12" s="9">
        <f>R12*(R$40-R$39)+R$39</f>
        <v>7.876510664084739E-2</v>
      </c>
      <c r="AD12" s="9">
        <f>S12*(S$40-S$39)+S$39</f>
        <v>0</v>
      </c>
      <c r="AF12" s="9">
        <f>AA12/SUM($AA12:$AD12)</f>
        <v>9.7260983440522447E-2</v>
      </c>
      <c r="AG12" s="9">
        <f>AB12/SUM($AA12:$AD12)</f>
        <v>0.82396891890745516</v>
      </c>
      <c r="AH12" s="9">
        <f>AC12/SUM($AA12:$AD12)</f>
        <v>7.8770097652022406E-2</v>
      </c>
      <c r="AI12" s="9">
        <f>AD12/SUM($AA12:$AD12)</f>
        <v>0</v>
      </c>
    </row>
    <row r="13" spans="1:35" x14ac:dyDescent="0.3">
      <c r="P13" s="9">
        <v>9.7052115324100602E-2</v>
      </c>
      <c r="Q13" s="9">
        <v>0.8241296642708954</v>
      </c>
      <c r="R13" s="9">
        <v>7.8818220405003983E-2</v>
      </c>
      <c r="S13" s="9">
        <v>0</v>
      </c>
      <c r="U13" s="9">
        <f t="array" ref="U13">MMULT(TRANSPOSE($B$3:$B$6),TRANSPOSE(P13:S13))</f>
        <v>0.11400491134391609</v>
      </c>
      <c r="V13" s="9">
        <f t="array" ref="V13">SQRT(MMULT(MMULT(P13:S13,$K$3:$N$6),TRANSPOSE(P13:S13)))</f>
        <v>7.8398574555594791E-2</v>
      </c>
      <c r="X13" s="31">
        <f>U13/V13</f>
        <v>1.4541707166253612</v>
      </c>
      <c r="AA13" s="9">
        <f>P13*(P$40-P$39)+P$39</f>
        <v>9.7254775415901634E-2</v>
      </c>
      <c r="AB13" s="9">
        <f>Q13*(Q$40-Q$39)+Q$39</f>
        <v>0.82391673570469148</v>
      </c>
      <c r="AC13" s="9">
        <f>R13*(R$40-R$39)+R$39</f>
        <v>7.8765108996369154E-2</v>
      </c>
      <c r="AD13" s="9">
        <f>S13*(S$40-S$39)+S$39</f>
        <v>0</v>
      </c>
      <c r="AF13" s="9">
        <f>AA13/SUM($AA13:$AD13)</f>
        <v>9.7260939802890481E-2</v>
      </c>
      <c r="AG13" s="9">
        <f>AB13/SUM($AA13:$AD13)</f>
        <v>0.82396895876092446</v>
      </c>
      <c r="AH13" s="9">
        <f>AC13/SUM($AA13:$AD13)</f>
        <v>7.8770101436185055E-2</v>
      </c>
      <c r="AI13" s="9">
        <f>AD13/SUM($AA13:$AD13)</f>
        <v>0</v>
      </c>
    </row>
    <row r="14" spans="1:35" x14ac:dyDescent="0.3">
      <c r="P14" s="9">
        <v>9.7132278988920212E-2</v>
      </c>
      <c r="Q14" s="9">
        <v>0.82409614710280332</v>
      </c>
      <c r="R14" s="9">
        <v>7.8771573908276535E-2</v>
      </c>
      <c r="S14" s="9">
        <v>0</v>
      </c>
      <c r="U14" s="9">
        <f t="array" ref="U14">MMULT(TRANSPOSE($B$3:$B$6),TRANSPOSE(P14:S14))</f>
        <v>0.11400049677663815</v>
      </c>
      <c r="V14" s="9">
        <f t="array" ref="V14">SQRT(MMULT(MMULT(P14:S14,$K$3:$N$6),TRANSPOSE(P14:S14)))</f>
        <v>7.8395680825203359E-2</v>
      </c>
      <c r="X14" s="31">
        <f>U14/V14</f>
        <v>1.4541680814128248</v>
      </c>
      <c r="AA14" s="9">
        <f>P14*(P$40-P$39)+P$39</f>
        <v>9.725480262970819E-2</v>
      </c>
      <c r="AB14" s="9">
        <f>Q14*(Q$40-Q$39)+Q$39</f>
        <v>0.82391672597330146</v>
      </c>
      <c r="AC14" s="9">
        <f>R14*(R$40-R$39)+R$39</f>
        <v>7.8765106704271656E-2</v>
      </c>
      <c r="AD14" s="9">
        <f>S14*(S$40-S$39)+S$39</f>
        <v>0</v>
      </c>
      <c r="AF14" s="9">
        <f>AA14/SUM($AA14:$AD14)</f>
        <v>9.7260965540903216E-2</v>
      </c>
      <c r="AG14" s="9">
        <f>AB14/SUM($AA14:$AD14)</f>
        <v>0.82396893651177328</v>
      </c>
      <c r="AH14" s="9">
        <f>AC14/SUM($AA14:$AD14)</f>
        <v>7.8770097947323509E-2</v>
      </c>
      <c r="AI14" s="9">
        <f>AD14/SUM($AA14:$AD14)</f>
        <v>0</v>
      </c>
    </row>
    <row r="15" spans="1:35" x14ac:dyDescent="0.3">
      <c r="P15" s="9">
        <v>9.7056094189738554E-2</v>
      </c>
      <c r="Q15" s="9">
        <v>0.82414607140052842</v>
      </c>
      <c r="R15" s="9">
        <v>7.8797834409733036E-2</v>
      </c>
      <c r="S15" s="9">
        <v>0</v>
      </c>
      <c r="U15" s="9">
        <f t="array" ref="U15">MMULT(TRANSPOSE($B$3:$B$6),TRANSPOSE(P15:S15))</f>
        <v>0.11400525103812442</v>
      </c>
      <c r="V15" s="9">
        <f t="array" ref="V15">SQRT(MMULT(MMULT(P15:S15,$K$3:$N$6),TRANSPOSE(P15:S15)))</f>
        <v>7.8398984987093592E-2</v>
      </c>
      <c r="X15" s="31">
        <f>U15/V15</f>
        <v>1.4541674366943973</v>
      </c>
      <c r="AA15" s="9">
        <f>P15*(P$40-P$39)+P$39</f>
        <v>9.7254776766639267E-2</v>
      </c>
      <c r="AB15" s="9">
        <f>Q15*(Q$40-Q$39)+Q$39</f>
        <v>0.82391674046834507</v>
      </c>
      <c r="AC15" s="9">
        <f>R15*(R$40-R$39)+R$39</f>
        <v>7.8765107994650016E-2</v>
      </c>
      <c r="AD15" s="9">
        <f>S15*(S$40-S$39)+S$39</f>
        <v>0</v>
      </c>
      <c r="AF15" s="9">
        <f>AA15/SUM($AA15:$AD15)</f>
        <v>9.7260940656418909E-2</v>
      </c>
      <c r="AG15" s="9">
        <f>AB15/SUM($AA15:$AD15)</f>
        <v>0.82396895931192993</v>
      </c>
      <c r="AH15" s="9">
        <f>AC15/SUM($AA15:$AD15)</f>
        <v>7.8770100031651205E-2</v>
      </c>
      <c r="AI15" s="9">
        <f>AD15/SUM($AA15:$AD15)</f>
        <v>0</v>
      </c>
    </row>
    <row r="16" spans="1:35" x14ac:dyDescent="0.3">
      <c r="P16" s="9">
        <v>9.7014554977837564E-2</v>
      </c>
      <c r="Q16" s="9">
        <v>0.82417329226354163</v>
      </c>
      <c r="R16" s="9">
        <v>7.8812152758620801E-2</v>
      </c>
      <c r="S16" s="9">
        <v>0</v>
      </c>
      <c r="U16" s="9">
        <f t="array" ref="U16">MMULT(TRANSPOSE($B$3:$B$6),TRANSPOSE(P16:S16))</f>
        <v>0.11400784326488662</v>
      </c>
      <c r="V16" s="9">
        <f t="array" ref="V16">SQRT(MMULT(MMULT(P16:S16,$K$3:$N$6),TRANSPOSE(P16:S16)))</f>
        <v>7.840078670188691E-2</v>
      </c>
      <c r="X16" s="31">
        <f>U16/V16</f>
        <v>1.4541670825114659</v>
      </c>
      <c r="AA16" s="9">
        <f>P16*(P$40-P$39)+P$39</f>
        <v>9.7254762664987615E-2</v>
      </c>
      <c r="AB16" s="9">
        <f>Q16*(Q$40-Q$39)+Q$39</f>
        <v>0.82391674837166295</v>
      </c>
      <c r="AC16" s="9">
        <f>R16*(R$40-R$39)+R$39</f>
        <v>7.8765108698219496E-2</v>
      </c>
      <c r="AD16" s="9">
        <f>S16*(S$40-S$39)+S$39</f>
        <v>0</v>
      </c>
      <c r="AF16" s="9">
        <f>AA16/SUM($AA16:$AD16)</f>
        <v>9.7260927088333254E-2</v>
      </c>
      <c r="AG16" s="9">
        <f>AB16/SUM($AA16:$AD16)</f>
        <v>0.82396897174355088</v>
      </c>
      <c r="AH16" s="9">
        <f>AC16/SUM($AA16:$AD16)</f>
        <v>7.877010116811585E-2</v>
      </c>
      <c r="AI16" s="9">
        <f>AD16/SUM($AA16:$AD16)</f>
        <v>0</v>
      </c>
    </row>
    <row r="17" spans="16:35" x14ac:dyDescent="0.3">
      <c r="P17" s="9">
        <v>9.6873406767458509E-2</v>
      </c>
      <c r="Q17" s="9">
        <v>0.8242657874247028</v>
      </c>
      <c r="R17" s="9">
        <v>7.8860805807838719E-2</v>
      </c>
      <c r="S17" s="9">
        <v>0</v>
      </c>
      <c r="U17" s="9">
        <f t="array" ref="U17">MMULT(TRANSPOSE($B$3:$B$6),TRANSPOSE(P17:S17))</f>
        <v>0.11401665152464015</v>
      </c>
      <c r="V17" s="9">
        <f t="array" ref="V17">SQRT(MMULT(MMULT(P17:S17,$K$3:$N$6),TRANSPOSE(P17:S17)))</f>
        <v>7.8406909601792821E-2</v>
      </c>
      <c r="X17" s="31">
        <f>U17/V17</f>
        <v>1.4541658650200529</v>
      </c>
      <c r="AA17" s="9">
        <f>P17*(P$40-P$39)+P$39</f>
        <v>9.725471474826497E-2</v>
      </c>
      <c r="AB17" s="9">
        <f>Q17*(Q$40-Q$39)+Q$39</f>
        <v>0.82391677522675077</v>
      </c>
      <c r="AC17" s="9">
        <f>R17*(R$40-R$39)+R$39</f>
        <v>7.8765111088914208E-2</v>
      </c>
      <c r="AD17" s="9">
        <f>S17*(S$40-S$39)+S$39</f>
        <v>0</v>
      </c>
      <c r="AF17" s="9">
        <f>AA17/SUM($AA17:$AD17)</f>
        <v>9.7260880984640641E-2</v>
      </c>
      <c r="AG17" s="9">
        <f>AB17/SUM($AA17:$AD17)</f>
        <v>0.82396901398559219</v>
      </c>
      <c r="AH17" s="9">
        <f>AC17/SUM($AA17:$AD17)</f>
        <v>7.8770105029767223E-2</v>
      </c>
      <c r="AI17" s="9">
        <f>AD17/SUM($AA17:$AD17)</f>
        <v>0</v>
      </c>
    </row>
    <row r="18" spans="16:35" x14ac:dyDescent="0.3">
      <c r="P18" s="9">
        <v>9.7014975827525426E-2</v>
      </c>
      <c r="Q18" s="9">
        <v>0.82419030073185329</v>
      </c>
      <c r="R18" s="9">
        <v>7.8794723440621231E-2</v>
      </c>
      <c r="S18" s="9">
        <v>0</v>
      </c>
      <c r="U18" s="9">
        <f t="array" ref="U18">MMULT(TRANSPOSE($B$3:$B$6),TRANSPOSE(P18:S18))</f>
        <v>0.11400835148959117</v>
      </c>
      <c r="V18" s="9">
        <f t="array" ref="V18">SQRT(MMULT(MMULT(P18:S18,$K$3:$N$6),TRANSPOSE(P18:S18)))</f>
        <v>7.8401298467491026E-2</v>
      </c>
      <c r="X18" s="31">
        <f>U18/V18</f>
        <v>1.454164072765511</v>
      </c>
      <c r="AA18" s="9">
        <f>P18*(P$40-P$39)+P$39</f>
        <v>9.7254762807856859E-2</v>
      </c>
      <c r="AB18" s="9">
        <f>Q18*(Q$40-Q$39)+Q$39</f>
        <v>0.82391675330990954</v>
      </c>
      <c r="AC18" s="9">
        <f>R18*(R$40-R$39)+R$39</f>
        <v>7.8765107841784407E-2</v>
      </c>
      <c r="AD18" s="9">
        <f>S18*(S$40-S$39)+S$39</f>
        <v>0</v>
      </c>
      <c r="AF18" s="9">
        <f>AA18/SUM($AA18:$AD18)</f>
        <v>9.7260926820289154E-2</v>
      </c>
      <c r="AG18" s="9">
        <f>AB18/SUM($AA18:$AD18)</f>
        <v>0.82396897320088403</v>
      </c>
      <c r="AH18" s="9">
        <f>AC18/SUM($AA18:$AD18)</f>
        <v>7.8770099978826863E-2</v>
      </c>
      <c r="AI18" s="9">
        <f>AD18/SUM($AA18:$AD18)</f>
        <v>0</v>
      </c>
    </row>
    <row r="19" spans="16:35" x14ac:dyDescent="0.3">
      <c r="P19" s="9">
        <v>9.70608838510158E-2</v>
      </c>
      <c r="Q19" s="9">
        <v>0.82416582190246157</v>
      </c>
      <c r="R19" s="9">
        <v>7.8773294246522726E-2</v>
      </c>
      <c r="S19" s="9">
        <v>0</v>
      </c>
      <c r="U19" s="9">
        <f t="array" ref="U19">MMULT(TRANSPOSE($B$3:$B$6),TRANSPOSE(P19:S19))</f>
        <v>0.11400565995371591</v>
      </c>
      <c r="V19" s="9">
        <f t="array" ref="V19">SQRT(MMULT(MMULT(P19:S19,$K$3:$N$6),TRANSPOSE(P19:S19)))</f>
        <v>7.839947919451519E-2</v>
      </c>
      <c r="X19" s="31">
        <f>U19/V19</f>
        <v>1.4541634858422849</v>
      </c>
      <c r="AA19" s="9">
        <f>P19*(P$40-P$39)+P$39</f>
        <v>9.7254778392624266E-2</v>
      </c>
      <c r="AB19" s="9">
        <f>Q19*(Q$40-Q$39)+Q$39</f>
        <v>0.82391674620271493</v>
      </c>
      <c r="AC19" s="9">
        <f>R19*(R$40-R$39)+R$39</f>
        <v>7.8765106788804967E-2</v>
      </c>
      <c r="AD19" s="9">
        <f>S19*(S$40-S$39)+S$39</f>
        <v>0</v>
      </c>
      <c r="AF19" s="9">
        <f>AA19/SUM($AA19:$AD19)</f>
        <v>9.7260941683875599E-2</v>
      </c>
      <c r="AG19" s="9">
        <f>AB19/SUM($AA19:$AD19)</f>
        <v>0.82396895997521669</v>
      </c>
      <c r="AH19" s="9">
        <f>AC19/SUM($AA19:$AD19)</f>
        <v>7.8770098340907646E-2</v>
      </c>
      <c r="AI19" s="9">
        <f>AD19/SUM($AA19:$AD19)</f>
        <v>0</v>
      </c>
    </row>
    <row r="20" spans="16:35" x14ac:dyDescent="0.3">
      <c r="P20" s="9">
        <v>9.6861840853198475E-2</v>
      </c>
      <c r="Q20" s="9">
        <v>0.8242925170392309</v>
      </c>
      <c r="R20" s="9">
        <v>7.884564210757064E-2</v>
      </c>
      <c r="S20" s="9">
        <v>0</v>
      </c>
      <c r="U20" s="9">
        <f t="array" ref="U20">MMULT(TRANSPOSE($B$3:$B$6),TRANSPOSE(P20:S20))</f>
        <v>0.11401796548322456</v>
      </c>
      <c r="V20" s="9">
        <f t="array" ref="V20">SQRT(MMULT(MMULT(P20:S20,$K$3:$N$6),TRANSPOSE(P20:S20)))</f>
        <v>7.8407998529143499E-2</v>
      </c>
      <c r="X20" s="31">
        <f>U20/V20</f>
        <v>1.4541624275850527</v>
      </c>
      <c r="AA20" s="9">
        <f>P20*(P$40-P$39)+P$39</f>
        <v>9.7254710821890675E-2</v>
      </c>
      <c r="AB20" s="9">
        <f>Q20*(Q$40-Q$39)+Q$39</f>
        <v>0.82391678298743931</v>
      </c>
      <c r="AC20" s="9">
        <f>R20*(R$40-R$39)+R$39</f>
        <v>7.8765110343806163E-2</v>
      </c>
      <c r="AD20" s="9">
        <f>S20*(S$40-S$39)+S$39</f>
        <v>0</v>
      </c>
      <c r="AF20" s="9">
        <f>AA20/SUM($AA20:$AD20)</f>
        <v>9.7260876757539444E-2</v>
      </c>
      <c r="AG20" s="9">
        <f>AB20/SUM($AA20:$AD20)</f>
        <v>0.82396901920120114</v>
      </c>
      <c r="AH20" s="9">
        <f>AC20/SUM($AA20:$AD20)</f>
        <v>7.877010404125942E-2</v>
      </c>
      <c r="AI20" s="9">
        <f>AD20/SUM($AA20:$AD20)</f>
        <v>0</v>
      </c>
    </row>
    <row r="21" spans="16:35" x14ac:dyDescent="0.3">
      <c r="P21" s="9">
        <v>9.6985682084963123E-2</v>
      </c>
      <c r="Q21" s="9">
        <v>0.82422181080608303</v>
      </c>
      <c r="R21" s="9">
        <v>7.8792507108953941E-2</v>
      </c>
      <c r="S21" s="9">
        <v>0</v>
      </c>
      <c r="U21" s="9">
        <f t="array" ref="U21">MMULT(TRANSPOSE($B$3:$B$6),TRANSPOSE(P21:S21))</f>
        <v>0.11401056032822689</v>
      </c>
      <c r="V21" s="9">
        <f t="array" ref="V21">SQRT(MMULT(MMULT(P21:S21,$K$3:$N$6),TRANSPOSE(P21:S21)))</f>
        <v>7.8402946731253295E-2</v>
      </c>
      <c r="X21" s="31">
        <f>U21/V21</f>
        <v>1.4541616748032193</v>
      </c>
      <c r="AA21" s="9">
        <f>P21*(P$40-P$39)+P$39</f>
        <v>9.725475286327355E-2</v>
      </c>
      <c r="AB21" s="9">
        <f>Q21*(Q$40-Q$39)+Q$39</f>
        <v>0.82391676245855905</v>
      </c>
      <c r="AC21" s="9">
        <f>R21*(R$40-R$39)+R$39</f>
        <v>7.8765107732879161E-2</v>
      </c>
      <c r="AD21" s="9">
        <f>S21*(S$40-S$39)+S$39</f>
        <v>0</v>
      </c>
      <c r="AF21" s="9">
        <f>AA21/SUM($AA21:$AD21)</f>
        <v>9.7260916963086599E-2</v>
      </c>
      <c r="AG21" s="9">
        <f>AB21/SUM($AA21:$AD21)</f>
        <v>0.82396898309571986</v>
      </c>
      <c r="AH21" s="9">
        <f>AC21/SUM($AA21:$AD21)</f>
        <v>7.877009994119348E-2</v>
      </c>
      <c r="AI21" s="9">
        <f>AD21/SUM($AA21:$AD21)</f>
        <v>0</v>
      </c>
    </row>
    <row r="22" spans="16:35" x14ac:dyDescent="0.3">
      <c r="P22" s="9">
        <v>9.7015466833814942E-2</v>
      </c>
      <c r="Q22" s="9">
        <v>0.82421014455057773</v>
      </c>
      <c r="R22" s="9">
        <v>7.8774388615607385E-2</v>
      </c>
      <c r="S22" s="9">
        <v>0</v>
      </c>
      <c r="U22" s="9">
        <f t="array" ref="U22">MMULT(TRANSPOSE($B$3:$B$6),TRANSPOSE(P22:S22))</f>
        <v>0.11400894443651169</v>
      </c>
      <c r="V22" s="9">
        <f t="array" ref="V22">SQRT(MMULT(MMULT(P22:S22,$K$3:$N$6),TRANSPOSE(P22:S22)))</f>
        <v>7.8401895650305073E-2</v>
      </c>
      <c r="X22" s="31">
        <f>U22/V22</f>
        <v>1.4541605593954547</v>
      </c>
      <c r="AA22" s="9">
        <f>P22*(P$40-P$39)+P$39</f>
        <v>9.7254762974542719E-2</v>
      </c>
      <c r="AB22" s="9">
        <f>Q22*(Q$40-Q$39)+Q$39</f>
        <v>0.82391675907137296</v>
      </c>
      <c r="AC22" s="9">
        <f>R22*(R$40-R$39)+R$39</f>
        <v>7.8765106842579646E-2</v>
      </c>
      <c r="AD22" s="9">
        <f>S22*(S$40-S$39)+S$39</f>
        <v>0</v>
      </c>
      <c r="AF22" s="9">
        <f>AA22/SUM($AA22:$AD22)</f>
        <v>9.7260926507561477E-2</v>
      </c>
      <c r="AG22" s="9">
        <f>AB22/SUM($AA22:$AD22)</f>
        <v>0.82396897490115784</v>
      </c>
      <c r="AH22" s="9">
        <f>AC22/SUM($AA22:$AD22)</f>
        <v>7.8770098591280702E-2</v>
      </c>
      <c r="AI22" s="9">
        <f>AD22/SUM($AA22:$AD22)</f>
        <v>0</v>
      </c>
    </row>
    <row r="23" spans="16:35" x14ac:dyDescent="0.3">
      <c r="P23" s="9">
        <v>9.6853903783593723E-2</v>
      </c>
      <c r="Q23" s="9">
        <v>0.82431086014693922</v>
      </c>
      <c r="R23" s="9">
        <v>7.8835236069467018E-2</v>
      </c>
      <c r="S23" s="9">
        <v>0</v>
      </c>
      <c r="U23" s="9">
        <f t="array" ref="U23">MMULT(TRANSPOSE($B$3:$B$6),TRANSPOSE(P23:S23))</f>
        <v>0.11401886718286608</v>
      </c>
      <c r="V23" s="9">
        <f t="array" ref="V23">SQRT(MMULT(MMULT(P23:S23,$K$3:$N$6),TRANSPOSE(P23:S23)))</f>
        <v>7.8408745856571205E-2</v>
      </c>
      <c r="X23" s="31">
        <f>U23/V23</f>
        <v>1.45416006769748</v>
      </c>
      <c r="AA23" s="9">
        <f>P23*(P$40-P$39)+P$39</f>
        <v>9.7254708127429576E-2</v>
      </c>
      <c r="AB23" s="9">
        <f>Q23*(Q$40-Q$39)+Q$39</f>
        <v>0.82391678831318571</v>
      </c>
      <c r="AC23" s="9">
        <f>R23*(R$40-R$39)+R$39</f>
        <v>7.8765109832478294E-2</v>
      </c>
      <c r="AD23" s="9">
        <f>S23*(S$40-S$39)+S$39</f>
        <v>0</v>
      </c>
      <c r="AF23" s="9">
        <f>AA23/SUM($AA23:$AD23)</f>
        <v>9.7260873856705524E-2</v>
      </c>
      <c r="AG23" s="9">
        <f>AB23/SUM($AA23:$AD23)</f>
        <v>0.82396902278039519</v>
      </c>
      <c r="AH23" s="9">
        <f>AC23/SUM($AA23:$AD23)</f>
        <v>7.8770103362899274E-2</v>
      </c>
      <c r="AI23" s="9">
        <f>AD23/SUM($AA23:$AD23)</f>
        <v>0</v>
      </c>
    </row>
    <row r="24" spans="16:35" x14ac:dyDescent="0.3">
      <c r="P24" s="9">
        <v>9.6984031685011518E-2</v>
      </c>
      <c r="Q24" s="9">
        <v>0.82424082223759376</v>
      </c>
      <c r="R24" s="9">
        <v>7.8775146077394678E-2</v>
      </c>
      <c r="S24" s="9">
        <v>0</v>
      </c>
      <c r="U24" s="9">
        <f t="array" ref="U24">MMULT(TRANSPOSE($B$3:$B$6),TRANSPOSE(P24:S24))</f>
        <v>0.11401121777394756</v>
      </c>
      <c r="V24" s="9">
        <f t="array" ref="V24">SQRT(MMULT(MMULT(P24:S24,$K$3:$N$6),TRANSPOSE(P24:S24)))</f>
        <v>7.8403568267722171E-2</v>
      </c>
      <c r="X24" s="31">
        <f>U24/V24</f>
        <v>1.4541585324871578</v>
      </c>
      <c r="AA24" s="9">
        <f>P24*(P$40-P$39)+P$39</f>
        <v>9.7254752302998945E-2</v>
      </c>
      <c r="AB24" s="9">
        <f>Q24*(Q$40-Q$39)+Q$39</f>
        <v>0.82391676797834679</v>
      </c>
      <c r="AC24" s="9">
        <f>R24*(R$40-R$39)+R$39</f>
        <v>7.8765106879799512E-2</v>
      </c>
      <c r="AD24" s="9">
        <f>S24*(S$40-S$39)+S$39</f>
        <v>0</v>
      </c>
      <c r="AF24" s="9">
        <f>AA24/SUM($AA24:$AD24)</f>
        <v>9.7260916003355694E-2</v>
      </c>
      <c r="AG24" s="9">
        <f>AB24/SUM($AA24:$AD24)</f>
        <v>0.82396898523206918</v>
      </c>
      <c r="AH24" s="9">
        <f>AC24/SUM($AA24:$AD24)</f>
        <v>7.8770098764575094E-2</v>
      </c>
      <c r="AI24" s="9">
        <f>AD24/SUM($AA24:$AD24)</f>
        <v>0</v>
      </c>
    </row>
    <row r="25" spans="16:35" x14ac:dyDescent="0.3">
      <c r="P25" s="9">
        <v>9.6848119305026223E-2</v>
      </c>
      <c r="Q25" s="9">
        <v>0.82432422847034892</v>
      </c>
      <c r="R25" s="9">
        <v>7.8827652224624942E-2</v>
      </c>
      <c r="S25" s="9">
        <v>0</v>
      </c>
      <c r="U25" s="9">
        <f t="array" ref="U25">MMULT(TRANSPOSE($B$3:$B$6),TRANSPOSE(P25:S25))</f>
        <v>0.11401952433500291</v>
      </c>
      <c r="V25" s="9">
        <f t="array" ref="V25">SQRT(MMULT(MMULT(P25:S25,$K$3:$N$6),TRANSPOSE(P25:S25)))</f>
        <v>7.8409290531413947E-2</v>
      </c>
      <c r="X25" s="31">
        <f>U25/V25</f>
        <v>1.4541583473366853</v>
      </c>
      <c r="AA25" s="9">
        <f>P25*(P$40-P$39)+P$39</f>
        <v>9.7254706163725932E-2</v>
      </c>
      <c r="AB25" s="9">
        <f>Q25*(Q$40-Q$39)+Q$39</f>
        <v>0.82391679219455094</v>
      </c>
      <c r="AC25" s="9">
        <f>R25*(R$40-R$39)+R$39</f>
        <v>7.876510945982626E-2</v>
      </c>
      <c r="AD25" s="9">
        <f>S25*(S$40-S$39)+S$39</f>
        <v>0</v>
      </c>
      <c r="AF25" s="9">
        <f>AA25/SUM($AA25:$AD25)</f>
        <v>9.7260871742598884E-2</v>
      </c>
      <c r="AG25" s="9">
        <f>AB25/SUM($AA25:$AD25)</f>
        <v>0.82396902538888583</v>
      </c>
      <c r="AH25" s="9">
        <f>AC25/SUM($AA25:$AD25)</f>
        <v>7.8770102868515338E-2</v>
      </c>
      <c r="AI25" s="9">
        <f>AD25/SUM($AA25:$AD25)</f>
        <v>0</v>
      </c>
    </row>
    <row r="26" spans="16:35" x14ac:dyDescent="0.3">
      <c r="P26" s="9">
        <v>9.6960983090192465E-2</v>
      </c>
      <c r="Q26" s="9">
        <v>0.82426331545314813</v>
      </c>
      <c r="R26" s="9">
        <v>7.8775701456659311E-2</v>
      </c>
      <c r="S26" s="9">
        <v>0</v>
      </c>
      <c r="U26" s="9">
        <f t="array" ref="U26">MMULT(TRANSPOSE($B$3:$B$6),TRANSPOSE(P26:S26))</f>
        <v>0.11401288460981253</v>
      </c>
      <c r="V26" s="9">
        <f t="array" ref="V26">SQRT(MMULT(MMULT(P26:S26,$K$3:$N$6),TRANSPOSE(P26:S26)))</f>
        <v>7.8404794690834848E-2</v>
      </c>
      <c r="X26" s="31">
        <f>U26/V26</f>
        <v>1.4541570456167536</v>
      </c>
      <c r="AA26" s="9">
        <f>P26*(P$40-P$39)+P$39</f>
        <v>9.7254744478506364E-2</v>
      </c>
      <c r="AB26" s="9">
        <f>Q26*(Q$40-Q$39)+Q$39</f>
        <v>0.82391677450903744</v>
      </c>
      <c r="AC26" s="9">
        <f>R26*(R$40-R$39)+R$39</f>
        <v>7.876510690708953E-2</v>
      </c>
      <c r="AD26" s="9">
        <f>S26*(S$40-S$39)+S$39</f>
        <v>0</v>
      </c>
      <c r="AF26" s="9">
        <f>AA26/SUM($AA26:$AD26)</f>
        <v>9.7260908301557134E-2</v>
      </c>
      <c r="AG26" s="9">
        <f>AB26/SUM($AA26:$AD26)</f>
        <v>0.82396899280680647</v>
      </c>
      <c r="AH26" s="9">
        <f>AC26/SUM($AA26:$AD26)</f>
        <v>7.8770098891636442E-2</v>
      </c>
      <c r="AI26" s="9">
        <f>AD26/SUM($AA26:$AD26)</f>
        <v>0</v>
      </c>
    </row>
    <row r="27" spans="16:35" x14ac:dyDescent="0.3">
      <c r="P27" s="9">
        <v>9.6841886889102391E-2</v>
      </c>
      <c r="Q27" s="9">
        <v>0.82433863200745605</v>
      </c>
      <c r="R27" s="9">
        <v>7.8819481103441599E-2</v>
      </c>
      <c r="S27" s="9">
        <v>0</v>
      </c>
      <c r="U27" s="9">
        <f t="array" ref="U27">MMULT(TRANSPOSE($B$3:$B$6),TRANSPOSE(P27:S27))</f>
        <v>0.11402023237556248</v>
      </c>
      <c r="V27" s="9">
        <f t="array" ref="V27">SQRT(MMULT(MMULT(P27:S27,$K$3:$N$6),TRANSPOSE(P27:S27)))</f>
        <v>7.8409877411152823E-2</v>
      </c>
      <c r="X27" s="31">
        <f>U27/V27</f>
        <v>1.4541564932907871</v>
      </c>
      <c r="AA27" s="9">
        <f>P27*(P$40-P$39)+P$39</f>
        <v>9.7254704047957372E-2</v>
      </c>
      <c r="AB27" s="9">
        <f>Q27*(Q$40-Q$39)+Q$39</f>
        <v>0.82391679637648052</v>
      </c>
      <c r="AC27" s="9">
        <f>R27*(R$40-R$39)+R$39</f>
        <v>7.8765109058316865E-2</v>
      </c>
      <c r="AD27" s="9">
        <f>S27*(S$40-S$39)+S$39</f>
        <v>0</v>
      </c>
      <c r="AF27" s="9">
        <f>AA27/SUM($AA27:$AD27)</f>
        <v>9.7260869464780464E-2</v>
      </c>
      <c r="AG27" s="9">
        <f>AB27/SUM($AA27:$AD27)</f>
        <v>0.82396902819937212</v>
      </c>
      <c r="AH27" s="9">
        <f>AC27/SUM($AA27:$AD27)</f>
        <v>7.87701023358474E-2</v>
      </c>
      <c r="AI27" s="9">
        <f>AD27/SUM($AA27:$AD27)</f>
        <v>0</v>
      </c>
    </row>
    <row r="28" spans="16:35" x14ac:dyDescent="0.3">
      <c r="P28" s="9">
        <v>9.6837456715968856E-2</v>
      </c>
      <c r="Q28" s="9">
        <v>0.8243488704388926</v>
      </c>
      <c r="R28" s="9">
        <v>7.8813672845138585E-2</v>
      </c>
      <c r="S28" s="9">
        <v>0</v>
      </c>
      <c r="U28" s="9">
        <f t="array" ref="U28">MMULT(TRANSPOSE($B$3:$B$6),TRANSPOSE(P28:S28))</f>
        <v>0.11402073567032055</v>
      </c>
      <c r="V28" s="9">
        <f t="array" ref="V28">SQRT(MMULT(MMULT(P28:S28,$K$3:$N$6),TRANSPOSE(P28:S28)))</f>
        <v>7.8410294598151797E-2</v>
      </c>
      <c r="X28" s="31">
        <f>U28/V28</f>
        <v>1.454155175091105</v>
      </c>
      <c r="AA28" s="9">
        <f>P28*(P$40-P$39)+P$39</f>
        <v>9.7254702544010724E-2</v>
      </c>
      <c r="AB28" s="9">
        <f>Q28*(Q$40-Q$39)+Q$39</f>
        <v>0.82391679934911144</v>
      </c>
      <c r="AC28" s="9">
        <f>R28*(R$40-R$39)+R$39</f>
        <v>7.8765108772912915E-2</v>
      </c>
      <c r="AD28" s="9">
        <f>S28*(S$40-S$39)+S$39</f>
        <v>0</v>
      </c>
      <c r="AF28" s="9">
        <f>AA28/SUM($AA28:$AD28)</f>
        <v>9.7260867845644319E-2</v>
      </c>
      <c r="AG28" s="9">
        <f>AB28/SUM($AA28:$AD28)</f>
        <v>0.8239690301971434</v>
      </c>
      <c r="AH28" s="9">
        <f>AC28/SUM($AA28:$AD28)</f>
        <v>7.8770101957212332E-2</v>
      </c>
      <c r="AI28" s="9">
        <f>AD28/SUM($AA28:$AD28)</f>
        <v>0</v>
      </c>
    </row>
    <row r="29" spans="16:35" x14ac:dyDescent="0.3">
      <c r="P29" s="9">
        <v>9.6831577547076039E-2</v>
      </c>
      <c r="Q29" s="9">
        <v>0.82436245759808435</v>
      </c>
      <c r="R29" s="9">
        <v>7.8805964854839552E-2</v>
      </c>
      <c r="S29" s="9">
        <v>0</v>
      </c>
      <c r="U29" s="9">
        <f t="array" ref="U29">MMULT(TRANSPOSE($B$3:$B$6),TRANSPOSE(P29:S29))</f>
        <v>0.11402140357985732</v>
      </c>
      <c r="V29" s="9">
        <f t="array" ref="V29">SQRT(MMULT(MMULT(P29:S29,$K$3:$N$6),TRANSPOSE(P29:S29)))</f>
        <v>7.8410848257714563E-2</v>
      </c>
      <c r="X29" s="31">
        <f>U29/V29</f>
        <v>1.4541534253666126</v>
      </c>
      <c r="AA29" s="9">
        <f>P29*(P$40-P$39)+P$39</f>
        <v>9.7254700548161793E-2</v>
      </c>
      <c r="AB29" s="9">
        <f>Q29*(Q$40-Q$39)+Q$39</f>
        <v>0.82391680329401351</v>
      </c>
      <c r="AC29" s="9">
        <f>R29*(R$40-R$39)+R$39</f>
        <v>7.8765108394160677E-2</v>
      </c>
      <c r="AD29" s="9">
        <f>S29*(S$40-S$39)+S$39</f>
        <v>0</v>
      </c>
      <c r="AF29" s="9">
        <f>AA29/SUM($AA29:$AD29)</f>
        <v>9.7260865696930349E-2</v>
      </c>
      <c r="AG29" s="9">
        <f>AB29/SUM($AA29:$AD29)</f>
        <v>0.82396903284833412</v>
      </c>
      <c r="AH29" s="9">
        <f>AC29/SUM($AA29:$AD29)</f>
        <v>7.8770101454735481E-2</v>
      </c>
      <c r="AI29" s="9">
        <f>AD29/SUM($AA29:$AD29)</f>
        <v>0</v>
      </c>
    </row>
    <row r="30" spans="16:35" x14ac:dyDescent="0.3">
      <c r="P30" s="9">
        <v>9.6827852652015323E-2</v>
      </c>
      <c r="Q30" s="9">
        <v>0.82437106608392408</v>
      </c>
      <c r="R30" s="9">
        <v>7.8801081264060574E-2</v>
      </c>
      <c r="S30" s="9">
        <v>0</v>
      </c>
      <c r="U30" s="9">
        <f t="array" ref="U30">MMULT(TRANSPOSE($B$3:$B$6),TRANSPOSE(P30:S30))</f>
        <v>0.1140218267507136</v>
      </c>
      <c r="V30" s="9">
        <f t="array" ref="V30">SQRT(MMULT(MMULT(P30:S30,$K$3:$N$6),TRANSPOSE(P30:S30)))</f>
        <v>7.8411199055273745E-2</v>
      </c>
      <c r="X30" s="31">
        <f>U30/V30</f>
        <v>1.4541523165630608</v>
      </c>
      <c r="AA30" s="9">
        <f>P30*(P$40-P$39)+P$39</f>
        <v>9.7254699283641596E-2</v>
      </c>
      <c r="AB30" s="9">
        <f>Q30*(Q$40-Q$39)+Q$39</f>
        <v>0.8239168057934052</v>
      </c>
      <c r="AC30" s="9">
        <f>R30*(R$40-R$39)+R$39</f>
        <v>7.8765108154192687E-2</v>
      </c>
      <c r="AD30" s="9">
        <f>S30*(S$40-S$39)+S$39</f>
        <v>0</v>
      </c>
      <c r="AF30" s="9">
        <f>AA30/SUM($AA30:$AD30)</f>
        <v>9.726086433555868E-2</v>
      </c>
      <c r="AG30" s="9">
        <f>AB30/SUM($AA30:$AD30)</f>
        <v>0.82396903452806269</v>
      </c>
      <c r="AH30" s="9">
        <f>AC30/SUM($AA30:$AD30)</f>
        <v>7.8770101136378654E-2</v>
      </c>
      <c r="AI30" s="9">
        <f>AD30/SUM($AA30:$AD30)</f>
        <v>0</v>
      </c>
    </row>
    <row r="31" spans="16:35" x14ac:dyDescent="0.3">
      <c r="P31" s="9">
        <v>9.6825281306579553E-2</v>
      </c>
      <c r="Q31" s="9">
        <v>0.82437700863812013</v>
      </c>
      <c r="R31" s="9">
        <v>7.8797710055300313E-2</v>
      </c>
      <c r="S31" s="9">
        <v>0</v>
      </c>
      <c r="U31" s="9">
        <f t="array" ref="U31">MMULT(TRANSPOSE($B$3:$B$6),TRANSPOSE(P31:S31))</f>
        <v>0.11402211887127865</v>
      </c>
      <c r="V31" s="9">
        <f t="array" ref="V31">SQRT(MMULT(MMULT(P31:S31,$K$3:$N$6),TRANSPOSE(P31:S31)))</f>
        <v>7.8411441221294342E-2</v>
      </c>
      <c r="X31" s="31">
        <f>U31/V31</f>
        <v>1.4541515510406593</v>
      </c>
      <c r="AA31" s="9">
        <f>P31*(P$40-P$39)+P$39</f>
        <v>9.725469841072619E-2</v>
      </c>
      <c r="AB31" s="9">
        <f>Q31*(Q$40-Q$39)+Q$39</f>
        <v>0.82391680751876917</v>
      </c>
      <c r="AC31" s="9">
        <f>R31*(R$40-R$39)+R$39</f>
        <v>7.8765107988539529E-2</v>
      </c>
      <c r="AD31" s="9">
        <f>S31*(S$40-S$39)+S$39</f>
        <v>0</v>
      </c>
      <c r="AF31" s="9">
        <f>AA31/SUM($AA31:$AD31)</f>
        <v>9.7260863395785394E-2</v>
      </c>
      <c r="AG31" s="9">
        <f>AB31/SUM($AA31:$AD31)</f>
        <v>0.82396903568760194</v>
      </c>
      <c r="AH31" s="9">
        <f>AC31/SUM($AA31:$AD31)</f>
        <v>7.8770100916612629E-2</v>
      </c>
      <c r="AI31" s="9">
        <f>AD31/SUM($AA31:$AD31)</f>
        <v>0</v>
      </c>
    </row>
    <row r="32" spans="16:35" x14ac:dyDescent="0.3">
      <c r="P32" s="9">
        <v>9.6823399501403798E-2</v>
      </c>
      <c r="Q32" s="9">
        <v>0.82438135761787523</v>
      </c>
      <c r="R32" s="9">
        <v>7.8795242880721081E-2</v>
      </c>
      <c r="S32" s="9">
        <v>0</v>
      </c>
      <c r="U32" s="9">
        <f t="array" ref="U32">MMULT(TRANSPOSE($B$3:$B$6),TRANSPOSE(P32:S32))</f>
        <v>0.11402233265585369</v>
      </c>
      <c r="V32" s="9">
        <f t="array" ref="V32">SQRT(MMULT(MMULT(P32:S32,$K$3:$N$6),TRANSPOSE(P32:S32)))</f>
        <v>7.8411618450257556E-2</v>
      </c>
      <c r="X32" s="31">
        <f>U32/V32</f>
        <v>1.4541509907512842</v>
      </c>
      <c r="AA32" s="9">
        <f>P32*(P$40-P$39)+P$39</f>
        <v>9.7254697771894591E-2</v>
      </c>
      <c r="AB32" s="9">
        <f>Q32*(Q$40-Q$39)+Q$39</f>
        <v>0.8239168087814539</v>
      </c>
      <c r="AC32" s="9">
        <f>R32*(R$40-R$39)+R$39</f>
        <v>7.8765107867308462E-2</v>
      </c>
      <c r="AD32" s="9">
        <f>S32*(S$40-S$39)+S$39</f>
        <v>0</v>
      </c>
      <c r="AF32" s="9">
        <f>AA32/SUM($AA32:$AD32)</f>
        <v>9.726086270802474E-2</v>
      </c>
      <c r="AG32" s="9">
        <f>AB32/SUM($AA32:$AD32)</f>
        <v>0.82396903653619546</v>
      </c>
      <c r="AH32" s="9">
        <f>AC32/SUM($AA32:$AD32)</f>
        <v>7.8770100755779782E-2</v>
      </c>
      <c r="AI32" s="9">
        <f>AD32/SUM($AA32:$AD32)</f>
        <v>0</v>
      </c>
    </row>
    <row r="33" spans="16:35" x14ac:dyDescent="0.3">
      <c r="P33" s="9">
        <v>9.6811246531730011E-2</v>
      </c>
      <c r="Q33" s="9">
        <v>0.82440944395739379</v>
      </c>
      <c r="R33" s="9">
        <v>7.8779309510876111E-2</v>
      </c>
      <c r="S33" s="9">
        <v>0</v>
      </c>
      <c r="U33" s="9">
        <f t="array" ref="U33">MMULT(TRANSPOSE($B$3:$B$6),TRANSPOSE(P33:S33))</f>
        <v>0.11402371330752287</v>
      </c>
      <c r="V33" s="9">
        <f t="array" ref="V33">SQRT(MMULT(MMULT(P33:S33,$K$3:$N$6),TRANSPOSE(P33:S33)))</f>
        <v>7.8412763080778658E-2</v>
      </c>
      <c r="X33" s="31">
        <f>U33/V33</f>
        <v>1.4541473712647874</v>
      </c>
      <c r="AA33" s="9">
        <f>P33*(P$40-P$39)+P$39</f>
        <v>9.7254693646227852E-2</v>
      </c>
      <c r="AB33" s="9">
        <f>Q33*(Q$40-Q$39)+Q$39</f>
        <v>0.82391681693605467</v>
      </c>
      <c r="AC33" s="9">
        <f>R33*(R$40-R$39)+R$39</f>
        <v>7.8765107084380698E-2</v>
      </c>
      <c r="AD33" s="9">
        <f>S33*(S$40-S$39)+S$39</f>
        <v>0</v>
      </c>
      <c r="AF33" s="9">
        <f>AA33/SUM($AA33:$AD33)</f>
        <v>9.7260858266367115E-2</v>
      </c>
      <c r="AG33" s="9">
        <f>AB33/SUM($AA33:$AD33)</f>
        <v>0.82396904201653498</v>
      </c>
      <c r="AH33" s="9">
        <f>AC33/SUM($AA33:$AD33)</f>
        <v>7.8770099717097947E-2</v>
      </c>
      <c r="AI33" s="9">
        <f>AD33/SUM($AA33:$AD33)</f>
        <v>0</v>
      </c>
    </row>
    <row r="34" spans="16:35" x14ac:dyDescent="0.3">
      <c r="P34" s="9">
        <v>9.6811246531730011E-2</v>
      </c>
      <c r="Q34" s="9">
        <v>0.82440944395739379</v>
      </c>
      <c r="R34" s="9">
        <v>7.8779309510876111E-2</v>
      </c>
      <c r="S34" s="9">
        <v>0</v>
      </c>
      <c r="U34" s="9">
        <f t="array" ref="U34">MMULT(TRANSPOSE($B$3:$B$6),TRANSPOSE(P34:S34))</f>
        <v>0.11402371330752287</v>
      </c>
      <c r="V34" s="9">
        <f t="array" ref="V34">SQRT(MMULT(MMULT(P34:S34,$K$3:$N$6),TRANSPOSE(P34:S34)))</f>
        <v>7.8412763080778658E-2</v>
      </c>
      <c r="X34" s="31">
        <f>U34/V34</f>
        <v>1.4541473712647874</v>
      </c>
      <c r="AA34" s="9">
        <f>P34*(P$40-P$39)+P$39</f>
        <v>9.7254693646227852E-2</v>
      </c>
      <c r="AB34" s="9">
        <f>Q34*(Q$40-Q$39)+Q$39</f>
        <v>0.82391681693605467</v>
      </c>
      <c r="AC34" s="9">
        <f>R34*(R$40-R$39)+R$39</f>
        <v>7.8765107084380698E-2</v>
      </c>
      <c r="AD34" s="9">
        <f>S34*(S$40-S$39)+S$39</f>
        <v>0</v>
      </c>
      <c r="AF34" s="9">
        <f>AA34/SUM($AA34:$AD34)</f>
        <v>9.7260858266367115E-2</v>
      </c>
      <c r="AG34" s="9">
        <f>AB34/SUM($AA34:$AD34)</f>
        <v>0.82396904201653498</v>
      </c>
      <c r="AH34" s="9">
        <f>AC34/SUM($AA34:$AD34)</f>
        <v>7.8770099717097947E-2</v>
      </c>
      <c r="AI34" s="9">
        <f>AD34/SUM($AA34:$AD34)</f>
        <v>0</v>
      </c>
    </row>
    <row r="35" spans="16:35" x14ac:dyDescent="0.3">
      <c r="P35" s="9">
        <v>9.6811246531730011E-2</v>
      </c>
      <c r="Q35" s="9">
        <v>0.82440944395739379</v>
      </c>
      <c r="R35" s="9">
        <v>7.8779309510876111E-2</v>
      </c>
      <c r="S35" s="9">
        <v>0</v>
      </c>
      <c r="U35" s="9">
        <f t="array" ref="U35">MMULT(TRANSPOSE($B$3:$B$6),TRANSPOSE(P35:S35))</f>
        <v>0.11402371330752287</v>
      </c>
      <c r="V35" s="9">
        <f t="array" ref="V35">SQRT(MMULT(MMULT(P35:S35,$K$3:$N$6),TRANSPOSE(P35:S35)))</f>
        <v>7.8412763080778658E-2</v>
      </c>
      <c r="X35" s="31">
        <f>U35/V35</f>
        <v>1.4541473712647874</v>
      </c>
      <c r="AA35" s="9">
        <f>P35*(P$40-P$39)+P$39</f>
        <v>9.7254693646227852E-2</v>
      </c>
      <c r="AB35" s="9">
        <f>Q35*(Q$40-Q$39)+Q$39</f>
        <v>0.82391681693605467</v>
      </c>
      <c r="AC35" s="9">
        <f>R35*(R$40-R$39)+R$39</f>
        <v>7.8765107084380698E-2</v>
      </c>
      <c r="AD35" s="9">
        <f>S35*(S$40-S$39)+S$39</f>
        <v>0</v>
      </c>
      <c r="AF35" s="9">
        <f>AA35/SUM($AA35:$AD35)</f>
        <v>9.7260858266367115E-2</v>
      </c>
      <c r="AG35" s="9">
        <f>AB35/SUM($AA35:$AD35)</f>
        <v>0.82396904201653498</v>
      </c>
      <c r="AH35" s="9">
        <f>AC35/SUM($AA35:$AD35)</f>
        <v>7.8770099717097947E-2</v>
      </c>
      <c r="AI35" s="9">
        <f>AD35/SUM($AA35:$AD35)</f>
        <v>0</v>
      </c>
    </row>
    <row r="36" spans="16:35" x14ac:dyDescent="0.3">
      <c r="P36" s="9">
        <v>9.6811246531730011E-2</v>
      </c>
      <c r="Q36" s="9">
        <v>0.82440944395739379</v>
      </c>
      <c r="R36" s="9">
        <v>7.8779309510876111E-2</v>
      </c>
      <c r="S36" s="9">
        <v>0</v>
      </c>
      <c r="U36" s="9">
        <f t="array" ref="U36">MMULT(TRANSPOSE($B$3:$B$6),TRANSPOSE(P36:S36))</f>
        <v>0.11402371330752287</v>
      </c>
      <c r="V36" s="9">
        <f t="array" ref="V36">SQRT(MMULT(MMULT(P36:S36,$K$3:$N$6),TRANSPOSE(P36:S36)))</f>
        <v>7.8412763080778658E-2</v>
      </c>
      <c r="X36" s="31">
        <f>U36/V36</f>
        <v>1.4541473712647874</v>
      </c>
      <c r="AA36" s="9">
        <f>P36*(P$40-P$39)+P$39</f>
        <v>9.7254693646227852E-2</v>
      </c>
      <c r="AB36" s="9">
        <f>Q36*(Q$40-Q$39)+Q$39</f>
        <v>0.82391681693605467</v>
      </c>
      <c r="AC36" s="9">
        <f>R36*(R$40-R$39)+R$39</f>
        <v>7.8765107084380698E-2</v>
      </c>
      <c r="AD36" s="9">
        <f>S36*(S$40-S$39)+S$39</f>
        <v>0</v>
      </c>
      <c r="AF36" s="9">
        <f>AA36/SUM($AA36:$AD36)</f>
        <v>9.7260858266367115E-2</v>
      </c>
      <c r="AG36" s="9">
        <f>AB36/SUM($AA36:$AD36)</f>
        <v>0.82396904201653498</v>
      </c>
      <c r="AH36" s="9">
        <f>AC36/SUM($AA36:$AD36)</f>
        <v>7.8770099717097947E-2</v>
      </c>
      <c r="AI36" s="9">
        <f>AD36/SUM($AA36:$AD36)</f>
        <v>0</v>
      </c>
    </row>
    <row r="37" spans="16:35" x14ac:dyDescent="0.3">
      <c r="P37" s="9">
        <v>9.6811246531730011E-2</v>
      </c>
      <c r="Q37" s="9">
        <v>0.82440944395739379</v>
      </c>
      <c r="R37" s="9">
        <v>7.8779309510876111E-2</v>
      </c>
      <c r="S37" s="9">
        <v>0</v>
      </c>
      <c r="U37" s="9">
        <f t="array" ref="U37">MMULT(TRANSPOSE($B$3:$B$6),TRANSPOSE(P37:S37))</f>
        <v>0.11402371330752287</v>
      </c>
      <c r="V37" s="9">
        <f t="array" ref="V37">SQRT(MMULT(MMULT(P37:S37,$K$3:$N$6),TRANSPOSE(P37:S37)))</f>
        <v>7.8412763080778658E-2</v>
      </c>
      <c r="X37" s="31">
        <f>U37/V37</f>
        <v>1.4541473712647874</v>
      </c>
      <c r="AA37" s="9">
        <f>P37*(P$40-P$39)+P$39</f>
        <v>9.7254693646227852E-2</v>
      </c>
      <c r="AB37" s="9">
        <f>Q37*(Q$40-Q$39)+Q$39</f>
        <v>0.82391681693605467</v>
      </c>
      <c r="AC37" s="9">
        <f>R37*(R$40-R$39)+R$39</f>
        <v>7.8765107084380698E-2</v>
      </c>
      <c r="AD37" s="9">
        <f>S37*(S$40-S$39)+S$39</f>
        <v>0</v>
      </c>
      <c r="AF37" s="9">
        <f>AA37/SUM($AA37:$AD37)</f>
        <v>9.7260858266367115E-2</v>
      </c>
      <c r="AG37" s="9">
        <f>AB37/SUM($AA37:$AD37)</f>
        <v>0.82396904201653498</v>
      </c>
      <c r="AH37" s="9">
        <f>AC37/SUM($AA37:$AD37)</f>
        <v>7.8770099717097947E-2</v>
      </c>
      <c r="AI37" s="9">
        <f>AD37/SUM($AA37:$AD37)</f>
        <v>0</v>
      </c>
    </row>
    <row r="39" spans="16:35" x14ac:dyDescent="0.3">
      <c r="P39" s="9">
        <f>MIN(P3:P6)</f>
        <v>9.7221828350692929E-2</v>
      </c>
      <c r="Q39" s="9">
        <f t="shared" ref="Q39:S39" si="1">MIN(Q3:Q6)</f>
        <v>0.82367745751794197</v>
      </c>
      <c r="R39" s="9">
        <f t="shared" si="1"/>
        <v>7.8761236057150311E-2</v>
      </c>
      <c r="S39" s="9">
        <f t="shared" si="1"/>
        <v>0</v>
      </c>
    </row>
    <row r="40" spans="16:35" x14ac:dyDescent="0.3">
      <c r="P40" s="9">
        <f>MAX(P3:P6)</f>
        <v>9.7561306424907748E-2</v>
      </c>
      <c r="Q40" s="9">
        <f t="shared" ref="Q40:S40" si="2">MAX(Q3:Q6)</f>
        <v>0.82396779797906494</v>
      </c>
      <c r="R40" s="9">
        <f t="shared" si="2"/>
        <v>7.8810373670242143E-2</v>
      </c>
      <c r="S40" s="9">
        <f t="shared" si="2"/>
        <v>0</v>
      </c>
    </row>
    <row r="53" spans="1:1" x14ac:dyDescent="0.3">
      <c r="A53" s="6" t="s">
        <v>52</v>
      </c>
    </row>
  </sheetData>
  <sortState xmlns:xlrd2="http://schemas.microsoft.com/office/spreadsheetml/2017/richdata2" ref="P3:AI37">
    <sortCondition descending="1" ref="X3:X37"/>
  </sortState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6F9777-3E5C-4FD2-B97F-360F364EE857}">
  <dimension ref="A1:BA1023"/>
  <sheetViews>
    <sheetView topLeftCell="AC1" zoomScale="85" zoomScaleNormal="85" workbookViewId="0">
      <selection activeCell="AT20" sqref="AT20"/>
    </sheetView>
  </sheetViews>
  <sheetFormatPr defaultColWidth="5.77734375" defaultRowHeight="14.4" x14ac:dyDescent="0.3"/>
  <cols>
    <col min="1" max="10" width="2.6640625" customWidth="1"/>
    <col min="11" max="20" width="5.77734375" style="45"/>
    <col min="28" max="29" width="5.77734375" style="51"/>
    <col min="31" max="31" width="3.44140625" customWidth="1"/>
    <col min="32" max="51" width="10" customWidth="1"/>
    <col min="53" max="53" width="6.109375" bestFit="1" customWidth="1"/>
  </cols>
  <sheetData>
    <row r="1" spans="1:53" x14ac:dyDescent="0.3">
      <c r="A1">
        <f>INT( MOD(ROW()+0,1024)/512)</f>
        <v>0</v>
      </c>
      <c r="B1">
        <f>INT( MOD(ROW()+0,512)/256)</f>
        <v>0</v>
      </c>
      <c r="C1">
        <f>INT( MOD(ROW()+0,256)/128)</f>
        <v>0</v>
      </c>
      <c r="D1">
        <f>INT( MOD(ROW()+0,128)/64)</f>
        <v>0</v>
      </c>
      <c r="E1">
        <f>INT( MOD(ROW()+0,64)/32)</f>
        <v>0</v>
      </c>
      <c r="F1">
        <f>INT( MOD(ROW()+0,32)/16)</f>
        <v>0</v>
      </c>
      <c r="G1">
        <f>INT( MOD(ROW()+0,16)/8)</f>
        <v>0</v>
      </c>
      <c r="H1">
        <f>INT( MOD(ROW()+0,8)/4)</f>
        <v>0</v>
      </c>
      <c r="I1">
        <f>INT( MOD(ROW()+0,4)/2)</f>
        <v>0</v>
      </c>
      <c r="J1">
        <f>INT( MOD(ROW()+0,2)/1)</f>
        <v>1</v>
      </c>
      <c r="K1" s="45">
        <f>A1/SUM($A1:$J1)</f>
        <v>0</v>
      </c>
      <c r="L1" s="45">
        <f t="shared" ref="L1:T1" si="0">B1/SUM($A1:$J1)</f>
        <v>0</v>
      </c>
      <c r="M1" s="45">
        <f t="shared" si="0"/>
        <v>0</v>
      </c>
      <c r="N1" s="45">
        <f t="shared" si="0"/>
        <v>0</v>
      </c>
      <c r="O1" s="45">
        <f t="shared" si="0"/>
        <v>0</v>
      </c>
      <c r="P1" s="45">
        <f t="shared" si="0"/>
        <v>0</v>
      </c>
      <c r="Q1" s="45">
        <f t="shared" si="0"/>
        <v>0</v>
      </c>
      <c r="R1" s="45">
        <f t="shared" si="0"/>
        <v>0</v>
      </c>
      <c r="S1" s="45">
        <f t="shared" si="0"/>
        <v>0</v>
      </c>
      <c r="T1" s="45">
        <f t="shared" si="0"/>
        <v>1</v>
      </c>
      <c r="X1" s="50" t="s">
        <v>58</v>
      </c>
      <c r="Y1" s="50" t="s">
        <v>60</v>
      </c>
      <c r="AA1" s="51">
        <v>1</v>
      </c>
      <c r="AB1" s="51">
        <f>AA1</f>
        <v>1</v>
      </c>
      <c r="AC1" s="51">
        <f>(AA1+2/AA1)/2</f>
        <v>1.5</v>
      </c>
      <c r="AE1" s="52"/>
      <c r="AF1" s="52">
        <v>1</v>
      </c>
      <c r="AG1" s="52">
        <v>2</v>
      </c>
      <c r="AH1" s="52">
        <v>3</v>
      </c>
      <c r="AI1" s="52">
        <v>4</v>
      </c>
      <c r="AJ1" s="52">
        <v>5</v>
      </c>
      <c r="AK1" s="52">
        <v>6</v>
      </c>
      <c r="AL1" s="52">
        <v>7</v>
      </c>
      <c r="AM1" s="52">
        <v>8</v>
      </c>
      <c r="AN1" s="52">
        <v>9</v>
      </c>
      <c r="AO1" s="52">
        <v>10</v>
      </c>
      <c r="AP1" s="52">
        <v>11</v>
      </c>
      <c r="AQ1" s="52">
        <v>12</v>
      </c>
      <c r="AR1" s="52">
        <v>13</v>
      </c>
      <c r="AS1" s="52">
        <v>14</v>
      </c>
      <c r="AT1" s="52">
        <v>15</v>
      </c>
      <c r="AU1" s="52">
        <v>16</v>
      </c>
      <c r="AV1" s="52">
        <v>17</v>
      </c>
      <c r="AW1" s="52">
        <v>18</v>
      </c>
      <c r="AX1" s="52">
        <v>19</v>
      </c>
      <c r="AY1" s="52">
        <v>20</v>
      </c>
      <c r="BA1" s="52">
        <v>50</v>
      </c>
    </row>
    <row r="2" spans="1:53" x14ac:dyDescent="0.3">
      <c r="A2">
        <f t="shared" ref="A2:A65" si="1">INT( MOD(ROW()+0,1024)/512)</f>
        <v>0</v>
      </c>
      <c r="B2">
        <f t="shared" ref="B2:B65" si="2">INT( MOD(ROW()+0,512)/256)</f>
        <v>0</v>
      </c>
      <c r="C2">
        <f t="shared" ref="C2:C65" si="3">INT( MOD(ROW()+0,256)/128)</f>
        <v>0</v>
      </c>
      <c r="D2">
        <f t="shared" ref="D2:D65" si="4">INT( MOD(ROW()+0,128)/64)</f>
        <v>0</v>
      </c>
      <c r="E2">
        <f t="shared" ref="E2:E65" si="5">INT( MOD(ROW()+0,64)/32)</f>
        <v>0</v>
      </c>
      <c r="F2">
        <f t="shared" ref="F2:F65" si="6">INT( MOD(ROW()+0,32)/16)</f>
        <v>0</v>
      </c>
      <c r="G2">
        <f t="shared" ref="G2:G65" si="7">INT( MOD(ROW()+0,16)/8)</f>
        <v>0</v>
      </c>
      <c r="H2">
        <f t="shared" ref="H2:H65" si="8">INT( MOD(ROW()+0,8)/4)</f>
        <v>0</v>
      </c>
      <c r="I2">
        <f t="shared" ref="I2:I65" si="9">INT( MOD(ROW()+0,4)/2)</f>
        <v>1</v>
      </c>
      <c r="J2">
        <f t="shared" ref="J2:J65" si="10">INT( MOD(ROW()+0,2)/1)</f>
        <v>0</v>
      </c>
      <c r="K2" s="45">
        <f t="shared" ref="K2:K65" si="11">A2/SUM($A2:$J2)</f>
        <v>0</v>
      </c>
      <c r="L2" s="45">
        <f t="shared" ref="L2:L65" si="12">B2/SUM($A2:$J2)</f>
        <v>0</v>
      </c>
      <c r="M2" s="45">
        <f t="shared" ref="M2:M65" si="13">C2/SUM($A2:$J2)</f>
        <v>0</v>
      </c>
      <c r="N2" s="45">
        <f t="shared" ref="N2:N65" si="14">D2/SUM($A2:$J2)</f>
        <v>0</v>
      </c>
      <c r="O2" s="45">
        <f t="shared" ref="O2:O65" si="15">E2/SUM($A2:$J2)</f>
        <v>0</v>
      </c>
      <c r="P2" s="45">
        <f t="shared" ref="P2:P65" si="16">F2/SUM($A2:$J2)</f>
        <v>0</v>
      </c>
      <c r="Q2" s="45">
        <f t="shared" ref="Q2:Q65" si="17">G2/SUM($A2:$J2)</f>
        <v>0</v>
      </c>
      <c r="R2" s="45">
        <f t="shared" ref="R2:R65" si="18">H2/SUM($A2:$J2)</f>
        <v>0</v>
      </c>
      <c r="S2" s="45">
        <f t="shared" ref="S2:S65" si="19">I2/SUM($A2:$J2)</f>
        <v>1</v>
      </c>
      <c r="T2" s="45">
        <f t="shared" ref="T2:T65" si="20">J2/SUM($A2:$J2)</f>
        <v>0</v>
      </c>
      <c r="W2" s="45">
        <v>0</v>
      </c>
      <c r="X2" s="47">
        <v>0</v>
      </c>
      <c r="Y2" s="48">
        <v>5110</v>
      </c>
      <c r="AA2" s="51">
        <v>1.0249999999999999</v>
      </c>
      <c r="AB2" s="51">
        <f t="shared" ref="AB2:AB41" si="21">AA2</f>
        <v>1.0249999999999999</v>
      </c>
      <c r="AC2" s="51">
        <f t="shared" ref="AC2:AC41" si="22">(AA2+2/AA2)/2</f>
        <v>1.4881097560975611</v>
      </c>
      <c r="AE2" s="52">
        <v>1</v>
      </c>
      <c r="AF2">
        <f>FACT($AE2+AF$1-1)/(FACT(AF$1-1)*FACT($AE2))</f>
        <v>1</v>
      </c>
      <c r="AG2">
        <f t="shared" ref="AG2:AY16" si="23">FACT($AE2+AG$1-1)/(FACT(AG$1-1)*FACT($AE2))</f>
        <v>2</v>
      </c>
      <c r="AH2">
        <f t="shared" si="23"/>
        <v>3</v>
      </c>
      <c r="AI2">
        <f t="shared" si="23"/>
        <v>4</v>
      </c>
      <c r="AJ2">
        <f t="shared" si="23"/>
        <v>5</v>
      </c>
      <c r="AK2">
        <f t="shared" si="23"/>
        <v>6</v>
      </c>
      <c r="AL2">
        <f t="shared" si="23"/>
        <v>7</v>
      </c>
      <c r="AM2">
        <f t="shared" si="23"/>
        <v>8</v>
      </c>
      <c r="AN2">
        <f t="shared" si="23"/>
        <v>9</v>
      </c>
      <c r="AO2">
        <f t="shared" si="23"/>
        <v>10</v>
      </c>
      <c r="AP2">
        <f t="shared" si="23"/>
        <v>11</v>
      </c>
      <c r="AQ2">
        <f t="shared" si="23"/>
        <v>12</v>
      </c>
      <c r="AR2">
        <f t="shared" si="23"/>
        <v>13</v>
      </c>
      <c r="AS2">
        <f t="shared" si="23"/>
        <v>14</v>
      </c>
      <c r="AT2">
        <f t="shared" si="23"/>
        <v>15</v>
      </c>
      <c r="AU2">
        <f t="shared" si="23"/>
        <v>16</v>
      </c>
      <c r="AV2">
        <f t="shared" si="23"/>
        <v>17</v>
      </c>
      <c r="AW2">
        <f t="shared" si="23"/>
        <v>18</v>
      </c>
      <c r="AX2">
        <f t="shared" si="23"/>
        <v>19</v>
      </c>
      <c r="AY2">
        <f t="shared" si="23"/>
        <v>20</v>
      </c>
    </row>
    <row r="3" spans="1:53" x14ac:dyDescent="0.3">
      <c r="A3">
        <f t="shared" si="1"/>
        <v>0</v>
      </c>
      <c r="B3">
        <f t="shared" si="2"/>
        <v>0</v>
      </c>
      <c r="C3">
        <f t="shared" si="3"/>
        <v>0</v>
      </c>
      <c r="D3">
        <f t="shared" si="4"/>
        <v>0</v>
      </c>
      <c r="E3">
        <f t="shared" si="5"/>
        <v>0</v>
      </c>
      <c r="F3">
        <f t="shared" si="6"/>
        <v>0</v>
      </c>
      <c r="G3">
        <f t="shared" si="7"/>
        <v>0</v>
      </c>
      <c r="H3">
        <f t="shared" si="8"/>
        <v>0</v>
      </c>
      <c r="I3">
        <f t="shared" si="9"/>
        <v>1</v>
      </c>
      <c r="J3">
        <f t="shared" si="10"/>
        <v>1</v>
      </c>
      <c r="K3" s="45">
        <f t="shared" si="11"/>
        <v>0</v>
      </c>
      <c r="L3" s="45">
        <f t="shared" si="12"/>
        <v>0</v>
      </c>
      <c r="M3" s="45">
        <f t="shared" si="13"/>
        <v>0</v>
      </c>
      <c r="N3" s="45">
        <f t="shared" si="14"/>
        <v>0</v>
      </c>
      <c r="O3" s="45">
        <f t="shared" si="15"/>
        <v>0</v>
      </c>
      <c r="P3" s="45">
        <f t="shared" si="16"/>
        <v>0</v>
      </c>
      <c r="Q3" s="45">
        <f t="shared" si="17"/>
        <v>0</v>
      </c>
      <c r="R3" s="45">
        <f t="shared" si="18"/>
        <v>0</v>
      </c>
      <c r="S3" s="45">
        <f t="shared" si="19"/>
        <v>0.5</v>
      </c>
      <c r="T3" s="45">
        <f t="shared" si="20"/>
        <v>0.5</v>
      </c>
      <c r="W3" s="45">
        <v>0.1</v>
      </c>
      <c r="X3" s="47">
        <v>0.1</v>
      </c>
      <c r="Y3" s="48">
        <v>10</v>
      </c>
      <c r="AA3" s="51">
        <v>1.05</v>
      </c>
      <c r="AB3" s="51">
        <f t="shared" si="21"/>
        <v>1.05</v>
      </c>
      <c r="AC3" s="51">
        <f t="shared" si="22"/>
        <v>1.4773809523809525</v>
      </c>
      <c r="AE3" s="52">
        <v>2</v>
      </c>
      <c r="AF3">
        <f t="shared" ref="AF3:AU41" si="24">FACT($AE3+AF$1-1)/(FACT(AF$1-1)*FACT($AE3))</f>
        <v>1</v>
      </c>
      <c r="AG3">
        <f t="shared" si="24"/>
        <v>3</v>
      </c>
      <c r="AH3">
        <f t="shared" si="24"/>
        <v>6</v>
      </c>
      <c r="AI3">
        <f t="shared" si="24"/>
        <v>10</v>
      </c>
      <c r="AJ3">
        <f t="shared" si="24"/>
        <v>15</v>
      </c>
      <c r="AK3">
        <f t="shared" si="24"/>
        <v>21</v>
      </c>
      <c r="AL3">
        <f t="shared" si="24"/>
        <v>28</v>
      </c>
      <c r="AM3">
        <f t="shared" si="24"/>
        <v>36</v>
      </c>
      <c r="AN3">
        <f t="shared" si="24"/>
        <v>45</v>
      </c>
      <c r="AO3">
        <f t="shared" si="24"/>
        <v>55</v>
      </c>
      <c r="AP3">
        <f t="shared" si="24"/>
        <v>66</v>
      </c>
      <c r="AQ3">
        <f t="shared" si="24"/>
        <v>78</v>
      </c>
      <c r="AR3">
        <f t="shared" si="24"/>
        <v>91</v>
      </c>
      <c r="AS3">
        <f t="shared" si="24"/>
        <v>105</v>
      </c>
      <c r="AT3">
        <f t="shared" si="24"/>
        <v>120</v>
      </c>
      <c r="AU3">
        <f t="shared" si="24"/>
        <v>136</v>
      </c>
      <c r="AV3">
        <f t="shared" si="23"/>
        <v>153</v>
      </c>
      <c r="AW3">
        <f t="shared" si="23"/>
        <v>171</v>
      </c>
      <c r="AX3">
        <f t="shared" si="23"/>
        <v>190</v>
      </c>
      <c r="AY3">
        <f t="shared" si="23"/>
        <v>210</v>
      </c>
    </row>
    <row r="4" spans="1:53" x14ac:dyDescent="0.3">
      <c r="A4">
        <f t="shared" si="1"/>
        <v>0</v>
      </c>
      <c r="B4">
        <f t="shared" si="2"/>
        <v>0</v>
      </c>
      <c r="C4">
        <f t="shared" si="3"/>
        <v>0</v>
      </c>
      <c r="D4">
        <f t="shared" si="4"/>
        <v>0</v>
      </c>
      <c r="E4">
        <f t="shared" si="5"/>
        <v>0</v>
      </c>
      <c r="F4">
        <f t="shared" si="6"/>
        <v>0</v>
      </c>
      <c r="G4">
        <f t="shared" si="7"/>
        <v>0</v>
      </c>
      <c r="H4">
        <f t="shared" si="8"/>
        <v>1</v>
      </c>
      <c r="I4">
        <f t="shared" si="9"/>
        <v>0</v>
      </c>
      <c r="J4">
        <f t="shared" si="10"/>
        <v>0</v>
      </c>
      <c r="K4" s="45">
        <f t="shared" si="11"/>
        <v>0</v>
      </c>
      <c r="L4" s="45">
        <f t="shared" si="12"/>
        <v>0</v>
      </c>
      <c r="M4" s="45">
        <f t="shared" si="13"/>
        <v>0</v>
      </c>
      <c r="N4" s="45">
        <f t="shared" si="14"/>
        <v>0</v>
      </c>
      <c r="O4" s="45">
        <f t="shared" si="15"/>
        <v>0</v>
      </c>
      <c r="P4" s="45">
        <f t="shared" si="16"/>
        <v>0</v>
      </c>
      <c r="Q4" s="45">
        <f t="shared" si="17"/>
        <v>0</v>
      </c>
      <c r="R4" s="45">
        <f t="shared" si="18"/>
        <v>1</v>
      </c>
      <c r="S4" s="45">
        <f t="shared" si="19"/>
        <v>0</v>
      </c>
      <c r="T4" s="45">
        <f t="shared" si="20"/>
        <v>0</v>
      </c>
      <c r="W4" s="45">
        <v>0.2</v>
      </c>
      <c r="X4" s="47">
        <v>0.2</v>
      </c>
      <c r="Y4" s="48">
        <v>3810</v>
      </c>
      <c r="AA4" s="51">
        <v>1.075</v>
      </c>
      <c r="AB4" s="51">
        <f t="shared" si="21"/>
        <v>1.075</v>
      </c>
      <c r="AC4" s="51">
        <f t="shared" si="22"/>
        <v>1.4677325581395348</v>
      </c>
      <c r="AE4" s="52">
        <v>3</v>
      </c>
      <c r="AF4">
        <f t="shared" si="24"/>
        <v>1</v>
      </c>
      <c r="AG4">
        <f t="shared" si="23"/>
        <v>4</v>
      </c>
      <c r="AH4">
        <f t="shared" si="23"/>
        <v>10</v>
      </c>
      <c r="AI4">
        <f t="shared" si="23"/>
        <v>20</v>
      </c>
      <c r="AJ4">
        <f t="shared" si="23"/>
        <v>35</v>
      </c>
      <c r="AK4">
        <f t="shared" si="23"/>
        <v>56</v>
      </c>
      <c r="AL4">
        <f t="shared" si="23"/>
        <v>84</v>
      </c>
      <c r="AM4">
        <f t="shared" si="23"/>
        <v>120</v>
      </c>
      <c r="AN4">
        <f t="shared" si="23"/>
        <v>165</v>
      </c>
      <c r="AO4">
        <f t="shared" si="23"/>
        <v>220</v>
      </c>
      <c r="AP4">
        <f t="shared" si="23"/>
        <v>286</v>
      </c>
      <c r="AQ4">
        <f t="shared" si="23"/>
        <v>364</v>
      </c>
      <c r="AR4">
        <f t="shared" si="23"/>
        <v>455</v>
      </c>
      <c r="AS4">
        <f t="shared" si="23"/>
        <v>560</v>
      </c>
      <c r="AT4">
        <f t="shared" si="23"/>
        <v>680</v>
      </c>
      <c r="AU4">
        <f t="shared" si="23"/>
        <v>816</v>
      </c>
      <c r="AV4">
        <f t="shared" si="23"/>
        <v>969</v>
      </c>
      <c r="AW4">
        <f t="shared" si="23"/>
        <v>1140</v>
      </c>
      <c r="AX4">
        <f t="shared" si="23"/>
        <v>1330</v>
      </c>
      <c r="AY4">
        <f t="shared" si="23"/>
        <v>1540</v>
      </c>
    </row>
    <row r="5" spans="1:53" x14ac:dyDescent="0.3">
      <c r="A5">
        <f t="shared" si="1"/>
        <v>0</v>
      </c>
      <c r="B5">
        <f t="shared" si="2"/>
        <v>0</v>
      </c>
      <c r="C5">
        <f t="shared" si="3"/>
        <v>0</v>
      </c>
      <c r="D5">
        <f t="shared" si="4"/>
        <v>0</v>
      </c>
      <c r="E5">
        <f t="shared" si="5"/>
        <v>0</v>
      </c>
      <c r="F5">
        <f t="shared" si="6"/>
        <v>0</v>
      </c>
      <c r="G5">
        <f t="shared" si="7"/>
        <v>0</v>
      </c>
      <c r="H5">
        <f t="shared" si="8"/>
        <v>1</v>
      </c>
      <c r="I5">
        <f t="shared" si="9"/>
        <v>0</v>
      </c>
      <c r="J5">
        <f t="shared" si="10"/>
        <v>1</v>
      </c>
      <c r="K5" s="45">
        <f t="shared" si="11"/>
        <v>0</v>
      </c>
      <c r="L5" s="45">
        <f t="shared" si="12"/>
        <v>0</v>
      </c>
      <c r="M5" s="45">
        <f t="shared" si="13"/>
        <v>0</v>
      </c>
      <c r="N5" s="45">
        <f t="shared" si="14"/>
        <v>0</v>
      </c>
      <c r="O5" s="45">
        <f t="shared" si="15"/>
        <v>0</v>
      </c>
      <c r="P5" s="45">
        <f t="shared" si="16"/>
        <v>0</v>
      </c>
      <c r="Q5" s="45">
        <f t="shared" si="17"/>
        <v>0</v>
      </c>
      <c r="R5" s="45">
        <f t="shared" si="18"/>
        <v>0.5</v>
      </c>
      <c r="S5" s="45">
        <f t="shared" si="19"/>
        <v>0</v>
      </c>
      <c r="T5" s="45">
        <f t="shared" si="20"/>
        <v>0.5</v>
      </c>
      <c r="W5" s="45">
        <v>0.3</v>
      </c>
      <c r="X5" s="47">
        <v>0.3</v>
      </c>
      <c r="Y5" s="48">
        <v>840</v>
      </c>
      <c r="AA5" s="51">
        <v>1.1000000000000001</v>
      </c>
      <c r="AB5" s="51">
        <f t="shared" si="21"/>
        <v>1.1000000000000001</v>
      </c>
      <c r="AC5" s="51">
        <f t="shared" si="22"/>
        <v>1.459090909090909</v>
      </c>
      <c r="AE5" s="52">
        <v>4</v>
      </c>
      <c r="AF5">
        <f t="shared" si="24"/>
        <v>1</v>
      </c>
      <c r="AG5">
        <f t="shared" si="23"/>
        <v>5</v>
      </c>
      <c r="AH5">
        <f t="shared" si="23"/>
        <v>15</v>
      </c>
      <c r="AI5">
        <f t="shared" si="23"/>
        <v>35</v>
      </c>
      <c r="AJ5">
        <f t="shared" si="23"/>
        <v>70</v>
      </c>
      <c r="AK5">
        <f t="shared" si="23"/>
        <v>126</v>
      </c>
      <c r="AL5">
        <f t="shared" si="23"/>
        <v>210</v>
      </c>
      <c r="AM5">
        <f t="shared" si="23"/>
        <v>330</v>
      </c>
      <c r="AN5">
        <f t="shared" si="23"/>
        <v>495</v>
      </c>
      <c r="AO5">
        <f t="shared" si="23"/>
        <v>715</v>
      </c>
      <c r="AP5">
        <f t="shared" si="23"/>
        <v>1001</v>
      </c>
      <c r="AQ5">
        <f t="shared" si="23"/>
        <v>1365</v>
      </c>
      <c r="AR5">
        <f t="shared" si="23"/>
        <v>1820</v>
      </c>
      <c r="AS5">
        <f t="shared" si="23"/>
        <v>2380</v>
      </c>
      <c r="AT5">
        <f t="shared" si="23"/>
        <v>3060</v>
      </c>
      <c r="AU5">
        <f t="shared" si="23"/>
        <v>3876</v>
      </c>
      <c r="AV5">
        <f t="shared" si="23"/>
        <v>4845</v>
      </c>
      <c r="AW5">
        <f t="shared" si="23"/>
        <v>5985</v>
      </c>
      <c r="AX5">
        <f t="shared" si="23"/>
        <v>7315</v>
      </c>
      <c r="AY5">
        <f t="shared" si="23"/>
        <v>8855</v>
      </c>
      <c r="BA5">
        <f>COMBIN(50+4-1,4-1)</f>
        <v>23425.999999999996</v>
      </c>
    </row>
    <row r="6" spans="1:53" x14ac:dyDescent="0.3">
      <c r="A6">
        <f t="shared" si="1"/>
        <v>0</v>
      </c>
      <c r="B6">
        <f t="shared" si="2"/>
        <v>0</v>
      </c>
      <c r="C6">
        <f t="shared" si="3"/>
        <v>0</v>
      </c>
      <c r="D6">
        <f t="shared" si="4"/>
        <v>0</v>
      </c>
      <c r="E6">
        <f t="shared" si="5"/>
        <v>0</v>
      </c>
      <c r="F6">
        <f t="shared" si="6"/>
        <v>0</v>
      </c>
      <c r="G6">
        <f t="shared" si="7"/>
        <v>0</v>
      </c>
      <c r="H6">
        <f t="shared" si="8"/>
        <v>1</v>
      </c>
      <c r="I6">
        <f t="shared" si="9"/>
        <v>1</v>
      </c>
      <c r="J6">
        <f t="shared" si="10"/>
        <v>0</v>
      </c>
      <c r="K6" s="45">
        <f t="shared" si="11"/>
        <v>0</v>
      </c>
      <c r="L6" s="45">
        <f t="shared" si="12"/>
        <v>0</v>
      </c>
      <c r="M6" s="45">
        <f t="shared" si="13"/>
        <v>0</v>
      </c>
      <c r="N6" s="45">
        <f t="shared" si="14"/>
        <v>0</v>
      </c>
      <c r="O6" s="45">
        <f t="shared" si="15"/>
        <v>0</v>
      </c>
      <c r="P6" s="45">
        <f t="shared" si="16"/>
        <v>0</v>
      </c>
      <c r="Q6" s="45">
        <f t="shared" si="17"/>
        <v>0</v>
      </c>
      <c r="R6" s="45">
        <f t="shared" si="18"/>
        <v>0.5</v>
      </c>
      <c r="S6" s="45">
        <f t="shared" si="19"/>
        <v>0.5</v>
      </c>
      <c r="T6" s="45">
        <f t="shared" si="20"/>
        <v>0</v>
      </c>
      <c r="W6" s="45">
        <v>0.4</v>
      </c>
      <c r="X6" s="47">
        <v>0.4</v>
      </c>
      <c r="Y6" s="48">
        <v>360</v>
      </c>
      <c r="AA6" s="51">
        <v>1.125</v>
      </c>
      <c r="AB6" s="51">
        <f t="shared" si="21"/>
        <v>1.125</v>
      </c>
      <c r="AC6" s="51">
        <f t="shared" si="22"/>
        <v>1.4513888888888888</v>
      </c>
      <c r="AE6" s="52">
        <v>5</v>
      </c>
      <c r="AF6">
        <f t="shared" si="24"/>
        <v>1</v>
      </c>
      <c r="AG6">
        <f t="shared" si="23"/>
        <v>6</v>
      </c>
      <c r="AH6">
        <f t="shared" si="23"/>
        <v>21</v>
      </c>
      <c r="AI6">
        <f t="shared" si="23"/>
        <v>56</v>
      </c>
      <c r="AJ6">
        <f t="shared" si="23"/>
        <v>126</v>
      </c>
      <c r="AK6">
        <f t="shared" si="23"/>
        <v>252</v>
      </c>
      <c r="AL6">
        <f t="shared" si="23"/>
        <v>462</v>
      </c>
      <c r="AM6">
        <f t="shared" si="23"/>
        <v>792</v>
      </c>
      <c r="AN6">
        <f t="shared" si="23"/>
        <v>1287</v>
      </c>
      <c r="AO6">
        <f t="shared" si="23"/>
        <v>2002</v>
      </c>
      <c r="AP6">
        <f t="shared" si="23"/>
        <v>3003</v>
      </c>
      <c r="AQ6">
        <f t="shared" si="23"/>
        <v>4368</v>
      </c>
      <c r="AR6">
        <f t="shared" si="23"/>
        <v>6188</v>
      </c>
      <c r="AS6">
        <f t="shared" si="23"/>
        <v>8568</v>
      </c>
      <c r="AT6">
        <f t="shared" si="23"/>
        <v>11628</v>
      </c>
      <c r="AU6">
        <f t="shared" si="23"/>
        <v>15504</v>
      </c>
      <c r="AV6">
        <f t="shared" si="23"/>
        <v>20349</v>
      </c>
      <c r="AW6">
        <f t="shared" si="23"/>
        <v>26334</v>
      </c>
      <c r="AX6">
        <f t="shared" si="23"/>
        <v>33649</v>
      </c>
      <c r="AY6">
        <f t="shared" si="23"/>
        <v>42504</v>
      </c>
    </row>
    <row r="7" spans="1:53" x14ac:dyDescent="0.3">
      <c r="A7">
        <f t="shared" si="1"/>
        <v>0</v>
      </c>
      <c r="B7">
        <f t="shared" si="2"/>
        <v>0</v>
      </c>
      <c r="C7">
        <f t="shared" si="3"/>
        <v>0</v>
      </c>
      <c r="D7">
        <f t="shared" si="4"/>
        <v>0</v>
      </c>
      <c r="E7">
        <f t="shared" si="5"/>
        <v>0</v>
      </c>
      <c r="F7">
        <f t="shared" si="6"/>
        <v>0</v>
      </c>
      <c r="G7">
        <f t="shared" si="7"/>
        <v>0</v>
      </c>
      <c r="H7">
        <f t="shared" si="8"/>
        <v>1</v>
      </c>
      <c r="I7">
        <f t="shared" si="9"/>
        <v>1</v>
      </c>
      <c r="J7">
        <f t="shared" si="10"/>
        <v>1</v>
      </c>
      <c r="K7" s="45">
        <f t="shared" si="11"/>
        <v>0</v>
      </c>
      <c r="L7" s="45">
        <f t="shared" si="12"/>
        <v>0</v>
      </c>
      <c r="M7" s="45">
        <f t="shared" si="13"/>
        <v>0</v>
      </c>
      <c r="N7" s="45">
        <f t="shared" si="14"/>
        <v>0</v>
      </c>
      <c r="O7" s="45">
        <f t="shared" si="15"/>
        <v>0</v>
      </c>
      <c r="P7" s="45">
        <f t="shared" si="16"/>
        <v>0</v>
      </c>
      <c r="Q7" s="45">
        <f t="shared" si="17"/>
        <v>0</v>
      </c>
      <c r="R7" s="45">
        <f t="shared" si="18"/>
        <v>0.33333333333333331</v>
      </c>
      <c r="S7" s="45">
        <f t="shared" si="19"/>
        <v>0.33333333333333331</v>
      </c>
      <c r="T7" s="45">
        <f t="shared" si="20"/>
        <v>0.33333333333333331</v>
      </c>
      <c r="W7" s="45">
        <v>0.5</v>
      </c>
      <c r="X7" s="47">
        <v>0.5</v>
      </c>
      <c r="Y7" s="48">
        <v>90</v>
      </c>
      <c r="AA7" s="51">
        <v>1.1499999999999999</v>
      </c>
      <c r="AB7" s="51">
        <f t="shared" si="21"/>
        <v>1.1499999999999999</v>
      </c>
      <c r="AC7" s="51">
        <f t="shared" si="22"/>
        <v>1.4445652173913044</v>
      </c>
      <c r="AE7" s="52">
        <v>6</v>
      </c>
      <c r="AF7">
        <f t="shared" si="24"/>
        <v>1</v>
      </c>
      <c r="AG7">
        <f t="shared" si="23"/>
        <v>7</v>
      </c>
      <c r="AH7">
        <f t="shared" si="23"/>
        <v>28</v>
      </c>
      <c r="AI7">
        <f t="shared" si="23"/>
        <v>84</v>
      </c>
      <c r="AJ7">
        <f t="shared" si="23"/>
        <v>210</v>
      </c>
      <c r="AK7">
        <f t="shared" si="23"/>
        <v>462</v>
      </c>
      <c r="AL7">
        <f t="shared" si="23"/>
        <v>924</v>
      </c>
      <c r="AM7">
        <f t="shared" si="23"/>
        <v>1716</v>
      </c>
      <c r="AN7">
        <f t="shared" si="23"/>
        <v>3003</v>
      </c>
      <c r="AO7">
        <f t="shared" si="23"/>
        <v>5005</v>
      </c>
      <c r="AP7">
        <f t="shared" si="23"/>
        <v>8008</v>
      </c>
      <c r="AQ7">
        <f t="shared" si="23"/>
        <v>12376</v>
      </c>
      <c r="AR7">
        <f t="shared" si="23"/>
        <v>18564</v>
      </c>
      <c r="AS7">
        <f t="shared" si="23"/>
        <v>27132</v>
      </c>
      <c r="AT7">
        <f t="shared" si="23"/>
        <v>38760</v>
      </c>
      <c r="AU7">
        <f t="shared" si="23"/>
        <v>54264</v>
      </c>
      <c r="AV7">
        <f t="shared" si="23"/>
        <v>74613</v>
      </c>
      <c r="AW7">
        <f t="shared" si="23"/>
        <v>100947</v>
      </c>
      <c r="AX7">
        <f t="shared" si="23"/>
        <v>134596</v>
      </c>
      <c r="AY7">
        <f t="shared" si="23"/>
        <v>177099.99999999997</v>
      </c>
    </row>
    <row r="8" spans="1:53" x14ac:dyDescent="0.3">
      <c r="A8">
        <f t="shared" si="1"/>
        <v>0</v>
      </c>
      <c r="B8">
        <f t="shared" si="2"/>
        <v>0</v>
      </c>
      <c r="C8">
        <f t="shared" si="3"/>
        <v>0</v>
      </c>
      <c r="D8">
        <f t="shared" si="4"/>
        <v>0</v>
      </c>
      <c r="E8">
        <f t="shared" si="5"/>
        <v>0</v>
      </c>
      <c r="F8">
        <f t="shared" si="6"/>
        <v>0</v>
      </c>
      <c r="G8">
        <f t="shared" si="7"/>
        <v>1</v>
      </c>
      <c r="H8">
        <f t="shared" si="8"/>
        <v>0</v>
      </c>
      <c r="I8">
        <f t="shared" si="9"/>
        <v>0</v>
      </c>
      <c r="J8">
        <f t="shared" si="10"/>
        <v>0</v>
      </c>
      <c r="K8" s="45">
        <f t="shared" si="11"/>
        <v>0</v>
      </c>
      <c r="L8" s="45">
        <f t="shared" si="12"/>
        <v>0</v>
      </c>
      <c r="M8" s="45">
        <f t="shared" si="13"/>
        <v>0</v>
      </c>
      <c r="N8" s="45">
        <f t="shared" si="14"/>
        <v>0</v>
      </c>
      <c r="O8" s="45">
        <f t="shared" si="15"/>
        <v>0</v>
      </c>
      <c r="P8" s="45">
        <f t="shared" si="16"/>
        <v>0</v>
      </c>
      <c r="Q8" s="45">
        <f t="shared" si="17"/>
        <v>1</v>
      </c>
      <c r="R8" s="45">
        <f t="shared" si="18"/>
        <v>0</v>
      </c>
      <c r="S8" s="45">
        <f t="shared" si="19"/>
        <v>0</v>
      </c>
      <c r="T8" s="45">
        <f t="shared" si="20"/>
        <v>0</v>
      </c>
      <c r="W8" s="45">
        <v>0.6</v>
      </c>
      <c r="X8" s="47">
        <v>0.6</v>
      </c>
      <c r="Y8" s="48">
        <v>0</v>
      </c>
      <c r="AA8" s="51">
        <v>1.175</v>
      </c>
      <c r="AB8" s="51">
        <f t="shared" si="21"/>
        <v>1.175</v>
      </c>
      <c r="AC8" s="51">
        <f t="shared" si="22"/>
        <v>1.4385638297872341</v>
      </c>
      <c r="AE8" s="52">
        <v>7</v>
      </c>
      <c r="AF8">
        <f t="shared" si="24"/>
        <v>1</v>
      </c>
      <c r="AG8">
        <f t="shared" si="23"/>
        <v>8</v>
      </c>
      <c r="AH8">
        <f t="shared" si="23"/>
        <v>36</v>
      </c>
      <c r="AI8">
        <f t="shared" si="23"/>
        <v>120</v>
      </c>
      <c r="AJ8">
        <f t="shared" si="23"/>
        <v>330</v>
      </c>
      <c r="AK8">
        <f t="shared" si="23"/>
        <v>792</v>
      </c>
      <c r="AL8">
        <f t="shared" si="23"/>
        <v>1716</v>
      </c>
      <c r="AM8">
        <f t="shared" si="23"/>
        <v>3432</v>
      </c>
      <c r="AN8">
        <f t="shared" si="23"/>
        <v>6435</v>
      </c>
      <c r="AO8">
        <f t="shared" si="23"/>
        <v>11440</v>
      </c>
      <c r="AP8">
        <f t="shared" si="23"/>
        <v>19448</v>
      </c>
      <c r="AQ8">
        <f t="shared" si="23"/>
        <v>31824</v>
      </c>
      <c r="AR8">
        <f t="shared" si="23"/>
        <v>50388</v>
      </c>
      <c r="AS8">
        <f t="shared" si="23"/>
        <v>77520</v>
      </c>
      <c r="AT8">
        <f t="shared" si="23"/>
        <v>116280</v>
      </c>
      <c r="AU8">
        <f t="shared" si="23"/>
        <v>170544</v>
      </c>
      <c r="AV8">
        <f t="shared" si="23"/>
        <v>245157.00000000003</v>
      </c>
      <c r="AW8">
        <f t="shared" si="23"/>
        <v>346104</v>
      </c>
      <c r="AX8">
        <f t="shared" si="23"/>
        <v>480699.99999999994</v>
      </c>
      <c r="AY8">
        <f t="shared" si="23"/>
        <v>657800.00000000012</v>
      </c>
    </row>
    <row r="9" spans="1:53" x14ac:dyDescent="0.3">
      <c r="A9">
        <f t="shared" si="1"/>
        <v>0</v>
      </c>
      <c r="B9">
        <f t="shared" si="2"/>
        <v>0</v>
      </c>
      <c r="C9">
        <f t="shared" si="3"/>
        <v>0</v>
      </c>
      <c r="D9">
        <f t="shared" si="4"/>
        <v>0</v>
      </c>
      <c r="E9">
        <f t="shared" si="5"/>
        <v>0</v>
      </c>
      <c r="F9">
        <f t="shared" si="6"/>
        <v>0</v>
      </c>
      <c r="G9">
        <f t="shared" si="7"/>
        <v>1</v>
      </c>
      <c r="H9">
        <f t="shared" si="8"/>
        <v>0</v>
      </c>
      <c r="I9">
        <f t="shared" si="9"/>
        <v>0</v>
      </c>
      <c r="J9">
        <f t="shared" si="10"/>
        <v>1</v>
      </c>
      <c r="K9" s="45">
        <f t="shared" si="11"/>
        <v>0</v>
      </c>
      <c r="L9" s="45">
        <f t="shared" si="12"/>
        <v>0</v>
      </c>
      <c r="M9" s="45">
        <f t="shared" si="13"/>
        <v>0</v>
      </c>
      <c r="N9" s="45">
        <f t="shared" si="14"/>
        <v>0</v>
      </c>
      <c r="O9" s="45">
        <f t="shared" si="15"/>
        <v>0</v>
      </c>
      <c r="P9" s="45">
        <f t="shared" si="16"/>
        <v>0</v>
      </c>
      <c r="Q9" s="45">
        <f t="shared" si="17"/>
        <v>0.5</v>
      </c>
      <c r="R9" s="45">
        <f t="shared" si="18"/>
        <v>0</v>
      </c>
      <c r="S9" s="45">
        <f t="shared" si="19"/>
        <v>0</v>
      </c>
      <c r="T9" s="45">
        <f t="shared" si="20"/>
        <v>0.5</v>
      </c>
      <c r="W9" s="45">
        <v>0.7</v>
      </c>
      <c r="X9" s="47">
        <v>0.7</v>
      </c>
      <c r="Y9" s="48">
        <v>0</v>
      </c>
      <c r="AA9" s="51">
        <v>1.2</v>
      </c>
      <c r="AB9" s="51">
        <f t="shared" si="21"/>
        <v>1.2</v>
      </c>
      <c r="AC9" s="51">
        <f t="shared" si="22"/>
        <v>1.4333333333333333</v>
      </c>
      <c r="AE9" s="52">
        <v>8</v>
      </c>
      <c r="AF9">
        <f t="shared" si="24"/>
        <v>1</v>
      </c>
      <c r="AG9">
        <f t="shared" si="23"/>
        <v>9</v>
      </c>
      <c r="AH9">
        <f t="shared" si="23"/>
        <v>45</v>
      </c>
      <c r="AI9">
        <f t="shared" si="23"/>
        <v>165</v>
      </c>
      <c r="AJ9">
        <f t="shared" si="23"/>
        <v>495</v>
      </c>
      <c r="AK9">
        <f t="shared" si="23"/>
        <v>1287</v>
      </c>
      <c r="AL9">
        <f t="shared" si="23"/>
        <v>3003</v>
      </c>
      <c r="AM9">
        <f t="shared" si="23"/>
        <v>6435</v>
      </c>
      <c r="AN9">
        <f t="shared" si="23"/>
        <v>12870</v>
      </c>
      <c r="AO9">
        <f t="shared" si="23"/>
        <v>24310</v>
      </c>
      <c r="AP9">
        <f t="shared" si="23"/>
        <v>43758</v>
      </c>
      <c r="AQ9">
        <f t="shared" si="23"/>
        <v>75582</v>
      </c>
      <c r="AR9">
        <f t="shared" si="23"/>
        <v>125970</v>
      </c>
      <c r="AS9">
        <f t="shared" si="23"/>
        <v>203490</v>
      </c>
      <c r="AT9">
        <f t="shared" si="23"/>
        <v>319770</v>
      </c>
      <c r="AU9">
        <f t="shared" si="23"/>
        <v>490314.00000000006</v>
      </c>
      <c r="AV9">
        <f t="shared" si="23"/>
        <v>735471</v>
      </c>
      <c r="AW9">
        <f t="shared" si="23"/>
        <v>1081574.9999999998</v>
      </c>
      <c r="AX9">
        <f t="shared" si="23"/>
        <v>1562275.0000000002</v>
      </c>
      <c r="AY9">
        <f t="shared" si="23"/>
        <v>2220075</v>
      </c>
    </row>
    <row r="10" spans="1:53" x14ac:dyDescent="0.3">
      <c r="A10">
        <f t="shared" si="1"/>
        <v>0</v>
      </c>
      <c r="B10">
        <f t="shared" si="2"/>
        <v>0</v>
      </c>
      <c r="C10">
        <f t="shared" si="3"/>
        <v>0</v>
      </c>
      <c r="D10">
        <f t="shared" si="4"/>
        <v>0</v>
      </c>
      <c r="E10">
        <f t="shared" si="5"/>
        <v>0</v>
      </c>
      <c r="F10">
        <f t="shared" si="6"/>
        <v>0</v>
      </c>
      <c r="G10">
        <f t="shared" si="7"/>
        <v>1</v>
      </c>
      <c r="H10">
        <f t="shared" si="8"/>
        <v>0</v>
      </c>
      <c r="I10">
        <f t="shared" si="9"/>
        <v>1</v>
      </c>
      <c r="J10">
        <f t="shared" si="10"/>
        <v>0</v>
      </c>
      <c r="K10" s="45">
        <f t="shared" si="11"/>
        <v>0</v>
      </c>
      <c r="L10" s="45">
        <f t="shared" si="12"/>
        <v>0</v>
      </c>
      <c r="M10" s="45">
        <f t="shared" si="13"/>
        <v>0</v>
      </c>
      <c r="N10" s="45">
        <f t="shared" si="14"/>
        <v>0</v>
      </c>
      <c r="O10" s="45">
        <f t="shared" si="15"/>
        <v>0</v>
      </c>
      <c r="P10" s="45">
        <f t="shared" si="16"/>
        <v>0</v>
      </c>
      <c r="Q10" s="45">
        <f t="shared" si="17"/>
        <v>0.5</v>
      </c>
      <c r="R10" s="45">
        <f t="shared" si="18"/>
        <v>0</v>
      </c>
      <c r="S10" s="45">
        <f t="shared" si="19"/>
        <v>0.5</v>
      </c>
      <c r="T10" s="45">
        <f t="shared" si="20"/>
        <v>0</v>
      </c>
      <c r="W10" s="45">
        <v>0.8</v>
      </c>
      <c r="X10" s="47">
        <v>0.8</v>
      </c>
      <c r="Y10" s="48">
        <v>0</v>
      </c>
      <c r="AA10" s="51">
        <v>1.2250000000000001</v>
      </c>
      <c r="AB10" s="51">
        <f t="shared" si="21"/>
        <v>1.2250000000000001</v>
      </c>
      <c r="AC10" s="51">
        <f t="shared" si="22"/>
        <v>1.4288265306122447</v>
      </c>
      <c r="AE10" s="52">
        <v>9</v>
      </c>
      <c r="AF10">
        <f t="shared" si="24"/>
        <v>1</v>
      </c>
      <c r="AG10">
        <f t="shared" si="23"/>
        <v>10</v>
      </c>
      <c r="AH10">
        <f t="shared" si="23"/>
        <v>55</v>
      </c>
      <c r="AI10">
        <f t="shared" si="23"/>
        <v>220</v>
      </c>
      <c r="AJ10">
        <f t="shared" si="23"/>
        <v>715</v>
      </c>
      <c r="AK10">
        <f t="shared" si="23"/>
        <v>2002</v>
      </c>
      <c r="AL10">
        <f t="shared" si="23"/>
        <v>5005</v>
      </c>
      <c r="AM10">
        <f t="shared" si="23"/>
        <v>11440</v>
      </c>
      <c r="AN10">
        <f t="shared" si="23"/>
        <v>24310</v>
      </c>
      <c r="AO10">
        <f t="shared" si="23"/>
        <v>48620</v>
      </c>
      <c r="AP10">
        <f t="shared" si="23"/>
        <v>92378</v>
      </c>
      <c r="AQ10">
        <f t="shared" si="23"/>
        <v>167960</v>
      </c>
      <c r="AR10">
        <f t="shared" si="23"/>
        <v>293930</v>
      </c>
      <c r="AS10">
        <f t="shared" si="23"/>
        <v>497420</v>
      </c>
      <c r="AT10">
        <f t="shared" si="23"/>
        <v>817190</v>
      </c>
      <c r="AU10">
        <f t="shared" si="23"/>
        <v>1307504</v>
      </c>
      <c r="AV10">
        <f t="shared" si="23"/>
        <v>2042974.9999999998</v>
      </c>
      <c r="AW10">
        <f t="shared" si="23"/>
        <v>3124550.0000000005</v>
      </c>
      <c r="AX10">
        <f t="shared" si="23"/>
        <v>4686825</v>
      </c>
      <c r="AY10">
        <f t="shared" si="23"/>
        <v>6906899.9999999991</v>
      </c>
    </row>
    <row r="11" spans="1:53" x14ac:dyDescent="0.3">
      <c r="A11">
        <f t="shared" si="1"/>
        <v>0</v>
      </c>
      <c r="B11">
        <f t="shared" si="2"/>
        <v>0</v>
      </c>
      <c r="C11">
        <f t="shared" si="3"/>
        <v>0</v>
      </c>
      <c r="D11">
        <f t="shared" si="4"/>
        <v>0</v>
      </c>
      <c r="E11">
        <f t="shared" si="5"/>
        <v>0</v>
      </c>
      <c r="F11">
        <f t="shared" si="6"/>
        <v>0</v>
      </c>
      <c r="G11">
        <f t="shared" si="7"/>
        <v>1</v>
      </c>
      <c r="H11">
        <f t="shared" si="8"/>
        <v>0</v>
      </c>
      <c r="I11">
        <f t="shared" si="9"/>
        <v>1</v>
      </c>
      <c r="J11">
        <f t="shared" si="10"/>
        <v>1</v>
      </c>
      <c r="K11" s="45">
        <f t="shared" si="11"/>
        <v>0</v>
      </c>
      <c r="L11" s="45">
        <f t="shared" si="12"/>
        <v>0</v>
      </c>
      <c r="M11" s="45">
        <f t="shared" si="13"/>
        <v>0</v>
      </c>
      <c r="N11" s="45">
        <f t="shared" si="14"/>
        <v>0</v>
      </c>
      <c r="O11" s="45">
        <f t="shared" si="15"/>
        <v>0</v>
      </c>
      <c r="P11" s="45">
        <f t="shared" si="16"/>
        <v>0</v>
      </c>
      <c r="Q11" s="45">
        <f t="shared" si="17"/>
        <v>0.33333333333333331</v>
      </c>
      <c r="R11" s="45">
        <f t="shared" si="18"/>
        <v>0</v>
      </c>
      <c r="S11" s="45">
        <f t="shared" si="19"/>
        <v>0.33333333333333331</v>
      </c>
      <c r="T11" s="45">
        <f t="shared" si="20"/>
        <v>0.33333333333333331</v>
      </c>
      <c r="W11" s="45">
        <v>0.9</v>
      </c>
      <c r="X11" s="47">
        <v>0.9</v>
      </c>
      <c r="Y11" s="48">
        <v>0</v>
      </c>
      <c r="AA11" s="51">
        <v>1.25</v>
      </c>
      <c r="AB11" s="51">
        <f t="shared" si="21"/>
        <v>1.25</v>
      </c>
      <c r="AC11" s="51">
        <f t="shared" si="22"/>
        <v>1.425</v>
      </c>
      <c r="AE11" s="52">
        <v>10</v>
      </c>
      <c r="AF11">
        <f t="shared" si="24"/>
        <v>1</v>
      </c>
      <c r="AG11">
        <f t="shared" si="23"/>
        <v>11</v>
      </c>
      <c r="AH11">
        <f t="shared" si="23"/>
        <v>66</v>
      </c>
      <c r="AI11">
        <f t="shared" si="23"/>
        <v>286</v>
      </c>
      <c r="AJ11">
        <f t="shared" si="23"/>
        <v>1001</v>
      </c>
      <c r="AK11">
        <f t="shared" si="23"/>
        <v>3003</v>
      </c>
      <c r="AL11">
        <f t="shared" si="23"/>
        <v>8008</v>
      </c>
      <c r="AM11">
        <f t="shared" si="23"/>
        <v>19448</v>
      </c>
      <c r="AN11">
        <f t="shared" si="23"/>
        <v>43758</v>
      </c>
      <c r="AO11">
        <f t="shared" si="23"/>
        <v>92378</v>
      </c>
      <c r="AP11">
        <f t="shared" si="23"/>
        <v>184756</v>
      </c>
      <c r="AQ11">
        <f t="shared" si="23"/>
        <v>352716</v>
      </c>
      <c r="AR11">
        <f t="shared" si="23"/>
        <v>646646</v>
      </c>
      <c r="AS11">
        <f t="shared" si="23"/>
        <v>1144066</v>
      </c>
      <c r="AT11">
        <f t="shared" si="23"/>
        <v>1961256</v>
      </c>
      <c r="AU11">
        <f t="shared" si="23"/>
        <v>3268759.9999999995</v>
      </c>
      <c r="AV11">
        <f t="shared" si="23"/>
        <v>5311735.0000000009</v>
      </c>
      <c r="AW11">
        <f t="shared" si="23"/>
        <v>8436285</v>
      </c>
      <c r="AX11">
        <f t="shared" si="23"/>
        <v>13123109.999999998</v>
      </c>
      <c r="AY11">
        <f t="shared" si="23"/>
        <v>20030009.999999996</v>
      </c>
    </row>
    <row r="12" spans="1:53" x14ac:dyDescent="0.3">
      <c r="A12">
        <f t="shared" si="1"/>
        <v>0</v>
      </c>
      <c r="B12">
        <f t="shared" si="2"/>
        <v>0</v>
      </c>
      <c r="C12">
        <f t="shared" si="3"/>
        <v>0</v>
      </c>
      <c r="D12">
        <f t="shared" si="4"/>
        <v>0</v>
      </c>
      <c r="E12">
        <f t="shared" si="5"/>
        <v>0</v>
      </c>
      <c r="F12">
        <f t="shared" si="6"/>
        <v>0</v>
      </c>
      <c r="G12">
        <f t="shared" si="7"/>
        <v>1</v>
      </c>
      <c r="H12">
        <f t="shared" si="8"/>
        <v>1</v>
      </c>
      <c r="I12">
        <f t="shared" si="9"/>
        <v>0</v>
      </c>
      <c r="J12">
        <f t="shared" si="10"/>
        <v>0</v>
      </c>
      <c r="K12" s="45">
        <f t="shared" si="11"/>
        <v>0</v>
      </c>
      <c r="L12" s="45">
        <f t="shared" si="12"/>
        <v>0</v>
      </c>
      <c r="M12" s="45">
        <f t="shared" si="13"/>
        <v>0</v>
      </c>
      <c r="N12" s="45">
        <f t="shared" si="14"/>
        <v>0</v>
      </c>
      <c r="O12" s="45">
        <f t="shared" si="15"/>
        <v>0</v>
      </c>
      <c r="P12" s="45">
        <f t="shared" si="16"/>
        <v>0</v>
      </c>
      <c r="Q12" s="45">
        <f t="shared" si="17"/>
        <v>0.5</v>
      </c>
      <c r="R12" s="45">
        <f t="shared" si="18"/>
        <v>0.5</v>
      </c>
      <c r="S12" s="45">
        <f t="shared" si="19"/>
        <v>0</v>
      </c>
      <c r="T12" s="45">
        <f t="shared" si="20"/>
        <v>0</v>
      </c>
      <c r="W12" s="45">
        <v>1</v>
      </c>
      <c r="X12" s="47">
        <v>1</v>
      </c>
      <c r="Y12" s="48">
        <v>10</v>
      </c>
      <c r="AA12" s="51">
        <v>1.2749999999999999</v>
      </c>
      <c r="AB12" s="51">
        <f t="shared" si="21"/>
        <v>1.2749999999999999</v>
      </c>
      <c r="AC12" s="51">
        <f t="shared" si="22"/>
        <v>1.4218137254901961</v>
      </c>
      <c r="AE12" s="52">
        <v>11</v>
      </c>
      <c r="AF12">
        <f t="shared" si="24"/>
        <v>1</v>
      </c>
      <c r="AG12">
        <f t="shared" si="23"/>
        <v>12</v>
      </c>
      <c r="AH12">
        <f t="shared" si="23"/>
        <v>78</v>
      </c>
      <c r="AI12">
        <f t="shared" si="23"/>
        <v>364</v>
      </c>
      <c r="AJ12">
        <f t="shared" si="23"/>
        <v>1365</v>
      </c>
      <c r="AK12">
        <f t="shared" si="23"/>
        <v>4368</v>
      </c>
      <c r="AL12">
        <f t="shared" si="23"/>
        <v>12376</v>
      </c>
      <c r="AM12">
        <f t="shared" si="23"/>
        <v>31824</v>
      </c>
      <c r="AN12">
        <f t="shared" si="23"/>
        <v>75582</v>
      </c>
      <c r="AO12">
        <f t="shared" si="23"/>
        <v>167960</v>
      </c>
      <c r="AP12">
        <f t="shared" si="23"/>
        <v>352716</v>
      </c>
      <c r="AQ12">
        <f t="shared" si="23"/>
        <v>705432</v>
      </c>
      <c r="AR12">
        <f t="shared" si="23"/>
        <v>1352078</v>
      </c>
      <c r="AS12">
        <f t="shared" si="23"/>
        <v>2496144</v>
      </c>
      <c r="AT12">
        <f t="shared" si="23"/>
        <v>4457399.9999999991</v>
      </c>
      <c r="AU12">
        <f t="shared" si="23"/>
        <v>7726160.0000000019</v>
      </c>
      <c r="AV12">
        <f t="shared" si="23"/>
        <v>13037895</v>
      </c>
      <c r="AW12">
        <f t="shared" si="23"/>
        <v>21474179.999999996</v>
      </c>
      <c r="AX12">
        <f t="shared" si="23"/>
        <v>34597289.999999993</v>
      </c>
      <c r="AY12">
        <f t="shared" si="23"/>
        <v>54627300.000000007</v>
      </c>
    </row>
    <row r="13" spans="1:53" ht="15" thickBot="1" x14ac:dyDescent="0.35">
      <c r="A13">
        <f t="shared" si="1"/>
        <v>0</v>
      </c>
      <c r="B13">
        <f t="shared" si="2"/>
        <v>0</v>
      </c>
      <c r="C13">
        <f t="shared" si="3"/>
        <v>0</v>
      </c>
      <c r="D13">
        <f t="shared" si="4"/>
        <v>0</v>
      </c>
      <c r="E13">
        <f t="shared" si="5"/>
        <v>0</v>
      </c>
      <c r="F13">
        <f t="shared" si="6"/>
        <v>0</v>
      </c>
      <c r="G13">
        <f t="shared" si="7"/>
        <v>1</v>
      </c>
      <c r="H13">
        <f t="shared" si="8"/>
        <v>1</v>
      </c>
      <c r="I13">
        <f t="shared" si="9"/>
        <v>0</v>
      </c>
      <c r="J13">
        <f t="shared" si="10"/>
        <v>1</v>
      </c>
      <c r="K13" s="45">
        <f t="shared" si="11"/>
        <v>0</v>
      </c>
      <c r="L13" s="45">
        <f t="shared" si="12"/>
        <v>0</v>
      </c>
      <c r="M13" s="45">
        <f t="shared" si="13"/>
        <v>0</v>
      </c>
      <c r="N13" s="45">
        <f t="shared" si="14"/>
        <v>0</v>
      </c>
      <c r="O13" s="45">
        <f t="shared" si="15"/>
        <v>0</v>
      </c>
      <c r="P13" s="45">
        <f t="shared" si="16"/>
        <v>0</v>
      </c>
      <c r="Q13" s="45">
        <f t="shared" si="17"/>
        <v>0.33333333333333331</v>
      </c>
      <c r="R13" s="45">
        <f t="shared" si="18"/>
        <v>0.33333333333333331</v>
      </c>
      <c r="S13" s="45">
        <f t="shared" si="19"/>
        <v>0</v>
      </c>
      <c r="T13" s="45">
        <f t="shared" si="20"/>
        <v>0.33333333333333331</v>
      </c>
      <c r="X13" s="49" t="s">
        <v>59</v>
      </c>
      <c r="Y13" s="49">
        <v>0</v>
      </c>
      <c r="AA13" s="51">
        <v>1.3</v>
      </c>
      <c r="AB13" s="51">
        <f t="shared" si="21"/>
        <v>1.3</v>
      </c>
      <c r="AC13" s="51">
        <f t="shared" si="22"/>
        <v>1.4192307692307691</v>
      </c>
      <c r="AE13" s="52">
        <v>12</v>
      </c>
      <c r="AF13">
        <f t="shared" si="24"/>
        <v>1</v>
      </c>
      <c r="AG13">
        <f t="shared" si="23"/>
        <v>13</v>
      </c>
      <c r="AH13">
        <f t="shared" si="23"/>
        <v>91</v>
      </c>
      <c r="AI13">
        <f t="shared" si="23"/>
        <v>455</v>
      </c>
      <c r="AJ13">
        <f t="shared" si="23"/>
        <v>1820</v>
      </c>
      <c r="AK13">
        <f t="shared" si="23"/>
        <v>6188</v>
      </c>
      <c r="AL13">
        <f t="shared" si="23"/>
        <v>18564</v>
      </c>
      <c r="AM13">
        <f t="shared" si="23"/>
        <v>50388</v>
      </c>
      <c r="AN13">
        <f t="shared" si="23"/>
        <v>125970</v>
      </c>
      <c r="AO13">
        <f t="shared" si="23"/>
        <v>293930</v>
      </c>
      <c r="AP13">
        <f t="shared" si="23"/>
        <v>646646</v>
      </c>
      <c r="AQ13">
        <f t="shared" si="23"/>
        <v>1352078</v>
      </c>
      <c r="AR13">
        <f t="shared" si="23"/>
        <v>2704156</v>
      </c>
      <c r="AS13">
        <f t="shared" si="23"/>
        <v>5200299.9999999991</v>
      </c>
      <c r="AT13">
        <f t="shared" si="23"/>
        <v>9657700.0000000019</v>
      </c>
      <c r="AU13">
        <f t="shared" si="23"/>
        <v>17383860</v>
      </c>
      <c r="AV13">
        <f t="shared" si="23"/>
        <v>30421754.999999993</v>
      </c>
      <c r="AW13">
        <f t="shared" si="23"/>
        <v>51895934.999999993</v>
      </c>
      <c r="AX13">
        <f t="shared" si="23"/>
        <v>86493225.000000015</v>
      </c>
      <c r="AY13">
        <f t="shared" si="23"/>
        <v>141120525.00000003</v>
      </c>
    </row>
    <row r="14" spans="1:53" x14ac:dyDescent="0.3">
      <c r="A14">
        <f t="shared" si="1"/>
        <v>0</v>
      </c>
      <c r="B14">
        <f t="shared" si="2"/>
        <v>0</v>
      </c>
      <c r="C14">
        <f t="shared" si="3"/>
        <v>0</v>
      </c>
      <c r="D14">
        <f t="shared" si="4"/>
        <v>0</v>
      </c>
      <c r="E14">
        <f t="shared" si="5"/>
        <v>0</v>
      </c>
      <c r="F14">
        <f t="shared" si="6"/>
        <v>0</v>
      </c>
      <c r="G14">
        <f t="shared" si="7"/>
        <v>1</v>
      </c>
      <c r="H14">
        <f t="shared" si="8"/>
        <v>1</v>
      </c>
      <c r="I14">
        <f t="shared" si="9"/>
        <v>1</v>
      </c>
      <c r="J14">
        <f t="shared" si="10"/>
        <v>0</v>
      </c>
      <c r="K14" s="45">
        <f t="shared" si="11"/>
        <v>0</v>
      </c>
      <c r="L14" s="45">
        <f t="shared" si="12"/>
        <v>0</v>
      </c>
      <c r="M14" s="45">
        <f t="shared" si="13"/>
        <v>0</v>
      </c>
      <c r="N14" s="45">
        <f t="shared" si="14"/>
        <v>0</v>
      </c>
      <c r="O14" s="45">
        <f t="shared" si="15"/>
        <v>0</v>
      </c>
      <c r="P14" s="45">
        <f t="shared" si="16"/>
        <v>0</v>
      </c>
      <c r="Q14" s="45">
        <f t="shared" si="17"/>
        <v>0.33333333333333331</v>
      </c>
      <c r="R14" s="45">
        <f t="shared" si="18"/>
        <v>0.33333333333333331</v>
      </c>
      <c r="S14" s="45">
        <f t="shared" si="19"/>
        <v>0.33333333333333331</v>
      </c>
      <c r="T14" s="45">
        <f t="shared" si="20"/>
        <v>0</v>
      </c>
      <c r="AA14" s="51">
        <v>1.325</v>
      </c>
      <c r="AB14" s="51">
        <f t="shared" si="21"/>
        <v>1.325</v>
      </c>
      <c r="AC14" s="51">
        <f t="shared" si="22"/>
        <v>1.4172169811320754</v>
      </c>
      <c r="AE14" s="52">
        <v>13</v>
      </c>
      <c r="AF14">
        <f t="shared" si="24"/>
        <v>1</v>
      </c>
      <c r="AG14">
        <f t="shared" si="23"/>
        <v>14</v>
      </c>
      <c r="AH14">
        <f t="shared" si="23"/>
        <v>105</v>
      </c>
      <c r="AI14">
        <f t="shared" si="23"/>
        <v>560</v>
      </c>
      <c r="AJ14">
        <f t="shared" si="23"/>
        <v>2380</v>
      </c>
      <c r="AK14">
        <f t="shared" si="23"/>
        <v>8568</v>
      </c>
      <c r="AL14">
        <f t="shared" si="23"/>
        <v>27132</v>
      </c>
      <c r="AM14">
        <f t="shared" si="23"/>
        <v>77520</v>
      </c>
      <c r="AN14">
        <f t="shared" si="23"/>
        <v>203490</v>
      </c>
      <c r="AO14">
        <f t="shared" si="23"/>
        <v>497420</v>
      </c>
      <c r="AP14">
        <f t="shared" si="23"/>
        <v>1144066</v>
      </c>
      <c r="AQ14">
        <f t="shared" si="23"/>
        <v>2496144</v>
      </c>
      <c r="AR14">
        <f t="shared" si="23"/>
        <v>5200299.9999999991</v>
      </c>
      <c r="AS14">
        <f t="shared" si="23"/>
        <v>10400600.000000002</v>
      </c>
      <c r="AT14">
        <f t="shared" si="23"/>
        <v>20058300</v>
      </c>
      <c r="AU14">
        <f t="shared" si="23"/>
        <v>37442159.999999993</v>
      </c>
      <c r="AV14">
        <f t="shared" si="23"/>
        <v>67863914.999999985</v>
      </c>
      <c r="AW14">
        <f t="shared" si="23"/>
        <v>119759850.00000003</v>
      </c>
      <c r="AX14">
        <f t="shared" si="23"/>
        <v>206253075</v>
      </c>
      <c r="AY14">
        <f t="shared" si="23"/>
        <v>347373600</v>
      </c>
    </row>
    <row r="15" spans="1:53" x14ac:dyDescent="0.3">
      <c r="A15">
        <f t="shared" si="1"/>
        <v>0</v>
      </c>
      <c r="B15">
        <f t="shared" si="2"/>
        <v>0</v>
      </c>
      <c r="C15">
        <f t="shared" si="3"/>
        <v>0</v>
      </c>
      <c r="D15">
        <f t="shared" si="4"/>
        <v>0</v>
      </c>
      <c r="E15">
        <f t="shared" si="5"/>
        <v>0</v>
      </c>
      <c r="F15">
        <f t="shared" si="6"/>
        <v>0</v>
      </c>
      <c r="G15">
        <f t="shared" si="7"/>
        <v>1</v>
      </c>
      <c r="H15">
        <f t="shared" si="8"/>
        <v>1</v>
      </c>
      <c r="I15">
        <f t="shared" si="9"/>
        <v>1</v>
      </c>
      <c r="J15">
        <f t="shared" si="10"/>
        <v>1</v>
      </c>
      <c r="K15" s="45">
        <f t="shared" si="11"/>
        <v>0</v>
      </c>
      <c r="L15" s="45">
        <f t="shared" si="12"/>
        <v>0</v>
      </c>
      <c r="M15" s="45">
        <f t="shared" si="13"/>
        <v>0</v>
      </c>
      <c r="N15" s="45">
        <f t="shared" si="14"/>
        <v>0</v>
      </c>
      <c r="O15" s="45">
        <f t="shared" si="15"/>
        <v>0</v>
      </c>
      <c r="P15" s="45">
        <f t="shared" si="16"/>
        <v>0</v>
      </c>
      <c r="Q15" s="45">
        <f t="shared" si="17"/>
        <v>0.25</v>
      </c>
      <c r="R15" s="45">
        <f t="shared" si="18"/>
        <v>0.25</v>
      </c>
      <c r="S15" s="45">
        <f t="shared" si="19"/>
        <v>0.25</v>
      </c>
      <c r="T15" s="45">
        <f t="shared" si="20"/>
        <v>0.25</v>
      </c>
      <c r="AA15" s="51">
        <v>1.35</v>
      </c>
      <c r="AB15" s="51">
        <f t="shared" si="21"/>
        <v>1.35</v>
      </c>
      <c r="AC15" s="51">
        <f t="shared" si="22"/>
        <v>1.4157407407407407</v>
      </c>
      <c r="AE15" s="52">
        <v>14</v>
      </c>
      <c r="AF15">
        <f t="shared" si="24"/>
        <v>1</v>
      </c>
      <c r="AG15">
        <f t="shared" si="23"/>
        <v>15</v>
      </c>
      <c r="AH15">
        <f t="shared" si="23"/>
        <v>120</v>
      </c>
      <c r="AI15">
        <f t="shared" si="23"/>
        <v>680</v>
      </c>
      <c r="AJ15">
        <f t="shared" si="23"/>
        <v>3060</v>
      </c>
      <c r="AK15">
        <f t="shared" si="23"/>
        <v>11628</v>
      </c>
      <c r="AL15">
        <f t="shared" si="23"/>
        <v>38760</v>
      </c>
      <c r="AM15">
        <f t="shared" si="23"/>
        <v>116280</v>
      </c>
      <c r="AN15">
        <f t="shared" si="23"/>
        <v>319770</v>
      </c>
      <c r="AO15">
        <f t="shared" si="23"/>
        <v>817190</v>
      </c>
      <c r="AP15">
        <f t="shared" si="23"/>
        <v>1961256</v>
      </c>
      <c r="AQ15">
        <f t="shared" si="23"/>
        <v>4457399.9999999991</v>
      </c>
      <c r="AR15">
        <f t="shared" si="23"/>
        <v>9657700.0000000019</v>
      </c>
      <c r="AS15">
        <f t="shared" si="23"/>
        <v>20058300</v>
      </c>
      <c r="AT15">
        <f t="shared" si="23"/>
        <v>40116599.999999993</v>
      </c>
      <c r="AU15">
        <f t="shared" si="23"/>
        <v>77558759.999999985</v>
      </c>
      <c r="AV15">
        <f t="shared" si="23"/>
        <v>145422675.00000003</v>
      </c>
      <c r="AW15">
        <f t="shared" si="23"/>
        <v>265182525</v>
      </c>
      <c r="AX15">
        <f t="shared" si="23"/>
        <v>471435600.00000006</v>
      </c>
      <c r="AY15">
        <f t="shared" si="23"/>
        <v>818809200.00000036</v>
      </c>
    </row>
    <row r="16" spans="1:53" x14ac:dyDescent="0.3">
      <c r="A16">
        <f t="shared" si="1"/>
        <v>0</v>
      </c>
      <c r="B16">
        <f t="shared" si="2"/>
        <v>0</v>
      </c>
      <c r="C16">
        <f t="shared" si="3"/>
        <v>0</v>
      </c>
      <c r="D16">
        <f t="shared" si="4"/>
        <v>0</v>
      </c>
      <c r="E16">
        <f t="shared" si="5"/>
        <v>0</v>
      </c>
      <c r="F16">
        <f t="shared" si="6"/>
        <v>1</v>
      </c>
      <c r="G16">
        <f t="shared" si="7"/>
        <v>0</v>
      </c>
      <c r="H16">
        <f t="shared" si="8"/>
        <v>0</v>
      </c>
      <c r="I16">
        <f t="shared" si="9"/>
        <v>0</v>
      </c>
      <c r="J16">
        <f t="shared" si="10"/>
        <v>0</v>
      </c>
      <c r="K16" s="45">
        <f t="shared" si="11"/>
        <v>0</v>
      </c>
      <c r="L16" s="45">
        <f t="shared" si="12"/>
        <v>0</v>
      </c>
      <c r="M16" s="45">
        <f t="shared" si="13"/>
        <v>0</v>
      </c>
      <c r="N16" s="45">
        <f t="shared" si="14"/>
        <v>0</v>
      </c>
      <c r="O16" s="45">
        <f t="shared" si="15"/>
        <v>0</v>
      </c>
      <c r="P16" s="45">
        <f t="shared" si="16"/>
        <v>1</v>
      </c>
      <c r="Q16" s="45">
        <f t="shared" si="17"/>
        <v>0</v>
      </c>
      <c r="R16" s="45">
        <f t="shared" si="18"/>
        <v>0</v>
      </c>
      <c r="S16" s="45">
        <f t="shared" si="19"/>
        <v>0</v>
      </c>
      <c r="T16" s="45">
        <f t="shared" si="20"/>
        <v>0</v>
      </c>
      <c r="AA16" s="51">
        <v>1.375</v>
      </c>
      <c r="AB16" s="51">
        <f t="shared" si="21"/>
        <v>1.375</v>
      </c>
      <c r="AC16" s="51">
        <f t="shared" si="22"/>
        <v>1.4147727272727273</v>
      </c>
      <c r="AE16" s="52">
        <v>15</v>
      </c>
      <c r="AF16">
        <f t="shared" si="24"/>
        <v>1</v>
      </c>
      <c r="AG16">
        <f t="shared" si="23"/>
        <v>16</v>
      </c>
      <c r="AH16">
        <f t="shared" si="23"/>
        <v>136</v>
      </c>
      <c r="AI16">
        <f t="shared" si="23"/>
        <v>816</v>
      </c>
      <c r="AJ16">
        <f t="shared" si="23"/>
        <v>3876</v>
      </c>
      <c r="AK16">
        <f t="shared" ref="AG16:AY29" si="25">FACT($AE16+AK$1-1)/(FACT(AK$1-1)*FACT($AE16))</f>
        <v>15504</v>
      </c>
      <c r="AL16">
        <f t="shared" si="25"/>
        <v>54264</v>
      </c>
      <c r="AM16">
        <f t="shared" si="25"/>
        <v>170544</v>
      </c>
      <c r="AN16">
        <f t="shared" si="25"/>
        <v>490314.00000000006</v>
      </c>
      <c r="AO16">
        <f t="shared" si="25"/>
        <v>1307504</v>
      </c>
      <c r="AP16">
        <f t="shared" si="25"/>
        <v>3268759.9999999995</v>
      </c>
      <c r="AQ16">
        <f t="shared" si="25"/>
        <v>7726160.0000000019</v>
      </c>
      <c r="AR16">
        <f t="shared" si="25"/>
        <v>17383860</v>
      </c>
      <c r="AS16">
        <f t="shared" si="25"/>
        <v>37442159.999999993</v>
      </c>
      <c r="AT16">
        <f t="shared" si="25"/>
        <v>77558759.999999985</v>
      </c>
      <c r="AU16">
        <f t="shared" si="25"/>
        <v>155117520.00000003</v>
      </c>
      <c r="AV16">
        <f t="shared" si="25"/>
        <v>300540195</v>
      </c>
      <c r="AW16">
        <f t="shared" si="25"/>
        <v>565722720</v>
      </c>
      <c r="AX16">
        <f t="shared" si="25"/>
        <v>1037158320.0000004</v>
      </c>
      <c r="AY16">
        <f t="shared" si="25"/>
        <v>1855967519.9999998</v>
      </c>
    </row>
    <row r="17" spans="1:51" x14ac:dyDescent="0.3">
      <c r="A17">
        <f t="shared" si="1"/>
        <v>0</v>
      </c>
      <c r="B17">
        <f t="shared" si="2"/>
        <v>0</v>
      </c>
      <c r="C17">
        <f t="shared" si="3"/>
        <v>0</v>
      </c>
      <c r="D17">
        <f t="shared" si="4"/>
        <v>0</v>
      </c>
      <c r="E17">
        <f t="shared" si="5"/>
        <v>0</v>
      </c>
      <c r="F17">
        <f t="shared" si="6"/>
        <v>1</v>
      </c>
      <c r="G17">
        <f t="shared" si="7"/>
        <v>0</v>
      </c>
      <c r="H17">
        <f t="shared" si="8"/>
        <v>0</v>
      </c>
      <c r="I17">
        <f t="shared" si="9"/>
        <v>0</v>
      </c>
      <c r="J17">
        <f t="shared" si="10"/>
        <v>1</v>
      </c>
      <c r="K17" s="45">
        <f t="shared" si="11"/>
        <v>0</v>
      </c>
      <c r="L17" s="45">
        <f t="shared" si="12"/>
        <v>0</v>
      </c>
      <c r="M17" s="45">
        <f t="shared" si="13"/>
        <v>0</v>
      </c>
      <c r="N17" s="45">
        <f t="shared" si="14"/>
        <v>0</v>
      </c>
      <c r="O17" s="45">
        <f t="shared" si="15"/>
        <v>0</v>
      </c>
      <c r="P17" s="45">
        <f t="shared" si="16"/>
        <v>0.5</v>
      </c>
      <c r="Q17" s="45">
        <f t="shared" si="17"/>
        <v>0</v>
      </c>
      <c r="R17" s="45">
        <f t="shared" si="18"/>
        <v>0</v>
      </c>
      <c r="S17" s="45">
        <f t="shared" si="19"/>
        <v>0</v>
      </c>
      <c r="T17" s="45">
        <f t="shared" si="20"/>
        <v>0.5</v>
      </c>
      <c r="AA17" s="51">
        <v>1.4</v>
      </c>
      <c r="AB17" s="51">
        <f t="shared" si="21"/>
        <v>1.4</v>
      </c>
      <c r="AC17" s="51">
        <f t="shared" si="22"/>
        <v>1.4142857142857141</v>
      </c>
      <c r="AE17" s="52">
        <v>16</v>
      </c>
      <c r="AF17">
        <f t="shared" si="24"/>
        <v>1</v>
      </c>
      <c r="AG17">
        <f t="shared" si="25"/>
        <v>17</v>
      </c>
      <c r="AH17">
        <f t="shared" si="25"/>
        <v>153</v>
      </c>
      <c r="AI17">
        <f t="shared" si="25"/>
        <v>969</v>
      </c>
      <c r="AJ17">
        <f t="shared" si="25"/>
        <v>4845</v>
      </c>
      <c r="AK17">
        <f t="shared" si="25"/>
        <v>20349</v>
      </c>
      <c r="AL17">
        <f t="shared" si="25"/>
        <v>74613</v>
      </c>
      <c r="AM17">
        <f t="shared" si="25"/>
        <v>245157.00000000003</v>
      </c>
      <c r="AN17">
        <f t="shared" si="25"/>
        <v>735471</v>
      </c>
      <c r="AO17">
        <f t="shared" si="25"/>
        <v>2042974.9999999998</v>
      </c>
      <c r="AP17">
        <f t="shared" si="25"/>
        <v>5311735.0000000009</v>
      </c>
      <c r="AQ17">
        <f t="shared" si="25"/>
        <v>13037895</v>
      </c>
      <c r="AR17">
        <f t="shared" si="25"/>
        <v>30421754.999999993</v>
      </c>
      <c r="AS17">
        <f t="shared" si="25"/>
        <v>67863914.999999985</v>
      </c>
      <c r="AT17">
        <f t="shared" si="25"/>
        <v>145422675.00000003</v>
      </c>
      <c r="AU17">
        <f t="shared" si="25"/>
        <v>300540195</v>
      </c>
      <c r="AV17">
        <f t="shared" si="25"/>
        <v>601080390</v>
      </c>
      <c r="AW17">
        <f t="shared" si="25"/>
        <v>1166803110.0000005</v>
      </c>
      <c r="AX17">
        <f t="shared" si="25"/>
        <v>2203961429.9999995</v>
      </c>
      <c r="AY17">
        <f t="shared" si="25"/>
        <v>4059928950</v>
      </c>
    </row>
    <row r="18" spans="1:51" x14ac:dyDescent="0.3">
      <c r="A18">
        <f t="shared" si="1"/>
        <v>0</v>
      </c>
      <c r="B18">
        <f t="shared" si="2"/>
        <v>0</v>
      </c>
      <c r="C18">
        <f t="shared" si="3"/>
        <v>0</v>
      </c>
      <c r="D18">
        <f t="shared" si="4"/>
        <v>0</v>
      </c>
      <c r="E18">
        <f t="shared" si="5"/>
        <v>0</v>
      </c>
      <c r="F18">
        <f t="shared" si="6"/>
        <v>1</v>
      </c>
      <c r="G18">
        <f t="shared" si="7"/>
        <v>0</v>
      </c>
      <c r="H18">
        <f t="shared" si="8"/>
        <v>0</v>
      </c>
      <c r="I18">
        <f t="shared" si="9"/>
        <v>1</v>
      </c>
      <c r="J18">
        <f t="shared" si="10"/>
        <v>0</v>
      </c>
      <c r="K18" s="45">
        <f t="shared" si="11"/>
        <v>0</v>
      </c>
      <c r="L18" s="45">
        <f t="shared" si="12"/>
        <v>0</v>
      </c>
      <c r="M18" s="45">
        <f t="shared" si="13"/>
        <v>0</v>
      </c>
      <c r="N18" s="45">
        <f t="shared" si="14"/>
        <v>0</v>
      </c>
      <c r="O18" s="45">
        <f t="shared" si="15"/>
        <v>0</v>
      </c>
      <c r="P18" s="45">
        <f t="shared" si="16"/>
        <v>0.5</v>
      </c>
      <c r="Q18" s="45">
        <f t="shared" si="17"/>
        <v>0</v>
      </c>
      <c r="R18" s="45">
        <f t="shared" si="18"/>
        <v>0</v>
      </c>
      <c r="S18" s="45">
        <f t="shared" si="19"/>
        <v>0.5</v>
      </c>
      <c r="T18" s="45">
        <f t="shared" si="20"/>
        <v>0</v>
      </c>
      <c r="AA18" s="51">
        <v>1.425</v>
      </c>
      <c r="AB18" s="51">
        <f t="shared" si="21"/>
        <v>1.425</v>
      </c>
      <c r="AC18" s="51">
        <f t="shared" si="22"/>
        <v>1.4142543859649122</v>
      </c>
      <c r="AE18" s="52">
        <v>17</v>
      </c>
      <c r="AF18">
        <f t="shared" si="24"/>
        <v>1</v>
      </c>
      <c r="AG18">
        <f t="shared" si="25"/>
        <v>18</v>
      </c>
      <c r="AH18">
        <f t="shared" si="25"/>
        <v>171</v>
      </c>
      <c r="AI18">
        <f t="shared" si="25"/>
        <v>1140</v>
      </c>
      <c r="AJ18">
        <f t="shared" si="25"/>
        <v>5985</v>
      </c>
      <c r="AK18">
        <f t="shared" si="25"/>
        <v>26334</v>
      </c>
      <c r="AL18">
        <f t="shared" si="25"/>
        <v>100947</v>
      </c>
      <c r="AM18">
        <f t="shared" si="25"/>
        <v>346104</v>
      </c>
      <c r="AN18">
        <f t="shared" si="25"/>
        <v>1081574.9999999998</v>
      </c>
      <c r="AO18">
        <f t="shared" si="25"/>
        <v>3124550.0000000005</v>
      </c>
      <c r="AP18">
        <f t="shared" si="25"/>
        <v>8436285</v>
      </c>
      <c r="AQ18">
        <f t="shared" si="25"/>
        <v>21474179.999999996</v>
      </c>
      <c r="AR18">
        <f t="shared" si="25"/>
        <v>51895934.999999993</v>
      </c>
      <c r="AS18">
        <f t="shared" si="25"/>
        <v>119759850.00000003</v>
      </c>
      <c r="AT18">
        <f t="shared" si="25"/>
        <v>265182525</v>
      </c>
      <c r="AU18">
        <f t="shared" si="25"/>
        <v>565722720</v>
      </c>
      <c r="AV18">
        <f t="shared" si="25"/>
        <v>1166803110.0000005</v>
      </c>
      <c r="AW18">
        <f t="shared" si="25"/>
        <v>2333606219.9999995</v>
      </c>
      <c r="AX18">
        <f t="shared" si="25"/>
        <v>4537567650</v>
      </c>
      <c r="AY18">
        <f t="shared" si="25"/>
        <v>8597496600.0000038</v>
      </c>
    </row>
    <row r="19" spans="1:51" x14ac:dyDescent="0.3">
      <c r="A19">
        <f t="shared" si="1"/>
        <v>0</v>
      </c>
      <c r="B19">
        <f t="shared" si="2"/>
        <v>0</v>
      </c>
      <c r="C19">
        <f t="shared" si="3"/>
        <v>0</v>
      </c>
      <c r="D19">
        <f t="shared" si="4"/>
        <v>0</v>
      </c>
      <c r="E19">
        <f t="shared" si="5"/>
        <v>0</v>
      </c>
      <c r="F19">
        <f t="shared" si="6"/>
        <v>1</v>
      </c>
      <c r="G19">
        <f t="shared" si="7"/>
        <v>0</v>
      </c>
      <c r="H19">
        <f t="shared" si="8"/>
        <v>0</v>
      </c>
      <c r="I19">
        <f t="shared" si="9"/>
        <v>1</v>
      </c>
      <c r="J19">
        <f t="shared" si="10"/>
        <v>1</v>
      </c>
      <c r="K19" s="45">
        <f t="shared" si="11"/>
        <v>0</v>
      </c>
      <c r="L19" s="45">
        <f t="shared" si="12"/>
        <v>0</v>
      </c>
      <c r="M19" s="45">
        <f t="shared" si="13"/>
        <v>0</v>
      </c>
      <c r="N19" s="45">
        <f t="shared" si="14"/>
        <v>0</v>
      </c>
      <c r="O19" s="45">
        <f t="shared" si="15"/>
        <v>0</v>
      </c>
      <c r="P19" s="45">
        <f t="shared" si="16"/>
        <v>0.33333333333333331</v>
      </c>
      <c r="Q19" s="45">
        <f t="shared" si="17"/>
        <v>0</v>
      </c>
      <c r="R19" s="45">
        <f t="shared" si="18"/>
        <v>0</v>
      </c>
      <c r="S19" s="45">
        <f t="shared" si="19"/>
        <v>0.33333333333333331</v>
      </c>
      <c r="T19" s="45">
        <f t="shared" si="20"/>
        <v>0.33333333333333331</v>
      </c>
      <c r="AA19" s="51">
        <v>1.45</v>
      </c>
      <c r="AB19" s="51">
        <f t="shared" si="21"/>
        <v>1.45</v>
      </c>
      <c r="AC19" s="51">
        <f t="shared" si="22"/>
        <v>1.4146551724137932</v>
      </c>
      <c r="AE19" s="52">
        <v>18</v>
      </c>
      <c r="AF19">
        <f t="shared" si="24"/>
        <v>1</v>
      </c>
      <c r="AG19">
        <f t="shared" si="25"/>
        <v>19</v>
      </c>
      <c r="AH19">
        <f t="shared" si="25"/>
        <v>190</v>
      </c>
      <c r="AI19">
        <f t="shared" si="25"/>
        <v>1330</v>
      </c>
      <c r="AJ19">
        <f t="shared" si="25"/>
        <v>7315</v>
      </c>
      <c r="AK19">
        <f t="shared" si="25"/>
        <v>33649</v>
      </c>
      <c r="AL19">
        <f t="shared" si="25"/>
        <v>134596</v>
      </c>
      <c r="AM19">
        <f t="shared" si="25"/>
        <v>480699.99999999994</v>
      </c>
      <c r="AN19">
        <f t="shared" si="25"/>
        <v>1562275.0000000002</v>
      </c>
      <c r="AO19">
        <f t="shared" si="25"/>
        <v>4686825</v>
      </c>
      <c r="AP19">
        <f t="shared" si="25"/>
        <v>13123109.999999998</v>
      </c>
      <c r="AQ19">
        <f t="shared" si="25"/>
        <v>34597289.999999993</v>
      </c>
      <c r="AR19">
        <f t="shared" si="25"/>
        <v>86493225.000000015</v>
      </c>
      <c r="AS19">
        <f t="shared" si="25"/>
        <v>206253075</v>
      </c>
      <c r="AT19">
        <f t="shared" si="25"/>
        <v>471435600.00000006</v>
      </c>
      <c r="AU19">
        <f t="shared" si="25"/>
        <v>1037158320.0000004</v>
      </c>
      <c r="AV19">
        <f t="shared" si="25"/>
        <v>2203961429.9999995</v>
      </c>
      <c r="AW19">
        <f t="shared" si="25"/>
        <v>4537567650</v>
      </c>
      <c r="AX19">
        <f t="shared" si="25"/>
        <v>9075135300.0000038</v>
      </c>
      <c r="AY19">
        <f t="shared" si="25"/>
        <v>17672631900</v>
      </c>
    </row>
    <row r="20" spans="1:51" x14ac:dyDescent="0.3">
      <c r="A20">
        <f t="shared" si="1"/>
        <v>0</v>
      </c>
      <c r="B20">
        <f t="shared" si="2"/>
        <v>0</v>
      </c>
      <c r="C20">
        <f t="shared" si="3"/>
        <v>0</v>
      </c>
      <c r="D20">
        <f t="shared" si="4"/>
        <v>0</v>
      </c>
      <c r="E20">
        <f t="shared" si="5"/>
        <v>0</v>
      </c>
      <c r="F20">
        <f t="shared" si="6"/>
        <v>1</v>
      </c>
      <c r="G20">
        <f t="shared" si="7"/>
        <v>0</v>
      </c>
      <c r="H20">
        <f t="shared" si="8"/>
        <v>1</v>
      </c>
      <c r="I20">
        <f t="shared" si="9"/>
        <v>0</v>
      </c>
      <c r="J20">
        <f t="shared" si="10"/>
        <v>0</v>
      </c>
      <c r="K20" s="45">
        <f t="shared" si="11"/>
        <v>0</v>
      </c>
      <c r="L20" s="45">
        <f t="shared" si="12"/>
        <v>0</v>
      </c>
      <c r="M20" s="45">
        <f t="shared" si="13"/>
        <v>0</v>
      </c>
      <c r="N20" s="45">
        <f t="shared" si="14"/>
        <v>0</v>
      </c>
      <c r="O20" s="45">
        <f t="shared" si="15"/>
        <v>0</v>
      </c>
      <c r="P20" s="45">
        <f t="shared" si="16"/>
        <v>0.5</v>
      </c>
      <c r="Q20" s="45">
        <f t="shared" si="17"/>
        <v>0</v>
      </c>
      <c r="R20" s="45">
        <f t="shared" si="18"/>
        <v>0.5</v>
      </c>
      <c r="S20" s="45">
        <f t="shared" si="19"/>
        <v>0</v>
      </c>
      <c r="T20" s="45">
        <f t="shared" si="20"/>
        <v>0</v>
      </c>
      <c r="AA20" s="51">
        <v>1.4750000000000001</v>
      </c>
      <c r="AB20" s="51">
        <f t="shared" si="21"/>
        <v>1.4750000000000001</v>
      </c>
      <c r="AC20" s="51">
        <f t="shared" si="22"/>
        <v>1.4154661016949153</v>
      </c>
      <c r="AE20" s="52">
        <v>19</v>
      </c>
      <c r="AF20">
        <f t="shared" si="24"/>
        <v>1</v>
      </c>
      <c r="AG20">
        <f t="shared" si="25"/>
        <v>20</v>
      </c>
      <c r="AH20">
        <f t="shared" si="25"/>
        <v>210</v>
      </c>
      <c r="AI20">
        <f t="shared" si="25"/>
        <v>1540</v>
      </c>
      <c r="AJ20">
        <f t="shared" si="25"/>
        <v>8855</v>
      </c>
      <c r="AK20">
        <f t="shared" si="25"/>
        <v>42504</v>
      </c>
      <c r="AL20">
        <f t="shared" si="25"/>
        <v>177099.99999999997</v>
      </c>
      <c r="AM20">
        <f t="shared" si="25"/>
        <v>657800.00000000012</v>
      </c>
      <c r="AN20">
        <f t="shared" si="25"/>
        <v>2220075</v>
      </c>
      <c r="AO20">
        <f t="shared" si="25"/>
        <v>6906899.9999999991</v>
      </c>
      <c r="AP20">
        <f t="shared" si="25"/>
        <v>20030009.999999996</v>
      </c>
      <c r="AQ20">
        <f t="shared" si="25"/>
        <v>54627300.000000007</v>
      </c>
      <c r="AR20">
        <f t="shared" si="25"/>
        <v>141120525.00000003</v>
      </c>
      <c r="AS20">
        <f t="shared" si="25"/>
        <v>347373600</v>
      </c>
      <c r="AT20">
        <f t="shared" si="25"/>
        <v>818809200.00000036</v>
      </c>
      <c r="AU20">
        <f t="shared" si="25"/>
        <v>1855967519.9999998</v>
      </c>
      <c r="AV20">
        <f t="shared" si="25"/>
        <v>4059928950</v>
      </c>
      <c r="AW20">
        <f t="shared" si="25"/>
        <v>8597496600.0000038</v>
      </c>
      <c r="AX20">
        <f t="shared" si="25"/>
        <v>17672631900</v>
      </c>
      <c r="AY20">
        <f t="shared" si="25"/>
        <v>35345263800</v>
      </c>
    </row>
    <row r="21" spans="1:51" x14ac:dyDescent="0.3">
      <c r="A21">
        <f t="shared" si="1"/>
        <v>0</v>
      </c>
      <c r="B21">
        <f t="shared" si="2"/>
        <v>0</v>
      </c>
      <c r="C21">
        <f t="shared" si="3"/>
        <v>0</v>
      </c>
      <c r="D21">
        <f t="shared" si="4"/>
        <v>0</v>
      </c>
      <c r="E21">
        <f t="shared" si="5"/>
        <v>0</v>
      </c>
      <c r="F21">
        <f t="shared" si="6"/>
        <v>1</v>
      </c>
      <c r="G21">
        <f t="shared" si="7"/>
        <v>0</v>
      </c>
      <c r="H21">
        <f t="shared" si="8"/>
        <v>1</v>
      </c>
      <c r="I21">
        <f t="shared" si="9"/>
        <v>0</v>
      </c>
      <c r="J21">
        <f t="shared" si="10"/>
        <v>1</v>
      </c>
      <c r="K21" s="45">
        <f t="shared" si="11"/>
        <v>0</v>
      </c>
      <c r="L21" s="45">
        <f t="shared" si="12"/>
        <v>0</v>
      </c>
      <c r="M21" s="45">
        <f t="shared" si="13"/>
        <v>0</v>
      </c>
      <c r="N21" s="45">
        <f t="shared" si="14"/>
        <v>0</v>
      </c>
      <c r="O21" s="45">
        <f t="shared" si="15"/>
        <v>0</v>
      </c>
      <c r="P21" s="45">
        <f t="shared" si="16"/>
        <v>0.33333333333333331</v>
      </c>
      <c r="Q21" s="45">
        <f t="shared" si="17"/>
        <v>0</v>
      </c>
      <c r="R21" s="45">
        <f t="shared" si="18"/>
        <v>0.33333333333333331</v>
      </c>
      <c r="S21" s="45">
        <f t="shared" si="19"/>
        <v>0</v>
      </c>
      <c r="T21" s="45">
        <f t="shared" si="20"/>
        <v>0.33333333333333331</v>
      </c>
      <c r="AA21" s="51">
        <v>1.5</v>
      </c>
      <c r="AB21" s="51">
        <f t="shared" si="21"/>
        <v>1.5</v>
      </c>
      <c r="AC21" s="51">
        <f t="shared" si="22"/>
        <v>1.4166666666666665</v>
      </c>
      <c r="AE21" s="52">
        <v>20</v>
      </c>
      <c r="AF21">
        <f t="shared" si="24"/>
        <v>1</v>
      </c>
      <c r="AG21">
        <f t="shared" si="25"/>
        <v>21</v>
      </c>
      <c r="AH21">
        <f t="shared" si="25"/>
        <v>231</v>
      </c>
      <c r="AI21">
        <f t="shared" si="25"/>
        <v>1771</v>
      </c>
      <c r="AJ21">
        <f t="shared" si="25"/>
        <v>10626</v>
      </c>
      <c r="AK21">
        <f t="shared" si="25"/>
        <v>53129.999999999993</v>
      </c>
      <c r="AL21">
        <f t="shared" si="25"/>
        <v>230230.00000000006</v>
      </c>
      <c r="AM21">
        <f t="shared" si="25"/>
        <v>888030</v>
      </c>
      <c r="AN21">
        <f t="shared" si="25"/>
        <v>3108104.9999999995</v>
      </c>
      <c r="AO21">
        <f t="shared" si="25"/>
        <v>10015004.999999998</v>
      </c>
      <c r="AP21">
        <f t="shared" si="25"/>
        <v>30045015.000000007</v>
      </c>
      <c r="AQ21">
        <f t="shared" si="25"/>
        <v>84672315.000000015</v>
      </c>
      <c r="AR21">
        <f t="shared" si="25"/>
        <v>225792840.00000003</v>
      </c>
      <c r="AS21">
        <f t="shared" si="25"/>
        <v>573166440.00000024</v>
      </c>
      <c r="AT21">
        <f t="shared" si="25"/>
        <v>1391975639.9999998</v>
      </c>
      <c r="AU21">
        <f t="shared" si="25"/>
        <v>3247943159.9999995</v>
      </c>
      <c r="AV21">
        <f t="shared" si="25"/>
        <v>7307872110.0000019</v>
      </c>
      <c r="AW21">
        <f t="shared" si="25"/>
        <v>15905368710.000002</v>
      </c>
      <c r="AX21">
        <f t="shared" si="25"/>
        <v>33578000609.999992</v>
      </c>
      <c r="AY21">
        <f t="shared" si="25"/>
        <v>68923264410.000015</v>
      </c>
    </row>
    <row r="22" spans="1:51" x14ac:dyDescent="0.3">
      <c r="A22">
        <f t="shared" si="1"/>
        <v>0</v>
      </c>
      <c r="B22">
        <f t="shared" si="2"/>
        <v>0</v>
      </c>
      <c r="C22">
        <f t="shared" si="3"/>
        <v>0</v>
      </c>
      <c r="D22">
        <f t="shared" si="4"/>
        <v>0</v>
      </c>
      <c r="E22">
        <f t="shared" si="5"/>
        <v>0</v>
      </c>
      <c r="F22">
        <f t="shared" si="6"/>
        <v>1</v>
      </c>
      <c r="G22">
        <f t="shared" si="7"/>
        <v>0</v>
      </c>
      <c r="H22">
        <f t="shared" si="8"/>
        <v>1</v>
      </c>
      <c r="I22">
        <f t="shared" si="9"/>
        <v>1</v>
      </c>
      <c r="J22">
        <f t="shared" si="10"/>
        <v>0</v>
      </c>
      <c r="K22" s="45">
        <f t="shared" si="11"/>
        <v>0</v>
      </c>
      <c r="L22" s="45">
        <f t="shared" si="12"/>
        <v>0</v>
      </c>
      <c r="M22" s="45">
        <f t="shared" si="13"/>
        <v>0</v>
      </c>
      <c r="N22" s="45">
        <f t="shared" si="14"/>
        <v>0</v>
      </c>
      <c r="O22" s="45">
        <f t="shared" si="15"/>
        <v>0</v>
      </c>
      <c r="P22" s="45">
        <f t="shared" si="16"/>
        <v>0.33333333333333331</v>
      </c>
      <c r="Q22" s="45">
        <f t="shared" si="17"/>
        <v>0</v>
      </c>
      <c r="R22" s="45">
        <f t="shared" si="18"/>
        <v>0.33333333333333331</v>
      </c>
      <c r="S22" s="45">
        <f t="shared" si="19"/>
        <v>0.33333333333333331</v>
      </c>
      <c r="T22" s="45">
        <f t="shared" si="20"/>
        <v>0</v>
      </c>
      <c r="AA22" s="51">
        <v>1.5249999999999999</v>
      </c>
      <c r="AB22" s="51">
        <f t="shared" si="21"/>
        <v>1.5249999999999999</v>
      </c>
      <c r="AC22" s="51">
        <f t="shared" si="22"/>
        <v>1.4182377049180328</v>
      </c>
      <c r="AE22" s="52">
        <v>21</v>
      </c>
      <c r="AF22">
        <f t="shared" si="24"/>
        <v>1</v>
      </c>
      <c r="AG22">
        <f t="shared" si="25"/>
        <v>22</v>
      </c>
      <c r="AH22">
        <f t="shared" si="25"/>
        <v>253.00000000000003</v>
      </c>
      <c r="AI22">
        <f t="shared" si="25"/>
        <v>2024</v>
      </c>
      <c r="AJ22">
        <f t="shared" si="25"/>
        <v>12649.999999999998</v>
      </c>
      <c r="AK22">
        <f t="shared" si="25"/>
        <v>65780.000000000015</v>
      </c>
      <c r="AL22">
        <f t="shared" si="25"/>
        <v>296010</v>
      </c>
      <c r="AM22">
        <f t="shared" si="25"/>
        <v>1184039.9999999998</v>
      </c>
      <c r="AN22">
        <f t="shared" si="25"/>
        <v>4292145</v>
      </c>
      <c r="AO22">
        <f t="shared" si="25"/>
        <v>14307150.000000002</v>
      </c>
      <c r="AP22">
        <f t="shared" si="25"/>
        <v>44352165</v>
      </c>
      <c r="AQ22">
        <f t="shared" si="25"/>
        <v>129024480</v>
      </c>
      <c r="AR22">
        <f t="shared" si="25"/>
        <v>354817320.00000012</v>
      </c>
      <c r="AS22">
        <f t="shared" si="25"/>
        <v>927983759.99999988</v>
      </c>
      <c r="AT22">
        <f t="shared" si="25"/>
        <v>2319959399.9999995</v>
      </c>
      <c r="AU22">
        <f t="shared" si="25"/>
        <v>5567902560.0000019</v>
      </c>
      <c r="AV22">
        <f t="shared" si="25"/>
        <v>12875774670</v>
      </c>
      <c r="AW22">
        <f t="shared" si="25"/>
        <v>28781143379.999996</v>
      </c>
      <c r="AX22">
        <f t="shared" si="25"/>
        <v>62359143990.000008</v>
      </c>
      <c r="AY22">
        <f t="shared" si="25"/>
        <v>131282408400.00003</v>
      </c>
    </row>
    <row r="23" spans="1:51" x14ac:dyDescent="0.3">
      <c r="A23">
        <f t="shared" si="1"/>
        <v>0</v>
      </c>
      <c r="B23">
        <f t="shared" si="2"/>
        <v>0</v>
      </c>
      <c r="C23">
        <f t="shared" si="3"/>
        <v>0</v>
      </c>
      <c r="D23">
        <f t="shared" si="4"/>
        <v>0</v>
      </c>
      <c r="E23">
        <f t="shared" si="5"/>
        <v>0</v>
      </c>
      <c r="F23">
        <f t="shared" si="6"/>
        <v>1</v>
      </c>
      <c r="G23">
        <f t="shared" si="7"/>
        <v>0</v>
      </c>
      <c r="H23">
        <f t="shared" si="8"/>
        <v>1</v>
      </c>
      <c r="I23">
        <f t="shared" si="9"/>
        <v>1</v>
      </c>
      <c r="J23">
        <f t="shared" si="10"/>
        <v>1</v>
      </c>
      <c r="K23" s="45">
        <f t="shared" si="11"/>
        <v>0</v>
      </c>
      <c r="L23" s="45">
        <f t="shared" si="12"/>
        <v>0</v>
      </c>
      <c r="M23" s="45">
        <f t="shared" si="13"/>
        <v>0</v>
      </c>
      <c r="N23" s="45">
        <f t="shared" si="14"/>
        <v>0</v>
      </c>
      <c r="O23" s="45">
        <f t="shared" si="15"/>
        <v>0</v>
      </c>
      <c r="P23" s="45">
        <f t="shared" si="16"/>
        <v>0.25</v>
      </c>
      <c r="Q23" s="45">
        <f t="shared" si="17"/>
        <v>0</v>
      </c>
      <c r="R23" s="45">
        <f t="shared" si="18"/>
        <v>0.25</v>
      </c>
      <c r="S23" s="45">
        <f t="shared" si="19"/>
        <v>0.25</v>
      </c>
      <c r="T23" s="45">
        <f t="shared" si="20"/>
        <v>0.25</v>
      </c>
      <c r="AA23" s="51">
        <v>1.55</v>
      </c>
      <c r="AB23" s="51">
        <f t="shared" si="21"/>
        <v>1.55</v>
      </c>
      <c r="AC23" s="51">
        <f t="shared" si="22"/>
        <v>1.4201612903225806</v>
      </c>
      <c r="AE23" s="52">
        <v>22</v>
      </c>
      <c r="AF23">
        <f t="shared" si="24"/>
        <v>1</v>
      </c>
      <c r="AG23">
        <f t="shared" si="25"/>
        <v>23</v>
      </c>
      <c r="AH23">
        <f t="shared" si="25"/>
        <v>276</v>
      </c>
      <c r="AI23">
        <f t="shared" si="25"/>
        <v>2299.9999999999995</v>
      </c>
      <c r="AJ23">
        <f t="shared" si="25"/>
        <v>14950.000000000004</v>
      </c>
      <c r="AK23">
        <f t="shared" si="25"/>
        <v>80730</v>
      </c>
      <c r="AL23">
        <f t="shared" si="25"/>
        <v>376739.99999999994</v>
      </c>
      <c r="AM23">
        <f t="shared" si="25"/>
        <v>1560780</v>
      </c>
      <c r="AN23">
        <f t="shared" si="25"/>
        <v>5852925.0000000019</v>
      </c>
      <c r="AO23">
        <f t="shared" si="25"/>
        <v>20160075</v>
      </c>
      <c r="AP23">
        <f t="shared" si="25"/>
        <v>64512240</v>
      </c>
      <c r="AQ23">
        <f t="shared" si="25"/>
        <v>193536720.00000009</v>
      </c>
      <c r="AR23">
        <f t="shared" si="25"/>
        <v>548354039.99999988</v>
      </c>
      <c r="AS23">
        <f t="shared" si="25"/>
        <v>1476337799.9999998</v>
      </c>
      <c r="AT23">
        <f t="shared" si="25"/>
        <v>3796297200.000001</v>
      </c>
      <c r="AU23">
        <f t="shared" si="25"/>
        <v>9364199760</v>
      </c>
      <c r="AV23">
        <f t="shared" si="25"/>
        <v>22239974429.999996</v>
      </c>
      <c r="AW23">
        <f t="shared" si="25"/>
        <v>51021117810.000008</v>
      </c>
      <c r="AX23">
        <f t="shared" si="25"/>
        <v>113380261800.00003</v>
      </c>
      <c r="AY23">
        <f t="shared" si="25"/>
        <v>244662670199.99994</v>
      </c>
    </row>
    <row r="24" spans="1:51" x14ac:dyDescent="0.3">
      <c r="A24">
        <f t="shared" si="1"/>
        <v>0</v>
      </c>
      <c r="B24">
        <f t="shared" si="2"/>
        <v>0</v>
      </c>
      <c r="C24">
        <f t="shared" si="3"/>
        <v>0</v>
      </c>
      <c r="D24">
        <f t="shared" si="4"/>
        <v>0</v>
      </c>
      <c r="E24">
        <f t="shared" si="5"/>
        <v>0</v>
      </c>
      <c r="F24">
        <f t="shared" si="6"/>
        <v>1</v>
      </c>
      <c r="G24">
        <f t="shared" si="7"/>
        <v>1</v>
      </c>
      <c r="H24">
        <f t="shared" si="8"/>
        <v>0</v>
      </c>
      <c r="I24">
        <f t="shared" si="9"/>
        <v>0</v>
      </c>
      <c r="J24">
        <f t="shared" si="10"/>
        <v>0</v>
      </c>
      <c r="K24" s="45">
        <f t="shared" si="11"/>
        <v>0</v>
      </c>
      <c r="L24" s="45">
        <f t="shared" si="12"/>
        <v>0</v>
      </c>
      <c r="M24" s="45">
        <f t="shared" si="13"/>
        <v>0</v>
      </c>
      <c r="N24" s="45">
        <f t="shared" si="14"/>
        <v>0</v>
      </c>
      <c r="O24" s="45">
        <f t="shared" si="15"/>
        <v>0</v>
      </c>
      <c r="P24" s="45">
        <f t="shared" si="16"/>
        <v>0.5</v>
      </c>
      <c r="Q24" s="45">
        <f t="shared" si="17"/>
        <v>0.5</v>
      </c>
      <c r="R24" s="45">
        <f t="shared" si="18"/>
        <v>0</v>
      </c>
      <c r="S24" s="45">
        <f t="shared" si="19"/>
        <v>0</v>
      </c>
      <c r="T24" s="45">
        <f t="shared" si="20"/>
        <v>0</v>
      </c>
      <c r="AA24" s="51">
        <v>1.575</v>
      </c>
      <c r="AB24" s="51">
        <f t="shared" si="21"/>
        <v>1.575</v>
      </c>
      <c r="AC24" s="51">
        <f t="shared" si="22"/>
        <v>1.422420634920635</v>
      </c>
      <c r="AE24" s="52">
        <v>23</v>
      </c>
      <c r="AF24">
        <f t="shared" si="24"/>
        <v>1</v>
      </c>
      <c r="AG24">
        <f t="shared" si="25"/>
        <v>23.999999999999996</v>
      </c>
      <c r="AH24">
        <f t="shared" si="25"/>
        <v>299.99999999999994</v>
      </c>
      <c r="AI24">
        <f t="shared" si="25"/>
        <v>2600.0000000000005</v>
      </c>
      <c r="AJ24">
        <f t="shared" si="25"/>
        <v>17550</v>
      </c>
      <c r="AK24">
        <f t="shared" si="25"/>
        <v>98279.999999999971</v>
      </c>
      <c r="AL24">
        <f t="shared" si="25"/>
        <v>475019.99999999988</v>
      </c>
      <c r="AM24">
        <f t="shared" si="25"/>
        <v>2035800.0000000005</v>
      </c>
      <c r="AN24">
        <f t="shared" si="25"/>
        <v>7888725.0000000009</v>
      </c>
      <c r="AO24">
        <f t="shared" si="25"/>
        <v>28048800</v>
      </c>
      <c r="AP24">
        <f t="shared" si="25"/>
        <v>92561040.000000015</v>
      </c>
      <c r="AQ24">
        <f t="shared" si="25"/>
        <v>286097759.99999994</v>
      </c>
      <c r="AR24">
        <f t="shared" si="25"/>
        <v>834451800</v>
      </c>
      <c r="AS24">
        <f t="shared" si="25"/>
        <v>2310789600.0000005</v>
      </c>
      <c r="AT24">
        <f t="shared" si="25"/>
        <v>6107086800</v>
      </c>
      <c r="AU24">
        <f t="shared" si="25"/>
        <v>15471286559.999998</v>
      </c>
      <c r="AV24">
        <f t="shared" si="25"/>
        <v>37711260990.000008</v>
      </c>
      <c r="AW24">
        <f t="shared" si="25"/>
        <v>88732378800.000031</v>
      </c>
      <c r="AX24">
        <f t="shared" si="25"/>
        <v>202112640599.99994</v>
      </c>
      <c r="AY24">
        <f t="shared" si="25"/>
        <v>446775310800.00006</v>
      </c>
    </row>
    <row r="25" spans="1:51" x14ac:dyDescent="0.3">
      <c r="A25">
        <f t="shared" si="1"/>
        <v>0</v>
      </c>
      <c r="B25">
        <f t="shared" si="2"/>
        <v>0</v>
      </c>
      <c r="C25">
        <f t="shared" si="3"/>
        <v>0</v>
      </c>
      <c r="D25">
        <f t="shared" si="4"/>
        <v>0</v>
      </c>
      <c r="E25">
        <f t="shared" si="5"/>
        <v>0</v>
      </c>
      <c r="F25">
        <f t="shared" si="6"/>
        <v>1</v>
      </c>
      <c r="G25">
        <f t="shared" si="7"/>
        <v>1</v>
      </c>
      <c r="H25">
        <f t="shared" si="8"/>
        <v>0</v>
      </c>
      <c r="I25">
        <f t="shared" si="9"/>
        <v>0</v>
      </c>
      <c r="J25">
        <f t="shared" si="10"/>
        <v>1</v>
      </c>
      <c r="K25" s="45">
        <f t="shared" si="11"/>
        <v>0</v>
      </c>
      <c r="L25" s="45">
        <f t="shared" si="12"/>
        <v>0</v>
      </c>
      <c r="M25" s="45">
        <f t="shared" si="13"/>
        <v>0</v>
      </c>
      <c r="N25" s="45">
        <f t="shared" si="14"/>
        <v>0</v>
      </c>
      <c r="O25" s="45">
        <f t="shared" si="15"/>
        <v>0</v>
      </c>
      <c r="P25" s="45">
        <f t="shared" si="16"/>
        <v>0.33333333333333331</v>
      </c>
      <c r="Q25" s="45">
        <f t="shared" si="17"/>
        <v>0.33333333333333331</v>
      </c>
      <c r="R25" s="45">
        <f t="shared" si="18"/>
        <v>0</v>
      </c>
      <c r="S25" s="45">
        <f t="shared" si="19"/>
        <v>0</v>
      </c>
      <c r="T25" s="45">
        <f t="shared" si="20"/>
        <v>0.33333333333333331</v>
      </c>
      <c r="AA25" s="51">
        <v>1.6</v>
      </c>
      <c r="AB25" s="51">
        <f t="shared" si="21"/>
        <v>1.6</v>
      </c>
      <c r="AC25" s="51">
        <f t="shared" si="22"/>
        <v>1.425</v>
      </c>
      <c r="AE25" s="52">
        <v>24</v>
      </c>
      <c r="AF25">
        <f t="shared" si="24"/>
        <v>1</v>
      </c>
      <c r="AG25">
        <f t="shared" si="25"/>
        <v>24.999999999999996</v>
      </c>
      <c r="AH25">
        <f t="shared" si="25"/>
        <v>325.00000000000006</v>
      </c>
      <c r="AI25">
        <f t="shared" si="25"/>
        <v>2925</v>
      </c>
      <c r="AJ25">
        <f t="shared" si="25"/>
        <v>20474.999999999996</v>
      </c>
      <c r="AK25">
        <f t="shared" si="25"/>
        <v>118754.99999999999</v>
      </c>
      <c r="AL25">
        <f t="shared" si="25"/>
        <v>593775.00000000012</v>
      </c>
      <c r="AM25">
        <f t="shared" si="25"/>
        <v>2629575.0000000005</v>
      </c>
      <c r="AN25">
        <f t="shared" si="25"/>
        <v>10518300.000000002</v>
      </c>
      <c r="AO25">
        <f t="shared" si="25"/>
        <v>38567100.000000015</v>
      </c>
      <c r="AP25">
        <f t="shared" si="25"/>
        <v>131128139.99999997</v>
      </c>
      <c r="AQ25">
        <f t="shared" si="25"/>
        <v>417225900</v>
      </c>
      <c r="AR25">
        <f t="shared" si="25"/>
        <v>1251677700.0000005</v>
      </c>
      <c r="AS25">
        <f t="shared" si="25"/>
        <v>3562467300.0000005</v>
      </c>
      <c r="AT25">
        <f t="shared" si="25"/>
        <v>9669554100</v>
      </c>
      <c r="AU25">
        <f t="shared" si="25"/>
        <v>25140840660.000008</v>
      </c>
      <c r="AV25">
        <f t="shared" si="25"/>
        <v>62852101650.000023</v>
      </c>
      <c r="AW25">
        <f t="shared" si="25"/>
        <v>151584480449.99997</v>
      </c>
      <c r="AX25">
        <f t="shared" si="25"/>
        <v>353697121050.00012</v>
      </c>
      <c r="AY25">
        <f t="shared" si="25"/>
        <v>800472431850.00012</v>
      </c>
    </row>
    <row r="26" spans="1:51" x14ac:dyDescent="0.3">
      <c r="A26">
        <f t="shared" si="1"/>
        <v>0</v>
      </c>
      <c r="B26">
        <f t="shared" si="2"/>
        <v>0</v>
      </c>
      <c r="C26">
        <f t="shared" si="3"/>
        <v>0</v>
      </c>
      <c r="D26">
        <f t="shared" si="4"/>
        <v>0</v>
      </c>
      <c r="E26">
        <f t="shared" si="5"/>
        <v>0</v>
      </c>
      <c r="F26">
        <f t="shared" si="6"/>
        <v>1</v>
      </c>
      <c r="G26">
        <f t="shared" si="7"/>
        <v>1</v>
      </c>
      <c r="H26">
        <f t="shared" si="8"/>
        <v>0</v>
      </c>
      <c r="I26">
        <f t="shared" si="9"/>
        <v>1</v>
      </c>
      <c r="J26">
        <f t="shared" si="10"/>
        <v>0</v>
      </c>
      <c r="K26" s="45">
        <f t="shared" si="11"/>
        <v>0</v>
      </c>
      <c r="L26" s="45">
        <f t="shared" si="12"/>
        <v>0</v>
      </c>
      <c r="M26" s="45">
        <f t="shared" si="13"/>
        <v>0</v>
      </c>
      <c r="N26" s="45">
        <f t="shared" si="14"/>
        <v>0</v>
      </c>
      <c r="O26" s="45">
        <f t="shared" si="15"/>
        <v>0</v>
      </c>
      <c r="P26" s="45">
        <f t="shared" si="16"/>
        <v>0.33333333333333331</v>
      </c>
      <c r="Q26" s="45">
        <f t="shared" si="17"/>
        <v>0.33333333333333331</v>
      </c>
      <c r="R26" s="45">
        <f t="shared" si="18"/>
        <v>0</v>
      </c>
      <c r="S26" s="45">
        <f t="shared" si="19"/>
        <v>0.33333333333333331</v>
      </c>
      <c r="T26" s="45">
        <f t="shared" si="20"/>
        <v>0</v>
      </c>
      <c r="AA26" s="51">
        <v>1.625</v>
      </c>
      <c r="AB26" s="51">
        <f t="shared" si="21"/>
        <v>1.625</v>
      </c>
      <c r="AC26" s="51">
        <f t="shared" si="22"/>
        <v>1.4278846153846154</v>
      </c>
      <c r="AE26" s="52">
        <v>25</v>
      </c>
      <c r="AF26">
        <f t="shared" si="24"/>
        <v>1</v>
      </c>
      <c r="AG26">
        <f t="shared" si="25"/>
        <v>26.000000000000007</v>
      </c>
      <c r="AH26">
        <f t="shared" si="25"/>
        <v>351.00000000000006</v>
      </c>
      <c r="AI26">
        <f t="shared" si="25"/>
        <v>3276</v>
      </c>
      <c r="AJ26">
        <f t="shared" si="25"/>
        <v>23751</v>
      </c>
      <c r="AK26">
        <f t="shared" si="25"/>
        <v>142506.00000000003</v>
      </c>
      <c r="AL26">
        <f t="shared" si="25"/>
        <v>736281.00000000023</v>
      </c>
      <c r="AM26">
        <f t="shared" si="25"/>
        <v>3365856.0000000009</v>
      </c>
      <c r="AN26">
        <f t="shared" si="25"/>
        <v>13884156.000000007</v>
      </c>
      <c r="AO26">
        <f t="shared" si="25"/>
        <v>52451256</v>
      </c>
      <c r="AP26">
        <f t="shared" si="25"/>
        <v>183579396</v>
      </c>
      <c r="AQ26">
        <f t="shared" si="25"/>
        <v>600805296.00000024</v>
      </c>
      <c r="AR26">
        <f t="shared" si="25"/>
        <v>1852482996.0000002</v>
      </c>
      <c r="AS26">
        <f t="shared" si="25"/>
        <v>5414950295.999999</v>
      </c>
      <c r="AT26">
        <f t="shared" si="25"/>
        <v>15084504396.000004</v>
      </c>
      <c r="AU26">
        <f t="shared" si="25"/>
        <v>40225345056.000015</v>
      </c>
      <c r="AV26">
        <f t="shared" si="25"/>
        <v>103077446705.99998</v>
      </c>
      <c r="AW26">
        <f t="shared" si="25"/>
        <v>254661927156.00009</v>
      </c>
      <c r="AX26">
        <f t="shared" si="25"/>
        <v>608359048206.00024</v>
      </c>
      <c r="AY26">
        <f t="shared" si="25"/>
        <v>1408831480056.0007</v>
      </c>
    </row>
    <row r="27" spans="1:51" x14ac:dyDescent="0.3">
      <c r="A27">
        <f t="shared" si="1"/>
        <v>0</v>
      </c>
      <c r="B27">
        <f t="shared" si="2"/>
        <v>0</v>
      </c>
      <c r="C27">
        <f t="shared" si="3"/>
        <v>0</v>
      </c>
      <c r="D27">
        <f t="shared" si="4"/>
        <v>0</v>
      </c>
      <c r="E27">
        <f t="shared" si="5"/>
        <v>0</v>
      </c>
      <c r="F27">
        <f t="shared" si="6"/>
        <v>1</v>
      </c>
      <c r="G27">
        <f t="shared" si="7"/>
        <v>1</v>
      </c>
      <c r="H27">
        <f t="shared" si="8"/>
        <v>0</v>
      </c>
      <c r="I27">
        <f t="shared" si="9"/>
        <v>1</v>
      </c>
      <c r="J27">
        <f t="shared" si="10"/>
        <v>1</v>
      </c>
      <c r="K27" s="45">
        <f t="shared" si="11"/>
        <v>0</v>
      </c>
      <c r="L27" s="45">
        <f t="shared" si="12"/>
        <v>0</v>
      </c>
      <c r="M27" s="45">
        <f t="shared" si="13"/>
        <v>0</v>
      </c>
      <c r="N27" s="45">
        <f t="shared" si="14"/>
        <v>0</v>
      </c>
      <c r="O27" s="45">
        <f t="shared" si="15"/>
        <v>0</v>
      </c>
      <c r="P27" s="45">
        <f t="shared" si="16"/>
        <v>0.25</v>
      </c>
      <c r="Q27" s="45">
        <f t="shared" si="17"/>
        <v>0.25</v>
      </c>
      <c r="R27" s="45">
        <f t="shared" si="18"/>
        <v>0</v>
      </c>
      <c r="S27" s="45">
        <f t="shared" si="19"/>
        <v>0.25</v>
      </c>
      <c r="T27" s="45">
        <f t="shared" si="20"/>
        <v>0.25</v>
      </c>
      <c r="AA27" s="51">
        <v>1.65</v>
      </c>
      <c r="AB27" s="51">
        <f t="shared" si="21"/>
        <v>1.65</v>
      </c>
      <c r="AC27" s="51">
        <f t="shared" si="22"/>
        <v>1.4310606060606061</v>
      </c>
      <c r="AE27" s="52">
        <v>26</v>
      </c>
      <c r="AF27">
        <f t="shared" si="24"/>
        <v>1</v>
      </c>
      <c r="AG27">
        <f t="shared" si="25"/>
        <v>26.999999999999993</v>
      </c>
      <c r="AH27">
        <f t="shared" si="25"/>
        <v>377.99999999999983</v>
      </c>
      <c r="AI27">
        <f t="shared" si="25"/>
        <v>3653.9999999999986</v>
      </c>
      <c r="AJ27">
        <f t="shared" si="25"/>
        <v>27405</v>
      </c>
      <c r="AK27">
        <f t="shared" si="25"/>
        <v>169911</v>
      </c>
      <c r="AL27">
        <f t="shared" si="25"/>
        <v>906191.99999999988</v>
      </c>
      <c r="AM27">
        <f t="shared" si="25"/>
        <v>4272048.0000000009</v>
      </c>
      <c r="AN27">
        <f t="shared" si="25"/>
        <v>18156203.999999993</v>
      </c>
      <c r="AO27">
        <f t="shared" si="25"/>
        <v>70607459.999999985</v>
      </c>
      <c r="AP27">
        <f t="shared" si="25"/>
        <v>254186856.00000003</v>
      </c>
      <c r="AQ27">
        <f t="shared" si="25"/>
        <v>854992151.99999988</v>
      </c>
      <c r="AR27">
        <f t="shared" si="25"/>
        <v>2707475147.999999</v>
      </c>
      <c r="AS27">
        <f t="shared" si="25"/>
        <v>8122425444</v>
      </c>
      <c r="AT27">
        <f t="shared" si="25"/>
        <v>23206929840.000004</v>
      </c>
      <c r="AU27">
        <f t="shared" si="25"/>
        <v>63432274895.999969</v>
      </c>
      <c r="AV27">
        <f t="shared" si="25"/>
        <v>166509721602</v>
      </c>
      <c r="AW27">
        <f t="shared" si="25"/>
        <v>421171648757.99994</v>
      </c>
      <c r="AX27">
        <f t="shared" si="25"/>
        <v>1029530696964.0001</v>
      </c>
      <c r="AY27">
        <f t="shared" si="25"/>
        <v>2438362177020</v>
      </c>
    </row>
    <row r="28" spans="1:51" x14ac:dyDescent="0.3">
      <c r="A28">
        <f t="shared" si="1"/>
        <v>0</v>
      </c>
      <c r="B28">
        <f t="shared" si="2"/>
        <v>0</v>
      </c>
      <c r="C28">
        <f t="shared" si="3"/>
        <v>0</v>
      </c>
      <c r="D28">
        <f t="shared" si="4"/>
        <v>0</v>
      </c>
      <c r="E28">
        <f t="shared" si="5"/>
        <v>0</v>
      </c>
      <c r="F28">
        <f t="shared" si="6"/>
        <v>1</v>
      </c>
      <c r="G28">
        <f t="shared" si="7"/>
        <v>1</v>
      </c>
      <c r="H28">
        <f t="shared" si="8"/>
        <v>1</v>
      </c>
      <c r="I28">
        <f t="shared" si="9"/>
        <v>0</v>
      </c>
      <c r="J28">
        <f t="shared" si="10"/>
        <v>0</v>
      </c>
      <c r="K28" s="45">
        <f t="shared" si="11"/>
        <v>0</v>
      </c>
      <c r="L28" s="45">
        <f t="shared" si="12"/>
        <v>0</v>
      </c>
      <c r="M28" s="45">
        <f t="shared" si="13"/>
        <v>0</v>
      </c>
      <c r="N28" s="45">
        <f t="shared" si="14"/>
        <v>0</v>
      </c>
      <c r="O28" s="45">
        <f t="shared" si="15"/>
        <v>0</v>
      </c>
      <c r="P28" s="45">
        <f t="shared" si="16"/>
        <v>0.33333333333333331</v>
      </c>
      <c r="Q28" s="45">
        <f t="shared" si="17"/>
        <v>0.33333333333333331</v>
      </c>
      <c r="R28" s="45">
        <f t="shared" si="18"/>
        <v>0.33333333333333331</v>
      </c>
      <c r="S28" s="45">
        <f t="shared" si="19"/>
        <v>0</v>
      </c>
      <c r="T28" s="45">
        <f t="shared" si="20"/>
        <v>0</v>
      </c>
      <c r="AA28" s="51">
        <v>1.675</v>
      </c>
      <c r="AB28" s="51">
        <f t="shared" si="21"/>
        <v>1.675</v>
      </c>
      <c r="AC28" s="51">
        <f t="shared" si="22"/>
        <v>1.4345149253731342</v>
      </c>
      <c r="AE28" s="52">
        <v>27</v>
      </c>
      <c r="AF28">
        <f t="shared" si="24"/>
        <v>1</v>
      </c>
      <c r="AG28">
        <f t="shared" si="25"/>
        <v>27.999999999999996</v>
      </c>
      <c r="AH28">
        <f t="shared" si="25"/>
        <v>405.99999999999994</v>
      </c>
      <c r="AI28">
        <f t="shared" si="25"/>
        <v>4060.0000000000009</v>
      </c>
      <c r="AJ28">
        <f t="shared" si="25"/>
        <v>31465.000000000004</v>
      </c>
      <c r="AK28">
        <f t="shared" si="25"/>
        <v>201376</v>
      </c>
      <c r="AL28">
        <f t="shared" si="25"/>
        <v>1107568.0000000005</v>
      </c>
      <c r="AM28">
        <f t="shared" si="25"/>
        <v>5379615.9999999991</v>
      </c>
      <c r="AN28">
        <f t="shared" si="25"/>
        <v>23535820</v>
      </c>
      <c r="AO28">
        <f t="shared" si="25"/>
        <v>94143280.00000003</v>
      </c>
      <c r="AP28">
        <f t="shared" si="25"/>
        <v>348330136.00000006</v>
      </c>
      <c r="AQ28">
        <f t="shared" si="25"/>
        <v>1203322288</v>
      </c>
      <c r="AR28">
        <f t="shared" si="25"/>
        <v>3910797436.000001</v>
      </c>
      <c r="AS28">
        <f t="shared" si="25"/>
        <v>12033222880.000004</v>
      </c>
      <c r="AT28">
        <f t="shared" si="25"/>
        <v>35240152719.999992</v>
      </c>
      <c r="AU28">
        <f t="shared" si="25"/>
        <v>98672427616.000031</v>
      </c>
      <c r="AV28">
        <f t="shared" si="25"/>
        <v>265182149218.00006</v>
      </c>
      <c r="AW28">
        <f t="shared" si="25"/>
        <v>686353797976.00024</v>
      </c>
      <c r="AX28">
        <f t="shared" si="25"/>
        <v>1715884494940.0002</v>
      </c>
      <c r="AY28">
        <f t="shared" si="25"/>
        <v>4154246671960.0005</v>
      </c>
    </row>
    <row r="29" spans="1:51" x14ac:dyDescent="0.3">
      <c r="A29">
        <f t="shared" si="1"/>
        <v>0</v>
      </c>
      <c r="B29">
        <f t="shared" si="2"/>
        <v>0</v>
      </c>
      <c r="C29">
        <f t="shared" si="3"/>
        <v>0</v>
      </c>
      <c r="D29">
        <f t="shared" si="4"/>
        <v>0</v>
      </c>
      <c r="E29">
        <f t="shared" si="5"/>
        <v>0</v>
      </c>
      <c r="F29">
        <f t="shared" si="6"/>
        <v>1</v>
      </c>
      <c r="G29">
        <f t="shared" si="7"/>
        <v>1</v>
      </c>
      <c r="H29">
        <f t="shared" si="8"/>
        <v>1</v>
      </c>
      <c r="I29">
        <f t="shared" si="9"/>
        <v>0</v>
      </c>
      <c r="J29">
        <f t="shared" si="10"/>
        <v>1</v>
      </c>
      <c r="K29" s="45">
        <f t="shared" si="11"/>
        <v>0</v>
      </c>
      <c r="L29" s="45">
        <f t="shared" si="12"/>
        <v>0</v>
      </c>
      <c r="M29" s="45">
        <f t="shared" si="13"/>
        <v>0</v>
      </c>
      <c r="N29" s="45">
        <f t="shared" si="14"/>
        <v>0</v>
      </c>
      <c r="O29" s="45">
        <f t="shared" si="15"/>
        <v>0</v>
      </c>
      <c r="P29" s="45">
        <f t="shared" si="16"/>
        <v>0.25</v>
      </c>
      <c r="Q29" s="45">
        <f t="shared" si="17"/>
        <v>0.25</v>
      </c>
      <c r="R29" s="45">
        <f t="shared" si="18"/>
        <v>0.25</v>
      </c>
      <c r="S29" s="45">
        <f t="shared" si="19"/>
        <v>0</v>
      </c>
      <c r="T29" s="45">
        <f t="shared" si="20"/>
        <v>0.25</v>
      </c>
      <c r="AA29" s="51">
        <v>1.7</v>
      </c>
      <c r="AB29" s="51">
        <f t="shared" si="21"/>
        <v>1.7</v>
      </c>
      <c r="AC29" s="51">
        <f t="shared" si="22"/>
        <v>1.4382352941176471</v>
      </c>
      <c r="AE29" s="52">
        <v>28</v>
      </c>
      <c r="AF29">
        <f t="shared" si="24"/>
        <v>1</v>
      </c>
      <c r="AG29">
        <f t="shared" si="25"/>
        <v>29</v>
      </c>
      <c r="AH29">
        <f t="shared" si="25"/>
        <v>435.00000000000017</v>
      </c>
      <c r="AI29">
        <f t="shared" si="25"/>
        <v>4495.0000000000009</v>
      </c>
      <c r="AJ29">
        <f t="shared" si="25"/>
        <v>35960.000000000007</v>
      </c>
      <c r="AK29">
        <f t="shared" si="25"/>
        <v>237336.00000000012</v>
      </c>
      <c r="AL29">
        <f t="shared" si="25"/>
        <v>1344904</v>
      </c>
      <c r="AM29">
        <f t="shared" si="25"/>
        <v>6724520</v>
      </c>
      <c r="AN29">
        <f t="shared" si="25"/>
        <v>30260340.000000015</v>
      </c>
      <c r="AO29">
        <f t="shared" si="25"/>
        <v>124403620.00000001</v>
      </c>
      <c r="AP29">
        <f t="shared" si="25"/>
        <v>472733756.00000006</v>
      </c>
      <c r="AQ29">
        <f t="shared" si="25"/>
        <v>1676056044.0000005</v>
      </c>
      <c r="AR29">
        <f t="shared" si="25"/>
        <v>5586853480.0000029</v>
      </c>
      <c r="AS29">
        <f t="shared" ref="AG29:AY41" si="26">FACT($AE29+AS$1-1)/(FACT(AS$1-1)*FACT($AE29))</f>
        <v>17620076360</v>
      </c>
      <c r="AT29">
        <f t="shared" si="26"/>
        <v>52860229080.000023</v>
      </c>
      <c r="AU29">
        <f t="shared" si="26"/>
        <v>151532656696.00006</v>
      </c>
      <c r="AV29">
        <f t="shared" si="26"/>
        <v>416714805914.00024</v>
      </c>
      <c r="AW29">
        <f t="shared" si="26"/>
        <v>1103068603890.0002</v>
      </c>
      <c r="AX29">
        <f t="shared" si="26"/>
        <v>2818953098830.0005</v>
      </c>
      <c r="AY29">
        <f t="shared" si="26"/>
        <v>6973199770790.0039</v>
      </c>
    </row>
    <row r="30" spans="1:51" x14ac:dyDescent="0.3">
      <c r="A30">
        <f t="shared" si="1"/>
        <v>0</v>
      </c>
      <c r="B30">
        <f t="shared" si="2"/>
        <v>0</v>
      </c>
      <c r="C30">
        <f t="shared" si="3"/>
        <v>0</v>
      </c>
      <c r="D30">
        <f t="shared" si="4"/>
        <v>0</v>
      </c>
      <c r="E30">
        <f t="shared" si="5"/>
        <v>0</v>
      </c>
      <c r="F30">
        <f t="shared" si="6"/>
        <v>1</v>
      </c>
      <c r="G30">
        <f t="shared" si="7"/>
        <v>1</v>
      </c>
      <c r="H30">
        <f t="shared" si="8"/>
        <v>1</v>
      </c>
      <c r="I30">
        <f t="shared" si="9"/>
        <v>1</v>
      </c>
      <c r="J30">
        <f t="shared" si="10"/>
        <v>0</v>
      </c>
      <c r="K30" s="45">
        <f t="shared" si="11"/>
        <v>0</v>
      </c>
      <c r="L30" s="45">
        <f t="shared" si="12"/>
        <v>0</v>
      </c>
      <c r="M30" s="45">
        <f t="shared" si="13"/>
        <v>0</v>
      </c>
      <c r="N30" s="45">
        <f t="shared" si="14"/>
        <v>0</v>
      </c>
      <c r="O30" s="45">
        <f t="shared" si="15"/>
        <v>0</v>
      </c>
      <c r="P30" s="45">
        <f t="shared" si="16"/>
        <v>0.25</v>
      </c>
      <c r="Q30" s="45">
        <f t="shared" si="17"/>
        <v>0.25</v>
      </c>
      <c r="R30" s="45">
        <f t="shared" si="18"/>
        <v>0.25</v>
      </c>
      <c r="S30" s="45">
        <f t="shared" si="19"/>
        <v>0.25</v>
      </c>
      <c r="T30" s="45">
        <f t="shared" si="20"/>
        <v>0</v>
      </c>
      <c r="AA30" s="51">
        <v>1.7250000000000001</v>
      </c>
      <c r="AB30" s="51">
        <f t="shared" si="21"/>
        <v>1.7250000000000001</v>
      </c>
      <c r="AC30" s="51">
        <f t="shared" si="22"/>
        <v>1.4422101449275364</v>
      </c>
      <c r="AE30" s="52">
        <v>29</v>
      </c>
      <c r="AF30">
        <f t="shared" si="24"/>
        <v>1</v>
      </c>
      <c r="AG30">
        <f t="shared" si="26"/>
        <v>30.000000000000011</v>
      </c>
      <c r="AH30">
        <f t="shared" si="26"/>
        <v>465.00000000000011</v>
      </c>
      <c r="AI30">
        <f t="shared" si="26"/>
        <v>4960.0000000000009</v>
      </c>
      <c r="AJ30">
        <f t="shared" si="26"/>
        <v>40920.000000000022</v>
      </c>
      <c r="AK30">
        <f t="shared" si="26"/>
        <v>278256</v>
      </c>
      <c r="AL30">
        <f t="shared" si="26"/>
        <v>1623160</v>
      </c>
      <c r="AM30">
        <f t="shared" si="26"/>
        <v>8347680.0000000028</v>
      </c>
      <c r="AN30">
        <f t="shared" si="26"/>
        <v>38608020.000000007</v>
      </c>
      <c r="AO30">
        <f t="shared" si="26"/>
        <v>163011640</v>
      </c>
      <c r="AP30">
        <f t="shared" si="26"/>
        <v>635745396.00000024</v>
      </c>
      <c r="AQ30">
        <f t="shared" si="26"/>
        <v>2311801440.0000014</v>
      </c>
      <c r="AR30">
        <f t="shared" si="26"/>
        <v>7898654919.9999981</v>
      </c>
      <c r="AS30">
        <f t="shared" si="26"/>
        <v>25518731280.000008</v>
      </c>
      <c r="AT30">
        <f t="shared" si="26"/>
        <v>78378960360.000015</v>
      </c>
      <c r="AU30">
        <f t="shared" si="26"/>
        <v>229911617056.00012</v>
      </c>
      <c r="AV30">
        <f t="shared" si="26"/>
        <v>646626422970.00024</v>
      </c>
      <c r="AW30">
        <f t="shared" si="26"/>
        <v>1749695026860.0002</v>
      </c>
      <c r="AX30">
        <f t="shared" si="26"/>
        <v>4568648125690.002</v>
      </c>
      <c r="AY30">
        <f t="shared" si="26"/>
        <v>11541847896479.998</v>
      </c>
    </row>
    <row r="31" spans="1:51" x14ac:dyDescent="0.3">
      <c r="A31">
        <f t="shared" si="1"/>
        <v>0</v>
      </c>
      <c r="B31">
        <f t="shared" si="2"/>
        <v>0</v>
      </c>
      <c r="C31">
        <f t="shared" si="3"/>
        <v>0</v>
      </c>
      <c r="D31">
        <f t="shared" si="4"/>
        <v>0</v>
      </c>
      <c r="E31">
        <f t="shared" si="5"/>
        <v>0</v>
      </c>
      <c r="F31">
        <f t="shared" si="6"/>
        <v>1</v>
      </c>
      <c r="G31">
        <f t="shared" si="7"/>
        <v>1</v>
      </c>
      <c r="H31">
        <f t="shared" si="8"/>
        <v>1</v>
      </c>
      <c r="I31">
        <f t="shared" si="9"/>
        <v>1</v>
      </c>
      <c r="J31">
        <f t="shared" si="10"/>
        <v>1</v>
      </c>
      <c r="K31" s="45">
        <f t="shared" si="11"/>
        <v>0</v>
      </c>
      <c r="L31" s="45">
        <f t="shared" si="12"/>
        <v>0</v>
      </c>
      <c r="M31" s="45">
        <f t="shared" si="13"/>
        <v>0</v>
      </c>
      <c r="N31" s="45">
        <f t="shared" si="14"/>
        <v>0</v>
      </c>
      <c r="O31" s="45">
        <f t="shared" si="15"/>
        <v>0</v>
      </c>
      <c r="P31" s="45">
        <f t="shared" si="16"/>
        <v>0.2</v>
      </c>
      <c r="Q31" s="45">
        <f t="shared" si="17"/>
        <v>0.2</v>
      </c>
      <c r="R31" s="45">
        <f t="shared" si="18"/>
        <v>0.2</v>
      </c>
      <c r="S31" s="45">
        <f t="shared" si="19"/>
        <v>0.2</v>
      </c>
      <c r="T31" s="45">
        <f t="shared" si="20"/>
        <v>0.2</v>
      </c>
      <c r="AA31" s="51">
        <v>1.75</v>
      </c>
      <c r="AB31" s="51">
        <f t="shared" si="21"/>
        <v>1.75</v>
      </c>
      <c r="AC31" s="51">
        <f t="shared" si="22"/>
        <v>1.4464285714285714</v>
      </c>
      <c r="AE31" s="52">
        <v>30</v>
      </c>
      <c r="AF31">
        <f t="shared" si="24"/>
        <v>1</v>
      </c>
      <c r="AG31">
        <f t="shared" si="26"/>
        <v>30.999999999999996</v>
      </c>
      <c r="AH31">
        <f t="shared" si="26"/>
        <v>495.99999999999994</v>
      </c>
      <c r="AI31">
        <f t="shared" si="26"/>
        <v>5456.0000000000018</v>
      </c>
      <c r="AJ31">
        <f t="shared" si="26"/>
        <v>46375.999999999985</v>
      </c>
      <c r="AK31">
        <f t="shared" si="26"/>
        <v>324631.99999999994</v>
      </c>
      <c r="AL31">
        <f t="shared" si="26"/>
        <v>1947792.0000000002</v>
      </c>
      <c r="AM31">
        <f t="shared" si="26"/>
        <v>10295471.999999998</v>
      </c>
      <c r="AN31">
        <f t="shared" si="26"/>
        <v>48903491.999999985</v>
      </c>
      <c r="AO31">
        <f t="shared" si="26"/>
        <v>211915132</v>
      </c>
      <c r="AP31">
        <f t="shared" si="26"/>
        <v>847660528.00000012</v>
      </c>
      <c r="AQ31">
        <f t="shared" si="26"/>
        <v>3159461967.9999986</v>
      </c>
      <c r="AR31">
        <f t="shared" si="26"/>
        <v>11058116888</v>
      </c>
      <c r="AS31">
        <f t="shared" si="26"/>
        <v>36576848168</v>
      </c>
      <c r="AT31">
        <f t="shared" si="26"/>
        <v>114955808528.00002</v>
      </c>
      <c r="AU31">
        <f t="shared" si="26"/>
        <v>344867425584</v>
      </c>
      <c r="AV31">
        <f t="shared" si="26"/>
        <v>991493848553.99988</v>
      </c>
      <c r="AW31">
        <f t="shared" si="26"/>
        <v>2741188875414.0005</v>
      </c>
      <c r="AX31">
        <f t="shared" si="26"/>
        <v>7309837001103.9961</v>
      </c>
      <c r="AY31">
        <f t="shared" si="26"/>
        <v>18851684897584.008</v>
      </c>
    </row>
    <row r="32" spans="1:51" x14ac:dyDescent="0.3">
      <c r="A32">
        <f t="shared" si="1"/>
        <v>0</v>
      </c>
      <c r="B32">
        <f t="shared" si="2"/>
        <v>0</v>
      </c>
      <c r="C32">
        <f t="shared" si="3"/>
        <v>0</v>
      </c>
      <c r="D32">
        <f t="shared" si="4"/>
        <v>0</v>
      </c>
      <c r="E32">
        <f t="shared" si="5"/>
        <v>1</v>
      </c>
      <c r="F32">
        <f t="shared" si="6"/>
        <v>0</v>
      </c>
      <c r="G32">
        <f t="shared" si="7"/>
        <v>0</v>
      </c>
      <c r="H32">
        <f t="shared" si="8"/>
        <v>0</v>
      </c>
      <c r="I32">
        <f t="shared" si="9"/>
        <v>0</v>
      </c>
      <c r="J32">
        <f t="shared" si="10"/>
        <v>0</v>
      </c>
      <c r="K32" s="45">
        <f t="shared" si="11"/>
        <v>0</v>
      </c>
      <c r="L32" s="45">
        <f t="shared" si="12"/>
        <v>0</v>
      </c>
      <c r="M32" s="45">
        <f t="shared" si="13"/>
        <v>0</v>
      </c>
      <c r="N32" s="45">
        <f t="shared" si="14"/>
        <v>0</v>
      </c>
      <c r="O32" s="45">
        <f t="shared" si="15"/>
        <v>1</v>
      </c>
      <c r="P32" s="45">
        <f t="shared" si="16"/>
        <v>0</v>
      </c>
      <c r="Q32" s="45">
        <f t="shared" si="17"/>
        <v>0</v>
      </c>
      <c r="R32" s="45">
        <f t="shared" si="18"/>
        <v>0</v>
      </c>
      <c r="S32" s="45">
        <f t="shared" si="19"/>
        <v>0</v>
      </c>
      <c r="T32" s="45">
        <f t="shared" si="20"/>
        <v>0</v>
      </c>
      <c r="AA32" s="51">
        <v>1.7749999999999999</v>
      </c>
      <c r="AB32" s="51">
        <f t="shared" si="21"/>
        <v>1.7749999999999999</v>
      </c>
      <c r="AC32" s="51">
        <f t="shared" si="22"/>
        <v>1.4508802816901407</v>
      </c>
      <c r="AE32" s="52">
        <v>31</v>
      </c>
      <c r="AF32">
        <f t="shared" si="24"/>
        <v>1</v>
      </c>
      <c r="AG32">
        <f t="shared" si="26"/>
        <v>32</v>
      </c>
      <c r="AH32">
        <f t="shared" si="26"/>
        <v>528.00000000000011</v>
      </c>
      <c r="AI32">
        <f t="shared" si="26"/>
        <v>5983.9999999999982</v>
      </c>
      <c r="AJ32">
        <f t="shared" si="26"/>
        <v>52359.999999999993</v>
      </c>
      <c r="AK32">
        <f t="shared" si="26"/>
        <v>376992.00000000006</v>
      </c>
      <c r="AL32">
        <f t="shared" si="26"/>
        <v>2324784</v>
      </c>
      <c r="AM32">
        <f t="shared" si="26"/>
        <v>12620255.999999996</v>
      </c>
      <c r="AN32">
        <f t="shared" si="26"/>
        <v>61523748.000000007</v>
      </c>
      <c r="AO32">
        <f t="shared" si="26"/>
        <v>273438880.00000006</v>
      </c>
      <c r="AP32">
        <f t="shared" si="26"/>
        <v>1121099407.9999998</v>
      </c>
      <c r="AQ32">
        <f t="shared" si="26"/>
        <v>4280561376</v>
      </c>
      <c r="AR32">
        <f t="shared" si="26"/>
        <v>15338678264.000002</v>
      </c>
      <c r="AS32">
        <f t="shared" si="26"/>
        <v>51915526432.000008</v>
      </c>
      <c r="AT32">
        <f t="shared" si="26"/>
        <v>166871334960.00003</v>
      </c>
      <c r="AU32">
        <f t="shared" si="26"/>
        <v>511738760543.99994</v>
      </c>
      <c r="AV32">
        <f t="shared" si="26"/>
        <v>1503232609098.0002</v>
      </c>
      <c r="AW32">
        <f t="shared" si="26"/>
        <v>4244421484511.9985</v>
      </c>
      <c r="AX32">
        <f t="shared" si="26"/>
        <v>11554258485616.006</v>
      </c>
      <c r="AY32">
        <f t="shared" si="26"/>
        <v>30405943383199.996</v>
      </c>
    </row>
    <row r="33" spans="1:51" x14ac:dyDescent="0.3">
      <c r="A33">
        <f t="shared" si="1"/>
        <v>0</v>
      </c>
      <c r="B33">
        <f t="shared" si="2"/>
        <v>0</v>
      </c>
      <c r="C33">
        <f t="shared" si="3"/>
        <v>0</v>
      </c>
      <c r="D33">
        <f t="shared" si="4"/>
        <v>0</v>
      </c>
      <c r="E33">
        <f t="shared" si="5"/>
        <v>1</v>
      </c>
      <c r="F33">
        <f t="shared" si="6"/>
        <v>0</v>
      </c>
      <c r="G33">
        <f t="shared" si="7"/>
        <v>0</v>
      </c>
      <c r="H33">
        <f t="shared" si="8"/>
        <v>0</v>
      </c>
      <c r="I33">
        <f t="shared" si="9"/>
        <v>0</v>
      </c>
      <c r="J33">
        <f t="shared" si="10"/>
        <v>1</v>
      </c>
      <c r="K33" s="45">
        <f t="shared" si="11"/>
        <v>0</v>
      </c>
      <c r="L33" s="45">
        <f t="shared" si="12"/>
        <v>0</v>
      </c>
      <c r="M33" s="45">
        <f t="shared" si="13"/>
        <v>0</v>
      </c>
      <c r="N33" s="45">
        <f t="shared" si="14"/>
        <v>0</v>
      </c>
      <c r="O33" s="45">
        <f t="shared" si="15"/>
        <v>0.5</v>
      </c>
      <c r="P33" s="45">
        <f t="shared" si="16"/>
        <v>0</v>
      </c>
      <c r="Q33" s="45">
        <f t="shared" si="17"/>
        <v>0</v>
      </c>
      <c r="R33" s="45">
        <f t="shared" si="18"/>
        <v>0</v>
      </c>
      <c r="S33" s="45">
        <f t="shared" si="19"/>
        <v>0</v>
      </c>
      <c r="T33" s="45">
        <f t="shared" si="20"/>
        <v>0.5</v>
      </c>
      <c r="AA33" s="51">
        <v>1.8</v>
      </c>
      <c r="AB33" s="51">
        <f t="shared" si="21"/>
        <v>1.8</v>
      </c>
      <c r="AC33" s="51">
        <f t="shared" si="22"/>
        <v>1.4555555555555557</v>
      </c>
      <c r="AE33" s="52">
        <v>32</v>
      </c>
      <c r="AF33">
        <f t="shared" si="24"/>
        <v>1</v>
      </c>
      <c r="AG33">
        <f t="shared" si="26"/>
        <v>33.000000000000007</v>
      </c>
      <c r="AH33">
        <f t="shared" si="26"/>
        <v>560.99999999999989</v>
      </c>
      <c r="AI33">
        <f t="shared" si="26"/>
        <v>6544.9999999999991</v>
      </c>
      <c r="AJ33">
        <f t="shared" si="26"/>
        <v>58905.000000000007</v>
      </c>
      <c r="AK33">
        <f t="shared" si="26"/>
        <v>435896.99999999994</v>
      </c>
      <c r="AL33">
        <f t="shared" si="26"/>
        <v>2760680.9999999995</v>
      </c>
      <c r="AM33">
        <f t="shared" si="26"/>
        <v>15380937.000000002</v>
      </c>
      <c r="AN33">
        <f t="shared" si="26"/>
        <v>76904685.000000015</v>
      </c>
      <c r="AO33">
        <f t="shared" si="26"/>
        <v>350343564.99999982</v>
      </c>
      <c r="AP33">
        <f t="shared" si="26"/>
        <v>1471442973.0000002</v>
      </c>
      <c r="AQ33">
        <f t="shared" si="26"/>
        <v>5752004349</v>
      </c>
      <c r="AR33">
        <f t="shared" si="26"/>
        <v>21090682613.000004</v>
      </c>
      <c r="AS33">
        <f t="shared" si="26"/>
        <v>73006209045</v>
      </c>
      <c r="AT33">
        <f t="shared" si="26"/>
        <v>239877544005</v>
      </c>
      <c r="AU33">
        <f t="shared" si="26"/>
        <v>751616304549.00012</v>
      </c>
      <c r="AV33">
        <f t="shared" si="26"/>
        <v>2254848913646.999</v>
      </c>
      <c r="AW33">
        <f t="shared" si="26"/>
        <v>6499270398159.0029</v>
      </c>
      <c r="AX33">
        <f t="shared" si="26"/>
        <v>18053528883774.996</v>
      </c>
      <c r="AY33">
        <f t="shared" si="26"/>
        <v>48459472266974.977</v>
      </c>
    </row>
    <row r="34" spans="1:51" x14ac:dyDescent="0.3">
      <c r="A34">
        <f t="shared" si="1"/>
        <v>0</v>
      </c>
      <c r="B34">
        <f t="shared" si="2"/>
        <v>0</v>
      </c>
      <c r="C34">
        <f t="shared" si="3"/>
        <v>0</v>
      </c>
      <c r="D34">
        <f t="shared" si="4"/>
        <v>0</v>
      </c>
      <c r="E34">
        <f t="shared" si="5"/>
        <v>1</v>
      </c>
      <c r="F34">
        <f t="shared" si="6"/>
        <v>0</v>
      </c>
      <c r="G34">
        <f t="shared" si="7"/>
        <v>0</v>
      </c>
      <c r="H34">
        <f t="shared" si="8"/>
        <v>0</v>
      </c>
      <c r="I34">
        <f t="shared" si="9"/>
        <v>1</v>
      </c>
      <c r="J34">
        <f t="shared" si="10"/>
        <v>0</v>
      </c>
      <c r="K34" s="45">
        <f t="shared" si="11"/>
        <v>0</v>
      </c>
      <c r="L34" s="45">
        <f t="shared" si="12"/>
        <v>0</v>
      </c>
      <c r="M34" s="45">
        <f t="shared" si="13"/>
        <v>0</v>
      </c>
      <c r="N34" s="45">
        <f t="shared" si="14"/>
        <v>0</v>
      </c>
      <c r="O34" s="45">
        <f t="shared" si="15"/>
        <v>0.5</v>
      </c>
      <c r="P34" s="45">
        <f t="shared" si="16"/>
        <v>0</v>
      </c>
      <c r="Q34" s="45">
        <f t="shared" si="17"/>
        <v>0</v>
      </c>
      <c r="R34" s="45">
        <f t="shared" si="18"/>
        <v>0</v>
      </c>
      <c r="S34" s="45">
        <f t="shared" si="19"/>
        <v>0.5</v>
      </c>
      <c r="T34" s="45">
        <f t="shared" si="20"/>
        <v>0</v>
      </c>
      <c r="AA34" s="51">
        <v>1.825</v>
      </c>
      <c r="AB34" s="51">
        <f t="shared" si="21"/>
        <v>1.825</v>
      </c>
      <c r="AC34" s="51">
        <f t="shared" si="22"/>
        <v>1.4604452054794521</v>
      </c>
      <c r="AE34" s="52">
        <v>33</v>
      </c>
      <c r="AF34">
        <f t="shared" si="24"/>
        <v>1</v>
      </c>
      <c r="AG34">
        <f t="shared" si="26"/>
        <v>33.999999999999979</v>
      </c>
      <c r="AH34">
        <f t="shared" si="26"/>
        <v>594.99999999999977</v>
      </c>
      <c r="AI34">
        <f t="shared" si="26"/>
        <v>7140</v>
      </c>
      <c r="AJ34">
        <f t="shared" si="26"/>
        <v>66044.999999999985</v>
      </c>
      <c r="AK34">
        <f t="shared" si="26"/>
        <v>501941.99999999977</v>
      </c>
      <c r="AL34">
        <f t="shared" si="26"/>
        <v>3262622.9999999991</v>
      </c>
      <c r="AM34">
        <f t="shared" si="26"/>
        <v>18643560</v>
      </c>
      <c r="AN34">
        <f t="shared" si="26"/>
        <v>95548244.99999994</v>
      </c>
      <c r="AO34">
        <f t="shared" si="26"/>
        <v>445891809.99999994</v>
      </c>
      <c r="AP34">
        <f t="shared" si="26"/>
        <v>1917334782.9999995</v>
      </c>
      <c r="AQ34">
        <f t="shared" si="26"/>
        <v>7669339131.999999</v>
      </c>
      <c r="AR34">
        <f t="shared" si="26"/>
        <v>28760021744.999996</v>
      </c>
      <c r="AS34">
        <f t="shared" si="26"/>
        <v>101766230789.99997</v>
      </c>
      <c r="AT34">
        <f t="shared" si="26"/>
        <v>341643774795.00006</v>
      </c>
      <c r="AU34">
        <f t="shared" si="26"/>
        <v>1093260079343.9993</v>
      </c>
      <c r="AV34">
        <f t="shared" si="26"/>
        <v>3348108992991.0005</v>
      </c>
      <c r="AW34">
        <f t="shared" si="26"/>
        <v>9847379391149.9961</v>
      </c>
      <c r="AX34">
        <f t="shared" si="26"/>
        <v>27900908274924.977</v>
      </c>
      <c r="AY34">
        <f t="shared" si="26"/>
        <v>76360380541900</v>
      </c>
    </row>
    <row r="35" spans="1:51" x14ac:dyDescent="0.3">
      <c r="A35">
        <f t="shared" si="1"/>
        <v>0</v>
      </c>
      <c r="B35">
        <f t="shared" si="2"/>
        <v>0</v>
      </c>
      <c r="C35">
        <f t="shared" si="3"/>
        <v>0</v>
      </c>
      <c r="D35">
        <f t="shared" si="4"/>
        <v>0</v>
      </c>
      <c r="E35">
        <f t="shared" si="5"/>
        <v>1</v>
      </c>
      <c r="F35">
        <f t="shared" si="6"/>
        <v>0</v>
      </c>
      <c r="G35">
        <f t="shared" si="7"/>
        <v>0</v>
      </c>
      <c r="H35">
        <f t="shared" si="8"/>
        <v>0</v>
      </c>
      <c r="I35">
        <f t="shared" si="9"/>
        <v>1</v>
      </c>
      <c r="J35">
        <f t="shared" si="10"/>
        <v>1</v>
      </c>
      <c r="K35" s="45">
        <f t="shared" si="11"/>
        <v>0</v>
      </c>
      <c r="L35" s="45">
        <f t="shared" si="12"/>
        <v>0</v>
      </c>
      <c r="M35" s="45">
        <f t="shared" si="13"/>
        <v>0</v>
      </c>
      <c r="N35" s="45">
        <f t="shared" si="14"/>
        <v>0</v>
      </c>
      <c r="O35" s="45">
        <f t="shared" si="15"/>
        <v>0.33333333333333331</v>
      </c>
      <c r="P35" s="45">
        <f t="shared" si="16"/>
        <v>0</v>
      </c>
      <c r="Q35" s="45">
        <f t="shared" si="17"/>
        <v>0</v>
      </c>
      <c r="R35" s="45">
        <f t="shared" si="18"/>
        <v>0</v>
      </c>
      <c r="S35" s="45">
        <f t="shared" si="19"/>
        <v>0.33333333333333331</v>
      </c>
      <c r="T35" s="45">
        <f t="shared" si="20"/>
        <v>0.33333333333333331</v>
      </c>
      <c r="AA35" s="51">
        <v>1.85</v>
      </c>
      <c r="AB35" s="51">
        <f t="shared" si="21"/>
        <v>1.85</v>
      </c>
      <c r="AC35" s="51">
        <f t="shared" si="22"/>
        <v>1.4655405405405406</v>
      </c>
      <c r="AE35" s="52">
        <v>34</v>
      </c>
      <c r="AF35">
        <f t="shared" si="24"/>
        <v>1</v>
      </c>
      <c r="AG35">
        <f t="shared" si="26"/>
        <v>35.000000000000007</v>
      </c>
      <c r="AH35">
        <f t="shared" si="26"/>
        <v>630.00000000000034</v>
      </c>
      <c r="AI35">
        <f t="shared" si="26"/>
        <v>7770.0000000000018</v>
      </c>
      <c r="AJ35">
        <f t="shared" si="26"/>
        <v>73815</v>
      </c>
      <c r="AK35">
        <f t="shared" si="26"/>
        <v>575757.00000000023</v>
      </c>
      <c r="AL35">
        <f t="shared" si="26"/>
        <v>3838380.0000000023</v>
      </c>
      <c r="AM35">
        <f t="shared" si="26"/>
        <v>22481939.999999996</v>
      </c>
      <c r="AN35">
        <f t="shared" si="26"/>
        <v>118030185.00000003</v>
      </c>
      <c r="AO35">
        <f t="shared" si="26"/>
        <v>563921995.00000024</v>
      </c>
      <c r="AP35">
        <f t="shared" si="26"/>
        <v>2481256778.0000014</v>
      </c>
      <c r="AQ35">
        <f t="shared" si="26"/>
        <v>10150595910.000004</v>
      </c>
      <c r="AR35">
        <f t="shared" si="26"/>
        <v>38910617655.000008</v>
      </c>
      <c r="AS35">
        <f t="shared" si="26"/>
        <v>140676848445.00006</v>
      </c>
      <c r="AT35">
        <f t="shared" si="26"/>
        <v>482320623239.99994</v>
      </c>
      <c r="AU35">
        <f t="shared" si="26"/>
        <v>1575580702584.0012</v>
      </c>
      <c r="AV35">
        <f t="shared" si="26"/>
        <v>4923689695575</v>
      </c>
      <c r="AW35">
        <f t="shared" si="26"/>
        <v>14771069086724.996</v>
      </c>
      <c r="AX35">
        <f t="shared" si="26"/>
        <v>42671977361650.016</v>
      </c>
      <c r="AY35">
        <f t="shared" si="26"/>
        <v>119032357903549.97</v>
      </c>
    </row>
    <row r="36" spans="1:51" x14ac:dyDescent="0.3">
      <c r="A36">
        <f t="shared" si="1"/>
        <v>0</v>
      </c>
      <c r="B36">
        <f t="shared" si="2"/>
        <v>0</v>
      </c>
      <c r="C36">
        <f t="shared" si="3"/>
        <v>0</v>
      </c>
      <c r="D36">
        <f t="shared" si="4"/>
        <v>0</v>
      </c>
      <c r="E36">
        <f t="shared" si="5"/>
        <v>1</v>
      </c>
      <c r="F36">
        <f t="shared" si="6"/>
        <v>0</v>
      </c>
      <c r="G36">
        <f t="shared" si="7"/>
        <v>0</v>
      </c>
      <c r="H36">
        <f t="shared" si="8"/>
        <v>1</v>
      </c>
      <c r="I36">
        <f t="shared" si="9"/>
        <v>0</v>
      </c>
      <c r="J36">
        <f t="shared" si="10"/>
        <v>0</v>
      </c>
      <c r="K36" s="45">
        <f t="shared" si="11"/>
        <v>0</v>
      </c>
      <c r="L36" s="45">
        <f t="shared" si="12"/>
        <v>0</v>
      </c>
      <c r="M36" s="45">
        <f t="shared" si="13"/>
        <v>0</v>
      </c>
      <c r="N36" s="45">
        <f t="shared" si="14"/>
        <v>0</v>
      </c>
      <c r="O36" s="45">
        <f t="shared" si="15"/>
        <v>0.5</v>
      </c>
      <c r="P36" s="45">
        <f t="shared" si="16"/>
        <v>0</v>
      </c>
      <c r="Q36" s="45">
        <f t="shared" si="17"/>
        <v>0</v>
      </c>
      <c r="R36" s="45">
        <f t="shared" si="18"/>
        <v>0.5</v>
      </c>
      <c r="S36" s="45">
        <f t="shared" si="19"/>
        <v>0</v>
      </c>
      <c r="T36" s="45">
        <f t="shared" si="20"/>
        <v>0</v>
      </c>
      <c r="AA36" s="51">
        <v>1.875</v>
      </c>
      <c r="AB36" s="51">
        <f t="shared" si="21"/>
        <v>1.875</v>
      </c>
      <c r="AC36" s="51">
        <f t="shared" si="22"/>
        <v>1.4708333333333332</v>
      </c>
      <c r="AE36" s="52">
        <v>35</v>
      </c>
      <c r="AF36">
        <f t="shared" si="24"/>
        <v>1</v>
      </c>
      <c r="AG36">
        <f t="shared" si="26"/>
        <v>36.000000000000014</v>
      </c>
      <c r="AH36">
        <f t="shared" si="26"/>
        <v>666.00000000000011</v>
      </c>
      <c r="AI36">
        <f t="shared" si="26"/>
        <v>8436</v>
      </c>
      <c r="AJ36">
        <f t="shared" si="26"/>
        <v>82251.000000000029</v>
      </c>
      <c r="AK36">
        <f t="shared" si="26"/>
        <v>658008.00000000035</v>
      </c>
      <c r="AL36">
        <f t="shared" si="26"/>
        <v>4496387.9999999991</v>
      </c>
      <c r="AM36">
        <f t="shared" si="26"/>
        <v>26978328.000000004</v>
      </c>
      <c r="AN36">
        <f t="shared" si="26"/>
        <v>145008513.00000003</v>
      </c>
      <c r="AO36">
        <f t="shared" si="26"/>
        <v>708930508.00000036</v>
      </c>
      <c r="AP36">
        <f t="shared" si="26"/>
        <v>3190187286.000001</v>
      </c>
      <c r="AQ36">
        <f t="shared" si="26"/>
        <v>13340783196</v>
      </c>
      <c r="AR36">
        <f t="shared" si="26"/>
        <v>52251400851.000023</v>
      </c>
      <c r="AS36">
        <f t="shared" si="26"/>
        <v>192928249295.99994</v>
      </c>
      <c r="AT36">
        <f t="shared" si="26"/>
        <v>675248872536.00037</v>
      </c>
      <c r="AU36">
        <f t="shared" si="26"/>
        <v>2250829575120</v>
      </c>
      <c r="AV36">
        <f t="shared" si="26"/>
        <v>7174519270694.9971</v>
      </c>
      <c r="AW36">
        <f t="shared" si="26"/>
        <v>21945588357420.008</v>
      </c>
      <c r="AX36">
        <f t="shared" si="26"/>
        <v>64617565719069.977</v>
      </c>
      <c r="AY36">
        <f t="shared" si="26"/>
        <v>183649923622619.94</v>
      </c>
    </row>
    <row r="37" spans="1:51" x14ac:dyDescent="0.3">
      <c r="A37">
        <f t="shared" si="1"/>
        <v>0</v>
      </c>
      <c r="B37">
        <f t="shared" si="2"/>
        <v>0</v>
      </c>
      <c r="C37">
        <f t="shared" si="3"/>
        <v>0</v>
      </c>
      <c r="D37">
        <f t="shared" si="4"/>
        <v>0</v>
      </c>
      <c r="E37">
        <f t="shared" si="5"/>
        <v>1</v>
      </c>
      <c r="F37">
        <f t="shared" si="6"/>
        <v>0</v>
      </c>
      <c r="G37">
        <f t="shared" si="7"/>
        <v>0</v>
      </c>
      <c r="H37">
        <f t="shared" si="8"/>
        <v>1</v>
      </c>
      <c r="I37">
        <f t="shared" si="9"/>
        <v>0</v>
      </c>
      <c r="J37">
        <f t="shared" si="10"/>
        <v>1</v>
      </c>
      <c r="K37" s="45">
        <f t="shared" si="11"/>
        <v>0</v>
      </c>
      <c r="L37" s="45">
        <f t="shared" si="12"/>
        <v>0</v>
      </c>
      <c r="M37" s="45">
        <f t="shared" si="13"/>
        <v>0</v>
      </c>
      <c r="N37" s="45">
        <f t="shared" si="14"/>
        <v>0</v>
      </c>
      <c r="O37" s="45">
        <f t="shared" si="15"/>
        <v>0.33333333333333331</v>
      </c>
      <c r="P37" s="45">
        <f t="shared" si="16"/>
        <v>0</v>
      </c>
      <c r="Q37" s="45">
        <f t="shared" si="17"/>
        <v>0</v>
      </c>
      <c r="R37" s="45">
        <f t="shared" si="18"/>
        <v>0.33333333333333331</v>
      </c>
      <c r="S37" s="45">
        <f t="shared" si="19"/>
        <v>0</v>
      </c>
      <c r="T37" s="45">
        <f t="shared" si="20"/>
        <v>0.33333333333333331</v>
      </c>
      <c r="AA37" s="51">
        <v>1.9</v>
      </c>
      <c r="AB37" s="51">
        <f t="shared" si="21"/>
        <v>1.9</v>
      </c>
      <c r="AC37" s="51">
        <f t="shared" si="22"/>
        <v>1.4763157894736842</v>
      </c>
      <c r="AE37" s="52">
        <v>36</v>
      </c>
      <c r="AF37">
        <f t="shared" si="24"/>
        <v>1</v>
      </c>
      <c r="AG37">
        <f t="shared" si="26"/>
        <v>36.999999999999993</v>
      </c>
      <c r="AH37">
        <f t="shared" si="26"/>
        <v>702.99999999999966</v>
      </c>
      <c r="AI37">
        <f t="shared" si="26"/>
        <v>9138.9999999999982</v>
      </c>
      <c r="AJ37">
        <f t="shared" si="26"/>
        <v>91390</v>
      </c>
      <c r="AK37">
        <f t="shared" si="26"/>
        <v>749397.99999999953</v>
      </c>
      <c r="AL37">
        <f t="shared" si="26"/>
        <v>5245786</v>
      </c>
      <c r="AM37">
        <f t="shared" si="26"/>
        <v>32224113.999999993</v>
      </c>
      <c r="AN37">
        <f t="shared" si="26"/>
        <v>177232627</v>
      </c>
      <c r="AO37">
        <f t="shared" si="26"/>
        <v>886163134.99999988</v>
      </c>
      <c r="AP37">
        <f t="shared" si="26"/>
        <v>4076350420.999999</v>
      </c>
      <c r="AQ37">
        <f t="shared" si="26"/>
        <v>17417133617</v>
      </c>
      <c r="AR37">
        <f t="shared" si="26"/>
        <v>69668534467.999954</v>
      </c>
      <c r="AS37">
        <f t="shared" si="26"/>
        <v>262596783764.00006</v>
      </c>
      <c r="AT37">
        <f t="shared" si="26"/>
        <v>937845656299.99963</v>
      </c>
      <c r="AU37">
        <f t="shared" si="26"/>
        <v>3188675231419.9976</v>
      </c>
      <c r="AV37">
        <f t="shared" si="26"/>
        <v>10363194502115</v>
      </c>
      <c r="AW37">
        <f t="shared" si="26"/>
        <v>32308782859534.98</v>
      </c>
      <c r="AX37">
        <f t="shared" si="26"/>
        <v>96926348578604.938</v>
      </c>
      <c r="AY37">
        <f t="shared" si="26"/>
        <v>280576272201224.63</v>
      </c>
    </row>
    <row r="38" spans="1:51" x14ac:dyDescent="0.3">
      <c r="A38">
        <f t="shared" si="1"/>
        <v>0</v>
      </c>
      <c r="B38">
        <f t="shared" si="2"/>
        <v>0</v>
      </c>
      <c r="C38">
        <f t="shared" si="3"/>
        <v>0</v>
      </c>
      <c r="D38">
        <f t="shared" si="4"/>
        <v>0</v>
      </c>
      <c r="E38">
        <f t="shared" si="5"/>
        <v>1</v>
      </c>
      <c r="F38">
        <f t="shared" si="6"/>
        <v>0</v>
      </c>
      <c r="G38">
        <f t="shared" si="7"/>
        <v>0</v>
      </c>
      <c r="H38">
        <f t="shared" si="8"/>
        <v>1</v>
      </c>
      <c r="I38">
        <f t="shared" si="9"/>
        <v>1</v>
      </c>
      <c r="J38">
        <f t="shared" si="10"/>
        <v>0</v>
      </c>
      <c r="K38" s="45">
        <f t="shared" si="11"/>
        <v>0</v>
      </c>
      <c r="L38" s="45">
        <f t="shared" si="12"/>
        <v>0</v>
      </c>
      <c r="M38" s="45">
        <f t="shared" si="13"/>
        <v>0</v>
      </c>
      <c r="N38" s="45">
        <f t="shared" si="14"/>
        <v>0</v>
      </c>
      <c r="O38" s="45">
        <f t="shared" si="15"/>
        <v>0.33333333333333331</v>
      </c>
      <c r="P38" s="45">
        <f t="shared" si="16"/>
        <v>0</v>
      </c>
      <c r="Q38" s="45">
        <f t="shared" si="17"/>
        <v>0</v>
      </c>
      <c r="R38" s="45">
        <f t="shared" si="18"/>
        <v>0.33333333333333331</v>
      </c>
      <c r="S38" s="45">
        <f t="shared" si="19"/>
        <v>0.33333333333333331</v>
      </c>
      <c r="T38" s="45">
        <f t="shared" si="20"/>
        <v>0</v>
      </c>
      <c r="AA38" s="51">
        <v>1.925</v>
      </c>
      <c r="AB38" s="51">
        <f t="shared" si="21"/>
        <v>1.925</v>
      </c>
      <c r="AC38" s="51">
        <f t="shared" si="22"/>
        <v>1.4819805194805196</v>
      </c>
      <c r="AE38" s="52">
        <v>37</v>
      </c>
      <c r="AF38">
        <f t="shared" si="24"/>
        <v>1</v>
      </c>
      <c r="AG38">
        <f t="shared" si="26"/>
        <v>37.999999999999993</v>
      </c>
      <c r="AH38">
        <f t="shared" si="26"/>
        <v>741.00000000000011</v>
      </c>
      <c r="AI38">
        <f t="shared" si="26"/>
        <v>9880.0000000000018</v>
      </c>
      <c r="AJ38">
        <f t="shared" si="26"/>
        <v>101269.99999999996</v>
      </c>
      <c r="AK38">
        <f t="shared" si="26"/>
        <v>850668.00000000012</v>
      </c>
      <c r="AL38">
        <f t="shared" si="26"/>
        <v>6096454.0000000009</v>
      </c>
      <c r="AM38">
        <f t="shared" si="26"/>
        <v>38320568.000000007</v>
      </c>
      <c r="AN38">
        <f t="shared" si="26"/>
        <v>215553195.00000003</v>
      </c>
      <c r="AO38">
        <f t="shared" si="26"/>
        <v>1101716330</v>
      </c>
      <c r="AP38">
        <f t="shared" si="26"/>
        <v>5178066751.0000019</v>
      </c>
      <c r="AQ38">
        <f t="shared" si="26"/>
        <v>22595200367.999989</v>
      </c>
      <c r="AR38">
        <f t="shared" si="26"/>
        <v>92263734836.000046</v>
      </c>
      <c r="AS38">
        <f t="shared" si="26"/>
        <v>354860518599.99994</v>
      </c>
      <c r="AT38">
        <f t="shared" si="26"/>
        <v>1292706174899.9995</v>
      </c>
      <c r="AU38">
        <f t="shared" si="26"/>
        <v>4481381406320.001</v>
      </c>
      <c r="AV38">
        <f t="shared" si="26"/>
        <v>14844575908434.994</v>
      </c>
      <c r="AW38">
        <f t="shared" si="26"/>
        <v>47153358767969.977</v>
      </c>
      <c r="AX38">
        <f t="shared" si="26"/>
        <v>144079707346574.84</v>
      </c>
      <c r="AY38">
        <f t="shared" si="26"/>
        <v>424655979547799.81</v>
      </c>
    </row>
    <row r="39" spans="1:51" x14ac:dyDescent="0.3">
      <c r="A39">
        <f t="shared" si="1"/>
        <v>0</v>
      </c>
      <c r="B39">
        <f t="shared" si="2"/>
        <v>0</v>
      </c>
      <c r="C39">
        <f t="shared" si="3"/>
        <v>0</v>
      </c>
      <c r="D39">
        <f t="shared" si="4"/>
        <v>0</v>
      </c>
      <c r="E39">
        <f t="shared" si="5"/>
        <v>1</v>
      </c>
      <c r="F39">
        <f t="shared" si="6"/>
        <v>0</v>
      </c>
      <c r="G39">
        <f t="shared" si="7"/>
        <v>0</v>
      </c>
      <c r="H39">
        <f t="shared" si="8"/>
        <v>1</v>
      </c>
      <c r="I39">
        <f t="shared" si="9"/>
        <v>1</v>
      </c>
      <c r="J39">
        <f t="shared" si="10"/>
        <v>1</v>
      </c>
      <c r="K39" s="45">
        <f t="shared" si="11"/>
        <v>0</v>
      </c>
      <c r="L39" s="45">
        <f t="shared" si="12"/>
        <v>0</v>
      </c>
      <c r="M39" s="45">
        <f t="shared" si="13"/>
        <v>0</v>
      </c>
      <c r="N39" s="45">
        <f t="shared" si="14"/>
        <v>0</v>
      </c>
      <c r="O39" s="45">
        <f t="shared" si="15"/>
        <v>0.25</v>
      </c>
      <c r="P39" s="45">
        <f t="shared" si="16"/>
        <v>0</v>
      </c>
      <c r="Q39" s="45">
        <f t="shared" si="17"/>
        <v>0</v>
      </c>
      <c r="R39" s="45">
        <f t="shared" si="18"/>
        <v>0.25</v>
      </c>
      <c r="S39" s="45">
        <f t="shared" si="19"/>
        <v>0.25</v>
      </c>
      <c r="T39" s="45">
        <f t="shared" si="20"/>
        <v>0.25</v>
      </c>
      <c r="AA39" s="51">
        <v>1.95</v>
      </c>
      <c r="AB39" s="51">
        <f t="shared" si="21"/>
        <v>1.95</v>
      </c>
      <c r="AC39" s="51">
        <f t="shared" si="22"/>
        <v>1.4878205128205129</v>
      </c>
      <c r="AE39" s="52">
        <v>38</v>
      </c>
      <c r="AF39">
        <f t="shared" si="24"/>
        <v>1</v>
      </c>
      <c r="AG39">
        <f t="shared" si="26"/>
        <v>39.000000000000014</v>
      </c>
      <c r="AH39">
        <f t="shared" si="26"/>
        <v>780.00000000000034</v>
      </c>
      <c r="AI39">
        <f t="shared" si="26"/>
        <v>10660</v>
      </c>
      <c r="AJ39">
        <f t="shared" si="26"/>
        <v>111930.00000000004</v>
      </c>
      <c r="AK39">
        <f t="shared" si="26"/>
        <v>962598.00000000035</v>
      </c>
      <c r="AL39">
        <f t="shared" si="26"/>
        <v>7059052.0000000028</v>
      </c>
      <c r="AM39">
        <f t="shared" si="26"/>
        <v>45379620.000000007</v>
      </c>
      <c r="AN39">
        <f t="shared" si="26"/>
        <v>260932815.00000003</v>
      </c>
      <c r="AO39">
        <f t="shared" si="26"/>
        <v>1362649145.0000007</v>
      </c>
      <c r="AP39">
        <f t="shared" si="26"/>
        <v>6540715895.999999</v>
      </c>
      <c r="AQ39">
        <f t="shared" si="26"/>
        <v>29135916264.000019</v>
      </c>
      <c r="AR39">
        <f t="shared" si="26"/>
        <v>121399651100.00002</v>
      </c>
      <c r="AS39">
        <f t="shared" si="26"/>
        <v>476260169699.99982</v>
      </c>
      <c r="AT39">
        <f t="shared" si="26"/>
        <v>1768966344600.0007</v>
      </c>
      <c r="AU39">
        <f t="shared" si="26"/>
        <v>6250347750919.999</v>
      </c>
      <c r="AV39">
        <f t="shared" si="26"/>
        <v>21094923659354.996</v>
      </c>
      <c r="AW39">
        <f t="shared" si="26"/>
        <v>68248282427324.945</v>
      </c>
      <c r="AX39">
        <f t="shared" si="26"/>
        <v>212327989773899.97</v>
      </c>
      <c r="AY39">
        <f t="shared" si="26"/>
        <v>636983969321700.25</v>
      </c>
    </row>
    <row r="40" spans="1:51" x14ac:dyDescent="0.3">
      <c r="A40">
        <f t="shared" si="1"/>
        <v>0</v>
      </c>
      <c r="B40">
        <f t="shared" si="2"/>
        <v>0</v>
      </c>
      <c r="C40">
        <f t="shared" si="3"/>
        <v>0</v>
      </c>
      <c r="D40">
        <f t="shared" si="4"/>
        <v>0</v>
      </c>
      <c r="E40">
        <f t="shared" si="5"/>
        <v>1</v>
      </c>
      <c r="F40">
        <f t="shared" si="6"/>
        <v>0</v>
      </c>
      <c r="G40">
        <f t="shared" si="7"/>
        <v>1</v>
      </c>
      <c r="H40">
        <f t="shared" si="8"/>
        <v>0</v>
      </c>
      <c r="I40">
        <f t="shared" si="9"/>
        <v>0</v>
      </c>
      <c r="J40">
        <f t="shared" si="10"/>
        <v>0</v>
      </c>
      <c r="K40" s="45">
        <f t="shared" si="11"/>
        <v>0</v>
      </c>
      <c r="L40" s="45">
        <f t="shared" si="12"/>
        <v>0</v>
      </c>
      <c r="M40" s="45">
        <f t="shared" si="13"/>
        <v>0</v>
      </c>
      <c r="N40" s="45">
        <f t="shared" si="14"/>
        <v>0</v>
      </c>
      <c r="O40" s="45">
        <f t="shared" si="15"/>
        <v>0.5</v>
      </c>
      <c r="P40" s="45">
        <f t="shared" si="16"/>
        <v>0</v>
      </c>
      <c r="Q40" s="45">
        <f t="shared" si="17"/>
        <v>0.5</v>
      </c>
      <c r="R40" s="45">
        <f t="shared" si="18"/>
        <v>0</v>
      </c>
      <c r="S40" s="45">
        <f t="shared" si="19"/>
        <v>0</v>
      </c>
      <c r="T40" s="45">
        <f t="shared" si="20"/>
        <v>0</v>
      </c>
      <c r="AA40" s="51">
        <v>1.9750000000000001</v>
      </c>
      <c r="AB40" s="51">
        <f t="shared" si="21"/>
        <v>1.9750000000000001</v>
      </c>
      <c r="AC40" s="51">
        <f t="shared" si="22"/>
        <v>1.4938291139240505</v>
      </c>
      <c r="AE40" s="52">
        <v>39</v>
      </c>
      <c r="AF40">
        <f t="shared" si="24"/>
        <v>1</v>
      </c>
      <c r="AG40">
        <f t="shared" si="26"/>
        <v>40.000000000000007</v>
      </c>
      <c r="AH40">
        <f t="shared" si="26"/>
        <v>819.99999999999966</v>
      </c>
      <c r="AI40">
        <f t="shared" si="26"/>
        <v>11480</v>
      </c>
      <c r="AJ40">
        <f t="shared" si="26"/>
        <v>123410</v>
      </c>
      <c r="AK40">
        <f t="shared" si="26"/>
        <v>1086008</v>
      </c>
      <c r="AL40">
        <f t="shared" si="26"/>
        <v>8145060</v>
      </c>
      <c r="AM40">
        <f t="shared" si="26"/>
        <v>53524679.999999993</v>
      </c>
      <c r="AN40">
        <f t="shared" si="26"/>
        <v>314457495.00000006</v>
      </c>
      <c r="AO40">
        <f t="shared" si="26"/>
        <v>1677106639.999999</v>
      </c>
      <c r="AP40">
        <f t="shared" si="26"/>
        <v>8217822536.0000029</v>
      </c>
      <c r="AQ40">
        <f t="shared" si="26"/>
        <v>37353738799.999992</v>
      </c>
      <c r="AR40">
        <f t="shared" si="26"/>
        <v>158753389899.99991</v>
      </c>
      <c r="AS40">
        <f t="shared" si="26"/>
        <v>635013559600</v>
      </c>
      <c r="AT40">
        <f t="shared" si="26"/>
        <v>2403979904199.9985</v>
      </c>
      <c r="AU40">
        <f t="shared" si="26"/>
        <v>8654327655119.9951</v>
      </c>
      <c r="AV40">
        <f t="shared" si="26"/>
        <v>29749251314474.969</v>
      </c>
      <c r="AW40">
        <f t="shared" si="26"/>
        <v>97997533741799.938</v>
      </c>
      <c r="AX40">
        <f t="shared" si="26"/>
        <v>310325523515700</v>
      </c>
      <c r="AY40">
        <f t="shared" si="26"/>
        <v>947309492837400</v>
      </c>
    </row>
    <row r="41" spans="1:51" x14ac:dyDescent="0.3">
      <c r="A41">
        <f t="shared" si="1"/>
        <v>0</v>
      </c>
      <c r="B41">
        <f t="shared" si="2"/>
        <v>0</v>
      </c>
      <c r="C41">
        <f t="shared" si="3"/>
        <v>0</v>
      </c>
      <c r="D41">
        <f t="shared" si="4"/>
        <v>0</v>
      </c>
      <c r="E41">
        <f t="shared" si="5"/>
        <v>1</v>
      </c>
      <c r="F41">
        <f t="shared" si="6"/>
        <v>0</v>
      </c>
      <c r="G41">
        <f t="shared" si="7"/>
        <v>1</v>
      </c>
      <c r="H41">
        <f t="shared" si="8"/>
        <v>0</v>
      </c>
      <c r="I41">
        <f t="shared" si="9"/>
        <v>0</v>
      </c>
      <c r="J41">
        <f t="shared" si="10"/>
        <v>1</v>
      </c>
      <c r="K41" s="45">
        <f t="shared" si="11"/>
        <v>0</v>
      </c>
      <c r="L41" s="45">
        <f t="shared" si="12"/>
        <v>0</v>
      </c>
      <c r="M41" s="45">
        <f t="shared" si="13"/>
        <v>0</v>
      </c>
      <c r="N41" s="45">
        <f t="shared" si="14"/>
        <v>0</v>
      </c>
      <c r="O41" s="45">
        <f t="shared" si="15"/>
        <v>0.33333333333333331</v>
      </c>
      <c r="P41" s="45">
        <f t="shared" si="16"/>
        <v>0</v>
      </c>
      <c r="Q41" s="45">
        <f t="shared" si="17"/>
        <v>0.33333333333333331</v>
      </c>
      <c r="R41" s="45">
        <f t="shared" si="18"/>
        <v>0</v>
      </c>
      <c r="S41" s="45">
        <f t="shared" si="19"/>
        <v>0</v>
      </c>
      <c r="T41" s="45">
        <f t="shared" si="20"/>
        <v>0.33333333333333331</v>
      </c>
      <c r="AA41" s="51">
        <v>2</v>
      </c>
      <c r="AB41" s="51">
        <f t="shared" si="21"/>
        <v>2</v>
      </c>
      <c r="AC41" s="51">
        <f t="shared" si="22"/>
        <v>1.5</v>
      </c>
      <c r="AE41" s="52">
        <v>40</v>
      </c>
      <c r="AF41">
        <f t="shared" si="24"/>
        <v>1</v>
      </c>
      <c r="AG41">
        <f t="shared" si="26"/>
        <v>40.999999999999972</v>
      </c>
      <c r="AH41">
        <f t="shared" si="26"/>
        <v>860.99999999999989</v>
      </c>
      <c r="AI41">
        <f t="shared" si="26"/>
        <v>12340.999999999998</v>
      </c>
      <c r="AJ41">
        <f t="shared" si="26"/>
        <v>135751</v>
      </c>
      <c r="AK41">
        <f t="shared" si="26"/>
        <v>1221758.9999999998</v>
      </c>
      <c r="AL41">
        <f t="shared" si="26"/>
        <v>9366818.9999999963</v>
      </c>
      <c r="AM41">
        <f t="shared" si="26"/>
        <v>62891499</v>
      </c>
      <c r="AN41">
        <f t="shared" si="26"/>
        <v>377348993.99999976</v>
      </c>
      <c r="AO41">
        <f t="shared" si="26"/>
        <v>2054455634.0000005</v>
      </c>
      <c r="AP41">
        <f t="shared" si="26"/>
        <v>10272278169.999996</v>
      </c>
      <c r="AQ41">
        <f t="shared" si="26"/>
        <v>47626016969.999962</v>
      </c>
      <c r="AR41">
        <f t="shared" si="26"/>
        <v>206379406870</v>
      </c>
      <c r="AS41">
        <f t="shared" si="26"/>
        <v>841392966469.99939</v>
      </c>
      <c r="AT41">
        <f t="shared" si="26"/>
        <v>3245372870669.9971</v>
      </c>
      <c r="AU41">
        <f t="shared" si="26"/>
        <v>11899700525789.984</v>
      </c>
      <c r="AV41">
        <f t="shared" si="26"/>
        <v>41648951840264.969</v>
      </c>
      <c r="AW41">
        <f t="shared" si="26"/>
        <v>139646485582065</v>
      </c>
      <c r="AX41">
        <f t="shared" si="26"/>
        <v>449972009097764.88</v>
      </c>
      <c r="AY41">
        <f t="shared" si="26"/>
        <v>1397281501935164.3</v>
      </c>
    </row>
    <row r="42" spans="1:51" x14ac:dyDescent="0.3">
      <c r="A42">
        <f t="shared" si="1"/>
        <v>0</v>
      </c>
      <c r="B42">
        <f t="shared" si="2"/>
        <v>0</v>
      </c>
      <c r="C42">
        <f t="shared" si="3"/>
        <v>0</v>
      </c>
      <c r="D42">
        <f t="shared" si="4"/>
        <v>0</v>
      </c>
      <c r="E42">
        <f t="shared" si="5"/>
        <v>1</v>
      </c>
      <c r="F42">
        <f t="shared" si="6"/>
        <v>0</v>
      </c>
      <c r="G42">
        <f t="shared" si="7"/>
        <v>1</v>
      </c>
      <c r="H42">
        <f t="shared" si="8"/>
        <v>0</v>
      </c>
      <c r="I42">
        <f t="shared" si="9"/>
        <v>1</v>
      </c>
      <c r="J42">
        <f t="shared" si="10"/>
        <v>0</v>
      </c>
      <c r="K42" s="45">
        <f t="shared" si="11"/>
        <v>0</v>
      </c>
      <c r="L42" s="45">
        <f t="shared" si="12"/>
        <v>0</v>
      </c>
      <c r="M42" s="45">
        <f t="shared" si="13"/>
        <v>0</v>
      </c>
      <c r="N42" s="45">
        <f t="shared" si="14"/>
        <v>0</v>
      </c>
      <c r="O42" s="45">
        <f t="shared" si="15"/>
        <v>0.33333333333333331</v>
      </c>
      <c r="P42" s="45">
        <f t="shared" si="16"/>
        <v>0</v>
      </c>
      <c r="Q42" s="45">
        <f t="shared" si="17"/>
        <v>0.33333333333333331</v>
      </c>
      <c r="R42" s="45">
        <f t="shared" si="18"/>
        <v>0</v>
      </c>
      <c r="S42" s="45">
        <f t="shared" si="19"/>
        <v>0.33333333333333331</v>
      </c>
      <c r="T42" s="45">
        <f t="shared" si="20"/>
        <v>0</v>
      </c>
    </row>
    <row r="43" spans="1:51" x14ac:dyDescent="0.3">
      <c r="A43">
        <f t="shared" si="1"/>
        <v>0</v>
      </c>
      <c r="B43">
        <f t="shared" si="2"/>
        <v>0</v>
      </c>
      <c r="C43">
        <f t="shared" si="3"/>
        <v>0</v>
      </c>
      <c r="D43">
        <f t="shared" si="4"/>
        <v>0</v>
      </c>
      <c r="E43">
        <f t="shared" si="5"/>
        <v>1</v>
      </c>
      <c r="F43">
        <f t="shared" si="6"/>
        <v>0</v>
      </c>
      <c r="G43">
        <f t="shared" si="7"/>
        <v>1</v>
      </c>
      <c r="H43">
        <f t="shared" si="8"/>
        <v>0</v>
      </c>
      <c r="I43">
        <f t="shared" si="9"/>
        <v>1</v>
      </c>
      <c r="J43">
        <f t="shared" si="10"/>
        <v>1</v>
      </c>
      <c r="K43" s="45">
        <f t="shared" si="11"/>
        <v>0</v>
      </c>
      <c r="L43" s="45">
        <f t="shared" si="12"/>
        <v>0</v>
      </c>
      <c r="M43" s="45">
        <f t="shared" si="13"/>
        <v>0</v>
      </c>
      <c r="N43" s="45">
        <f t="shared" si="14"/>
        <v>0</v>
      </c>
      <c r="O43" s="45">
        <f t="shared" si="15"/>
        <v>0.25</v>
      </c>
      <c r="P43" s="45">
        <f t="shared" si="16"/>
        <v>0</v>
      </c>
      <c r="Q43" s="45">
        <f t="shared" si="17"/>
        <v>0.25</v>
      </c>
      <c r="R43" s="45">
        <f t="shared" si="18"/>
        <v>0</v>
      </c>
      <c r="S43" s="45">
        <f t="shared" si="19"/>
        <v>0.25</v>
      </c>
      <c r="T43" s="45">
        <f t="shared" si="20"/>
        <v>0.25</v>
      </c>
    </row>
    <row r="44" spans="1:51" x14ac:dyDescent="0.3">
      <c r="A44">
        <f t="shared" si="1"/>
        <v>0</v>
      </c>
      <c r="B44">
        <f t="shared" si="2"/>
        <v>0</v>
      </c>
      <c r="C44">
        <f t="shared" si="3"/>
        <v>0</v>
      </c>
      <c r="D44">
        <f t="shared" si="4"/>
        <v>0</v>
      </c>
      <c r="E44">
        <f t="shared" si="5"/>
        <v>1</v>
      </c>
      <c r="F44">
        <f t="shared" si="6"/>
        <v>0</v>
      </c>
      <c r="G44">
        <f t="shared" si="7"/>
        <v>1</v>
      </c>
      <c r="H44">
        <f t="shared" si="8"/>
        <v>1</v>
      </c>
      <c r="I44">
        <f t="shared" si="9"/>
        <v>0</v>
      </c>
      <c r="J44">
        <f t="shared" si="10"/>
        <v>0</v>
      </c>
      <c r="K44" s="45">
        <f t="shared" si="11"/>
        <v>0</v>
      </c>
      <c r="L44" s="45">
        <f t="shared" si="12"/>
        <v>0</v>
      </c>
      <c r="M44" s="45">
        <f t="shared" si="13"/>
        <v>0</v>
      </c>
      <c r="N44" s="45">
        <f t="shared" si="14"/>
        <v>0</v>
      </c>
      <c r="O44" s="45">
        <f t="shared" si="15"/>
        <v>0.33333333333333331</v>
      </c>
      <c r="P44" s="45">
        <f t="shared" si="16"/>
        <v>0</v>
      </c>
      <c r="Q44" s="45">
        <f t="shared" si="17"/>
        <v>0.33333333333333331</v>
      </c>
      <c r="R44" s="45">
        <f t="shared" si="18"/>
        <v>0.33333333333333331</v>
      </c>
      <c r="S44" s="45">
        <f t="shared" si="19"/>
        <v>0</v>
      </c>
      <c r="T44" s="45">
        <f t="shared" si="20"/>
        <v>0</v>
      </c>
    </row>
    <row r="45" spans="1:51" x14ac:dyDescent="0.3">
      <c r="A45">
        <f t="shared" si="1"/>
        <v>0</v>
      </c>
      <c r="B45">
        <f t="shared" si="2"/>
        <v>0</v>
      </c>
      <c r="C45">
        <f t="shared" si="3"/>
        <v>0</v>
      </c>
      <c r="D45">
        <f t="shared" si="4"/>
        <v>0</v>
      </c>
      <c r="E45">
        <f t="shared" si="5"/>
        <v>1</v>
      </c>
      <c r="F45">
        <f t="shared" si="6"/>
        <v>0</v>
      </c>
      <c r="G45">
        <f t="shared" si="7"/>
        <v>1</v>
      </c>
      <c r="H45">
        <f t="shared" si="8"/>
        <v>1</v>
      </c>
      <c r="I45">
        <f t="shared" si="9"/>
        <v>0</v>
      </c>
      <c r="J45">
        <f t="shared" si="10"/>
        <v>1</v>
      </c>
      <c r="K45" s="45">
        <f t="shared" si="11"/>
        <v>0</v>
      </c>
      <c r="L45" s="45">
        <f t="shared" si="12"/>
        <v>0</v>
      </c>
      <c r="M45" s="45">
        <f t="shared" si="13"/>
        <v>0</v>
      </c>
      <c r="N45" s="45">
        <f t="shared" si="14"/>
        <v>0</v>
      </c>
      <c r="O45" s="45">
        <f t="shared" si="15"/>
        <v>0.25</v>
      </c>
      <c r="P45" s="45">
        <f t="shared" si="16"/>
        <v>0</v>
      </c>
      <c r="Q45" s="45">
        <f t="shared" si="17"/>
        <v>0.25</v>
      </c>
      <c r="R45" s="45">
        <f t="shared" si="18"/>
        <v>0.25</v>
      </c>
      <c r="S45" s="45">
        <f t="shared" si="19"/>
        <v>0</v>
      </c>
      <c r="T45" s="45">
        <f t="shared" si="20"/>
        <v>0.25</v>
      </c>
    </row>
    <row r="46" spans="1:51" x14ac:dyDescent="0.3">
      <c r="A46">
        <f t="shared" si="1"/>
        <v>0</v>
      </c>
      <c r="B46">
        <f t="shared" si="2"/>
        <v>0</v>
      </c>
      <c r="C46">
        <f t="shared" si="3"/>
        <v>0</v>
      </c>
      <c r="D46">
        <f t="shared" si="4"/>
        <v>0</v>
      </c>
      <c r="E46">
        <f t="shared" si="5"/>
        <v>1</v>
      </c>
      <c r="F46">
        <f t="shared" si="6"/>
        <v>0</v>
      </c>
      <c r="G46">
        <f t="shared" si="7"/>
        <v>1</v>
      </c>
      <c r="H46">
        <f t="shared" si="8"/>
        <v>1</v>
      </c>
      <c r="I46">
        <f t="shared" si="9"/>
        <v>1</v>
      </c>
      <c r="J46">
        <f t="shared" si="10"/>
        <v>0</v>
      </c>
      <c r="K46" s="45">
        <f t="shared" si="11"/>
        <v>0</v>
      </c>
      <c r="L46" s="45">
        <f t="shared" si="12"/>
        <v>0</v>
      </c>
      <c r="M46" s="45">
        <f t="shared" si="13"/>
        <v>0</v>
      </c>
      <c r="N46" s="45">
        <f t="shared" si="14"/>
        <v>0</v>
      </c>
      <c r="O46" s="45">
        <f t="shared" si="15"/>
        <v>0.25</v>
      </c>
      <c r="P46" s="45">
        <f t="shared" si="16"/>
        <v>0</v>
      </c>
      <c r="Q46" s="45">
        <f t="shared" si="17"/>
        <v>0.25</v>
      </c>
      <c r="R46" s="45">
        <f t="shared" si="18"/>
        <v>0.25</v>
      </c>
      <c r="S46" s="45">
        <f t="shared" si="19"/>
        <v>0.25</v>
      </c>
      <c r="T46" s="45">
        <f t="shared" si="20"/>
        <v>0</v>
      </c>
    </row>
    <row r="47" spans="1:51" x14ac:dyDescent="0.3">
      <c r="A47">
        <f t="shared" si="1"/>
        <v>0</v>
      </c>
      <c r="B47">
        <f t="shared" si="2"/>
        <v>0</v>
      </c>
      <c r="C47">
        <f t="shared" si="3"/>
        <v>0</v>
      </c>
      <c r="D47">
        <f t="shared" si="4"/>
        <v>0</v>
      </c>
      <c r="E47">
        <f t="shared" si="5"/>
        <v>1</v>
      </c>
      <c r="F47">
        <f t="shared" si="6"/>
        <v>0</v>
      </c>
      <c r="G47">
        <f t="shared" si="7"/>
        <v>1</v>
      </c>
      <c r="H47">
        <f t="shared" si="8"/>
        <v>1</v>
      </c>
      <c r="I47">
        <f t="shared" si="9"/>
        <v>1</v>
      </c>
      <c r="J47">
        <f t="shared" si="10"/>
        <v>1</v>
      </c>
      <c r="K47" s="45">
        <f t="shared" si="11"/>
        <v>0</v>
      </c>
      <c r="L47" s="45">
        <f t="shared" si="12"/>
        <v>0</v>
      </c>
      <c r="M47" s="45">
        <f t="shared" si="13"/>
        <v>0</v>
      </c>
      <c r="N47" s="45">
        <f t="shared" si="14"/>
        <v>0</v>
      </c>
      <c r="O47" s="45">
        <f t="shared" si="15"/>
        <v>0.2</v>
      </c>
      <c r="P47" s="45">
        <f t="shared" si="16"/>
        <v>0</v>
      </c>
      <c r="Q47" s="45">
        <f t="shared" si="17"/>
        <v>0.2</v>
      </c>
      <c r="R47" s="45">
        <f t="shared" si="18"/>
        <v>0.2</v>
      </c>
      <c r="S47" s="45">
        <f t="shared" si="19"/>
        <v>0.2</v>
      </c>
      <c r="T47" s="45">
        <f t="shared" si="20"/>
        <v>0.2</v>
      </c>
    </row>
    <row r="48" spans="1:51" x14ac:dyDescent="0.3">
      <c r="A48">
        <f t="shared" si="1"/>
        <v>0</v>
      </c>
      <c r="B48">
        <f t="shared" si="2"/>
        <v>0</v>
      </c>
      <c r="C48">
        <f t="shared" si="3"/>
        <v>0</v>
      </c>
      <c r="D48">
        <f t="shared" si="4"/>
        <v>0</v>
      </c>
      <c r="E48">
        <f t="shared" si="5"/>
        <v>1</v>
      </c>
      <c r="F48">
        <f t="shared" si="6"/>
        <v>1</v>
      </c>
      <c r="G48">
        <f t="shared" si="7"/>
        <v>0</v>
      </c>
      <c r="H48">
        <f t="shared" si="8"/>
        <v>0</v>
      </c>
      <c r="I48">
        <f t="shared" si="9"/>
        <v>0</v>
      </c>
      <c r="J48">
        <f t="shared" si="10"/>
        <v>0</v>
      </c>
      <c r="K48" s="45">
        <f t="shared" si="11"/>
        <v>0</v>
      </c>
      <c r="L48" s="45">
        <f t="shared" si="12"/>
        <v>0</v>
      </c>
      <c r="M48" s="45">
        <f t="shared" si="13"/>
        <v>0</v>
      </c>
      <c r="N48" s="45">
        <f t="shared" si="14"/>
        <v>0</v>
      </c>
      <c r="O48" s="45">
        <f t="shared" si="15"/>
        <v>0.5</v>
      </c>
      <c r="P48" s="45">
        <f t="shared" si="16"/>
        <v>0.5</v>
      </c>
      <c r="Q48" s="45">
        <f t="shared" si="17"/>
        <v>0</v>
      </c>
      <c r="R48" s="45">
        <f t="shared" si="18"/>
        <v>0</v>
      </c>
      <c r="S48" s="45">
        <f t="shared" si="19"/>
        <v>0</v>
      </c>
      <c r="T48" s="45">
        <f t="shared" si="20"/>
        <v>0</v>
      </c>
    </row>
    <row r="49" spans="1:20" x14ac:dyDescent="0.3">
      <c r="A49">
        <f t="shared" si="1"/>
        <v>0</v>
      </c>
      <c r="B49">
        <f t="shared" si="2"/>
        <v>0</v>
      </c>
      <c r="C49">
        <f t="shared" si="3"/>
        <v>0</v>
      </c>
      <c r="D49">
        <f t="shared" si="4"/>
        <v>0</v>
      </c>
      <c r="E49">
        <f t="shared" si="5"/>
        <v>1</v>
      </c>
      <c r="F49">
        <f t="shared" si="6"/>
        <v>1</v>
      </c>
      <c r="G49">
        <f t="shared" si="7"/>
        <v>0</v>
      </c>
      <c r="H49">
        <f t="shared" si="8"/>
        <v>0</v>
      </c>
      <c r="I49">
        <f t="shared" si="9"/>
        <v>0</v>
      </c>
      <c r="J49">
        <f t="shared" si="10"/>
        <v>1</v>
      </c>
      <c r="K49" s="45">
        <f t="shared" si="11"/>
        <v>0</v>
      </c>
      <c r="L49" s="45">
        <f t="shared" si="12"/>
        <v>0</v>
      </c>
      <c r="M49" s="45">
        <f t="shared" si="13"/>
        <v>0</v>
      </c>
      <c r="N49" s="45">
        <f t="shared" si="14"/>
        <v>0</v>
      </c>
      <c r="O49" s="45">
        <f t="shared" si="15"/>
        <v>0.33333333333333331</v>
      </c>
      <c r="P49" s="45">
        <f t="shared" si="16"/>
        <v>0.33333333333333331</v>
      </c>
      <c r="Q49" s="45">
        <f t="shared" si="17"/>
        <v>0</v>
      </c>
      <c r="R49" s="45">
        <f t="shared" si="18"/>
        <v>0</v>
      </c>
      <c r="S49" s="45">
        <f t="shared" si="19"/>
        <v>0</v>
      </c>
      <c r="T49" s="45">
        <f t="shared" si="20"/>
        <v>0.33333333333333331</v>
      </c>
    </row>
    <row r="50" spans="1:20" x14ac:dyDescent="0.3">
      <c r="A50">
        <f t="shared" si="1"/>
        <v>0</v>
      </c>
      <c r="B50">
        <f t="shared" si="2"/>
        <v>0</v>
      </c>
      <c r="C50">
        <f t="shared" si="3"/>
        <v>0</v>
      </c>
      <c r="D50">
        <f t="shared" si="4"/>
        <v>0</v>
      </c>
      <c r="E50">
        <f t="shared" si="5"/>
        <v>1</v>
      </c>
      <c r="F50">
        <f t="shared" si="6"/>
        <v>1</v>
      </c>
      <c r="G50">
        <f t="shared" si="7"/>
        <v>0</v>
      </c>
      <c r="H50">
        <f t="shared" si="8"/>
        <v>0</v>
      </c>
      <c r="I50">
        <f t="shared" si="9"/>
        <v>1</v>
      </c>
      <c r="J50">
        <f t="shared" si="10"/>
        <v>0</v>
      </c>
      <c r="K50" s="45">
        <f t="shared" si="11"/>
        <v>0</v>
      </c>
      <c r="L50" s="45">
        <f t="shared" si="12"/>
        <v>0</v>
      </c>
      <c r="M50" s="45">
        <f t="shared" si="13"/>
        <v>0</v>
      </c>
      <c r="N50" s="45">
        <f t="shared" si="14"/>
        <v>0</v>
      </c>
      <c r="O50" s="45">
        <f t="shared" si="15"/>
        <v>0.33333333333333331</v>
      </c>
      <c r="P50" s="45">
        <f t="shared" si="16"/>
        <v>0.33333333333333331</v>
      </c>
      <c r="Q50" s="45">
        <f t="shared" si="17"/>
        <v>0</v>
      </c>
      <c r="R50" s="45">
        <f t="shared" si="18"/>
        <v>0</v>
      </c>
      <c r="S50" s="45">
        <f t="shared" si="19"/>
        <v>0.33333333333333331</v>
      </c>
      <c r="T50" s="45">
        <f t="shared" si="20"/>
        <v>0</v>
      </c>
    </row>
    <row r="51" spans="1:20" x14ac:dyDescent="0.3">
      <c r="A51">
        <f t="shared" si="1"/>
        <v>0</v>
      </c>
      <c r="B51">
        <f t="shared" si="2"/>
        <v>0</v>
      </c>
      <c r="C51">
        <f t="shared" si="3"/>
        <v>0</v>
      </c>
      <c r="D51">
        <f t="shared" si="4"/>
        <v>0</v>
      </c>
      <c r="E51">
        <f t="shared" si="5"/>
        <v>1</v>
      </c>
      <c r="F51">
        <f t="shared" si="6"/>
        <v>1</v>
      </c>
      <c r="G51">
        <f t="shared" si="7"/>
        <v>0</v>
      </c>
      <c r="H51">
        <f t="shared" si="8"/>
        <v>0</v>
      </c>
      <c r="I51">
        <f t="shared" si="9"/>
        <v>1</v>
      </c>
      <c r="J51">
        <f t="shared" si="10"/>
        <v>1</v>
      </c>
      <c r="K51" s="45">
        <f t="shared" si="11"/>
        <v>0</v>
      </c>
      <c r="L51" s="45">
        <f t="shared" si="12"/>
        <v>0</v>
      </c>
      <c r="M51" s="45">
        <f t="shared" si="13"/>
        <v>0</v>
      </c>
      <c r="N51" s="45">
        <f t="shared" si="14"/>
        <v>0</v>
      </c>
      <c r="O51" s="45">
        <f t="shared" si="15"/>
        <v>0.25</v>
      </c>
      <c r="P51" s="45">
        <f t="shared" si="16"/>
        <v>0.25</v>
      </c>
      <c r="Q51" s="45">
        <f t="shared" si="17"/>
        <v>0</v>
      </c>
      <c r="R51" s="45">
        <f t="shared" si="18"/>
        <v>0</v>
      </c>
      <c r="S51" s="45">
        <f t="shared" si="19"/>
        <v>0.25</v>
      </c>
      <c r="T51" s="45">
        <f t="shared" si="20"/>
        <v>0.25</v>
      </c>
    </row>
    <row r="52" spans="1:20" x14ac:dyDescent="0.3">
      <c r="A52">
        <f t="shared" si="1"/>
        <v>0</v>
      </c>
      <c r="B52">
        <f t="shared" si="2"/>
        <v>0</v>
      </c>
      <c r="C52">
        <f t="shared" si="3"/>
        <v>0</v>
      </c>
      <c r="D52">
        <f t="shared" si="4"/>
        <v>0</v>
      </c>
      <c r="E52">
        <f t="shared" si="5"/>
        <v>1</v>
      </c>
      <c r="F52">
        <f t="shared" si="6"/>
        <v>1</v>
      </c>
      <c r="G52">
        <f t="shared" si="7"/>
        <v>0</v>
      </c>
      <c r="H52">
        <f t="shared" si="8"/>
        <v>1</v>
      </c>
      <c r="I52">
        <f t="shared" si="9"/>
        <v>0</v>
      </c>
      <c r="J52">
        <f t="shared" si="10"/>
        <v>0</v>
      </c>
      <c r="K52" s="45">
        <f t="shared" si="11"/>
        <v>0</v>
      </c>
      <c r="L52" s="45">
        <f t="shared" si="12"/>
        <v>0</v>
      </c>
      <c r="M52" s="45">
        <f t="shared" si="13"/>
        <v>0</v>
      </c>
      <c r="N52" s="45">
        <f t="shared" si="14"/>
        <v>0</v>
      </c>
      <c r="O52" s="45">
        <f t="shared" si="15"/>
        <v>0.33333333333333331</v>
      </c>
      <c r="P52" s="45">
        <f t="shared" si="16"/>
        <v>0.33333333333333331</v>
      </c>
      <c r="Q52" s="45">
        <f t="shared" si="17"/>
        <v>0</v>
      </c>
      <c r="R52" s="45">
        <f t="shared" si="18"/>
        <v>0.33333333333333331</v>
      </c>
      <c r="S52" s="45">
        <f t="shared" si="19"/>
        <v>0</v>
      </c>
      <c r="T52" s="45">
        <f t="shared" si="20"/>
        <v>0</v>
      </c>
    </row>
    <row r="53" spans="1:20" x14ac:dyDescent="0.3">
      <c r="A53">
        <f t="shared" si="1"/>
        <v>0</v>
      </c>
      <c r="B53">
        <f t="shared" si="2"/>
        <v>0</v>
      </c>
      <c r="C53">
        <f t="shared" si="3"/>
        <v>0</v>
      </c>
      <c r="D53">
        <f t="shared" si="4"/>
        <v>0</v>
      </c>
      <c r="E53">
        <f t="shared" si="5"/>
        <v>1</v>
      </c>
      <c r="F53">
        <f t="shared" si="6"/>
        <v>1</v>
      </c>
      <c r="G53">
        <f t="shared" si="7"/>
        <v>0</v>
      </c>
      <c r="H53">
        <f t="shared" si="8"/>
        <v>1</v>
      </c>
      <c r="I53">
        <f t="shared" si="9"/>
        <v>0</v>
      </c>
      <c r="J53">
        <f t="shared" si="10"/>
        <v>1</v>
      </c>
      <c r="K53" s="45">
        <f t="shared" si="11"/>
        <v>0</v>
      </c>
      <c r="L53" s="45">
        <f t="shared" si="12"/>
        <v>0</v>
      </c>
      <c r="M53" s="45">
        <f t="shared" si="13"/>
        <v>0</v>
      </c>
      <c r="N53" s="45">
        <f t="shared" si="14"/>
        <v>0</v>
      </c>
      <c r="O53" s="45">
        <f t="shared" si="15"/>
        <v>0.25</v>
      </c>
      <c r="P53" s="45">
        <f t="shared" si="16"/>
        <v>0.25</v>
      </c>
      <c r="Q53" s="45">
        <f t="shared" si="17"/>
        <v>0</v>
      </c>
      <c r="R53" s="45">
        <f t="shared" si="18"/>
        <v>0.25</v>
      </c>
      <c r="S53" s="45">
        <f t="shared" si="19"/>
        <v>0</v>
      </c>
      <c r="T53" s="45">
        <f t="shared" si="20"/>
        <v>0.25</v>
      </c>
    </row>
    <row r="54" spans="1:20" x14ac:dyDescent="0.3">
      <c r="A54">
        <f t="shared" si="1"/>
        <v>0</v>
      </c>
      <c r="B54">
        <f t="shared" si="2"/>
        <v>0</v>
      </c>
      <c r="C54">
        <f t="shared" si="3"/>
        <v>0</v>
      </c>
      <c r="D54">
        <f t="shared" si="4"/>
        <v>0</v>
      </c>
      <c r="E54">
        <f t="shared" si="5"/>
        <v>1</v>
      </c>
      <c r="F54">
        <f t="shared" si="6"/>
        <v>1</v>
      </c>
      <c r="G54">
        <f t="shared" si="7"/>
        <v>0</v>
      </c>
      <c r="H54">
        <f t="shared" si="8"/>
        <v>1</v>
      </c>
      <c r="I54">
        <f t="shared" si="9"/>
        <v>1</v>
      </c>
      <c r="J54">
        <f t="shared" si="10"/>
        <v>0</v>
      </c>
      <c r="K54" s="45">
        <f t="shared" si="11"/>
        <v>0</v>
      </c>
      <c r="L54" s="45">
        <f t="shared" si="12"/>
        <v>0</v>
      </c>
      <c r="M54" s="45">
        <f t="shared" si="13"/>
        <v>0</v>
      </c>
      <c r="N54" s="45">
        <f t="shared" si="14"/>
        <v>0</v>
      </c>
      <c r="O54" s="45">
        <f t="shared" si="15"/>
        <v>0.25</v>
      </c>
      <c r="P54" s="45">
        <f t="shared" si="16"/>
        <v>0.25</v>
      </c>
      <c r="Q54" s="45">
        <f t="shared" si="17"/>
        <v>0</v>
      </c>
      <c r="R54" s="45">
        <f t="shared" si="18"/>
        <v>0.25</v>
      </c>
      <c r="S54" s="45">
        <f t="shared" si="19"/>
        <v>0.25</v>
      </c>
      <c r="T54" s="45">
        <f t="shared" si="20"/>
        <v>0</v>
      </c>
    </row>
    <row r="55" spans="1:20" x14ac:dyDescent="0.3">
      <c r="A55">
        <f t="shared" si="1"/>
        <v>0</v>
      </c>
      <c r="B55">
        <f t="shared" si="2"/>
        <v>0</v>
      </c>
      <c r="C55">
        <f t="shared" si="3"/>
        <v>0</v>
      </c>
      <c r="D55">
        <f t="shared" si="4"/>
        <v>0</v>
      </c>
      <c r="E55">
        <f t="shared" si="5"/>
        <v>1</v>
      </c>
      <c r="F55">
        <f t="shared" si="6"/>
        <v>1</v>
      </c>
      <c r="G55">
        <f t="shared" si="7"/>
        <v>0</v>
      </c>
      <c r="H55">
        <f t="shared" si="8"/>
        <v>1</v>
      </c>
      <c r="I55">
        <f t="shared" si="9"/>
        <v>1</v>
      </c>
      <c r="J55">
        <f t="shared" si="10"/>
        <v>1</v>
      </c>
      <c r="K55" s="45">
        <f t="shared" si="11"/>
        <v>0</v>
      </c>
      <c r="L55" s="45">
        <f t="shared" si="12"/>
        <v>0</v>
      </c>
      <c r="M55" s="45">
        <f t="shared" si="13"/>
        <v>0</v>
      </c>
      <c r="N55" s="45">
        <f t="shared" si="14"/>
        <v>0</v>
      </c>
      <c r="O55" s="45">
        <f t="shared" si="15"/>
        <v>0.2</v>
      </c>
      <c r="P55" s="45">
        <f t="shared" si="16"/>
        <v>0.2</v>
      </c>
      <c r="Q55" s="45">
        <f t="shared" si="17"/>
        <v>0</v>
      </c>
      <c r="R55" s="45">
        <f t="shared" si="18"/>
        <v>0.2</v>
      </c>
      <c r="S55" s="45">
        <f t="shared" si="19"/>
        <v>0.2</v>
      </c>
      <c r="T55" s="45">
        <f t="shared" si="20"/>
        <v>0.2</v>
      </c>
    </row>
    <row r="56" spans="1:20" x14ac:dyDescent="0.3">
      <c r="A56">
        <f t="shared" si="1"/>
        <v>0</v>
      </c>
      <c r="B56">
        <f t="shared" si="2"/>
        <v>0</v>
      </c>
      <c r="C56">
        <f t="shared" si="3"/>
        <v>0</v>
      </c>
      <c r="D56">
        <f t="shared" si="4"/>
        <v>0</v>
      </c>
      <c r="E56">
        <f t="shared" si="5"/>
        <v>1</v>
      </c>
      <c r="F56">
        <f t="shared" si="6"/>
        <v>1</v>
      </c>
      <c r="G56">
        <f t="shared" si="7"/>
        <v>1</v>
      </c>
      <c r="H56">
        <f t="shared" si="8"/>
        <v>0</v>
      </c>
      <c r="I56">
        <f t="shared" si="9"/>
        <v>0</v>
      </c>
      <c r="J56">
        <f t="shared" si="10"/>
        <v>0</v>
      </c>
      <c r="K56" s="45">
        <f t="shared" si="11"/>
        <v>0</v>
      </c>
      <c r="L56" s="45">
        <f t="shared" si="12"/>
        <v>0</v>
      </c>
      <c r="M56" s="45">
        <f t="shared" si="13"/>
        <v>0</v>
      </c>
      <c r="N56" s="45">
        <f t="shared" si="14"/>
        <v>0</v>
      </c>
      <c r="O56" s="45">
        <f t="shared" si="15"/>
        <v>0.33333333333333331</v>
      </c>
      <c r="P56" s="45">
        <f t="shared" si="16"/>
        <v>0.33333333333333331</v>
      </c>
      <c r="Q56" s="45">
        <f t="shared" si="17"/>
        <v>0.33333333333333331</v>
      </c>
      <c r="R56" s="45">
        <f t="shared" si="18"/>
        <v>0</v>
      </c>
      <c r="S56" s="45">
        <f t="shared" si="19"/>
        <v>0</v>
      </c>
      <c r="T56" s="45">
        <f t="shared" si="20"/>
        <v>0</v>
      </c>
    </row>
    <row r="57" spans="1:20" x14ac:dyDescent="0.3">
      <c r="A57">
        <f t="shared" si="1"/>
        <v>0</v>
      </c>
      <c r="B57">
        <f t="shared" si="2"/>
        <v>0</v>
      </c>
      <c r="C57">
        <f t="shared" si="3"/>
        <v>0</v>
      </c>
      <c r="D57">
        <f t="shared" si="4"/>
        <v>0</v>
      </c>
      <c r="E57">
        <f t="shared" si="5"/>
        <v>1</v>
      </c>
      <c r="F57">
        <f t="shared" si="6"/>
        <v>1</v>
      </c>
      <c r="G57">
        <f t="shared" si="7"/>
        <v>1</v>
      </c>
      <c r="H57">
        <f t="shared" si="8"/>
        <v>0</v>
      </c>
      <c r="I57">
        <f t="shared" si="9"/>
        <v>0</v>
      </c>
      <c r="J57">
        <f t="shared" si="10"/>
        <v>1</v>
      </c>
      <c r="K57" s="45">
        <f t="shared" si="11"/>
        <v>0</v>
      </c>
      <c r="L57" s="45">
        <f t="shared" si="12"/>
        <v>0</v>
      </c>
      <c r="M57" s="45">
        <f t="shared" si="13"/>
        <v>0</v>
      </c>
      <c r="N57" s="45">
        <f t="shared" si="14"/>
        <v>0</v>
      </c>
      <c r="O57" s="45">
        <f t="shared" si="15"/>
        <v>0.25</v>
      </c>
      <c r="P57" s="45">
        <f t="shared" si="16"/>
        <v>0.25</v>
      </c>
      <c r="Q57" s="45">
        <f t="shared" si="17"/>
        <v>0.25</v>
      </c>
      <c r="R57" s="45">
        <f t="shared" si="18"/>
        <v>0</v>
      </c>
      <c r="S57" s="45">
        <f t="shared" si="19"/>
        <v>0</v>
      </c>
      <c r="T57" s="45">
        <f t="shared" si="20"/>
        <v>0.25</v>
      </c>
    </row>
    <row r="58" spans="1:20" x14ac:dyDescent="0.3">
      <c r="A58">
        <f t="shared" si="1"/>
        <v>0</v>
      </c>
      <c r="B58">
        <f t="shared" si="2"/>
        <v>0</v>
      </c>
      <c r="C58">
        <f t="shared" si="3"/>
        <v>0</v>
      </c>
      <c r="D58">
        <f t="shared" si="4"/>
        <v>0</v>
      </c>
      <c r="E58">
        <f t="shared" si="5"/>
        <v>1</v>
      </c>
      <c r="F58">
        <f t="shared" si="6"/>
        <v>1</v>
      </c>
      <c r="G58">
        <f t="shared" si="7"/>
        <v>1</v>
      </c>
      <c r="H58">
        <f t="shared" si="8"/>
        <v>0</v>
      </c>
      <c r="I58">
        <f t="shared" si="9"/>
        <v>1</v>
      </c>
      <c r="J58">
        <f t="shared" si="10"/>
        <v>0</v>
      </c>
      <c r="K58" s="45">
        <f t="shared" si="11"/>
        <v>0</v>
      </c>
      <c r="L58" s="45">
        <f t="shared" si="12"/>
        <v>0</v>
      </c>
      <c r="M58" s="45">
        <f t="shared" si="13"/>
        <v>0</v>
      </c>
      <c r="N58" s="45">
        <f t="shared" si="14"/>
        <v>0</v>
      </c>
      <c r="O58" s="45">
        <f t="shared" si="15"/>
        <v>0.25</v>
      </c>
      <c r="P58" s="45">
        <f t="shared" si="16"/>
        <v>0.25</v>
      </c>
      <c r="Q58" s="45">
        <f t="shared" si="17"/>
        <v>0.25</v>
      </c>
      <c r="R58" s="45">
        <f t="shared" si="18"/>
        <v>0</v>
      </c>
      <c r="S58" s="45">
        <f t="shared" si="19"/>
        <v>0.25</v>
      </c>
      <c r="T58" s="45">
        <f t="shared" si="20"/>
        <v>0</v>
      </c>
    </row>
    <row r="59" spans="1:20" x14ac:dyDescent="0.3">
      <c r="A59">
        <f t="shared" si="1"/>
        <v>0</v>
      </c>
      <c r="B59">
        <f t="shared" si="2"/>
        <v>0</v>
      </c>
      <c r="C59">
        <f t="shared" si="3"/>
        <v>0</v>
      </c>
      <c r="D59">
        <f t="shared" si="4"/>
        <v>0</v>
      </c>
      <c r="E59">
        <f t="shared" si="5"/>
        <v>1</v>
      </c>
      <c r="F59">
        <f t="shared" si="6"/>
        <v>1</v>
      </c>
      <c r="G59">
        <f t="shared" si="7"/>
        <v>1</v>
      </c>
      <c r="H59">
        <f t="shared" si="8"/>
        <v>0</v>
      </c>
      <c r="I59">
        <f t="shared" si="9"/>
        <v>1</v>
      </c>
      <c r="J59">
        <f t="shared" si="10"/>
        <v>1</v>
      </c>
      <c r="K59" s="45">
        <f t="shared" si="11"/>
        <v>0</v>
      </c>
      <c r="L59" s="45">
        <f t="shared" si="12"/>
        <v>0</v>
      </c>
      <c r="M59" s="45">
        <f t="shared" si="13"/>
        <v>0</v>
      </c>
      <c r="N59" s="45">
        <f t="shared" si="14"/>
        <v>0</v>
      </c>
      <c r="O59" s="45">
        <f t="shared" si="15"/>
        <v>0.2</v>
      </c>
      <c r="P59" s="45">
        <f t="shared" si="16"/>
        <v>0.2</v>
      </c>
      <c r="Q59" s="45">
        <f t="shared" si="17"/>
        <v>0.2</v>
      </c>
      <c r="R59" s="45">
        <f t="shared" si="18"/>
        <v>0</v>
      </c>
      <c r="S59" s="45">
        <f t="shared" si="19"/>
        <v>0.2</v>
      </c>
      <c r="T59" s="45">
        <f t="shared" si="20"/>
        <v>0.2</v>
      </c>
    </row>
    <row r="60" spans="1:20" x14ac:dyDescent="0.3">
      <c r="A60">
        <f t="shared" si="1"/>
        <v>0</v>
      </c>
      <c r="B60">
        <f t="shared" si="2"/>
        <v>0</v>
      </c>
      <c r="C60">
        <f t="shared" si="3"/>
        <v>0</v>
      </c>
      <c r="D60">
        <f t="shared" si="4"/>
        <v>0</v>
      </c>
      <c r="E60">
        <f t="shared" si="5"/>
        <v>1</v>
      </c>
      <c r="F60">
        <f t="shared" si="6"/>
        <v>1</v>
      </c>
      <c r="G60">
        <f t="shared" si="7"/>
        <v>1</v>
      </c>
      <c r="H60">
        <f t="shared" si="8"/>
        <v>1</v>
      </c>
      <c r="I60">
        <f t="shared" si="9"/>
        <v>0</v>
      </c>
      <c r="J60">
        <f t="shared" si="10"/>
        <v>0</v>
      </c>
      <c r="K60" s="45">
        <f t="shared" si="11"/>
        <v>0</v>
      </c>
      <c r="L60" s="45">
        <f t="shared" si="12"/>
        <v>0</v>
      </c>
      <c r="M60" s="45">
        <f t="shared" si="13"/>
        <v>0</v>
      </c>
      <c r="N60" s="45">
        <f t="shared" si="14"/>
        <v>0</v>
      </c>
      <c r="O60" s="45">
        <f t="shared" si="15"/>
        <v>0.25</v>
      </c>
      <c r="P60" s="45">
        <f t="shared" si="16"/>
        <v>0.25</v>
      </c>
      <c r="Q60" s="45">
        <f t="shared" si="17"/>
        <v>0.25</v>
      </c>
      <c r="R60" s="45">
        <f t="shared" si="18"/>
        <v>0.25</v>
      </c>
      <c r="S60" s="45">
        <f t="shared" si="19"/>
        <v>0</v>
      </c>
      <c r="T60" s="45">
        <f t="shared" si="20"/>
        <v>0</v>
      </c>
    </row>
    <row r="61" spans="1:20" x14ac:dyDescent="0.3">
      <c r="A61">
        <f t="shared" si="1"/>
        <v>0</v>
      </c>
      <c r="B61">
        <f t="shared" si="2"/>
        <v>0</v>
      </c>
      <c r="C61">
        <f t="shared" si="3"/>
        <v>0</v>
      </c>
      <c r="D61">
        <f t="shared" si="4"/>
        <v>0</v>
      </c>
      <c r="E61">
        <f t="shared" si="5"/>
        <v>1</v>
      </c>
      <c r="F61">
        <f t="shared" si="6"/>
        <v>1</v>
      </c>
      <c r="G61">
        <f t="shared" si="7"/>
        <v>1</v>
      </c>
      <c r="H61">
        <f t="shared" si="8"/>
        <v>1</v>
      </c>
      <c r="I61">
        <f t="shared" si="9"/>
        <v>0</v>
      </c>
      <c r="J61">
        <f t="shared" si="10"/>
        <v>1</v>
      </c>
      <c r="K61" s="45">
        <f t="shared" si="11"/>
        <v>0</v>
      </c>
      <c r="L61" s="45">
        <f t="shared" si="12"/>
        <v>0</v>
      </c>
      <c r="M61" s="45">
        <f t="shared" si="13"/>
        <v>0</v>
      </c>
      <c r="N61" s="45">
        <f t="shared" si="14"/>
        <v>0</v>
      </c>
      <c r="O61" s="45">
        <f t="shared" si="15"/>
        <v>0.2</v>
      </c>
      <c r="P61" s="45">
        <f t="shared" si="16"/>
        <v>0.2</v>
      </c>
      <c r="Q61" s="45">
        <f t="shared" si="17"/>
        <v>0.2</v>
      </c>
      <c r="R61" s="45">
        <f t="shared" si="18"/>
        <v>0.2</v>
      </c>
      <c r="S61" s="45">
        <f t="shared" si="19"/>
        <v>0</v>
      </c>
      <c r="T61" s="45">
        <f t="shared" si="20"/>
        <v>0.2</v>
      </c>
    </row>
    <row r="62" spans="1:20" x14ac:dyDescent="0.3">
      <c r="A62">
        <f t="shared" si="1"/>
        <v>0</v>
      </c>
      <c r="B62">
        <f t="shared" si="2"/>
        <v>0</v>
      </c>
      <c r="C62">
        <f t="shared" si="3"/>
        <v>0</v>
      </c>
      <c r="D62">
        <f t="shared" si="4"/>
        <v>0</v>
      </c>
      <c r="E62">
        <f t="shared" si="5"/>
        <v>1</v>
      </c>
      <c r="F62">
        <f t="shared" si="6"/>
        <v>1</v>
      </c>
      <c r="G62">
        <f t="shared" si="7"/>
        <v>1</v>
      </c>
      <c r="H62">
        <f t="shared" si="8"/>
        <v>1</v>
      </c>
      <c r="I62">
        <f t="shared" si="9"/>
        <v>1</v>
      </c>
      <c r="J62">
        <f t="shared" si="10"/>
        <v>0</v>
      </c>
      <c r="K62" s="45">
        <f t="shared" si="11"/>
        <v>0</v>
      </c>
      <c r="L62" s="45">
        <f t="shared" si="12"/>
        <v>0</v>
      </c>
      <c r="M62" s="45">
        <f t="shared" si="13"/>
        <v>0</v>
      </c>
      <c r="N62" s="45">
        <f t="shared" si="14"/>
        <v>0</v>
      </c>
      <c r="O62" s="45">
        <f t="shared" si="15"/>
        <v>0.2</v>
      </c>
      <c r="P62" s="45">
        <f t="shared" si="16"/>
        <v>0.2</v>
      </c>
      <c r="Q62" s="45">
        <f t="shared" si="17"/>
        <v>0.2</v>
      </c>
      <c r="R62" s="45">
        <f t="shared" si="18"/>
        <v>0.2</v>
      </c>
      <c r="S62" s="45">
        <f t="shared" si="19"/>
        <v>0.2</v>
      </c>
      <c r="T62" s="45">
        <f t="shared" si="20"/>
        <v>0</v>
      </c>
    </row>
    <row r="63" spans="1:20" x14ac:dyDescent="0.3">
      <c r="A63">
        <f t="shared" si="1"/>
        <v>0</v>
      </c>
      <c r="B63">
        <f t="shared" si="2"/>
        <v>0</v>
      </c>
      <c r="C63">
        <f t="shared" si="3"/>
        <v>0</v>
      </c>
      <c r="D63">
        <f t="shared" si="4"/>
        <v>0</v>
      </c>
      <c r="E63">
        <f t="shared" si="5"/>
        <v>1</v>
      </c>
      <c r="F63">
        <f t="shared" si="6"/>
        <v>1</v>
      </c>
      <c r="G63">
        <f t="shared" si="7"/>
        <v>1</v>
      </c>
      <c r="H63">
        <f t="shared" si="8"/>
        <v>1</v>
      </c>
      <c r="I63">
        <f t="shared" si="9"/>
        <v>1</v>
      </c>
      <c r="J63">
        <f t="shared" si="10"/>
        <v>1</v>
      </c>
      <c r="K63" s="45">
        <f t="shared" si="11"/>
        <v>0</v>
      </c>
      <c r="L63" s="45">
        <f t="shared" si="12"/>
        <v>0</v>
      </c>
      <c r="M63" s="45">
        <f t="shared" si="13"/>
        <v>0</v>
      </c>
      <c r="N63" s="45">
        <f t="shared" si="14"/>
        <v>0</v>
      </c>
      <c r="O63" s="45">
        <f t="shared" si="15"/>
        <v>0.16666666666666666</v>
      </c>
      <c r="P63" s="45">
        <f t="shared" si="16"/>
        <v>0.16666666666666666</v>
      </c>
      <c r="Q63" s="45">
        <f t="shared" si="17"/>
        <v>0.16666666666666666</v>
      </c>
      <c r="R63" s="45">
        <f t="shared" si="18"/>
        <v>0.16666666666666666</v>
      </c>
      <c r="S63" s="45">
        <f t="shared" si="19"/>
        <v>0.16666666666666666</v>
      </c>
      <c r="T63" s="45">
        <f t="shared" si="20"/>
        <v>0.16666666666666666</v>
      </c>
    </row>
    <row r="64" spans="1:20" x14ac:dyDescent="0.3">
      <c r="A64">
        <f t="shared" si="1"/>
        <v>0</v>
      </c>
      <c r="B64">
        <f t="shared" si="2"/>
        <v>0</v>
      </c>
      <c r="C64">
        <f t="shared" si="3"/>
        <v>0</v>
      </c>
      <c r="D64">
        <f t="shared" si="4"/>
        <v>1</v>
      </c>
      <c r="E64">
        <f t="shared" si="5"/>
        <v>0</v>
      </c>
      <c r="F64">
        <f t="shared" si="6"/>
        <v>0</v>
      </c>
      <c r="G64">
        <f t="shared" si="7"/>
        <v>0</v>
      </c>
      <c r="H64">
        <f t="shared" si="8"/>
        <v>0</v>
      </c>
      <c r="I64">
        <f t="shared" si="9"/>
        <v>0</v>
      </c>
      <c r="J64">
        <f t="shared" si="10"/>
        <v>0</v>
      </c>
      <c r="K64" s="45">
        <f t="shared" si="11"/>
        <v>0</v>
      </c>
      <c r="L64" s="45">
        <f t="shared" si="12"/>
        <v>0</v>
      </c>
      <c r="M64" s="45">
        <f t="shared" si="13"/>
        <v>0</v>
      </c>
      <c r="N64" s="45">
        <f t="shared" si="14"/>
        <v>1</v>
      </c>
      <c r="O64" s="45">
        <f t="shared" si="15"/>
        <v>0</v>
      </c>
      <c r="P64" s="45">
        <f t="shared" si="16"/>
        <v>0</v>
      </c>
      <c r="Q64" s="45">
        <f t="shared" si="17"/>
        <v>0</v>
      </c>
      <c r="R64" s="45">
        <f t="shared" si="18"/>
        <v>0</v>
      </c>
      <c r="S64" s="45">
        <f t="shared" si="19"/>
        <v>0</v>
      </c>
      <c r="T64" s="45">
        <f t="shared" si="20"/>
        <v>0</v>
      </c>
    </row>
    <row r="65" spans="1:20" x14ac:dyDescent="0.3">
      <c r="A65">
        <f t="shared" si="1"/>
        <v>0</v>
      </c>
      <c r="B65">
        <f t="shared" si="2"/>
        <v>0</v>
      </c>
      <c r="C65">
        <f t="shared" si="3"/>
        <v>0</v>
      </c>
      <c r="D65">
        <f t="shared" si="4"/>
        <v>1</v>
      </c>
      <c r="E65">
        <f t="shared" si="5"/>
        <v>0</v>
      </c>
      <c r="F65">
        <f t="shared" si="6"/>
        <v>0</v>
      </c>
      <c r="G65">
        <f t="shared" si="7"/>
        <v>0</v>
      </c>
      <c r="H65">
        <f t="shared" si="8"/>
        <v>0</v>
      </c>
      <c r="I65">
        <f t="shared" si="9"/>
        <v>0</v>
      </c>
      <c r="J65">
        <f t="shared" si="10"/>
        <v>1</v>
      </c>
      <c r="K65" s="45">
        <f t="shared" si="11"/>
        <v>0</v>
      </c>
      <c r="L65" s="45">
        <f t="shared" si="12"/>
        <v>0</v>
      </c>
      <c r="M65" s="45">
        <f t="shared" si="13"/>
        <v>0</v>
      </c>
      <c r="N65" s="45">
        <f t="shared" si="14"/>
        <v>0.5</v>
      </c>
      <c r="O65" s="45">
        <f t="shared" si="15"/>
        <v>0</v>
      </c>
      <c r="P65" s="45">
        <f t="shared" si="16"/>
        <v>0</v>
      </c>
      <c r="Q65" s="45">
        <f t="shared" si="17"/>
        <v>0</v>
      </c>
      <c r="R65" s="45">
        <f t="shared" si="18"/>
        <v>0</v>
      </c>
      <c r="S65" s="45">
        <f t="shared" si="19"/>
        <v>0</v>
      </c>
      <c r="T65" s="45">
        <f t="shared" si="20"/>
        <v>0.5</v>
      </c>
    </row>
    <row r="66" spans="1:20" x14ac:dyDescent="0.3">
      <c r="A66">
        <f t="shared" ref="A66:A129" si="27">INT( MOD(ROW()+0,1024)/512)</f>
        <v>0</v>
      </c>
      <c r="B66">
        <f t="shared" ref="B66:B129" si="28">INT( MOD(ROW()+0,512)/256)</f>
        <v>0</v>
      </c>
      <c r="C66">
        <f t="shared" ref="C66:C129" si="29">INT( MOD(ROW()+0,256)/128)</f>
        <v>0</v>
      </c>
      <c r="D66">
        <f t="shared" ref="D66:D129" si="30">INT( MOD(ROW()+0,128)/64)</f>
        <v>1</v>
      </c>
      <c r="E66">
        <f t="shared" ref="E66:E129" si="31">INT( MOD(ROW()+0,64)/32)</f>
        <v>0</v>
      </c>
      <c r="F66">
        <f t="shared" ref="F66:F129" si="32">INT( MOD(ROW()+0,32)/16)</f>
        <v>0</v>
      </c>
      <c r="G66">
        <f t="shared" ref="G66:G129" si="33">INT( MOD(ROW()+0,16)/8)</f>
        <v>0</v>
      </c>
      <c r="H66">
        <f t="shared" ref="H66:H129" si="34">INT( MOD(ROW()+0,8)/4)</f>
        <v>0</v>
      </c>
      <c r="I66">
        <f t="shared" ref="I66:I129" si="35">INT( MOD(ROW()+0,4)/2)</f>
        <v>1</v>
      </c>
      <c r="J66">
        <f t="shared" ref="J66:J129" si="36">INT( MOD(ROW()+0,2)/1)</f>
        <v>0</v>
      </c>
      <c r="K66" s="45">
        <f t="shared" ref="K66:K129" si="37">A66/SUM($A66:$J66)</f>
        <v>0</v>
      </c>
      <c r="L66" s="45">
        <f t="shared" ref="L66:L129" si="38">B66/SUM($A66:$J66)</f>
        <v>0</v>
      </c>
      <c r="M66" s="45">
        <f t="shared" ref="M66:M129" si="39">C66/SUM($A66:$J66)</f>
        <v>0</v>
      </c>
      <c r="N66" s="45">
        <f t="shared" ref="N66:N129" si="40">D66/SUM($A66:$J66)</f>
        <v>0.5</v>
      </c>
      <c r="O66" s="45">
        <f t="shared" ref="O66:O129" si="41">E66/SUM($A66:$J66)</f>
        <v>0</v>
      </c>
      <c r="P66" s="45">
        <f t="shared" ref="P66:P129" si="42">F66/SUM($A66:$J66)</f>
        <v>0</v>
      </c>
      <c r="Q66" s="45">
        <f t="shared" ref="Q66:Q129" si="43">G66/SUM($A66:$J66)</f>
        <v>0</v>
      </c>
      <c r="R66" s="45">
        <f t="shared" ref="R66:R129" si="44">H66/SUM($A66:$J66)</f>
        <v>0</v>
      </c>
      <c r="S66" s="45">
        <f t="shared" ref="S66:S129" si="45">I66/SUM($A66:$J66)</f>
        <v>0.5</v>
      </c>
      <c r="T66" s="45">
        <f t="shared" ref="T66:T129" si="46">J66/SUM($A66:$J66)</f>
        <v>0</v>
      </c>
    </row>
    <row r="67" spans="1:20" x14ac:dyDescent="0.3">
      <c r="A67">
        <f t="shared" si="27"/>
        <v>0</v>
      </c>
      <c r="B67">
        <f t="shared" si="28"/>
        <v>0</v>
      </c>
      <c r="C67">
        <f t="shared" si="29"/>
        <v>0</v>
      </c>
      <c r="D67">
        <f t="shared" si="30"/>
        <v>1</v>
      </c>
      <c r="E67">
        <f t="shared" si="31"/>
        <v>0</v>
      </c>
      <c r="F67">
        <f t="shared" si="32"/>
        <v>0</v>
      </c>
      <c r="G67">
        <f t="shared" si="33"/>
        <v>0</v>
      </c>
      <c r="H67">
        <f t="shared" si="34"/>
        <v>0</v>
      </c>
      <c r="I67">
        <f t="shared" si="35"/>
        <v>1</v>
      </c>
      <c r="J67">
        <f t="shared" si="36"/>
        <v>1</v>
      </c>
      <c r="K67" s="45">
        <f t="shared" si="37"/>
        <v>0</v>
      </c>
      <c r="L67" s="45">
        <f t="shared" si="38"/>
        <v>0</v>
      </c>
      <c r="M67" s="45">
        <f t="shared" si="39"/>
        <v>0</v>
      </c>
      <c r="N67" s="45">
        <f t="shared" si="40"/>
        <v>0.33333333333333331</v>
      </c>
      <c r="O67" s="45">
        <f t="shared" si="41"/>
        <v>0</v>
      </c>
      <c r="P67" s="45">
        <f t="shared" si="42"/>
        <v>0</v>
      </c>
      <c r="Q67" s="45">
        <f t="shared" si="43"/>
        <v>0</v>
      </c>
      <c r="R67" s="45">
        <f t="shared" si="44"/>
        <v>0</v>
      </c>
      <c r="S67" s="45">
        <f t="shared" si="45"/>
        <v>0.33333333333333331</v>
      </c>
      <c r="T67" s="45">
        <f t="shared" si="46"/>
        <v>0.33333333333333331</v>
      </c>
    </row>
    <row r="68" spans="1:20" x14ac:dyDescent="0.3">
      <c r="A68">
        <f t="shared" si="27"/>
        <v>0</v>
      </c>
      <c r="B68">
        <f t="shared" si="28"/>
        <v>0</v>
      </c>
      <c r="C68">
        <f t="shared" si="29"/>
        <v>0</v>
      </c>
      <c r="D68">
        <f t="shared" si="30"/>
        <v>1</v>
      </c>
      <c r="E68">
        <f t="shared" si="31"/>
        <v>0</v>
      </c>
      <c r="F68">
        <f t="shared" si="32"/>
        <v>0</v>
      </c>
      <c r="G68">
        <f t="shared" si="33"/>
        <v>0</v>
      </c>
      <c r="H68">
        <f t="shared" si="34"/>
        <v>1</v>
      </c>
      <c r="I68">
        <f t="shared" si="35"/>
        <v>0</v>
      </c>
      <c r="J68">
        <f t="shared" si="36"/>
        <v>0</v>
      </c>
      <c r="K68" s="45">
        <f t="shared" si="37"/>
        <v>0</v>
      </c>
      <c r="L68" s="45">
        <f t="shared" si="38"/>
        <v>0</v>
      </c>
      <c r="M68" s="45">
        <f t="shared" si="39"/>
        <v>0</v>
      </c>
      <c r="N68" s="45">
        <f t="shared" si="40"/>
        <v>0.5</v>
      </c>
      <c r="O68" s="45">
        <f t="shared" si="41"/>
        <v>0</v>
      </c>
      <c r="P68" s="45">
        <f t="shared" si="42"/>
        <v>0</v>
      </c>
      <c r="Q68" s="45">
        <f t="shared" si="43"/>
        <v>0</v>
      </c>
      <c r="R68" s="45">
        <f t="shared" si="44"/>
        <v>0.5</v>
      </c>
      <c r="S68" s="45">
        <f t="shared" si="45"/>
        <v>0</v>
      </c>
      <c r="T68" s="45">
        <f t="shared" si="46"/>
        <v>0</v>
      </c>
    </row>
    <row r="69" spans="1:20" x14ac:dyDescent="0.3">
      <c r="A69">
        <f t="shared" si="27"/>
        <v>0</v>
      </c>
      <c r="B69">
        <f t="shared" si="28"/>
        <v>0</v>
      </c>
      <c r="C69">
        <f t="shared" si="29"/>
        <v>0</v>
      </c>
      <c r="D69">
        <f t="shared" si="30"/>
        <v>1</v>
      </c>
      <c r="E69">
        <f t="shared" si="31"/>
        <v>0</v>
      </c>
      <c r="F69">
        <f t="shared" si="32"/>
        <v>0</v>
      </c>
      <c r="G69">
        <f t="shared" si="33"/>
        <v>0</v>
      </c>
      <c r="H69">
        <f t="shared" si="34"/>
        <v>1</v>
      </c>
      <c r="I69">
        <f t="shared" si="35"/>
        <v>0</v>
      </c>
      <c r="J69">
        <f t="shared" si="36"/>
        <v>1</v>
      </c>
      <c r="K69" s="45">
        <f t="shared" si="37"/>
        <v>0</v>
      </c>
      <c r="L69" s="45">
        <f t="shared" si="38"/>
        <v>0</v>
      </c>
      <c r="M69" s="45">
        <f t="shared" si="39"/>
        <v>0</v>
      </c>
      <c r="N69" s="45">
        <f t="shared" si="40"/>
        <v>0.33333333333333331</v>
      </c>
      <c r="O69" s="45">
        <f t="shared" si="41"/>
        <v>0</v>
      </c>
      <c r="P69" s="45">
        <f t="shared" si="42"/>
        <v>0</v>
      </c>
      <c r="Q69" s="45">
        <f t="shared" si="43"/>
        <v>0</v>
      </c>
      <c r="R69" s="45">
        <f t="shared" si="44"/>
        <v>0.33333333333333331</v>
      </c>
      <c r="S69" s="45">
        <f t="shared" si="45"/>
        <v>0</v>
      </c>
      <c r="T69" s="45">
        <f t="shared" si="46"/>
        <v>0.33333333333333331</v>
      </c>
    </row>
    <row r="70" spans="1:20" x14ac:dyDescent="0.3">
      <c r="A70">
        <f t="shared" si="27"/>
        <v>0</v>
      </c>
      <c r="B70">
        <f t="shared" si="28"/>
        <v>0</v>
      </c>
      <c r="C70">
        <f t="shared" si="29"/>
        <v>0</v>
      </c>
      <c r="D70">
        <f t="shared" si="30"/>
        <v>1</v>
      </c>
      <c r="E70">
        <f t="shared" si="31"/>
        <v>0</v>
      </c>
      <c r="F70">
        <f t="shared" si="32"/>
        <v>0</v>
      </c>
      <c r="G70">
        <f t="shared" si="33"/>
        <v>0</v>
      </c>
      <c r="H70">
        <f t="shared" si="34"/>
        <v>1</v>
      </c>
      <c r="I70">
        <f t="shared" si="35"/>
        <v>1</v>
      </c>
      <c r="J70">
        <f t="shared" si="36"/>
        <v>0</v>
      </c>
      <c r="K70" s="45">
        <f t="shared" si="37"/>
        <v>0</v>
      </c>
      <c r="L70" s="45">
        <f t="shared" si="38"/>
        <v>0</v>
      </c>
      <c r="M70" s="45">
        <f t="shared" si="39"/>
        <v>0</v>
      </c>
      <c r="N70" s="45">
        <f t="shared" si="40"/>
        <v>0.33333333333333331</v>
      </c>
      <c r="O70" s="45">
        <f t="shared" si="41"/>
        <v>0</v>
      </c>
      <c r="P70" s="45">
        <f t="shared" si="42"/>
        <v>0</v>
      </c>
      <c r="Q70" s="45">
        <f t="shared" si="43"/>
        <v>0</v>
      </c>
      <c r="R70" s="45">
        <f t="shared" si="44"/>
        <v>0.33333333333333331</v>
      </c>
      <c r="S70" s="45">
        <f t="shared" si="45"/>
        <v>0.33333333333333331</v>
      </c>
      <c r="T70" s="45">
        <f t="shared" si="46"/>
        <v>0</v>
      </c>
    </row>
    <row r="71" spans="1:20" x14ac:dyDescent="0.3">
      <c r="A71">
        <f t="shared" si="27"/>
        <v>0</v>
      </c>
      <c r="B71">
        <f t="shared" si="28"/>
        <v>0</v>
      </c>
      <c r="C71">
        <f t="shared" si="29"/>
        <v>0</v>
      </c>
      <c r="D71">
        <f t="shared" si="30"/>
        <v>1</v>
      </c>
      <c r="E71">
        <f t="shared" si="31"/>
        <v>0</v>
      </c>
      <c r="F71">
        <f t="shared" si="32"/>
        <v>0</v>
      </c>
      <c r="G71">
        <f t="shared" si="33"/>
        <v>0</v>
      </c>
      <c r="H71">
        <f t="shared" si="34"/>
        <v>1</v>
      </c>
      <c r="I71">
        <f t="shared" si="35"/>
        <v>1</v>
      </c>
      <c r="J71">
        <f t="shared" si="36"/>
        <v>1</v>
      </c>
      <c r="K71" s="45">
        <f t="shared" si="37"/>
        <v>0</v>
      </c>
      <c r="L71" s="45">
        <f t="shared" si="38"/>
        <v>0</v>
      </c>
      <c r="M71" s="45">
        <f t="shared" si="39"/>
        <v>0</v>
      </c>
      <c r="N71" s="45">
        <f t="shared" si="40"/>
        <v>0.25</v>
      </c>
      <c r="O71" s="45">
        <f t="shared" si="41"/>
        <v>0</v>
      </c>
      <c r="P71" s="45">
        <f t="shared" si="42"/>
        <v>0</v>
      </c>
      <c r="Q71" s="45">
        <f t="shared" si="43"/>
        <v>0</v>
      </c>
      <c r="R71" s="45">
        <f t="shared" si="44"/>
        <v>0.25</v>
      </c>
      <c r="S71" s="45">
        <f t="shared" si="45"/>
        <v>0.25</v>
      </c>
      <c r="T71" s="45">
        <f t="shared" si="46"/>
        <v>0.25</v>
      </c>
    </row>
    <row r="72" spans="1:20" x14ac:dyDescent="0.3">
      <c r="A72">
        <f t="shared" si="27"/>
        <v>0</v>
      </c>
      <c r="B72">
        <f t="shared" si="28"/>
        <v>0</v>
      </c>
      <c r="C72">
        <f t="shared" si="29"/>
        <v>0</v>
      </c>
      <c r="D72">
        <f t="shared" si="30"/>
        <v>1</v>
      </c>
      <c r="E72">
        <f t="shared" si="31"/>
        <v>0</v>
      </c>
      <c r="F72">
        <f t="shared" si="32"/>
        <v>0</v>
      </c>
      <c r="G72">
        <f t="shared" si="33"/>
        <v>1</v>
      </c>
      <c r="H72">
        <f t="shared" si="34"/>
        <v>0</v>
      </c>
      <c r="I72">
        <f t="shared" si="35"/>
        <v>0</v>
      </c>
      <c r="J72">
        <f t="shared" si="36"/>
        <v>0</v>
      </c>
      <c r="K72" s="45">
        <f t="shared" si="37"/>
        <v>0</v>
      </c>
      <c r="L72" s="45">
        <f t="shared" si="38"/>
        <v>0</v>
      </c>
      <c r="M72" s="45">
        <f t="shared" si="39"/>
        <v>0</v>
      </c>
      <c r="N72" s="45">
        <f t="shared" si="40"/>
        <v>0.5</v>
      </c>
      <c r="O72" s="45">
        <f t="shared" si="41"/>
        <v>0</v>
      </c>
      <c r="P72" s="45">
        <f t="shared" si="42"/>
        <v>0</v>
      </c>
      <c r="Q72" s="45">
        <f t="shared" si="43"/>
        <v>0.5</v>
      </c>
      <c r="R72" s="45">
        <f t="shared" si="44"/>
        <v>0</v>
      </c>
      <c r="S72" s="45">
        <f t="shared" si="45"/>
        <v>0</v>
      </c>
      <c r="T72" s="45">
        <f t="shared" si="46"/>
        <v>0</v>
      </c>
    </row>
    <row r="73" spans="1:20" x14ac:dyDescent="0.3">
      <c r="A73">
        <f t="shared" si="27"/>
        <v>0</v>
      </c>
      <c r="B73">
        <f t="shared" si="28"/>
        <v>0</v>
      </c>
      <c r="C73">
        <f t="shared" si="29"/>
        <v>0</v>
      </c>
      <c r="D73">
        <f t="shared" si="30"/>
        <v>1</v>
      </c>
      <c r="E73">
        <f t="shared" si="31"/>
        <v>0</v>
      </c>
      <c r="F73">
        <f t="shared" si="32"/>
        <v>0</v>
      </c>
      <c r="G73">
        <f t="shared" si="33"/>
        <v>1</v>
      </c>
      <c r="H73">
        <f t="shared" si="34"/>
        <v>0</v>
      </c>
      <c r="I73">
        <f t="shared" si="35"/>
        <v>0</v>
      </c>
      <c r="J73">
        <f t="shared" si="36"/>
        <v>1</v>
      </c>
      <c r="K73" s="45">
        <f t="shared" si="37"/>
        <v>0</v>
      </c>
      <c r="L73" s="45">
        <f t="shared" si="38"/>
        <v>0</v>
      </c>
      <c r="M73" s="45">
        <f t="shared" si="39"/>
        <v>0</v>
      </c>
      <c r="N73" s="45">
        <f t="shared" si="40"/>
        <v>0.33333333333333331</v>
      </c>
      <c r="O73" s="45">
        <f t="shared" si="41"/>
        <v>0</v>
      </c>
      <c r="P73" s="45">
        <f t="shared" si="42"/>
        <v>0</v>
      </c>
      <c r="Q73" s="45">
        <f t="shared" si="43"/>
        <v>0.33333333333333331</v>
      </c>
      <c r="R73" s="45">
        <f t="shared" si="44"/>
        <v>0</v>
      </c>
      <c r="S73" s="45">
        <f t="shared" si="45"/>
        <v>0</v>
      </c>
      <c r="T73" s="45">
        <f t="shared" si="46"/>
        <v>0.33333333333333331</v>
      </c>
    </row>
    <row r="74" spans="1:20" x14ac:dyDescent="0.3">
      <c r="A74">
        <f t="shared" si="27"/>
        <v>0</v>
      </c>
      <c r="B74">
        <f t="shared" si="28"/>
        <v>0</v>
      </c>
      <c r="C74">
        <f t="shared" si="29"/>
        <v>0</v>
      </c>
      <c r="D74">
        <f t="shared" si="30"/>
        <v>1</v>
      </c>
      <c r="E74">
        <f t="shared" si="31"/>
        <v>0</v>
      </c>
      <c r="F74">
        <f t="shared" si="32"/>
        <v>0</v>
      </c>
      <c r="G74">
        <f t="shared" si="33"/>
        <v>1</v>
      </c>
      <c r="H74">
        <f t="shared" si="34"/>
        <v>0</v>
      </c>
      <c r="I74">
        <f t="shared" si="35"/>
        <v>1</v>
      </c>
      <c r="J74">
        <f t="shared" si="36"/>
        <v>0</v>
      </c>
      <c r="K74" s="45">
        <f t="shared" si="37"/>
        <v>0</v>
      </c>
      <c r="L74" s="45">
        <f t="shared" si="38"/>
        <v>0</v>
      </c>
      <c r="M74" s="45">
        <f t="shared" si="39"/>
        <v>0</v>
      </c>
      <c r="N74" s="45">
        <f t="shared" si="40"/>
        <v>0.33333333333333331</v>
      </c>
      <c r="O74" s="45">
        <f t="shared" si="41"/>
        <v>0</v>
      </c>
      <c r="P74" s="45">
        <f t="shared" si="42"/>
        <v>0</v>
      </c>
      <c r="Q74" s="45">
        <f t="shared" si="43"/>
        <v>0.33333333333333331</v>
      </c>
      <c r="R74" s="45">
        <f t="shared" si="44"/>
        <v>0</v>
      </c>
      <c r="S74" s="45">
        <f t="shared" si="45"/>
        <v>0.33333333333333331</v>
      </c>
      <c r="T74" s="45">
        <f t="shared" si="46"/>
        <v>0</v>
      </c>
    </row>
    <row r="75" spans="1:20" x14ac:dyDescent="0.3">
      <c r="A75">
        <f t="shared" si="27"/>
        <v>0</v>
      </c>
      <c r="B75">
        <f t="shared" si="28"/>
        <v>0</v>
      </c>
      <c r="C75">
        <f t="shared" si="29"/>
        <v>0</v>
      </c>
      <c r="D75">
        <f t="shared" si="30"/>
        <v>1</v>
      </c>
      <c r="E75">
        <f t="shared" si="31"/>
        <v>0</v>
      </c>
      <c r="F75">
        <f t="shared" si="32"/>
        <v>0</v>
      </c>
      <c r="G75">
        <f t="shared" si="33"/>
        <v>1</v>
      </c>
      <c r="H75">
        <f t="shared" si="34"/>
        <v>0</v>
      </c>
      <c r="I75">
        <f t="shared" si="35"/>
        <v>1</v>
      </c>
      <c r="J75">
        <f t="shared" si="36"/>
        <v>1</v>
      </c>
      <c r="K75" s="45">
        <f t="shared" si="37"/>
        <v>0</v>
      </c>
      <c r="L75" s="45">
        <f t="shared" si="38"/>
        <v>0</v>
      </c>
      <c r="M75" s="45">
        <f t="shared" si="39"/>
        <v>0</v>
      </c>
      <c r="N75" s="45">
        <f t="shared" si="40"/>
        <v>0.25</v>
      </c>
      <c r="O75" s="45">
        <f t="shared" si="41"/>
        <v>0</v>
      </c>
      <c r="P75" s="45">
        <f t="shared" si="42"/>
        <v>0</v>
      </c>
      <c r="Q75" s="45">
        <f t="shared" si="43"/>
        <v>0.25</v>
      </c>
      <c r="R75" s="45">
        <f t="shared" si="44"/>
        <v>0</v>
      </c>
      <c r="S75" s="45">
        <f t="shared" si="45"/>
        <v>0.25</v>
      </c>
      <c r="T75" s="45">
        <f t="shared" si="46"/>
        <v>0.25</v>
      </c>
    </row>
    <row r="76" spans="1:20" x14ac:dyDescent="0.3">
      <c r="A76">
        <f t="shared" si="27"/>
        <v>0</v>
      </c>
      <c r="B76">
        <f t="shared" si="28"/>
        <v>0</v>
      </c>
      <c r="C76">
        <f t="shared" si="29"/>
        <v>0</v>
      </c>
      <c r="D76">
        <f t="shared" si="30"/>
        <v>1</v>
      </c>
      <c r="E76">
        <f t="shared" si="31"/>
        <v>0</v>
      </c>
      <c r="F76">
        <f t="shared" si="32"/>
        <v>0</v>
      </c>
      <c r="G76">
        <f t="shared" si="33"/>
        <v>1</v>
      </c>
      <c r="H76">
        <f t="shared" si="34"/>
        <v>1</v>
      </c>
      <c r="I76">
        <f t="shared" si="35"/>
        <v>0</v>
      </c>
      <c r="J76">
        <f t="shared" si="36"/>
        <v>0</v>
      </c>
      <c r="K76" s="45">
        <f t="shared" si="37"/>
        <v>0</v>
      </c>
      <c r="L76" s="45">
        <f t="shared" si="38"/>
        <v>0</v>
      </c>
      <c r="M76" s="45">
        <f t="shared" si="39"/>
        <v>0</v>
      </c>
      <c r="N76" s="45">
        <f t="shared" si="40"/>
        <v>0.33333333333333331</v>
      </c>
      <c r="O76" s="45">
        <f t="shared" si="41"/>
        <v>0</v>
      </c>
      <c r="P76" s="45">
        <f t="shared" si="42"/>
        <v>0</v>
      </c>
      <c r="Q76" s="45">
        <f t="shared" si="43"/>
        <v>0.33333333333333331</v>
      </c>
      <c r="R76" s="45">
        <f t="shared" si="44"/>
        <v>0.33333333333333331</v>
      </c>
      <c r="S76" s="45">
        <f t="shared" si="45"/>
        <v>0</v>
      </c>
      <c r="T76" s="45">
        <f t="shared" si="46"/>
        <v>0</v>
      </c>
    </row>
    <row r="77" spans="1:20" x14ac:dyDescent="0.3">
      <c r="A77">
        <f t="shared" si="27"/>
        <v>0</v>
      </c>
      <c r="B77">
        <f t="shared" si="28"/>
        <v>0</v>
      </c>
      <c r="C77">
        <f t="shared" si="29"/>
        <v>0</v>
      </c>
      <c r="D77">
        <f t="shared" si="30"/>
        <v>1</v>
      </c>
      <c r="E77">
        <f t="shared" si="31"/>
        <v>0</v>
      </c>
      <c r="F77">
        <f t="shared" si="32"/>
        <v>0</v>
      </c>
      <c r="G77">
        <f t="shared" si="33"/>
        <v>1</v>
      </c>
      <c r="H77">
        <f t="shared" si="34"/>
        <v>1</v>
      </c>
      <c r="I77">
        <f t="shared" si="35"/>
        <v>0</v>
      </c>
      <c r="J77">
        <f t="shared" si="36"/>
        <v>1</v>
      </c>
      <c r="K77" s="45">
        <f t="shared" si="37"/>
        <v>0</v>
      </c>
      <c r="L77" s="45">
        <f t="shared" si="38"/>
        <v>0</v>
      </c>
      <c r="M77" s="45">
        <f t="shared" si="39"/>
        <v>0</v>
      </c>
      <c r="N77" s="45">
        <f t="shared" si="40"/>
        <v>0.25</v>
      </c>
      <c r="O77" s="45">
        <f t="shared" si="41"/>
        <v>0</v>
      </c>
      <c r="P77" s="45">
        <f t="shared" si="42"/>
        <v>0</v>
      </c>
      <c r="Q77" s="45">
        <f t="shared" si="43"/>
        <v>0.25</v>
      </c>
      <c r="R77" s="45">
        <f t="shared" si="44"/>
        <v>0.25</v>
      </c>
      <c r="S77" s="45">
        <f t="shared" si="45"/>
        <v>0</v>
      </c>
      <c r="T77" s="45">
        <f t="shared" si="46"/>
        <v>0.25</v>
      </c>
    </row>
    <row r="78" spans="1:20" x14ac:dyDescent="0.3">
      <c r="A78">
        <f t="shared" si="27"/>
        <v>0</v>
      </c>
      <c r="B78">
        <f t="shared" si="28"/>
        <v>0</v>
      </c>
      <c r="C78">
        <f t="shared" si="29"/>
        <v>0</v>
      </c>
      <c r="D78">
        <f t="shared" si="30"/>
        <v>1</v>
      </c>
      <c r="E78">
        <f t="shared" si="31"/>
        <v>0</v>
      </c>
      <c r="F78">
        <f t="shared" si="32"/>
        <v>0</v>
      </c>
      <c r="G78">
        <f t="shared" si="33"/>
        <v>1</v>
      </c>
      <c r="H78">
        <f t="shared" si="34"/>
        <v>1</v>
      </c>
      <c r="I78">
        <f t="shared" si="35"/>
        <v>1</v>
      </c>
      <c r="J78">
        <f t="shared" si="36"/>
        <v>0</v>
      </c>
      <c r="K78" s="45">
        <f t="shared" si="37"/>
        <v>0</v>
      </c>
      <c r="L78" s="45">
        <f t="shared" si="38"/>
        <v>0</v>
      </c>
      <c r="M78" s="45">
        <f t="shared" si="39"/>
        <v>0</v>
      </c>
      <c r="N78" s="45">
        <f t="shared" si="40"/>
        <v>0.25</v>
      </c>
      <c r="O78" s="45">
        <f t="shared" si="41"/>
        <v>0</v>
      </c>
      <c r="P78" s="45">
        <f t="shared" si="42"/>
        <v>0</v>
      </c>
      <c r="Q78" s="45">
        <f t="shared" si="43"/>
        <v>0.25</v>
      </c>
      <c r="R78" s="45">
        <f t="shared" si="44"/>
        <v>0.25</v>
      </c>
      <c r="S78" s="45">
        <f t="shared" si="45"/>
        <v>0.25</v>
      </c>
      <c r="T78" s="45">
        <f t="shared" si="46"/>
        <v>0</v>
      </c>
    </row>
    <row r="79" spans="1:20" x14ac:dyDescent="0.3">
      <c r="A79">
        <f t="shared" si="27"/>
        <v>0</v>
      </c>
      <c r="B79">
        <f t="shared" si="28"/>
        <v>0</v>
      </c>
      <c r="C79">
        <f t="shared" si="29"/>
        <v>0</v>
      </c>
      <c r="D79">
        <f t="shared" si="30"/>
        <v>1</v>
      </c>
      <c r="E79">
        <f t="shared" si="31"/>
        <v>0</v>
      </c>
      <c r="F79">
        <f t="shared" si="32"/>
        <v>0</v>
      </c>
      <c r="G79">
        <f t="shared" si="33"/>
        <v>1</v>
      </c>
      <c r="H79">
        <f t="shared" si="34"/>
        <v>1</v>
      </c>
      <c r="I79">
        <f t="shared" si="35"/>
        <v>1</v>
      </c>
      <c r="J79">
        <f t="shared" si="36"/>
        <v>1</v>
      </c>
      <c r="K79" s="45">
        <f t="shared" si="37"/>
        <v>0</v>
      </c>
      <c r="L79" s="45">
        <f t="shared" si="38"/>
        <v>0</v>
      </c>
      <c r="M79" s="45">
        <f t="shared" si="39"/>
        <v>0</v>
      </c>
      <c r="N79" s="45">
        <f t="shared" si="40"/>
        <v>0.2</v>
      </c>
      <c r="O79" s="45">
        <f t="shared" si="41"/>
        <v>0</v>
      </c>
      <c r="P79" s="45">
        <f t="shared" si="42"/>
        <v>0</v>
      </c>
      <c r="Q79" s="45">
        <f t="shared" si="43"/>
        <v>0.2</v>
      </c>
      <c r="R79" s="45">
        <f t="shared" si="44"/>
        <v>0.2</v>
      </c>
      <c r="S79" s="45">
        <f t="shared" si="45"/>
        <v>0.2</v>
      </c>
      <c r="T79" s="45">
        <f t="shared" si="46"/>
        <v>0.2</v>
      </c>
    </row>
    <row r="80" spans="1:20" x14ac:dyDescent="0.3">
      <c r="A80">
        <f t="shared" si="27"/>
        <v>0</v>
      </c>
      <c r="B80">
        <f t="shared" si="28"/>
        <v>0</v>
      </c>
      <c r="C80">
        <f t="shared" si="29"/>
        <v>0</v>
      </c>
      <c r="D80">
        <f t="shared" si="30"/>
        <v>1</v>
      </c>
      <c r="E80">
        <f t="shared" si="31"/>
        <v>0</v>
      </c>
      <c r="F80">
        <f t="shared" si="32"/>
        <v>1</v>
      </c>
      <c r="G80">
        <f t="shared" si="33"/>
        <v>0</v>
      </c>
      <c r="H80">
        <f t="shared" si="34"/>
        <v>0</v>
      </c>
      <c r="I80">
        <f t="shared" si="35"/>
        <v>0</v>
      </c>
      <c r="J80">
        <f t="shared" si="36"/>
        <v>0</v>
      </c>
      <c r="K80" s="45">
        <f t="shared" si="37"/>
        <v>0</v>
      </c>
      <c r="L80" s="45">
        <f t="shared" si="38"/>
        <v>0</v>
      </c>
      <c r="M80" s="45">
        <f t="shared" si="39"/>
        <v>0</v>
      </c>
      <c r="N80" s="45">
        <f t="shared" si="40"/>
        <v>0.5</v>
      </c>
      <c r="O80" s="45">
        <f t="shared" si="41"/>
        <v>0</v>
      </c>
      <c r="P80" s="45">
        <f t="shared" si="42"/>
        <v>0.5</v>
      </c>
      <c r="Q80" s="45">
        <f t="shared" si="43"/>
        <v>0</v>
      </c>
      <c r="R80" s="45">
        <f t="shared" si="44"/>
        <v>0</v>
      </c>
      <c r="S80" s="45">
        <f t="shared" si="45"/>
        <v>0</v>
      </c>
      <c r="T80" s="45">
        <f t="shared" si="46"/>
        <v>0</v>
      </c>
    </row>
    <row r="81" spans="1:20" x14ac:dyDescent="0.3">
      <c r="A81">
        <f t="shared" si="27"/>
        <v>0</v>
      </c>
      <c r="B81">
        <f t="shared" si="28"/>
        <v>0</v>
      </c>
      <c r="C81">
        <f t="shared" si="29"/>
        <v>0</v>
      </c>
      <c r="D81">
        <f t="shared" si="30"/>
        <v>1</v>
      </c>
      <c r="E81">
        <f t="shared" si="31"/>
        <v>0</v>
      </c>
      <c r="F81">
        <f t="shared" si="32"/>
        <v>1</v>
      </c>
      <c r="G81">
        <f t="shared" si="33"/>
        <v>0</v>
      </c>
      <c r="H81">
        <f t="shared" si="34"/>
        <v>0</v>
      </c>
      <c r="I81">
        <f t="shared" si="35"/>
        <v>0</v>
      </c>
      <c r="J81">
        <f t="shared" si="36"/>
        <v>1</v>
      </c>
      <c r="K81" s="45">
        <f t="shared" si="37"/>
        <v>0</v>
      </c>
      <c r="L81" s="45">
        <f t="shared" si="38"/>
        <v>0</v>
      </c>
      <c r="M81" s="45">
        <f t="shared" si="39"/>
        <v>0</v>
      </c>
      <c r="N81" s="45">
        <f t="shared" si="40"/>
        <v>0.33333333333333331</v>
      </c>
      <c r="O81" s="45">
        <f t="shared" si="41"/>
        <v>0</v>
      </c>
      <c r="P81" s="45">
        <f t="shared" si="42"/>
        <v>0.33333333333333331</v>
      </c>
      <c r="Q81" s="45">
        <f t="shared" si="43"/>
        <v>0</v>
      </c>
      <c r="R81" s="45">
        <f t="shared" si="44"/>
        <v>0</v>
      </c>
      <c r="S81" s="45">
        <f t="shared" si="45"/>
        <v>0</v>
      </c>
      <c r="T81" s="45">
        <f t="shared" si="46"/>
        <v>0.33333333333333331</v>
      </c>
    </row>
    <row r="82" spans="1:20" x14ac:dyDescent="0.3">
      <c r="A82">
        <f t="shared" si="27"/>
        <v>0</v>
      </c>
      <c r="B82">
        <f t="shared" si="28"/>
        <v>0</v>
      </c>
      <c r="C82">
        <f t="shared" si="29"/>
        <v>0</v>
      </c>
      <c r="D82">
        <f t="shared" si="30"/>
        <v>1</v>
      </c>
      <c r="E82">
        <f t="shared" si="31"/>
        <v>0</v>
      </c>
      <c r="F82">
        <f t="shared" si="32"/>
        <v>1</v>
      </c>
      <c r="G82">
        <f t="shared" si="33"/>
        <v>0</v>
      </c>
      <c r="H82">
        <f t="shared" si="34"/>
        <v>0</v>
      </c>
      <c r="I82">
        <f t="shared" si="35"/>
        <v>1</v>
      </c>
      <c r="J82">
        <f t="shared" si="36"/>
        <v>0</v>
      </c>
      <c r="K82" s="45">
        <f t="shared" si="37"/>
        <v>0</v>
      </c>
      <c r="L82" s="45">
        <f t="shared" si="38"/>
        <v>0</v>
      </c>
      <c r="M82" s="45">
        <f t="shared" si="39"/>
        <v>0</v>
      </c>
      <c r="N82" s="45">
        <f t="shared" si="40"/>
        <v>0.33333333333333331</v>
      </c>
      <c r="O82" s="45">
        <f t="shared" si="41"/>
        <v>0</v>
      </c>
      <c r="P82" s="45">
        <f t="shared" si="42"/>
        <v>0.33333333333333331</v>
      </c>
      <c r="Q82" s="45">
        <f t="shared" si="43"/>
        <v>0</v>
      </c>
      <c r="R82" s="45">
        <f t="shared" si="44"/>
        <v>0</v>
      </c>
      <c r="S82" s="45">
        <f t="shared" si="45"/>
        <v>0.33333333333333331</v>
      </c>
      <c r="T82" s="45">
        <f t="shared" si="46"/>
        <v>0</v>
      </c>
    </row>
    <row r="83" spans="1:20" x14ac:dyDescent="0.3">
      <c r="A83">
        <f t="shared" si="27"/>
        <v>0</v>
      </c>
      <c r="B83">
        <f t="shared" si="28"/>
        <v>0</v>
      </c>
      <c r="C83">
        <f t="shared" si="29"/>
        <v>0</v>
      </c>
      <c r="D83">
        <f t="shared" si="30"/>
        <v>1</v>
      </c>
      <c r="E83">
        <f t="shared" si="31"/>
        <v>0</v>
      </c>
      <c r="F83">
        <f t="shared" si="32"/>
        <v>1</v>
      </c>
      <c r="G83">
        <f t="shared" si="33"/>
        <v>0</v>
      </c>
      <c r="H83">
        <f t="shared" si="34"/>
        <v>0</v>
      </c>
      <c r="I83">
        <f t="shared" si="35"/>
        <v>1</v>
      </c>
      <c r="J83">
        <f t="shared" si="36"/>
        <v>1</v>
      </c>
      <c r="K83" s="45">
        <f t="shared" si="37"/>
        <v>0</v>
      </c>
      <c r="L83" s="45">
        <f t="shared" si="38"/>
        <v>0</v>
      </c>
      <c r="M83" s="45">
        <f t="shared" si="39"/>
        <v>0</v>
      </c>
      <c r="N83" s="45">
        <f t="shared" si="40"/>
        <v>0.25</v>
      </c>
      <c r="O83" s="45">
        <f t="shared" si="41"/>
        <v>0</v>
      </c>
      <c r="P83" s="45">
        <f t="shared" si="42"/>
        <v>0.25</v>
      </c>
      <c r="Q83" s="45">
        <f t="shared" si="43"/>
        <v>0</v>
      </c>
      <c r="R83" s="45">
        <f t="shared" si="44"/>
        <v>0</v>
      </c>
      <c r="S83" s="45">
        <f t="shared" si="45"/>
        <v>0.25</v>
      </c>
      <c r="T83" s="45">
        <f t="shared" si="46"/>
        <v>0.25</v>
      </c>
    </row>
    <row r="84" spans="1:20" x14ac:dyDescent="0.3">
      <c r="A84">
        <f t="shared" si="27"/>
        <v>0</v>
      </c>
      <c r="B84">
        <f t="shared" si="28"/>
        <v>0</v>
      </c>
      <c r="C84">
        <f t="shared" si="29"/>
        <v>0</v>
      </c>
      <c r="D84">
        <f t="shared" si="30"/>
        <v>1</v>
      </c>
      <c r="E84">
        <f t="shared" si="31"/>
        <v>0</v>
      </c>
      <c r="F84">
        <f t="shared" si="32"/>
        <v>1</v>
      </c>
      <c r="G84">
        <f t="shared" si="33"/>
        <v>0</v>
      </c>
      <c r="H84">
        <f t="shared" si="34"/>
        <v>1</v>
      </c>
      <c r="I84">
        <f t="shared" si="35"/>
        <v>0</v>
      </c>
      <c r="J84">
        <f t="shared" si="36"/>
        <v>0</v>
      </c>
      <c r="K84" s="45">
        <f t="shared" si="37"/>
        <v>0</v>
      </c>
      <c r="L84" s="45">
        <f t="shared" si="38"/>
        <v>0</v>
      </c>
      <c r="M84" s="45">
        <f t="shared" si="39"/>
        <v>0</v>
      </c>
      <c r="N84" s="45">
        <f t="shared" si="40"/>
        <v>0.33333333333333331</v>
      </c>
      <c r="O84" s="45">
        <f t="shared" si="41"/>
        <v>0</v>
      </c>
      <c r="P84" s="45">
        <f t="shared" si="42"/>
        <v>0.33333333333333331</v>
      </c>
      <c r="Q84" s="45">
        <f t="shared" si="43"/>
        <v>0</v>
      </c>
      <c r="R84" s="45">
        <f t="shared" si="44"/>
        <v>0.33333333333333331</v>
      </c>
      <c r="S84" s="45">
        <f t="shared" si="45"/>
        <v>0</v>
      </c>
      <c r="T84" s="45">
        <f t="shared" si="46"/>
        <v>0</v>
      </c>
    </row>
    <row r="85" spans="1:20" x14ac:dyDescent="0.3">
      <c r="A85">
        <f t="shared" si="27"/>
        <v>0</v>
      </c>
      <c r="B85">
        <f t="shared" si="28"/>
        <v>0</v>
      </c>
      <c r="C85">
        <f t="shared" si="29"/>
        <v>0</v>
      </c>
      <c r="D85">
        <f t="shared" si="30"/>
        <v>1</v>
      </c>
      <c r="E85">
        <f t="shared" si="31"/>
        <v>0</v>
      </c>
      <c r="F85">
        <f t="shared" si="32"/>
        <v>1</v>
      </c>
      <c r="G85">
        <f t="shared" si="33"/>
        <v>0</v>
      </c>
      <c r="H85">
        <f t="shared" si="34"/>
        <v>1</v>
      </c>
      <c r="I85">
        <f t="shared" si="35"/>
        <v>0</v>
      </c>
      <c r="J85">
        <f t="shared" si="36"/>
        <v>1</v>
      </c>
      <c r="K85" s="45">
        <f t="shared" si="37"/>
        <v>0</v>
      </c>
      <c r="L85" s="45">
        <f t="shared" si="38"/>
        <v>0</v>
      </c>
      <c r="M85" s="45">
        <f t="shared" si="39"/>
        <v>0</v>
      </c>
      <c r="N85" s="45">
        <f t="shared" si="40"/>
        <v>0.25</v>
      </c>
      <c r="O85" s="45">
        <f t="shared" si="41"/>
        <v>0</v>
      </c>
      <c r="P85" s="45">
        <f t="shared" si="42"/>
        <v>0.25</v>
      </c>
      <c r="Q85" s="45">
        <f t="shared" si="43"/>
        <v>0</v>
      </c>
      <c r="R85" s="45">
        <f t="shared" si="44"/>
        <v>0.25</v>
      </c>
      <c r="S85" s="45">
        <f t="shared" si="45"/>
        <v>0</v>
      </c>
      <c r="T85" s="45">
        <f t="shared" si="46"/>
        <v>0.25</v>
      </c>
    </row>
    <row r="86" spans="1:20" x14ac:dyDescent="0.3">
      <c r="A86">
        <f t="shared" si="27"/>
        <v>0</v>
      </c>
      <c r="B86">
        <f t="shared" si="28"/>
        <v>0</v>
      </c>
      <c r="C86">
        <f t="shared" si="29"/>
        <v>0</v>
      </c>
      <c r="D86">
        <f t="shared" si="30"/>
        <v>1</v>
      </c>
      <c r="E86">
        <f t="shared" si="31"/>
        <v>0</v>
      </c>
      <c r="F86">
        <f t="shared" si="32"/>
        <v>1</v>
      </c>
      <c r="G86">
        <f t="shared" si="33"/>
        <v>0</v>
      </c>
      <c r="H86">
        <f t="shared" si="34"/>
        <v>1</v>
      </c>
      <c r="I86">
        <f t="shared" si="35"/>
        <v>1</v>
      </c>
      <c r="J86">
        <f t="shared" si="36"/>
        <v>0</v>
      </c>
      <c r="K86" s="45">
        <f t="shared" si="37"/>
        <v>0</v>
      </c>
      <c r="L86" s="45">
        <f t="shared" si="38"/>
        <v>0</v>
      </c>
      <c r="M86" s="45">
        <f t="shared" si="39"/>
        <v>0</v>
      </c>
      <c r="N86" s="45">
        <f t="shared" si="40"/>
        <v>0.25</v>
      </c>
      <c r="O86" s="45">
        <f t="shared" si="41"/>
        <v>0</v>
      </c>
      <c r="P86" s="45">
        <f t="shared" si="42"/>
        <v>0.25</v>
      </c>
      <c r="Q86" s="45">
        <f t="shared" si="43"/>
        <v>0</v>
      </c>
      <c r="R86" s="45">
        <f t="shared" si="44"/>
        <v>0.25</v>
      </c>
      <c r="S86" s="45">
        <f t="shared" si="45"/>
        <v>0.25</v>
      </c>
      <c r="T86" s="45">
        <f t="shared" si="46"/>
        <v>0</v>
      </c>
    </row>
    <row r="87" spans="1:20" x14ac:dyDescent="0.3">
      <c r="A87">
        <f t="shared" si="27"/>
        <v>0</v>
      </c>
      <c r="B87">
        <f t="shared" si="28"/>
        <v>0</v>
      </c>
      <c r="C87">
        <f t="shared" si="29"/>
        <v>0</v>
      </c>
      <c r="D87">
        <f t="shared" si="30"/>
        <v>1</v>
      </c>
      <c r="E87">
        <f t="shared" si="31"/>
        <v>0</v>
      </c>
      <c r="F87">
        <f t="shared" si="32"/>
        <v>1</v>
      </c>
      <c r="G87">
        <f t="shared" si="33"/>
        <v>0</v>
      </c>
      <c r="H87">
        <f t="shared" si="34"/>
        <v>1</v>
      </c>
      <c r="I87">
        <f t="shared" si="35"/>
        <v>1</v>
      </c>
      <c r="J87">
        <f t="shared" si="36"/>
        <v>1</v>
      </c>
      <c r="K87" s="45">
        <f t="shared" si="37"/>
        <v>0</v>
      </c>
      <c r="L87" s="45">
        <f t="shared" si="38"/>
        <v>0</v>
      </c>
      <c r="M87" s="45">
        <f t="shared" si="39"/>
        <v>0</v>
      </c>
      <c r="N87" s="45">
        <f t="shared" si="40"/>
        <v>0.2</v>
      </c>
      <c r="O87" s="45">
        <f t="shared" si="41"/>
        <v>0</v>
      </c>
      <c r="P87" s="45">
        <f t="shared" si="42"/>
        <v>0.2</v>
      </c>
      <c r="Q87" s="45">
        <f t="shared" si="43"/>
        <v>0</v>
      </c>
      <c r="R87" s="45">
        <f t="shared" si="44"/>
        <v>0.2</v>
      </c>
      <c r="S87" s="45">
        <f t="shared" si="45"/>
        <v>0.2</v>
      </c>
      <c r="T87" s="45">
        <f t="shared" si="46"/>
        <v>0.2</v>
      </c>
    </row>
    <row r="88" spans="1:20" x14ac:dyDescent="0.3">
      <c r="A88">
        <f t="shared" si="27"/>
        <v>0</v>
      </c>
      <c r="B88">
        <f t="shared" si="28"/>
        <v>0</v>
      </c>
      <c r="C88">
        <f t="shared" si="29"/>
        <v>0</v>
      </c>
      <c r="D88">
        <f t="shared" si="30"/>
        <v>1</v>
      </c>
      <c r="E88">
        <f t="shared" si="31"/>
        <v>0</v>
      </c>
      <c r="F88">
        <f t="shared" si="32"/>
        <v>1</v>
      </c>
      <c r="G88">
        <f t="shared" si="33"/>
        <v>1</v>
      </c>
      <c r="H88">
        <f t="shared" si="34"/>
        <v>0</v>
      </c>
      <c r="I88">
        <f t="shared" si="35"/>
        <v>0</v>
      </c>
      <c r="J88">
        <f t="shared" si="36"/>
        <v>0</v>
      </c>
      <c r="K88" s="45">
        <f t="shared" si="37"/>
        <v>0</v>
      </c>
      <c r="L88" s="45">
        <f t="shared" si="38"/>
        <v>0</v>
      </c>
      <c r="M88" s="45">
        <f t="shared" si="39"/>
        <v>0</v>
      </c>
      <c r="N88" s="45">
        <f t="shared" si="40"/>
        <v>0.33333333333333331</v>
      </c>
      <c r="O88" s="45">
        <f t="shared" si="41"/>
        <v>0</v>
      </c>
      <c r="P88" s="45">
        <f t="shared" si="42"/>
        <v>0.33333333333333331</v>
      </c>
      <c r="Q88" s="45">
        <f t="shared" si="43"/>
        <v>0.33333333333333331</v>
      </c>
      <c r="R88" s="45">
        <f t="shared" si="44"/>
        <v>0</v>
      </c>
      <c r="S88" s="45">
        <f t="shared" si="45"/>
        <v>0</v>
      </c>
      <c r="T88" s="45">
        <f t="shared" si="46"/>
        <v>0</v>
      </c>
    </row>
    <row r="89" spans="1:20" x14ac:dyDescent="0.3">
      <c r="A89">
        <f t="shared" si="27"/>
        <v>0</v>
      </c>
      <c r="B89">
        <f t="shared" si="28"/>
        <v>0</v>
      </c>
      <c r="C89">
        <f t="shared" si="29"/>
        <v>0</v>
      </c>
      <c r="D89">
        <f t="shared" si="30"/>
        <v>1</v>
      </c>
      <c r="E89">
        <f t="shared" si="31"/>
        <v>0</v>
      </c>
      <c r="F89">
        <f t="shared" si="32"/>
        <v>1</v>
      </c>
      <c r="G89">
        <f t="shared" si="33"/>
        <v>1</v>
      </c>
      <c r="H89">
        <f t="shared" si="34"/>
        <v>0</v>
      </c>
      <c r="I89">
        <f t="shared" si="35"/>
        <v>0</v>
      </c>
      <c r="J89">
        <f t="shared" si="36"/>
        <v>1</v>
      </c>
      <c r="K89" s="45">
        <f t="shared" si="37"/>
        <v>0</v>
      </c>
      <c r="L89" s="45">
        <f t="shared" si="38"/>
        <v>0</v>
      </c>
      <c r="M89" s="45">
        <f t="shared" si="39"/>
        <v>0</v>
      </c>
      <c r="N89" s="45">
        <f t="shared" si="40"/>
        <v>0.25</v>
      </c>
      <c r="O89" s="45">
        <f t="shared" si="41"/>
        <v>0</v>
      </c>
      <c r="P89" s="45">
        <f t="shared" si="42"/>
        <v>0.25</v>
      </c>
      <c r="Q89" s="45">
        <f t="shared" si="43"/>
        <v>0.25</v>
      </c>
      <c r="R89" s="45">
        <f t="shared" si="44"/>
        <v>0</v>
      </c>
      <c r="S89" s="45">
        <f t="shared" si="45"/>
        <v>0</v>
      </c>
      <c r="T89" s="45">
        <f t="shared" si="46"/>
        <v>0.25</v>
      </c>
    </row>
    <row r="90" spans="1:20" x14ac:dyDescent="0.3">
      <c r="A90">
        <f t="shared" si="27"/>
        <v>0</v>
      </c>
      <c r="B90">
        <f t="shared" si="28"/>
        <v>0</v>
      </c>
      <c r="C90">
        <f t="shared" si="29"/>
        <v>0</v>
      </c>
      <c r="D90">
        <f t="shared" si="30"/>
        <v>1</v>
      </c>
      <c r="E90">
        <f t="shared" si="31"/>
        <v>0</v>
      </c>
      <c r="F90">
        <f t="shared" si="32"/>
        <v>1</v>
      </c>
      <c r="G90">
        <f t="shared" si="33"/>
        <v>1</v>
      </c>
      <c r="H90">
        <f t="shared" si="34"/>
        <v>0</v>
      </c>
      <c r="I90">
        <f t="shared" si="35"/>
        <v>1</v>
      </c>
      <c r="J90">
        <f t="shared" si="36"/>
        <v>0</v>
      </c>
      <c r="K90" s="45">
        <f t="shared" si="37"/>
        <v>0</v>
      </c>
      <c r="L90" s="45">
        <f t="shared" si="38"/>
        <v>0</v>
      </c>
      <c r="M90" s="45">
        <f t="shared" si="39"/>
        <v>0</v>
      </c>
      <c r="N90" s="45">
        <f t="shared" si="40"/>
        <v>0.25</v>
      </c>
      <c r="O90" s="45">
        <f t="shared" si="41"/>
        <v>0</v>
      </c>
      <c r="P90" s="45">
        <f t="shared" si="42"/>
        <v>0.25</v>
      </c>
      <c r="Q90" s="45">
        <f t="shared" si="43"/>
        <v>0.25</v>
      </c>
      <c r="R90" s="45">
        <f t="shared" si="44"/>
        <v>0</v>
      </c>
      <c r="S90" s="45">
        <f t="shared" si="45"/>
        <v>0.25</v>
      </c>
      <c r="T90" s="45">
        <f t="shared" si="46"/>
        <v>0</v>
      </c>
    </row>
    <row r="91" spans="1:20" x14ac:dyDescent="0.3">
      <c r="A91">
        <f t="shared" si="27"/>
        <v>0</v>
      </c>
      <c r="B91">
        <f t="shared" si="28"/>
        <v>0</v>
      </c>
      <c r="C91">
        <f t="shared" si="29"/>
        <v>0</v>
      </c>
      <c r="D91">
        <f t="shared" si="30"/>
        <v>1</v>
      </c>
      <c r="E91">
        <f t="shared" si="31"/>
        <v>0</v>
      </c>
      <c r="F91">
        <f t="shared" si="32"/>
        <v>1</v>
      </c>
      <c r="G91">
        <f t="shared" si="33"/>
        <v>1</v>
      </c>
      <c r="H91">
        <f t="shared" si="34"/>
        <v>0</v>
      </c>
      <c r="I91">
        <f t="shared" si="35"/>
        <v>1</v>
      </c>
      <c r="J91">
        <f t="shared" si="36"/>
        <v>1</v>
      </c>
      <c r="K91" s="45">
        <f t="shared" si="37"/>
        <v>0</v>
      </c>
      <c r="L91" s="45">
        <f t="shared" si="38"/>
        <v>0</v>
      </c>
      <c r="M91" s="45">
        <f t="shared" si="39"/>
        <v>0</v>
      </c>
      <c r="N91" s="45">
        <f t="shared" si="40"/>
        <v>0.2</v>
      </c>
      <c r="O91" s="45">
        <f t="shared" si="41"/>
        <v>0</v>
      </c>
      <c r="P91" s="45">
        <f t="shared" si="42"/>
        <v>0.2</v>
      </c>
      <c r="Q91" s="45">
        <f t="shared" si="43"/>
        <v>0.2</v>
      </c>
      <c r="R91" s="45">
        <f t="shared" si="44"/>
        <v>0</v>
      </c>
      <c r="S91" s="45">
        <f t="shared" si="45"/>
        <v>0.2</v>
      </c>
      <c r="T91" s="45">
        <f t="shared" si="46"/>
        <v>0.2</v>
      </c>
    </row>
    <row r="92" spans="1:20" x14ac:dyDescent="0.3">
      <c r="A92">
        <f t="shared" si="27"/>
        <v>0</v>
      </c>
      <c r="B92">
        <f t="shared" si="28"/>
        <v>0</v>
      </c>
      <c r="C92">
        <f t="shared" si="29"/>
        <v>0</v>
      </c>
      <c r="D92">
        <f t="shared" si="30"/>
        <v>1</v>
      </c>
      <c r="E92">
        <f t="shared" si="31"/>
        <v>0</v>
      </c>
      <c r="F92">
        <f t="shared" si="32"/>
        <v>1</v>
      </c>
      <c r="G92">
        <f t="shared" si="33"/>
        <v>1</v>
      </c>
      <c r="H92">
        <f t="shared" si="34"/>
        <v>1</v>
      </c>
      <c r="I92">
        <f t="shared" si="35"/>
        <v>0</v>
      </c>
      <c r="J92">
        <f t="shared" si="36"/>
        <v>0</v>
      </c>
      <c r="K92" s="45">
        <f t="shared" si="37"/>
        <v>0</v>
      </c>
      <c r="L92" s="45">
        <f t="shared" si="38"/>
        <v>0</v>
      </c>
      <c r="M92" s="45">
        <f t="shared" si="39"/>
        <v>0</v>
      </c>
      <c r="N92" s="45">
        <f t="shared" si="40"/>
        <v>0.25</v>
      </c>
      <c r="O92" s="45">
        <f t="shared" si="41"/>
        <v>0</v>
      </c>
      <c r="P92" s="45">
        <f t="shared" si="42"/>
        <v>0.25</v>
      </c>
      <c r="Q92" s="45">
        <f t="shared" si="43"/>
        <v>0.25</v>
      </c>
      <c r="R92" s="45">
        <f t="shared" si="44"/>
        <v>0.25</v>
      </c>
      <c r="S92" s="45">
        <f t="shared" si="45"/>
        <v>0</v>
      </c>
      <c r="T92" s="45">
        <f t="shared" si="46"/>
        <v>0</v>
      </c>
    </row>
    <row r="93" spans="1:20" x14ac:dyDescent="0.3">
      <c r="A93">
        <f t="shared" si="27"/>
        <v>0</v>
      </c>
      <c r="B93">
        <f t="shared" si="28"/>
        <v>0</v>
      </c>
      <c r="C93">
        <f t="shared" si="29"/>
        <v>0</v>
      </c>
      <c r="D93">
        <f t="shared" si="30"/>
        <v>1</v>
      </c>
      <c r="E93">
        <f t="shared" si="31"/>
        <v>0</v>
      </c>
      <c r="F93">
        <f t="shared" si="32"/>
        <v>1</v>
      </c>
      <c r="G93">
        <f t="shared" si="33"/>
        <v>1</v>
      </c>
      <c r="H93">
        <f t="shared" si="34"/>
        <v>1</v>
      </c>
      <c r="I93">
        <f t="shared" si="35"/>
        <v>0</v>
      </c>
      <c r="J93">
        <f t="shared" si="36"/>
        <v>1</v>
      </c>
      <c r="K93" s="45">
        <f t="shared" si="37"/>
        <v>0</v>
      </c>
      <c r="L93" s="45">
        <f t="shared" si="38"/>
        <v>0</v>
      </c>
      <c r="M93" s="45">
        <f t="shared" si="39"/>
        <v>0</v>
      </c>
      <c r="N93" s="45">
        <f t="shared" si="40"/>
        <v>0.2</v>
      </c>
      <c r="O93" s="45">
        <f t="shared" si="41"/>
        <v>0</v>
      </c>
      <c r="P93" s="45">
        <f t="shared" si="42"/>
        <v>0.2</v>
      </c>
      <c r="Q93" s="45">
        <f t="shared" si="43"/>
        <v>0.2</v>
      </c>
      <c r="R93" s="45">
        <f t="shared" si="44"/>
        <v>0.2</v>
      </c>
      <c r="S93" s="45">
        <f t="shared" si="45"/>
        <v>0</v>
      </c>
      <c r="T93" s="45">
        <f t="shared" si="46"/>
        <v>0.2</v>
      </c>
    </row>
    <row r="94" spans="1:20" x14ac:dyDescent="0.3">
      <c r="A94">
        <f t="shared" si="27"/>
        <v>0</v>
      </c>
      <c r="B94">
        <f t="shared" si="28"/>
        <v>0</v>
      </c>
      <c r="C94">
        <f t="shared" si="29"/>
        <v>0</v>
      </c>
      <c r="D94">
        <f t="shared" si="30"/>
        <v>1</v>
      </c>
      <c r="E94">
        <f t="shared" si="31"/>
        <v>0</v>
      </c>
      <c r="F94">
        <f t="shared" si="32"/>
        <v>1</v>
      </c>
      <c r="G94">
        <f t="shared" si="33"/>
        <v>1</v>
      </c>
      <c r="H94">
        <f t="shared" si="34"/>
        <v>1</v>
      </c>
      <c r="I94">
        <f t="shared" si="35"/>
        <v>1</v>
      </c>
      <c r="J94">
        <f t="shared" si="36"/>
        <v>0</v>
      </c>
      <c r="K94" s="45">
        <f t="shared" si="37"/>
        <v>0</v>
      </c>
      <c r="L94" s="45">
        <f t="shared" si="38"/>
        <v>0</v>
      </c>
      <c r="M94" s="45">
        <f t="shared" si="39"/>
        <v>0</v>
      </c>
      <c r="N94" s="45">
        <f t="shared" si="40"/>
        <v>0.2</v>
      </c>
      <c r="O94" s="45">
        <f t="shared" si="41"/>
        <v>0</v>
      </c>
      <c r="P94" s="45">
        <f t="shared" si="42"/>
        <v>0.2</v>
      </c>
      <c r="Q94" s="45">
        <f t="shared" si="43"/>
        <v>0.2</v>
      </c>
      <c r="R94" s="45">
        <f t="shared" si="44"/>
        <v>0.2</v>
      </c>
      <c r="S94" s="45">
        <f t="shared" si="45"/>
        <v>0.2</v>
      </c>
      <c r="T94" s="45">
        <f t="shared" si="46"/>
        <v>0</v>
      </c>
    </row>
    <row r="95" spans="1:20" x14ac:dyDescent="0.3">
      <c r="A95">
        <f t="shared" si="27"/>
        <v>0</v>
      </c>
      <c r="B95">
        <f t="shared" si="28"/>
        <v>0</v>
      </c>
      <c r="C95">
        <f t="shared" si="29"/>
        <v>0</v>
      </c>
      <c r="D95">
        <f t="shared" si="30"/>
        <v>1</v>
      </c>
      <c r="E95">
        <f t="shared" si="31"/>
        <v>0</v>
      </c>
      <c r="F95">
        <f t="shared" si="32"/>
        <v>1</v>
      </c>
      <c r="G95">
        <f t="shared" si="33"/>
        <v>1</v>
      </c>
      <c r="H95">
        <f t="shared" si="34"/>
        <v>1</v>
      </c>
      <c r="I95">
        <f t="shared" si="35"/>
        <v>1</v>
      </c>
      <c r="J95">
        <f t="shared" si="36"/>
        <v>1</v>
      </c>
      <c r="K95" s="45">
        <f t="shared" si="37"/>
        <v>0</v>
      </c>
      <c r="L95" s="45">
        <f t="shared" si="38"/>
        <v>0</v>
      </c>
      <c r="M95" s="45">
        <f t="shared" si="39"/>
        <v>0</v>
      </c>
      <c r="N95" s="45">
        <f t="shared" si="40"/>
        <v>0.16666666666666666</v>
      </c>
      <c r="O95" s="45">
        <f t="shared" si="41"/>
        <v>0</v>
      </c>
      <c r="P95" s="45">
        <f t="shared" si="42"/>
        <v>0.16666666666666666</v>
      </c>
      <c r="Q95" s="45">
        <f t="shared" si="43"/>
        <v>0.16666666666666666</v>
      </c>
      <c r="R95" s="45">
        <f t="shared" si="44"/>
        <v>0.16666666666666666</v>
      </c>
      <c r="S95" s="45">
        <f t="shared" si="45"/>
        <v>0.16666666666666666</v>
      </c>
      <c r="T95" s="45">
        <f t="shared" si="46"/>
        <v>0.16666666666666666</v>
      </c>
    </row>
    <row r="96" spans="1:20" x14ac:dyDescent="0.3">
      <c r="A96">
        <f t="shared" si="27"/>
        <v>0</v>
      </c>
      <c r="B96">
        <f t="shared" si="28"/>
        <v>0</v>
      </c>
      <c r="C96">
        <f t="shared" si="29"/>
        <v>0</v>
      </c>
      <c r="D96">
        <f t="shared" si="30"/>
        <v>1</v>
      </c>
      <c r="E96">
        <f t="shared" si="31"/>
        <v>1</v>
      </c>
      <c r="F96">
        <f t="shared" si="32"/>
        <v>0</v>
      </c>
      <c r="G96">
        <f t="shared" si="33"/>
        <v>0</v>
      </c>
      <c r="H96">
        <f t="shared" si="34"/>
        <v>0</v>
      </c>
      <c r="I96">
        <f t="shared" si="35"/>
        <v>0</v>
      </c>
      <c r="J96">
        <f t="shared" si="36"/>
        <v>0</v>
      </c>
      <c r="K96" s="45">
        <f t="shared" si="37"/>
        <v>0</v>
      </c>
      <c r="L96" s="45">
        <f t="shared" si="38"/>
        <v>0</v>
      </c>
      <c r="M96" s="45">
        <f t="shared" si="39"/>
        <v>0</v>
      </c>
      <c r="N96" s="45">
        <f t="shared" si="40"/>
        <v>0.5</v>
      </c>
      <c r="O96" s="45">
        <f t="shared" si="41"/>
        <v>0.5</v>
      </c>
      <c r="P96" s="45">
        <f t="shared" si="42"/>
        <v>0</v>
      </c>
      <c r="Q96" s="45">
        <f t="shared" si="43"/>
        <v>0</v>
      </c>
      <c r="R96" s="45">
        <f t="shared" si="44"/>
        <v>0</v>
      </c>
      <c r="S96" s="45">
        <f t="shared" si="45"/>
        <v>0</v>
      </c>
      <c r="T96" s="45">
        <f t="shared" si="46"/>
        <v>0</v>
      </c>
    </row>
    <row r="97" spans="1:20" x14ac:dyDescent="0.3">
      <c r="A97">
        <f t="shared" si="27"/>
        <v>0</v>
      </c>
      <c r="B97">
        <f t="shared" si="28"/>
        <v>0</v>
      </c>
      <c r="C97">
        <f t="shared" si="29"/>
        <v>0</v>
      </c>
      <c r="D97">
        <f t="shared" si="30"/>
        <v>1</v>
      </c>
      <c r="E97">
        <f t="shared" si="31"/>
        <v>1</v>
      </c>
      <c r="F97">
        <f t="shared" si="32"/>
        <v>0</v>
      </c>
      <c r="G97">
        <f t="shared" si="33"/>
        <v>0</v>
      </c>
      <c r="H97">
        <f t="shared" si="34"/>
        <v>0</v>
      </c>
      <c r="I97">
        <f t="shared" si="35"/>
        <v>0</v>
      </c>
      <c r="J97">
        <f t="shared" si="36"/>
        <v>1</v>
      </c>
      <c r="K97" s="45">
        <f t="shared" si="37"/>
        <v>0</v>
      </c>
      <c r="L97" s="45">
        <f t="shared" si="38"/>
        <v>0</v>
      </c>
      <c r="M97" s="45">
        <f t="shared" si="39"/>
        <v>0</v>
      </c>
      <c r="N97" s="45">
        <f t="shared" si="40"/>
        <v>0.33333333333333331</v>
      </c>
      <c r="O97" s="45">
        <f t="shared" si="41"/>
        <v>0.33333333333333331</v>
      </c>
      <c r="P97" s="45">
        <f t="shared" si="42"/>
        <v>0</v>
      </c>
      <c r="Q97" s="45">
        <f t="shared" si="43"/>
        <v>0</v>
      </c>
      <c r="R97" s="45">
        <f t="shared" si="44"/>
        <v>0</v>
      </c>
      <c r="S97" s="45">
        <f t="shared" si="45"/>
        <v>0</v>
      </c>
      <c r="T97" s="45">
        <f t="shared" si="46"/>
        <v>0.33333333333333331</v>
      </c>
    </row>
    <row r="98" spans="1:20" x14ac:dyDescent="0.3">
      <c r="A98">
        <f t="shared" si="27"/>
        <v>0</v>
      </c>
      <c r="B98">
        <f t="shared" si="28"/>
        <v>0</v>
      </c>
      <c r="C98">
        <f t="shared" si="29"/>
        <v>0</v>
      </c>
      <c r="D98">
        <f t="shared" si="30"/>
        <v>1</v>
      </c>
      <c r="E98">
        <f t="shared" si="31"/>
        <v>1</v>
      </c>
      <c r="F98">
        <f t="shared" si="32"/>
        <v>0</v>
      </c>
      <c r="G98">
        <f t="shared" si="33"/>
        <v>0</v>
      </c>
      <c r="H98">
        <f t="shared" si="34"/>
        <v>0</v>
      </c>
      <c r="I98">
        <f t="shared" si="35"/>
        <v>1</v>
      </c>
      <c r="J98">
        <f t="shared" si="36"/>
        <v>0</v>
      </c>
      <c r="K98" s="45">
        <f t="shared" si="37"/>
        <v>0</v>
      </c>
      <c r="L98" s="45">
        <f t="shared" si="38"/>
        <v>0</v>
      </c>
      <c r="M98" s="45">
        <f t="shared" si="39"/>
        <v>0</v>
      </c>
      <c r="N98" s="45">
        <f t="shared" si="40"/>
        <v>0.33333333333333331</v>
      </c>
      <c r="O98" s="45">
        <f t="shared" si="41"/>
        <v>0.33333333333333331</v>
      </c>
      <c r="P98" s="45">
        <f t="shared" si="42"/>
        <v>0</v>
      </c>
      <c r="Q98" s="45">
        <f t="shared" si="43"/>
        <v>0</v>
      </c>
      <c r="R98" s="45">
        <f t="shared" si="44"/>
        <v>0</v>
      </c>
      <c r="S98" s="45">
        <f t="shared" si="45"/>
        <v>0.33333333333333331</v>
      </c>
      <c r="T98" s="45">
        <f t="shared" si="46"/>
        <v>0</v>
      </c>
    </row>
    <row r="99" spans="1:20" x14ac:dyDescent="0.3">
      <c r="A99">
        <f t="shared" si="27"/>
        <v>0</v>
      </c>
      <c r="B99">
        <f t="shared" si="28"/>
        <v>0</v>
      </c>
      <c r="C99">
        <f t="shared" si="29"/>
        <v>0</v>
      </c>
      <c r="D99">
        <f t="shared" si="30"/>
        <v>1</v>
      </c>
      <c r="E99">
        <f t="shared" si="31"/>
        <v>1</v>
      </c>
      <c r="F99">
        <f t="shared" si="32"/>
        <v>0</v>
      </c>
      <c r="G99">
        <f t="shared" si="33"/>
        <v>0</v>
      </c>
      <c r="H99">
        <f t="shared" si="34"/>
        <v>0</v>
      </c>
      <c r="I99">
        <f t="shared" si="35"/>
        <v>1</v>
      </c>
      <c r="J99">
        <f t="shared" si="36"/>
        <v>1</v>
      </c>
      <c r="K99" s="45">
        <f t="shared" si="37"/>
        <v>0</v>
      </c>
      <c r="L99" s="45">
        <f t="shared" si="38"/>
        <v>0</v>
      </c>
      <c r="M99" s="45">
        <f t="shared" si="39"/>
        <v>0</v>
      </c>
      <c r="N99" s="45">
        <f t="shared" si="40"/>
        <v>0.25</v>
      </c>
      <c r="O99" s="45">
        <f t="shared" si="41"/>
        <v>0.25</v>
      </c>
      <c r="P99" s="45">
        <f t="shared" si="42"/>
        <v>0</v>
      </c>
      <c r="Q99" s="45">
        <f t="shared" si="43"/>
        <v>0</v>
      </c>
      <c r="R99" s="45">
        <f t="shared" si="44"/>
        <v>0</v>
      </c>
      <c r="S99" s="45">
        <f t="shared" si="45"/>
        <v>0.25</v>
      </c>
      <c r="T99" s="45">
        <f t="shared" si="46"/>
        <v>0.25</v>
      </c>
    </row>
    <row r="100" spans="1:20" x14ac:dyDescent="0.3">
      <c r="A100">
        <f t="shared" si="27"/>
        <v>0</v>
      </c>
      <c r="B100">
        <f t="shared" si="28"/>
        <v>0</v>
      </c>
      <c r="C100">
        <f t="shared" si="29"/>
        <v>0</v>
      </c>
      <c r="D100">
        <f t="shared" si="30"/>
        <v>1</v>
      </c>
      <c r="E100">
        <f t="shared" si="31"/>
        <v>1</v>
      </c>
      <c r="F100">
        <f t="shared" si="32"/>
        <v>0</v>
      </c>
      <c r="G100">
        <f t="shared" si="33"/>
        <v>0</v>
      </c>
      <c r="H100">
        <f t="shared" si="34"/>
        <v>1</v>
      </c>
      <c r="I100">
        <f t="shared" si="35"/>
        <v>0</v>
      </c>
      <c r="J100">
        <f t="shared" si="36"/>
        <v>0</v>
      </c>
      <c r="K100" s="45">
        <f t="shared" si="37"/>
        <v>0</v>
      </c>
      <c r="L100" s="45">
        <f t="shared" si="38"/>
        <v>0</v>
      </c>
      <c r="M100" s="45">
        <f t="shared" si="39"/>
        <v>0</v>
      </c>
      <c r="N100" s="45">
        <f t="shared" si="40"/>
        <v>0.33333333333333331</v>
      </c>
      <c r="O100" s="45">
        <f t="shared" si="41"/>
        <v>0.33333333333333331</v>
      </c>
      <c r="P100" s="45">
        <f t="shared" si="42"/>
        <v>0</v>
      </c>
      <c r="Q100" s="45">
        <f t="shared" si="43"/>
        <v>0</v>
      </c>
      <c r="R100" s="45">
        <f t="shared" si="44"/>
        <v>0.33333333333333331</v>
      </c>
      <c r="S100" s="45">
        <f t="shared" si="45"/>
        <v>0</v>
      </c>
      <c r="T100" s="45">
        <f t="shared" si="46"/>
        <v>0</v>
      </c>
    </row>
    <row r="101" spans="1:20" x14ac:dyDescent="0.3">
      <c r="A101">
        <f t="shared" si="27"/>
        <v>0</v>
      </c>
      <c r="B101">
        <f t="shared" si="28"/>
        <v>0</v>
      </c>
      <c r="C101">
        <f t="shared" si="29"/>
        <v>0</v>
      </c>
      <c r="D101">
        <f t="shared" si="30"/>
        <v>1</v>
      </c>
      <c r="E101">
        <f t="shared" si="31"/>
        <v>1</v>
      </c>
      <c r="F101">
        <f t="shared" si="32"/>
        <v>0</v>
      </c>
      <c r="G101">
        <f t="shared" si="33"/>
        <v>0</v>
      </c>
      <c r="H101">
        <f t="shared" si="34"/>
        <v>1</v>
      </c>
      <c r="I101">
        <f t="shared" si="35"/>
        <v>0</v>
      </c>
      <c r="J101">
        <f t="shared" si="36"/>
        <v>1</v>
      </c>
      <c r="K101" s="45">
        <f t="shared" si="37"/>
        <v>0</v>
      </c>
      <c r="L101" s="45">
        <f t="shared" si="38"/>
        <v>0</v>
      </c>
      <c r="M101" s="45">
        <f t="shared" si="39"/>
        <v>0</v>
      </c>
      <c r="N101" s="45">
        <f t="shared" si="40"/>
        <v>0.25</v>
      </c>
      <c r="O101" s="45">
        <f t="shared" si="41"/>
        <v>0.25</v>
      </c>
      <c r="P101" s="45">
        <f t="shared" si="42"/>
        <v>0</v>
      </c>
      <c r="Q101" s="45">
        <f t="shared" si="43"/>
        <v>0</v>
      </c>
      <c r="R101" s="45">
        <f t="shared" si="44"/>
        <v>0.25</v>
      </c>
      <c r="S101" s="45">
        <f t="shared" si="45"/>
        <v>0</v>
      </c>
      <c r="T101" s="45">
        <f t="shared" si="46"/>
        <v>0.25</v>
      </c>
    </row>
    <row r="102" spans="1:20" x14ac:dyDescent="0.3">
      <c r="A102">
        <f t="shared" si="27"/>
        <v>0</v>
      </c>
      <c r="B102">
        <f t="shared" si="28"/>
        <v>0</v>
      </c>
      <c r="C102">
        <f t="shared" si="29"/>
        <v>0</v>
      </c>
      <c r="D102">
        <f t="shared" si="30"/>
        <v>1</v>
      </c>
      <c r="E102">
        <f t="shared" si="31"/>
        <v>1</v>
      </c>
      <c r="F102">
        <f t="shared" si="32"/>
        <v>0</v>
      </c>
      <c r="G102">
        <f t="shared" si="33"/>
        <v>0</v>
      </c>
      <c r="H102">
        <f t="shared" si="34"/>
        <v>1</v>
      </c>
      <c r="I102">
        <f t="shared" si="35"/>
        <v>1</v>
      </c>
      <c r="J102">
        <f t="shared" si="36"/>
        <v>0</v>
      </c>
      <c r="K102" s="45">
        <f t="shared" si="37"/>
        <v>0</v>
      </c>
      <c r="L102" s="45">
        <f t="shared" si="38"/>
        <v>0</v>
      </c>
      <c r="M102" s="45">
        <f t="shared" si="39"/>
        <v>0</v>
      </c>
      <c r="N102" s="45">
        <f t="shared" si="40"/>
        <v>0.25</v>
      </c>
      <c r="O102" s="45">
        <f t="shared" si="41"/>
        <v>0.25</v>
      </c>
      <c r="P102" s="45">
        <f t="shared" si="42"/>
        <v>0</v>
      </c>
      <c r="Q102" s="45">
        <f t="shared" si="43"/>
        <v>0</v>
      </c>
      <c r="R102" s="45">
        <f t="shared" si="44"/>
        <v>0.25</v>
      </c>
      <c r="S102" s="45">
        <f t="shared" si="45"/>
        <v>0.25</v>
      </c>
      <c r="T102" s="45">
        <f t="shared" si="46"/>
        <v>0</v>
      </c>
    </row>
    <row r="103" spans="1:20" x14ac:dyDescent="0.3">
      <c r="A103">
        <f t="shared" si="27"/>
        <v>0</v>
      </c>
      <c r="B103">
        <f t="shared" si="28"/>
        <v>0</v>
      </c>
      <c r="C103">
        <f t="shared" si="29"/>
        <v>0</v>
      </c>
      <c r="D103">
        <f t="shared" si="30"/>
        <v>1</v>
      </c>
      <c r="E103">
        <f t="shared" si="31"/>
        <v>1</v>
      </c>
      <c r="F103">
        <f t="shared" si="32"/>
        <v>0</v>
      </c>
      <c r="G103">
        <f t="shared" si="33"/>
        <v>0</v>
      </c>
      <c r="H103">
        <f t="shared" si="34"/>
        <v>1</v>
      </c>
      <c r="I103">
        <f t="shared" si="35"/>
        <v>1</v>
      </c>
      <c r="J103">
        <f t="shared" si="36"/>
        <v>1</v>
      </c>
      <c r="K103" s="45">
        <f t="shared" si="37"/>
        <v>0</v>
      </c>
      <c r="L103" s="45">
        <f t="shared" si="38"/>
        <v>0</v>
      </c>
      <c r="M103" s="45">
        <f t="shared" si="39"/>
        <v>0</v>
      </c>
      <c r="N103" s="45">
        <f t="shared" si="40"/>
        <v>0.2</v>
      </c>
      <c r="O103" s="45">
        <f t="shared" si="41"/>
        <v>0.2</v>
      </c>
      <c r="P103" s="45">
        <f t="shared" si="42"/>
        <v>0</v>
      </c>
      <c r="Q103" s="45">
        <f t="shared" si="43"/>
        <v>0</v>
      </c>
      <c r="R103" s="45">
        <f t="shared" si="44"/>
        <v>0.2</v>
      </c>
      <c r="S103" s="45">
        <f t="shared" si="45"/>
        <v>0.2</v>
      </c>
      <c r="T103" s="45">
        <f t="shared" si="46"/>
        <v>0.2</v>
      </c>
    </row>
    <row r="104" spans="1:20" x14ac:dyDescent="0.3">
      <c r="A104">
        <f t="shared" si="27"/>
        <v>0</v>
      </c>
      <c r="B104">
        <f t="shared" si="28"/>
        <v>0</v>
      </c>
      <c r="C104">
        <f t="shared" si="29"/>
        <v>0</v>
      </c>
      <c r="D104">
        <f t="shared" si="30"/>
        <v>1</v>
      </c>
      <c r="E104">
        <f t="shared" si="31"/>
        <v>1</v>
      </c>
      <c r="F104">
        <f t="shared" si="32"/>
        <v>0</v>
      </c>
      <c r="G104">
        <f t="shared" si="33"/>
        <v>1</v>
      </c>
      <c r="H104">
        <f t="shared" si="34"/>
        <v>0</v>
      </c>
      <c r="I104">
        <f t="shared" si="35"/>
        <v>0</v>
      </c>
      <c r="J104">
        <f t="shared" si="36"/>
        <v>0</v>
      </c>
      <c r="K104" s="45">
        <f t="shared" si="37"/>
        <v>0</v>
      </c>
      <c r="L104" s="45">
        <f t="shared" si="38"/>
        <v>0</v>
      </c>
      <c r="M104" s="45">
        <f t="shared" si="39"/>
        <v>0</v>
      </c>
      <c r="N104" s="45">
        <f t="shared" si="40"/>
        <v>0.33333333333333331</v>
      </c>
      <c r="O104" s="45">
        <f t="shared" si="41"/>
        <v>0.33333333333333331</v>
      </c>
      <c r="P104" s="45">
        <f t="shared" si="42"/>
        <v>0</v>
      </c>
      <c r="Q104" s="45">
        <f t="shared" si="43"/>
        <v>0.33333333333333331</v>
      </c>
      <c r="R104" s="45">
        <f t="shared" si="44"/>
        <v>0</v>
      </c>
      <c r="S104" s="45">
        <f t="shared" si="45"/>
        <v>0</v>
      </c>
      <c r="T104" s="45">
        <f t="shared" si="46"/>
        <v>0</v>
      </c>
    </row>
    <row r="105" spans="1:20" x14ac:dyDescent="0.3">
      <c r="A105">
        <f t="shared" si="27"/>
        <v>0</v>
      </c>
      <c r="B105">
        <f t="shared" si="28"/>
        <v>0</v>
      </c>
      <c r="C105">
        <f t="shared" si="29"/>
        <v>0</v>
      </c>
      <c r="D105">
        <f t="shared" si="30"/>
        <v>1</v>
      </c>
      <c r="E105">
        <f t="shared" si="31"/>
        <v>1</v>
      </c>
      <c r="F105">
        <f t="shared" si="32"/>
        <v>0</v>
      </c>
      <c r="G105">
        <f t="shared" si="33"/>
        <v>1</v>
      </c>
      <c r="H105">
        <f t="shared" si="34"/>
        <v>0</v>
      </c>
      <c r="I105">
        <f t="shared" si="35"/>
        <v>0</v>
      </c>
      <c r="J105">
        <f t="shared" si="36"/>
        <v>1</v>
      </c>
      <c r="K105" s="45">
        <f t="shared" si="37"/>
        <v>0</v>
      </c>
      <c r="L105" s="45">
        <f t="shared" si="38"/>
        <v>0</v>
      </c>
      <c r="M105" s="45">
        <f t="shared" si="39"/>
        <v>0</v>
      </c>
      <c r="N105" s="45">
        <f t="shared" si="40"/>
        <v>0.25</v>
      </c>
      <c r="O105" s="45">
        <f t="shared" si="41"/>
        <v>0.25</v>
      </c>
      <c r="P105" s="45">
        <f t="shared" si="42"/>
        <v>0</v>
      </c>
      <c r="Q105" s="45">
        <f t="shared" si="43"/>
        <v>0.25</v>
      </c>
      <c r="R105" s="45">
        <f t="shared" si="44"/>
        <v>0</v>
      </c>
      <c r="S105" s="45">
        <f t="shared" si="45"/>
        <v>0</v>
      </c>
      <c r="T105" s="45">
        <f t="shared" si="46"/>
        <v>0.25</v>
      </c>
    </row>
    <row r="106" spans="1:20" x14ac:dyDescent="0.3">
      <c r="A106">
        <f t="shared" si="27"/>
        <v>0</v>
      </c>
      <c r="B106">
        <f t="shared" si="28"/>
        <v>0</v>
      </c>
      <c r="C106">
        <f t="shared" si="29"/>
        <v>0</v>
      </c>
      <c r="D106">
        <f t="shared" si="30"/>
        <v>1</v>
      </c>
      <c r="E106">
        <f t="shared" si="31"/>
        <v>1</v>
      </c>
      <c r="F106">
        <f t="shared" si="32"/>
        <v>0</v>
      </c>
      <c r="G106">
        <f t="shared" si="33"/>
        <v>1</v>
      </c>
      <c r="H106">
        <f t="shared" si="34"/>
        <v>0</v>
      </c>
      <c r="I106">
        <f t="shared" si="35"/>
        <v>1</v>
      </c>
      <c r="J106">
        <f t="shared" si="36"/>
        <v>0</v>
      </c>
      <c r="K106" s="45">
        <f t="shared" si="37"/>
        <v>0</v>
      </c>
      <c r="L106" s="45">
        <f t="shared" si="38"/>
        <v>0</v>
      </c>
      <c r="M106" s="45">
        <f t="shared" si="39"/>
        <v>0</v>
      </c>
      <c r="N106" s="45">
        <f t="shared" si="40"/>
        <v>0.25</v>
      </c>
      <c r="O106" s="45">
        <f t="shared" si="41"/>
        <v>0.25</v>
      </c>
      <c r="P106" s="45">
        <f t="shared" si="42"/>
        <v>0</v>
      </c>
      <c r="Q106" s="45">
        <f t="shared" si="43"/>
        <v>0.25</v>
      </c>
      <c r="R106" s="45">
        <f t="shared" si="44"/>
        <v>0</v>
      </c>
      <c r="S106" s="45">
        <f t="shared" si="45"/>
        <v>0.25</v>
      </c>
      <c r="T106" s="45">
        <f t="shared" si="46"/>
        <v>0</v>
      </c>
    </row>
    <row r="107" spans="1:20" x14ac:dyDescent="0.3">
      <c r="A107">
        <f t="shared" si="27"/>
        <v>0</v>
      </c>
      <c r="B107">
        <f t="shared" si="28"/>
        <v>0</v>
      </c>
      <c r="C107">
        <f t="shared" si="29"/>
        <v>0</v>
      </c>
      <c r="D107">
        <f t="shared" si="30"/>
        <v>1</v>
      </c>
      <c r="E107">
        <f t="shared" si="31"/>
        <v>1</v>
      </c>
      <c r="F107">
        <f t="shared" si="32"/>
        <v>0</v>
      </c>
      <c r="G107">
        <f t="shared" si="33"/>
        <v>1</v>
      </c>
      <c r="H107">
        <f t="shared" si="34"/>
        <v>0</v>
      </c>
      <c r="I107">
        <f t="shared" si="35"/>
        <v>1</v>
      </c>
      <c r="J107">
        <f t="shared" si="36"/>
        <v>1</v>
      </c>
      <c r="K107" s="45">
        <f t="shared" si="37"/>
        <v>0</v>
      </c>
      <c r="L107" s="45">
        <f t="shared" si="38"/>
        <v>0</v>
      </c>
      <c r="M107" s="45">
        <f t="shared" si="39"/>
        <v>0</v>
      </c>
      <c r="N107" s="45">
        <f t="shared" si="40"/>
        <v>0.2</v>
      </c>
      <c r="O107" s="45">
        <f t="shared" si="41"/>
        <v>0.2</v>
      </c>
      <c r="P107" s="45">
        <f t="shared" si="42"/>
        <v>0</v>
      </c>
      <c r="Q107" s="45">
        <f t="shared" si="43"/>
        <v>0.2</v>
      </c>
      <c r="R107" s="45">
        <f t="shared" si="44"/>
        <v>0</v>
      </c>
      <c r="S107" s="45">
        <f t="shared" si="45"/>
        <v>0.2</v>
      </c>
      <c r="T107" s="45">
        <f t="shared" si="46"/>
        <v>0.2</v>
      </c>
    </row>
    <row r="108" spans="1:20" x14ac:dyDescent="0.3">
      <c r="A108">
        <f t="shared" si="27"/>
        <v>0</v>
      </c>
      <c r="B108">
        <f t="shared" si="28"/>
        <v>0</v>
      </c>
      <c r="C108">
        <f t="shared" si="29"/>
        <v>0</v>
      </c>
      <c r="D108">
        <f t="shared" si="30"/>
        <v>1</v>
      </c>
      <c r="E108">
        <f t="shared" si="31"/>
        <v>1</v>
      </c>
      <c r="F108">
        <f t="shared" si="32"/>
        <v>0</v>
      </c>
      <c r="G108">
        <f t="shared" si="33"/>
        <v>1</v>
      </c>
      <c r="H108">
        <f t="shared" si="34"/>
        <v>1</v>
      </c>
      <c r="I108">
        <f t="shared" si="35"/>
        <v>0</v>
      </c>
      <c r="J108">
        <f t="shared" si="36"/>
        <v>0</v>
      </c>
      <c r="K108" s="45">
        <f t="shared" si="37"/>
        <v>0</v>
      </c>
      <c r="L108" s="45">
        <f t="shared" si="38"/>
        <v>0</v>
      </c>
      <c r="M108" s="45">
        <f t="shared" si="39"/>
        <v>0</v>
      </c>
      <c r="N108" s="45">
        <f t="shared" si="40"/>
        <v>0.25</v>
      </c>
      <c r="O108" s="45">
        <f t="shared" si="41"/>
        <v>0.25</v>
      </c>
      <c r="P108" s="45">
        <f t="shared" si="42"/>
        <v>0</v>
      </c>
      <c r="Q108" s="45">
        <f t="shared" si="43"/>
        <v>0.25</v>
      </c>
      <c r="R108" s="45">
        <f t="shared" si="44"/>
        <v>0.25</v>
      </c>
      <c r="S108" s="45">
        <f t="shared" si="45"/>
        <v>0</v>
      </c>
      <c r="T108" s="45">
        <f t="shared" si="46"/>
        <v>0</v>
      </c>
    </row>
    <row r="109" spans="1:20" x14ac:dyDescent="0.3">
      <c r="A109">
        <f t="shared" si="27"/>
        <v>0</v>
      </c>
      <c r="B109">
        <f t="shared" si="28"/>
        <v>0</v>
      </c>
      <c r="C109">
        <f t="shared" si="29"/>
        <v>0</v>
      </c>
      <c r="D109">
        <f t="shared" si="30"/>
        <v>1</v>
      </c>
      <c r="E109">
        <f t="shared" si="31"/>
        <v>1</v>
      </c>
      <c r="F109">
        <f t="shared" si="32"/>
        <v>0</v>
      </c>
      <c r="G109">
        <f t="shared" si="33"/>
        <v>1</v>
      </c>
      <c r="H109">
        <f t="shared" si="34"/>
        <v>1</v>
      </c>
      <c r="I109">
        <f t="shared" si="35"/>
        <v>0</v>
      </c>
      <c r="J109">
        <f t="shared" si="36"/>
        <v>1</v>
      </c>
      <c r="K109" s="45">
        <f t="shared" si="37"/>
        <v>0</v>
      </c>
      <c r="L109" s="45">
        <f t="shared" si="38"/>
        <v>0</v>
      </c>
      <c r="M109" s="45">
        <f t="shared" si="39"/>
        <v>0</v>
      </c>
      <c r="N109" s="45">
        <f t="shared" si="40"/>
        <v>0.2</v>
      </c>
      <c r="O109" s="45">
        <f t="shared" si="41"/>
        <v>0.2</v>
      </c>
      <c r="P109" s="45">
        <f t="shared" si="42"/>
        <v>0</v>
      </c>
      <c r="Q109" s="45">
        <f t="shared" si="43"/>
        <v>0.2</v>
      </c>
      <c r="R109" s="45">
        <f t="shared" si="44"/>
        <v>0.2</v>
      </c>
      <c r="S109" s="45">
        <f t="shared" si="45"/>
        <v>0</v>
      </c>
      <c r="T109" s="45">
        <f t="shared" si="46"/>
        <v>0.2</v>
      </c>
    </row>
    <row r="110" spans="1:20" x14ac:dyDescent="0.3">
      <c r="A110">
        <f t="shared" si="27"/>
        <v>0</v>
      </c>
      <c r="B110">
        <f t="shared" si="28"/>
        <v>0</v>
      </c>
      <c r="C110">
        <f t="shared" si="29"/>
        <v>0</v>
      </c>
      <c r="D110">
        <f t="shared" si="30"/>
        <v>1</v>
      </c>
      <c r="E110">
        <f t="shared" si="31"/>
        <v>1</v>
      </c>
      <c r="F110">
        <f t="shared" si="32"/>
        <v>0</v>
      </c>
      <c r="G110">
        <f t="shared" si="33"/>
        <v>1</v>
      </c>
      <c r="H110">
        <f t="shared" si="34"/>
        <v>1</v>
      </c>
      <c r="I110">
        <f t="shared" si="35"/>
        <v>1</v>
      </c>
      <c r="J110">
        <f t="shared" si="36"/>
        <v>0</v>
      </c>
      <c r="K110" s="45">
        <f t="shared" si="37"/>
        <v>0</v>
      </c>
      <c r="L110" s="45">
        <f t="shared" si="38"/>
        <v>0</v>
      </c>
      <c r="M110" s="45">
        <f t="shared" si="39"/>
        <v>0</v>
      </c>
      <c r="N110" s="45">
        <f t="shared" si="40"/>
        <v>0.2</v>
      </c>
      <c r="O110" s="45">
        <f t="shared" si="41"/>
        <v>0.2</v>
      </c>
      <c r="P110" s="45">
        <f t="shared" si="42"/>
        <v>0</v>
      </c>
      <c r="Q110" s="45">
        <f t="shared" si="43"/>
        <v>0.2</v>
      </c>
      <c r="R110" s="45">
        <f t="shared" si="44"/>
        <v>0.2</v>
      </c>
      <c r="S110" s="45">
        <f t="shared" si="45"/>
        <v>0.2</v>
      </c>
      <c r="T110" s="45">
        <f t="shared" si="46"/>
        <v>0</v>
      </c>
    </row>
    <row r="111" spans="1:20" x14ac:dyDescent="0.3">
      <c r="A111">
        <f t="shared" si="27"/>
        <v>0</v>
      </c>
      <c r="B111">
        <f t="shared" si="28"/>
        <v>0</v>
      </c>
      <c r="C111">
        <f t="shared" si="29"/>
        <v>0</v>
      </c>
      <c r="D111">
        <f t="shared" si="30"/>
        <v>1</v>
      </c>
      <c r="E111">
        <f t="shared" si="31"/>
        <v>1</v>
      </c>
      <c r="F111">
        <f t="shared" si="32"/>
        <v>0</v>
      </c>
      <c r="G111">
        <f t="shared" si="33"/>
        <v>1</v>
      </c>
      <c r="H111">
        <f t="shared" si="34"/>
        <v>1</v>
      </c>
      <c r="I111">
        <f t="shared" si="35"/>
        <v>1</v>
      </c>
      <c r="J111">
        <f t="shared" si="36"/>
        <v>1</v>
      </c>
      <c r="K111" s="45">
        <f t="shared" si="37"/>
        <v>0</v>
      </c>
      <c r="L111" s="45">
        <f t="shared" si="38"/>
        <v>0</v>
      </c>
      <c r="M111" s="45">
        <f t="shared" si="39"/>
        <v>0</v>
      </c>
      <c r="N111" s="45">
        <f t="shared" si="40"/>
        <v>0.16666666666666666</v>
      </c>
      <c r="O111" s="45">
        <f t="shared" si="41"/>
        <v>0.16666666666666666</v>
      </c>
      <c r="P111" s="45">
        <f t="shared" si="42"/>
        <v>0</v>
      </c>
      <c r="Q111" s="45">
        <f t="shared" si="43"/>
        <v>0.16666666666666666</v>
      </c>
      <c r="R111" s="45">
        <f t="shared" si="44"/>
        <v>0.16666666666666666</v>
      </c>
      <c r="S111" s="45">
        <f t="shared" si="45"/>
        <v>0.16666666666666666</v>
      </c>
      <c r="T111" s="45">
        <f t="shared" si="46"/>
        <v>0.16666666666666666</v>
      </c>
    </row>
    <row r="112" spans="1:20" x14ac:dyDescent="0.3">
      <c r="A112">
        <f t="shared" si="27"/>
        <v>0</v>
      </c>
      <c r="B112">
        <f t="shared" si="28"/>
        <v>0</v>
      </c>
      <c r="C112">
        <f t="shared" si="29"/>
        <v>0</v>
      </c>
      <c r="D112">
        <f t="shared" si="30"/>
        <v>1</v>
      </c>
      <c r="E112">
        <f t="shared" si="31"/>
        <v>1</v>
      </c>
      <c r="F112">
        <f t="shared" si="32"/>
        <v>1</v>
      </c>
      <c r="G112">
        <f t="shared" si="33"/>
        <v>0</v>
      </c>
      <c r="H112">
        <f t="shared" si="34"/>
        <v>0</v>
      </c>
      <c r="I112">
        <f t="shared" si="35"/>
        <v>0</v>
      </c>
      <c r="J112">
        <f t="shared" si="36"/>
        <v>0</v>
      </c>
      <c r="K112" s="45">
        <f t="shared" si="37"/>
        <v>0</v>
      </c>
      <c r="L112" s="45">
        <f t="shared" si="38"/>
        <v>0</v>
      </c>
      <c r="M112" s="45">
        <f t="shared" si="39"/>
        <v>0</v>
      </c>
      <c r="N112" s="45">
        <f t="shared" si="40"/>
        <v>0.33333333333333331</v>
      </c>
      <c r="O112" s="45">
        <f t="shared" si="41"/>
        <v>0.33333333333333331</v>
      </c>
      <c r="P112" s="45">
        <f t="shared" si="42"/>
        <v>0.33333333333333331</v>
      </c>
      <c r="Q112" s="45">
        <f t="shared" si="43"/>
        <v>0</v>
      </c>
      <c r="R112" s="45">
        <f t="shared" si="44"/>
        <v>0</v>
      </c>
      <c r="S112" s="45">
        <f t="shared" si="45"/>
        <v>0</v>
      </c>
      <c r="T112" s="45">
        <f t="shared" si="46"/>
        <v>0</v>
      </c>
    </row>
    <row r="113" spans="1:20" x14ac:dyDescent="0.3">
      <c r="A113">
        <f t="shared" si="27"/>
        <v>0</v>
      </c>
      <c r="B113">
        <f t="shared" si="28"/>
        <v>0</v>
      </c>
      <c r="C113">
        <f t="shared" si="29"/>
        <v>0</v>
      </c>
      <c r="D113">
        <f t="shared" si="30"/>
        <v>1</v>
      </c>
      <c r="E113">
        <f t="shared" si="31"/>
        <v>1</v>
      </c>
      <c r="F113">
        <f t="shared" si="32"/>
        <v>1</v>
      </c>
      <c r="G113">
        <f t="shared" si="33"/>
        <v>0</v>
      </c>
      <c r="H113">
        <f t="shared" si="34"/>
        <v>0</v>
      </c>
      <c r="I113">
        <f t="shared" si="35"/>
        <v>0</v>
      </c>
      <c r="J113">
        <f t="shared" si="36"/>
        <v>1</v>
      </c>
      <c r="K113" s="45">
        <f t="shared" si="37"/>
        <v>0</v>
      </c>
      <c r="L113" s="45">
        <f t="shared" si="38"/>
        <v>0</v>
      </c>
      <c r="M113" s="45">
        <f t="shared" si="39"/>
        <v>0</v>
      </c>
      <c r="N113" s="45">
        <f t="shared" si="40"/>
        <v>0.25</v>
      </c>
      <c r="O113" s="45">
        <f t="shared" si="41"/>
        <v>0.25</v>
      </c>
      <c r="P113" s="45">
        <f t="shared" si="42"/>
        <v>0.25</v>
      </c>
      <c r="Q113" s="45">
        <f t="shared" si="43"/>
        <v>0</v>
      </c>
      <c r="R113" s="45">
        <f t="shared" si="44"/>
        <v>0</v>
      </c>
      <c r="S113" s="45">
        <f t="shared" si="45"/>
        <v>0</v>
      </c>
      <c r="T113" s="45">
        <f t="shared" si="46"/>
        <v>0.25</v>
      </c>
    </row>
    <row r="114" spans="1:20" x14ac:dyDescent="0.3">
      <c r="A114">
        <f t="shared" si="27"/>
        <v>0</v>
      </c>
      <c r="B114">
        <f t="shared" si="28"/>
        <v>0</v>
      </c>
      <c r="C114">
        <f t="shared" si="29"/>
        <v>0</v>
      </c>
      <c r="D114">
        <f t="shared" si="30"/>
        <v>1</v>
      </c>
      <c r="E114">
        <f t="shared" si="31"/>
        <v>1</v>
      </c>
      <c r="F114">
        <f t="shared" si="32"/>
        <v>1</v>
      </c>
      <c r="G114">
        <f t="shared" si="33"/>
        <v>0</v>
      </c>
      <c r="H114">
        <f t="shared" si="34"/>
        <v>0</v>
      </c>
      <c r="I114">
        <f t="shared" si="35"/>
        <v>1</v>
      </c>
      <c r="J114">
        <f t="shared" si="36"/>
        <v>0</v>
      </c>
      <c r="K114" s="45">
        <f t="shared" si="37"/>
        <v>0</v>
      </c>
      <c r="L114" s="45">
        <f t="shared" si="38"/>
        <v>0</v>
      </c>
      <c r="M114" s="45">
        <f t="shared" si="39"/>
        <v>0</v>
      </c>
      <c r="N114" s="45">
        <f t="shared" si="40"/>
        <v>0.25</v>
      </c>
      <c r="O114" s="45">
        <f t="shared" si="41"/>
        <v>0.25</v>
      </c>
      <c r="P114" s="45">
        <f t="shared" si="42"/>
        <v>0.25</v>
      </c>
      <c r="Q114" s="45">
        <f t="shared" si="43"/>
        <v>0</v>
      </c>
      <c r="R114" s="45">
        <f t="shared" si="44"/>
        <v>0</v>
      </c>
      <c r="S114" s="45">
        <f t="shared" si="45"/>
        <v>0.25</v>
      </c>
      <c r="T114" s="45">
        <f t="shared" si="46"/>
        <v>0</v>
      </c>
    </row>
    <row r="115" spans="1:20" x14ac:dyDescent="0.3">
      <c r="A115">
        <f t="shared" si="27"/>
        <v>0</v>
      </c>
      <c r="B115">
        <f t="shared" si="28"/>
        <v>0</v>
      </c>
      <c r="C115">
        <f t="shared" si="29"/>
        <v>0</v>
      </c>
      <c r="D115">
        <f t="shared" si="30"/>
        <v>1</v>
      </c>
      <c r="E115">
        <f t="shared" si="31"/>
        <v>1</v>
      </c>
      <c r="F115">
        <f t="shared" si="32"/>
        <v>1</v>
      </c>
      <c r="G115">
        <f t="shared" si="33"/>
        <v>0</v>
      </c>
      <c r="H115">
        <f t="shared" si="34"/>
        <v>0</v>
      </c>
      <c r="I115">
        <f t="shared" si="35"/>
        <v>1</v>
      </c>
      <c r="J115">
        <f t="shared" si="36"/>
        <v>1</v>
      </c>
      <c r="K115" s="45">
        <f t="shared" si="37"/>
        <v>0</v>
      </c>
      <c r="L115" s="45">
        <f t="shared" si="38"/>
        <v>0</v>
      </c>
      <c r="M115" s="45">
        <f t="shared" si="39"/>
        <v>0</v>
      </c>
      <c r="N115" s="45">
        <f t="shared" si="40"/>
        <v>0.2</v>
      </c>
      <c r="O115" s="45">
        <f t="shared" si="41"/>
        <v>0.2</v>
      </c>
      <c r="P115" s="45">
        <f t="shared" si="42"/>
        <v>0.2</v>
      </c>
      <c r="Q115" s="45">
        <f t="shared" si="43"/>
        <v>0</v>
      </c>
      <c r="R115" s="45">
        <f t="shared" si="44"/>
        <v>0</v>
      </c>
      <c r="S115" s="45">
        <f t="shared" si="45"/>
        <v>0.2</v>
      </c>
      <c r="T115" s="45">
        <f t="shared" si="46"/>
        <v>0.2</v>
      </c>
    </row>
    <row r="116" spans="1:20" x14ac:dyDescent="0.3">
      <c r="A116">
        <f t="shared" si="27"/>
        <v>0</v>
      </c>
      <c r="B116">
        <f t="shared" si="28"/>
        <v>0</v>
      </c>
      <c r="C116">
        <f t="shared" si="29"/>
        <v>0</v>
      </c>
      <c r="D116">
        <f t="shared" si="30"/>
        <v>1</v>
      </c>
      <c r="E116">
        <f t="shared" si="31"/>
        <v>1</v>
      </c>
      <c r="F116">
        <f t="shared" si="32"/>
        <v>1</v>
      </c>
      <c r="G116">
        <f t="shared" si="33"/>
        <v>0</v>
      </c>
      <c r="H116">
        <f t="shared" si="34"/>
        <v>1</v>
      </c>
      <c r="I116">
        <f t="shared" si="35"/>
        <v>0</v>
      </c>
      <c r="J116">
        <f t="shared" si="36"/>
        <v>0</v>
      </c>
      <c r="K116" s="45">
        <f t="shared" si="37"/>
        <v>0</v>
      </c>
      <c r="L116" s="45">
        <f t="shared" si="38"/>
        <v>0</v>
      </c>
      <c r="M116" s="45">
        <f t="shared" si="39"/>
        <v>0</v>
      </c>
      <c r="N116" s="45">
        <f t="shared" si="40"/>
        <v>0.25</v>
      </c>
      <c r="O116" s="45">
        <f t="shared" si="41"/>
        <v>0.25</v>
      </c>
      <c r="P116" s="45">
        <f t="shared" si="42"/>
        <v>0.25</v>
      </c>
      <c r="Q116" s="45">
        <f t="shared" si="43"/>
        <v>0</v>
      </c>
      <c r="R116" s="45">
        <f t="shared" si="44"/>
        <v>0.25</v>
      </c>
      <c r="S116" s="45">
        <f t="shared" si="45"/>
        <v>0</v>
      </c>
      <c r="T116" s="45">
        <f t="shared" si="46"/>
        <v>0</v>
      </c>
    </row>
    <row r="117" spans="1:20" x14ac:dyDescent="0.3">
      <c r="A117">
        <f t="shared" si="27"/>
        <v>0</v>
      </c>
      <c r="B117">
        <f t="shared" si="28"/>
        <v>0</v>
      </c>
      <c r="C117">
        <f t="shared" si="29"/>
        <v>0</v>
      </c>
      <c r="D117">
        <f t="shared" si="30"/>
        <v>1</v>
      </c>
      <c r="E117">
        <f t="shared" si="31"/>
        <v>1</v>
      </c>
      <c r="F117">
        <f t="shared" si="32"/>
        <v>1</v>
      </c>
      <c r="G117">
        <f t="shared" si="33"/>
        <v>0</v>
      </c>
      <c r="H117">
        <f t="shared" si="34"/>
        <v>1</v>
      </c>
      <c r="I117">
        <f t="shared" si="35"/>
        <v>0</v>
      </c>
      <c r="J117">
        <f t="shared" si="36"/>
        <v>1</v>
      </c>
      <c r="K117" s="45">
        <f t="shared" si="37"/>
        <v>0</v>
      </c>
      <c r="L117" s="45">
        <f t="shared" si="38"/>
        <v>0</v>
      </c>
      <c r="M117" s="45">
        <f t="shared" si="39"/>
        <v>0</v>
      </c>
      <c r="N117" s="45">
        <f t="shared" si="40"/>
        <v>0.2</v>
      </c>
      <c r="O117" s="45">
        <f t="shared" si="41"/>
        <v>0.2</v>
      </c>
      <c r="P117" s="45">
        <f t="shared" si="42"/>
        <v>0.2</v>
      </c>
      <c r="Q117" s="45">
        <f t="shared" si="43"/>
        <v>0</v>
      </c>
      <c r="R117" s="45">
        <f t="shared" si="44"/>
        <v>0.2</v>
      </c>
      <c r="S117" s="45">
        <f t="shared" si="45"/>
        <v>0</v>
      </c>
      <c r="T117" s="45">
        <f t="shared" si="46"/>
        <v>0.2</v>
      </c>
    </row>
    <row r="118" spans="1:20" x14ac:dyDescent="0.3">
      <c r="A118">
        <f t="shared" si="27"/>
        <v>0</v>
      </c>
      <c r="B118">
        <f t="shared" si="28"/>
        <v>0</v>
      </c>
      <c r="C118">
        <f t="shared" si="29"/>
        <v>0</v>
      </c>
      <c r="D118">
        <f t="shared" si="30"/>
        <v>1</v>
      </c>
      <c r="E118">
        <f t="shared" si="31"/>
        <v>1</v>
      </c>
      <c r="F118">
        <f t="shared" si="32"/>
        <v>1</v>
      </c>
      <c r="G118">
        <f t="shared" si="33"/>
        <v>0</v>
      </c>
      <c r="H118">
        <f t="shared" si="34"/>
        <v>1</v>
      </c>
      <c r="I118">
        <f t="shared" si="35"/>
        <v>1</v>
      </c>
      <c r="J118">
        <f t="shared" si="36"/>
        <v>0</v>
      </c>
      <c r="K118" s="45">
        <f t="shared" si="37"/>
        <v>0</v>
      </c>
      <c r="L118" s="45">
        <f t="shared" si="38"/>
        <v>0</v>
      </c>
      <c r="M118" s="45">
        <f t="shared" si="39"/>
        <v>0</v>
      </c>
      <c r="N118" s="45">
        <f t="shared" si="40"/>
        <v>0.2</v>
      </c>
      <c r="O118" s="45">
        <f t="shared" si="41"/>
        <v>0.2</v>
      </c>
      <c r="P118" s="45">
        <f t="shared" si="42"/>
        <v>0.2</v>
      </c>
      <c r="Q118" s="45">
        <f t="shared" si="43"/>
        <v>0</v>
      </c>
      <c r="R118" s="45">
        <f t="shared" si="44"/>
        <v>0.2</v>
      </c>
      <c r="S118" s="45">
        <f t="shared" si="45"/>
        <v>0.2</v>
      </c>
      <c r="T118" s="45">
        <f t="shared" si="46"/>
        <v>0</v>
      </c>
    </row>
    <row r="119" spans="1:20" x14ac:dyDescent="0.3">
      <c r="A119">
        <f t="shared" si="27"/>
        <v>0</v>
      </c>
      <c r="B119">
        <f t="shared" si="28"/>
        <v>0</v>
      </c>
      <c r="C119">
        <f t="shared" si="29"/>
        <v>0</v>
      </c>
      <c r="D119">
        <f t="shared" si="30"/>
        <v>1</v>
      </c>
      <c r="E119">
        <f t="shared" si="31"/>
        <v>1</v>
      </c>
      <c r="F119">
        <f t="shared" si="32"/>
        <v>1</v>
      </c>
      <c r="G119">
        <f t="shared" si="33"/>
        <v>0</v>
      </c>
      <c r="H119">
        <f t="shared" si="34"/>
        <v>1</v>
      </c>
      <c r="I119">
        <f t="shared" si="35"/>
        <v>1</v>
      </c>
      <c r="J119">
        <f t="shared" si="36"/>
        <v>1</v>
      </c>
      <c r="K119" s="45">
        <f t="shared" si="37"/>
        <v>0</v>
      </c>
      <c r="L119" s="45">
        <f t="shared" si="38"/>
        <v>0</v>
      </c>
      <c r="M119" s="45">
        <f t="shared" si="39"/>
        <v>0</v>
      </c>
      <c r="N119" s="45">
        <f t="shared" si="40"/>
        <v>0.16666666666666666</v>
      </c>
      <c r="O119" s="45">
        <f t="shared" si="41"/>
        <v>0.16666666666666666</v>
      </c>
      <c r="P119" s="45">
        <f t="shared" si="42"/>
        <v>0.16666666666666666</v>
      </c>
      <c r="Q119" s="45">
        <f t="shared" si="43"/>
        <v>0</v>
      </c>
      <c r="R119" s="45">
        <f t="shared" si="44"/>
        <v>0.16666666666666666</v>
      </c>
      <c r="S119" s="45">
        <f t="shared" si="45"/>
        <v>0.16666666666666666</v>
      </c>
      <c r="T119" s="45">
        <f t="shared" si="46"/>
        <v>0.16666666666666666</v>
      </c>
    </row>
    <row r="120" spans="1:20" x14ac:dyDescent="0.3">
      <c r="A120">
        <f t="shared" si="27"/>
        <v>0</v>
      </c>
      <c r="B120">
        <f t="shared" si="28"/>
        <v>0</v>
      </c>
      <c r="C120">
        <f t="shared" si="29"/>
        <v>0</v>
      </c>
      <c r="D120">
        <f t="shared" si="30"/>
        <v>1</v>
      </c>
      <c r="E120">
        <f t="shared" si="31"/>
        <v>1</v>
      </c>
      <c r="F120">
        <f t="shared" si="32"/>
        <v>1</v>
      </c>
      <c r="G120">
        <f t="shared" si="33"/>
        <v>1</v>
      </c>
      <c r="H120">
        <f t="shared" si="34"/>
        <v>0</v>
      </c>
      <c r="I120">
        <f t="shared" si="35"/>
        <v>0</v>
      </c>
      <c r="J120">
        <f t="shared" si="36"/>
        <v>0</v>
      </c>
      <c r="K120" s="45">
        <f t="shared" si="37"/>
        <v>0</v>
      </c>
      <c r="L120" s="45">
        <f t="shared" si="38"/>
        <v>0</v>
      </c>
      <c r="M120" s="45">
        <f t="shared" si="39"/>
        <v>0</v>
      </c>
      <c r="N120" s="45">
        <f t="shared" si="40"/>
        <v>0.25</v>
      </c>
      <c r="O120" s="45">
        <f t="shared" si="41"/>
        <v>0.25</v>
      </c>
      <c r="P120" s="45">
        <f t="shared" si="42"/>
        <v>0.25</v>
      </c>
      <c r="Q120" s="45">
        <f t="shared" si="43"/>
        <v>0.25</v>
      </c>
      <c r="R120" s="45">
        <f t="shared" si="44"/>
        <v>0</v>
      </c>
      <c r="S120" s="45">
        <f t="shared" si="45"/>
        <v>0</v>
      </c>
      <c r="T120" s="45">
        <f t="shared" si="46"/>
        <v>0</v>
      </c>
    </row>
    <row r="121" spans="1:20" x14ac:dyDescent="0.3">
      <c r="A121">
        <f t="shared" si="27"/>
        <v>0</v>
      </c>
      <c r="B121">
        <f t="shared" si="28"/>
        <v>0</v>
      </c>
      <c r="C121">
        <f t="shared" si="29"/>
        <v>0</v>
      </c>
      <c r="D121">
        <f t="shared" si="30"/>
        <v>1</v>
      </c>
      <c r="E121">
        <f t="shared" si="31"/>
        <v>1</v>
      </c>
      <c r="F121">
        <f t="shared" si="32"/>
        <v>1</v>
      </c>
      <c r="G121">
        <f t="shared" si="33"/>
        <v>1</v>
      </c>
      <c r="H121">
        <f t="shared" si="34"/>
        <v>0</v>
      </c>
      <c r="I121">
        <f t="shared" si="35"/>
        <v>0</v>
      </c>
      <c r="J121">
        <f t="shared" si="36"/>
        <v>1</v>
      </c>
      <c r="K121" s="45">
        <f t="shared" si="37"/>
        <v>0</v>
      </c>
      <c r="L121" s="45">
        <f t="shared" si="38"/>
        <v>0</v>
      </c>
      <c r="M121" s="45">
        <f t="shared" si="39"/>
        <v>0</v>
      </c>
      <c r="N121" s="45">
        <f t="shared" si="40"/>
        <v>0.2</v>
      </c>
      <c r="O121" s="45">
        <f t="shared" si="41"/>
        <v>0.2</v>
      </c>
      <c r="P121" s="45">
        <f t="shared" si="42"/>
        <v>0.2</v>
      </c>
      <c r="Q121" s="45">
        <f t="shared" si="43"/>
        <v>0.2</v>
      </c>
      <c r="R121" s="45">
        <f t="shared" si="44"/>
        <v>0</v>
      </c>
      <c r="S121" s="45">
        <f t="shared" si="45"/>
        <v>0</v>
      </c>
      <c r="T121" s="45">
        <f t="shared" si="46"/>
        <v>0.2</v>
      </c>
    </row>
    <row r="122" spans="1:20" x14ac:dyDescent="0.3">
      <c r="A122">
        <f t="shared" si="27"/>
        <v>0</v>
      </c>
      <c r="B122">
        <f t="shared" si="28"/>
        <v>0</v>
      </c>
      <c r="C122">
        <f t="shared" si="29"/>
        <v>0</v>
      </c>
      <c r="D122">
        <f t="shared" si="30"/>
        <v>1</v>
      </c>
      <c r="E122">
        <f t="shared" si="31"/>
        <v>1</v>
      </c>
      <c r="F122">
        <f t="shared" si="32"/>
        <v>1</v>
      </c>
      <c r="G122">
        <f t="shared" si="33"/>
        <v>1</v>
      </c>
      <c r="H122">
        <f t="shared" si="34"/>
        <v>0</v>
      </c>
      <c r="I122">
        <f t="shared" si="35"/>
        <v>1</v>
      </c>
      <c r="J122">
        <f t="shared" si="36"/>
        <v>0</v>
      </c>
      <c r="K122" s="45">
        <f t="shared" si="37"/>
        <v>0</v>
      </c>
      <c r="L122" s="45">
        <f t="shared" si="38"/>
        <v>0</v>
      </c>
      <c r="M122" s="45">
        <f t="shared" si="39"/>
        <v>0</v>
      </c>
      <c r="N122" s="45">
        <f t="shared" si="40"/>
        <v>0.2</v>
      </c>
      <c r="O122" s="45">
        <f t="shared" si="41"/>
        <v>0.2</v>
      </c>
      <c r="P122" s="45">
        <f t="shared" si="42"/>
        <v>0.2</v>
      </c>
      <c r="Q122" s="45">
        <f t="shared" si="43"/>
        <v>0.2</v>
      </c>
      <c r="R122" s="45">
        <f t="shared" si="44"/>
        <v>0</v>
      </c>
      <c r="S122" s="45">
        <f t="shared" si="45"/>
        <v>0.2</v>
      </c>
      <c r="T122" s="45">
        <f t="shared" si="46"/>
        <v>0</v>
      </c>
    </row>
    <row r="123" spans="1:20" x14ac:dyDescent="0.3">
      <c r="A123">
        <f t="shared" si="27"/>
        <v>0</v>
      </c>
      <c r="B123">
        <f t="shared" si="28"/>
        <v>0</v>
      </c>
      <c r="C123">
        <f t="shared" si="29"/>
        <v>0</v>
      </c>
      <c r="D123">
        <f t="shared" si="30"/>
        <v>1</v>
      </c>
      <c r="E123">
        <f t="shared" si="31"/>
        <v>1</v>
      </c>
      <c r="F123">
        <f t="shared" si="32"/>
        <v>1</v>
      </c>
      <c r="G123">
        <f t="shared" si="33"/>
        <v>1</v>
      </c>
      <c r="H123">
        <f t="shared" si="34"/>
        <v>0</v>
      </c>
      <c r="I123">
        <f t="shared" si="35"/>
        <v>1</v>
      </c>
      <c r="J123">
        <f t="shared" si="36"/>
        <v>1</v>
      </c>
      <c r="K123" s="45">
        <f t="shared" si="37"/>
        <v>0</v>
      </c>
      <c r="L123" s="45">
        <f t="shared" si="38"/>
        <v>0</v>
      </c>
      <c r="M123" s="45">
        <f t="shared" si="39"/>
        <v>0</v>
      </c>
      <c r="N123" s="45">
        <f t="shared" si="40"/>
        <v>0.16666666666666666</v>
      </c>
      <c r="O123" s="45">
        <f t="shared" si="41"/>
        <v>0.16666666666666666</v>
      </c>
      <c r="P123" s="45">
        <f t="shared" si="42"/>
        <v>0.16666666666666666</v>
      </c>
      <c r="Q123" s="45">
        <f t="shared" si="43"/>
        <v>0.16666666666666666</v>
      </c>
      <c r="R123" s="45">
        <f t="shared" si="44"/>
        <v>0</v>
      </c>
      <c r="S123" s="45">
        <f t="shared" si="45"/>
        <v>0.16666666666666666</v>
      </c>
      <c r="T123" s="45">
        <f t="shared" si="46"/>
        <v>0.16666666666666666</v>
      </c>
    </row>
    <row r="124" spans="1:20" x14ac:dyDescent="0.3">
      <c r="A124">
        <f t="shared" si="27"/>
        <v>0</v>
      </c>
      <c r="B124">
        <f t="shared" si="28"/>
        <v>0</v>
      </c>
      <c r="C124">
        <f t="shared" si="29"/>
        <v>0</v>
      </c>
      <c r="D124">
        <f t="shared" si="30"/>
        <v>1</v>
      </c>
      <c r="E124">
        <f t="shared" si="31"/>
        <v>1</v>
      </c>
      <c r="F124">
        <f t="shared" si="32"/>
        <v>1</v>
      </c>
      <c r="G124">
        <f t="shared" si="33"/>
        <v>1</v>
      </c>
      <c r="H124">
        <f t="shared" si="34"/>
        <v>1</v>
      </c>
      <c r="I124">
        <f t="shared" si="35"/>
        <v>0</v>
      </c>
      <c r="J124">
        <f t="shared" si="36"/>
        <v>0</v>
      </c>
      <c r="K124" s="45">
        <f t="shared" si="37"/>
        <v>0</v>
      </c>
      <c r="L124" s="45">
        <f t="shared" si="38"/>
        <v>0</v>
      </c>
      <c r="M124" s="45">
        <f t="shared" si="39"/>
        <v>0</v>
      </c>
      <c r="N124" s="45">
        <f t="shared" si="40"/>
        <v>0.2</v>
      </c>
      <c r="O124" s="45">
        <f t="shared" si="41"/>
        <v>0.2</v>
      </c>
      <c r="P124" s="45">
        <f t="shared" si="42"/>
        <v>0.2</v>
      </c>
      <c r="Q124" s="45">
        <f t="shared" si="43"/>
        <v>0.2</v>
      </c>
      <c r="R124" s="45">
        <f t="shared" si="44"/>
        <v>0.2</v>
      </c>
      <c r="S124" s="45">
        <f t="shared" si="45"/>
        <v>0</v>
      </c>
      <c r="T124" s="45">
        <f t="shared" si="46"/>
        <v>0</v>
      </c>
    </row>
    <row r="125" spans="1:20" x14ac:dyDescent="0.3">
      <c r="A125">
        <f t="shared" si="27"/>
        <v>0</v>
      </c>
      <c r="B125">
        <f t="shared" si="28"/>
        <v>0</v>
      </c>
      <c r="C125">
        <f t="shared" si="29"/>
        <v>0</v>
      </c>
      <c r="D125">
        <f t="shared" si="30"/>
        <v>1</v>
      </c>
      <c r="E125">
        <f t="shared" si="31"/>
        <v>1</v>
      </c>
      <c r="F125">
        <f t="shared" si="32"/>
        <v>1</v>
      </c>
      <c r="G125">
        <f t="shared" si="33"/>
        <v>1</v>
      </c>
      <c r="H125">
        <f t="shared" si="34"/>
        <v>1</v>
      </c>
      <c r="I125">
        <f t="shared" si="35"/>
        <v>0</v>
      </c>
      <c r="J125">
        <f t="shared" si="36"/>
        <v>1</v>
      </c>
      <c r="K125" s="45">
        <f t="shared" si="37"/>
        <v>0</v>
      </c>
      <c r="L125" s="45">
        <f t="shared" si="38"/>
        <v>0</v>
      </c>
      <c r="M125" s="45">
        <f t="shared" si="39"/>
        <v>0</v>
      </c>
      <c r="N125" s="45">
        <f t="shared" si="40"/>
        <v>0.16666666666666666</v>
      </c>
      <c r="O125" s="45">
        <f t="shared" si="41"/>
        <v>0.16666666666666666</v>
      </c>
      <c r="P125" s="45">
        <f t="shared" si="42"/>
        <v>0.16666666666666666</v>
      </c>
      <c r="Q125" s="45">
        <f t="shared" si="43"/>
        <v>0.16666666666666666</v>
      </c>
      <c r="R125" s="45">
        <f t="shared" si="44"/>
        <v>0.16666666666666666</v>
      </c>
      <c r="S125" s="45">
        <f t="shared" si="45"/>
        <v>0</v>
      </c>
      <c r="T125" s="45">
        <f t="shared" si="46"/>
        <v>0.16666666666666666</v>
      </c>
    </row>
    <row r="126" spans="1:20" x14ac:dyDescent="0.3">
      <c r="A126">
        <f t="shared" si="27"/>
        <v>0</v>
      </c>
      <c r="B126">
        <f t="shared" si="28"/>
        <v>0</v>
      </c>
      <c r="C126">
        <f t="shared" si="29"/>
        <v>0</v>
      </c>
      <c r="D126">
        <f t="shared" si="30"/>
        <v>1</v>
      </c>
      <c r="E126">
        <f t="shared" si="31"/>
        <v>1</v>
      </c>
      <c r="F126">
        <f t="shared" si="32"/>
        <v>1</v>
      </c>
      <c r="G126">
        <f t="shared" si="33"/>
        <v>1</v>
      </c>
      <c r="H126">
        <f t="shared" si="34"/>
        <v>1</v>
      </c>
      <c r="I126">
        <f t="shared" si="35"/>
        <v>1</v>
      </c>
      <c r="J126">
        <f t="shared" si="36"/>
        <v>0</v>
      </c>
      <c r="K126" s="45">
        <f t="shared" si="37"/>
        <v>0</v>
      </c>
      <c r="L126" s="45">
        <f t="shared" si="38"/>
        <v>0</v>
      </c>
      <c r="M126" s="45">
        <f t="shared" si="39"/>
        <v>0</v>
      </c>
      <c r="N126" s="45">
        <f t="shared" si="40"/>
        <v>0.16666666666666666</v>
      </c>
      <c r="O126" s="45">
        <f t="shared" si="41"/>
        <v>0.16666666666666666</v>
      </c>
      <c r="P126" s="45">
        <f t="shared" si="42"/>
        <v>0.16666666666666666</v>
      </c>
      <c r="Q126" s="45">
        <f t="shared" si="43"/>
        <v>0.16666666666666666</v>
      </c>
      <c r="R126" s="45">
        <f t="shared" si="44"/>
        <v>0.16666666666666666</v>
      </c>
      <c r="S126" s="45">
        <f t="shared" si="45"/>
        <v>0.16666666666666666</v>
      </c>
      <c r="T126" s="45">
        <f t="shared" si="46"/>
        <v>0</v>
      </c>
    </row>
    <row r="127" spans="1:20" x14ac:dyDescent="0.3">
      <c r="A127">
        <f t="shared" si="27"/>
        <v>0</v>
      </c>
      <c r="B127">
        <f t="shared" si="28"/>
        <v>0</v>
      </c>
      <c r="C127">
        <f t="shared" si="29"/>
        <v>0</v>
      </c>
      <c r="D127">
        <f t="shared" si="30"/>
        <v>1</v>
      </c>
      <c r="E127">
        <f t="shared" si="31"/>
        <v>1</v>
      </c>
      <c r="F127">
        <f t="shared" si="32"/>
        <v>1</v>
      </c>
      <c r="G127">
        <f t="shared" si="33"/>
        <v>1</v>
      </c>
      <c r="H127">
        <f t="shared" si="34"/>
        <v>1</v>
      </c>
      <c r="I127">
        <f t="shared" si="35"/>
        <v>1</v>
      </c>
      <c r="J127">
        <f t="shared" si="36"/>
        <v>1</v>
      </c>
      <c r="K127" s="45">
        <f t="shared" si="37"/>
        <v>0</v>
      </c>
      <c r="L127" s="45">
        <f t="shared" si="38"/>
        <v>0</v>
      </c>
      <c r="M127" s="45">
        <f t="shared" si="39"/>
        <v>0</v>
      </c>
      <c r="N127" s="45">
        <f t="shared" si="40"/>
        <v>0.14285714285714285</v>
      </c>
      <c r="O127" s="45">
        <f t="shared" si="41"/>
        <v>0.14285714285714285</v>
      </c>
      <c r="P127" s="45">
        <f t="shared" si="42"/>
        <v>0.14285714285714285</v>
      </c>
      <c r="Q127" s="45">
        <f t="shared" si="43"/>
        <v>0.14285714285714285</v>
      </c>
      <c r="R127" s="45">
        <f t="shared" si="44"/>
        <v>0.14285714285714285</v>
      </c>
      <c r="S127" s="45">
        <f t="shared" si="45"/>
        <v>0.14285714285714285</v>
      </c>
      <c r="T127" s="45">
        <f t="shared" si="46"/>
        <v>0.14285714285714285</v>
      </c>
    </row>
    <row r="128" spans="1:20" x14ac:dyDescent="0.3">
      <c r="A128">
        <f t="shared" si="27"/>
        <v>0</v>
      </c>
      <c r="B128">
        <f t="shared" si="28"/>
        <v>0</v>
      </c>
      <c r="C128">
        <f t="shared" si="29"/>
        <v>1</v>
      </c>
      <c r="D128">
        <f t="shared" si="30"/>
        <v>0</v>
      </c>
      <c r="E128">
        <f t="shared" si="31"/>
        <v>0</v>
      </c>
      <c r="F128">
        <f t="shared" si="32"/>
        <v>0</v>
      </c>
      <c r="G128">
        <f t="shared" si="33"/>
        <v>0</v>
      </c>
      <c r="H128">
        <f t="shared" si="34"/>
        <v>0</v>
      </c>
      <c r="I128">
        <f t="shared" si="35"/>
        <v>0</v>
      </c>
      <c r="J128">
        <f t="shared" si="36"/>
        <v>0</v>
      </c>
      <c r="K128" s="45">
        <f t="shared" si="37"/>
        <v>0</v>
      </c>
      <c r="L128" s="45">
        <f t="shared" si="38"/>
        <v>0</v>
      </c>
      <c r="M128" s="45">
        <f t="shared" si="39"/>
        <v>1</v>
      </c>
      <c r="N128" s="45">
        <f t="shared" si="40"/>
        <v>0</v>
      </c>
      <c r="O128" s="45">
        <f t="shared" si="41"/>
        <v>0</v>
      </c>
      <c r="P128" s="45">
        <f t="shared" si="42"/>
        <v>0</v>
      </c>
      <c r="Q128" s="45">
        <f t="shared" si="43"/>
        <v>0</v>
      </c>
      <c r="R128" s="45">
        <f t="shared" si="44"/>
        <v>0</v>
      </c>
      <c r="S128" s="45">
        <f t="shared" si="45"/>
        <v>0</v>
      </c>
      <c r="T128" s="45">
        <f t="shared" si="46"/>
        <v>0</v>
      </c>
    </row>
    <row r="129" spans="1:20" x14ac:dyDescent="0.3">
      <c r="A129">
        <f t="shared" si="27"/>
        <v>0</v>
      </c>
      <c r="B129">
        <f t="shared" si="28"/>
        <v>0</v>
      </c>
      <c r="C129">
        <f t="shared" si="29"/>
        <v>1</v>
      </c>
      <c r="D129">
        <f t="shared" si="30"/>
        <v>0</v>
      </c>
      <c r="E129">
        <f t="shared" si="31"/>
        <v>0</v>
      </c>
      <c r="F129">
        <f t="shared" si="32"/>
        <v>0</v>
      </c>
      <c r="G129">
        <f t="shared" si="33"/>
        <v>0</v>
      </c>
      <c r="H129">
        <f t="shared" si="34"/>
        <v>0</v>
      </c>
      <c r="I129">
        <f t="shared" si="35"/>
        <v>0</v>
      </c>
      <c r="J129">
        <f t="shared" si="36"/>
        <v>1</v>
      </c>
      <c r="K129" s="45">
        <f t="shared" si="37"/>
        <v>0</v>
      </c>
      <c r="L129" s="45">
        <f t="shared" si="38"/>
        <v>0</v>
      </c>
      <c r="M129" s="45">
        <f t="shared" si="39"/>
        <v>0.5</v>
      </c>
      <c r="N129" s="45">
        <f t="shared" si="40"/>
        <v>0</v>
      </c>
      <c r="O129" s="45">
        <f t="shared" si="41"/>
        <v>0</v>
      </c>
      <c r="P129" s="45">
        <f t="shared" si="42"/>
        <v>0</v>
      </c>
      <c r="Q129" s="45">
        <f t="shared" si="43"/>
        <v>0</v>
      </c>
      <c r="R129" s="45">
        <f t="shared" si="44"/>
        <v>0</v>
      </c>
      <c r="S129" s="45">
        <f t="shared" si="45"/>
        <v>0</v>
      </c>
      <c r="T129" s="45">
        <f t="shared" si="46"/>
        <v>0.5</v>
      </c>
    </row>
    <row r="130" spans="1:20" x14ac:dyDescent="0.3">
      <c r="A130">
        <f t="shared" ref="A130:A193" si="47">INT( MOD(ROW()+0,1024)/512)</f>
        <v>0</v>
      </c>
      <c r="B130">
        <f t="shared" ref="B130:B193" si="48">INT( MOD(ROW()+0,512)/256)</f>
        <v>0</v>
      </c>
      <c r="C130">
        <f t="shared" ref="C130:C193" si="49">INT( MOD(ROW()+0,256)/128)</f>
        <v>1</v>
      </c>
      <c r="D130">
        <f t="shared" ref="D130:D193" si="50">INT( MOD(ROW()+0,128)/64)</f>
        <v>0</v>
      </c>
      <c r="E130">
        <f t="shared" ref="E130:E193" si="51">INT( MOD(ROW()+0,64)/32)</f>
        <v>0</v>
      </c>
      <c r="F130">
        <f t="shared" ref="F130:F193" si="52">INT( MOD(ROW()+0,32)/16)</f>
        <v>0</v>
      </c>
      <c r="G130">
        <f t="shared" ref="G130:G193" si="53">INT( MOD(ROW()+0,16)/8)</f>
        <v>0</v>
      </c>
      <c r="H130">
        <f t="shared" ref="H130:H193" si="54">INT( MOD(ROW()+0,8)/4)</f>
        <v>0</v>
      </c>
      <c r="I130">
        <f t="shared" ref="I130:I193" si="55">INT( MOD(ROW()+0,4)/2)</f>
        <v>1</v>
      </c>
      <c r="J130">
        <f t="shared" ref="J130:J193" si="56">INT( MOD(ROW()+0,2)/1)</f>
        <v>0</v>
      </c>
      <c r="K130" s="45">
        <f t="shared" ref="K130:K193" si="57">A130/SUM($A130:$J130)</f>
        <v>0</v>
      </c>
      <c r="L130" s="45">
        <f t="shared" ref="L130:L193" si="58">B130/SUM($A130:$J130)</f>
        <v>0</v>
      </c>
      <c r="M130" s="45">
        <f t="shared" ref="M130:M193" si="59">C130/SUM($A130:$J130)</f>
        <v>0.5</v>
      </c>
      <c r="N130" s="45">
        <f t="shared" ref="N130:N193" si="60">D130/SUM($A130:$J130)</f>
        <v>0</v>
      </c>
      <c r="O130" s="45">
        <f t="shared" ref="O130:O193" si="61">E130/SUM($A130:$J130)</f>
        <v>0</v>
      </c>
      <c r="P130" s="45">
        <f t="shared" ref="P130:P193" si="62">F130/SUM($A130:$J130)</f>
        <v>0</v>
      </c>
      <c r="Q130" s="45">
        <f t="shared" ref="Q130:Q193" si="63">G130/SUM($A130:$J130)</f>
        <v>0</v>
      </c>
      <c r="R130" s="45">
        <f t="shared" ref="R130:R193" si="64">H130/SUM($A130:$J130)</f>
        <v>0</v>
      </c>
      <c r="S130" s="45">
        <f t="shared" ref="S130:S193" si="65">I130/SUM($A130:$J130)</f>
        <v>0.5</v>
      </c>
      <c r="T130" s="45">
        <f t="shared" ref="T130:T193" si="66">J130/SUM($A130:$J130)</f>
        <v>0</v>
      </c>
    </row>
    <row r="131" spans="1:20" x14ac:dyDescent="0.3">
      <c r="A131">
        <f t="shared" si="47"/>
        <v>0</v>
      </c>
      <c r="B131">
        <f t="shared" si="48"/>
        <v>0</v>
      </c>
      <c r="C131">
        <f t="shared" si="49"/>
        <v>1</v>
      </c>
      <c r="D131">
        <f t="shared" si="50"/>
        <v>0</v>
      </c>
      <c r="E131">
        <f t="shared" si="51"/>
        <v>0</v>
      </c>
      <c r="F131">
        <f t="shared" si="52"/>
        <v>0</v>
      </c>
      <c r="G131">
        <f t="shared" si="53"/>
        <v>0</v>
      </c>
      <c r="H131">
        <f t="shared" si="54"/>
        <v>0</v>
      </c>
      <c r="I131">
        <f t="shared" si="55"/>
        <v>1</v>
      </c>
      <c r="J131">
        <f t="shared" si="56"/>
        <v>1</v>
      </c>
      <c r="K131" s="45">
        <f t="shared" si="57"/>
        <v>0</v>
      </c>
      <c r="L131" s="45">
        <f t="shared" si="58"/>
        <v>0</v>
      </c>
      <c r="M131" s="45">
        <f t="shared" si="59"/>
        <v>0.33333333333333331</v>
      </c>
      <c r="N131" s="45">
        <f t="shared" si="60"/>
        <v>0</v>
      </c>
      <c r="O131" s="45">
        <f t="shared" si="61"/>
        <v>0</v>
      </c>
      <c r="P131" s="45">
        <f t="shared" si="62"/>
        <v>0</v>
      </c>
      <c r="Q131" s="45">
        <f t="shared" si="63"/>
        <v>0</v>
      </c>
      <c r="R131" s="45">
        <f t="shared" si="64"/>
        <v>0</v>
      </c>
      <c r="S131" s="45">
        <f t="shared" si="65"/>
        <v>0.33333333333333331</v>
      </c>
      <c r="T131" s="45">
        <f t="shared" si="66"/>
        <v>0.33333333333333331</v>
      </c>
    </row>
    <row r="132" spans="1:20" x14ac:dyDescent="0.3">
      <c r="A132">
        <f t="shared" si="47"/>
        <v>0</v>
      </c>
      <c r="B132">
        <f t="shared" si="48"/>
        <v>0</v>
      </c>
      <c r="C132">
        <f t="shared" si="49"/>
        <v>1</v>
      </c>
      <c r="D132">
        <f t="shared" si="50"/>
        <v>0</v>
      </c>
      <c r="E132">
        <f t="shared" si="51"/>
        <v>0</v>
      </c>
      <c r="F132">
        <f t="shared" si="52"/>
        <v>0</v>
      </c>
      <c r="G132">
        <f t="shared" si="53"/>
        <v>0</v>
      </c>
      <c r="H132">
        <f t="shared" si="54"/>
        <v>1</v>
      </c>
      <c r="I132">
        <f t="shared" si="55"/>
        <v>0</v>
      </c>
      <c r="J132">
        <f t="shared" si="56"/>
        <v>0</v>
      </c>
      <c r="K132" s="45">
        <f t="shared" si="57"/>
        <v>0</v>
      </c>
      <c r="L132" s="45">
        <f t="shared" si="58"/>
        <v>0</v>
      </c>
      <c r="M132" s="45">
        <f t="shared" si="59"/>
        <v>0.5</v>
      </c>
      <c r="N132" s="45">
        <f t="shared" si="60"/>
        <v>0</v>
      </c>
      <c r="O132" s="45">
        <f t="shared" si="61"/>
        <v>0</v>
      </c>
      <c r="P132" s="45">
        <f t="shared" si="62"/>
        <v>0</v>
      </c>
      <c r="Q132" s="45">
        <f t="shared" si="63"/>
        <v>0</v>
      </c>
      <c r="R132" s="45">
        <f t="shared" si="64"/>
        <v>0.5</v>
      </c>
      <c r="S132" s="45">
        <f t="shared" si="65"/>
        <v>0</v>
      </c>
      <c r="T132" s="45">
        <f t="shared" si="66"/>
        <v>0</v>
      </c>
    </row>
    <row r="133" spans="1:20" x14ac:dyDescent="0.3">
      <c r="A133">
        <f t="shared" si="47"/>
        <v>0</v>
      </c>
      <c r="B133">
        <f t="shared" si="48"/>
        <v>0</v>
      </c>
      <c r="C133">
        <f t="shared" si="49"/>
        <v>1</v>
      </c>
      <c r="D133">
        <f t="shared" si="50"/>
        <v>0</v>
      </c>
      <c r="E133">
        <f t="shared" si="51"/>
        <v>0</v>
      </c>
      <c r="F133">
        <f t="shared" si="52"/>
        <v>0</v>
      </c>
      <c r="G133">
        <f t="shared" si="53"/>
        <v>0</v>
      </c>
      <c r="H133">
        <f t="shared" si="54"/>
        <v>1</v>
      </c>
      <c r="I133">
        <f t="shared" si="55"/>
        <v>0</v>
      </c>
      <c r="J133">
        <f t="shared" si="56"/>
        <v>1</v>
      </c>
      <c r="K133" s="45">
        <f t="shared" si="57"/>
        <v>0</v>
      </c>
      <c r="L133" s="45">
        <f t="shared" si="58"/>
        <v>0</v>
      </c>
      <c r="M133" s="45">
        <f t="shared" si="59"/>
        <v>0.33333333333333331</v>
      </c>
      <c r="N133" s="45">
        <f t="shared" si="60"/>
        <v>0</v>
      </c>
      <c r="O133" s="45">
        <f t="shared" si="61"/>
        <v>0</v>
      </c>
      <c r="P133" s="45">
        <f t="shared" si="62"/>
        <v>0</v>
      </c>
      <c r="Q133" s="45">
        <f t="shared" si="63"/>
        <v>0</v>
      </c>
      <c r="R133" s="45">
        <f t="shared" si="64"/>
        <v>0.33333333333333331</v>
      </c>
      <c r="S133" s="45">
        <f t="shared" si="65"/>
        <v>0</v>
      </c>
      <c r="T133" s="45">
        <f t="shared" si="66"/>
        <v>0.33333333333333331</v>
      </c>
    </row>
    <row r="134" spans="1:20" x14ac:dyDescent="0.3">
      <c r="A134">
        <f t="shared" si="47"/>
        <v>0</v>
      </c>
      <c r="B134">
        <f t="shared" si="48"/>
        <v>0</v>
      </c>
      <c r="C134">
        <f t="shared" si="49"/>
        <v>1</v>
      </c>
      <c r="D134">
        <f t="shared" si="50"/>
        <v>0</v>
      </c>
      <c r="E134">
        <f t="shared" si="51"/>
        <v>0</v>
      </c>
      <c r="F134">
        <f t="shared" si="52"/>
        <v>0</v>
      </c>
      <c r="G134">
        <f t="shared" si="53"/>
        <v>0</v>
      </c>
      <c r="H134">
        <f t="shared" si="54"/>
        <v>1</v>
      </c>
      <c r="I134">
        <f t="shared" si="55"/>
        <v>1</v>
      </c>
      <c r="J134">
        <f t="shared" si="56"/>
        <v>0</v>
      </c>
      <c r="K134" s="45">
        <f t="shared" si="57"/>
        <v>0</v>
      </c>
      <c r="L134" s="45">
        <f t="shared" si="58"/>
        <v>0</v>
      </c>
      <c r="M134" s="45">
        <f t="shared" si="59"/>
        <v>0.33333333333333331</v>
      </c>
      <c r="N134" s="45">
        <f t="shared" si="60"/>
        <v>0</v>
      </c>
      <c r="O134" s="45">
        <f t="shared" si="61"/>
        <v>0</v>
      </c>
      <c r="P134" s="45">
        <f t="shared" si="62"/>
        <v>0</v>
      </c>
      <c r="Q134" s="45">
        <f t="shared" si="63"/>
        <v>0</v>
      </c>
      <c r="R134" s="45">
        <f t="shared" si="64"/>
        <v>0.33333333333333331</v>
      </c>
      <c r="S134" s="45">
        <f t="shared" si="65"/>
        <v>0.33333333333333331</v>
      </c>
      <c r="T134" s="45">
        <f t="shared" si="66"/>
        <v>0</v>
      </c>
    </row>
    <row r="135" spans="1:20" x14ac:dyDescent="0.3">
      <c r="A135">
        <f t="shared" si="47"/>
        <v>0</v>
      </c>
      <c r="B135">
        <f t="shared" si="48"/>
        <v>0</v>
      </c>
      <c r="C135">
        <f t="shared" si="49"/>
        <v>1</v>
      </c>
      <c r="D135">
        <f t="shared" si="50"/>
        <v>0</v>
      </c>
      <c r="E135">
        <f t="shared" si="51"/>
        <v>0</v>
      </c>
      <c r="F135">
        <f t="shared" si="52"/>
        <v>0</v>
      </c>
      <c r="G135">
        <f t="shared" si="53"/>
        <v>0</v>
      </c>
      <c r="H135">
        <f t="shared" si="54"/>
        <v>1</v>
      </c>
      <c r="I135">
        <f t="shared" si="55"/>
        <v>1</v>
      </c>
      <c r="J135">
        <f t="shared" si="56"/>
        <v>1</v>
      </c>
      <c r="K135" s="45">
        <f t="shared" si="57"/>
        <v>0</v>
      </c>
      <c r="L135" s="45">
        <f t="shared" si="58"/>
        <v>0</v>
      </c>
      <c r="M135" s="45">
        <f t="shared" si="59"/>
        <v>0.25</v>
      </c>
      <c r="N135" s="45">
        <f t="shared" si="60"/>
        <v>0</v>
      </c>
      <c r="O135" s="45">
        <f t="shared" si="61"/>
        <v>0</v>
      </c>
      <c r="P135" s="45">
        <f t="shared" si="62"/>
        <v>0</v>
      </c>
      <c r="Q135" s="45">
        <f t="shared" si="63"/>
        <v>0</v>
      </c>
      <c r="R135" s="45">
        <f t="shared" si="64"/>
        <v>0.25</v>
      </c>
      <c r="S135" s="45">
        <f t="shared" si="65"/>
        <v>0.25</v>
      </c>
      <c r="T135" s="45">
        <f t="shared" si="66"/>
        <v>0.25</v>
      </c>
    </row>
    <row r="136" spans="1:20" x14ac:dyDescent="0.3">
      <c r="A136">
        <f t="shared" si="47"/>
        <v>0</v>
      </c>
      <c r="B136">
        <f t="shared" si="48"/>
        <v>0</v>
      </c>
      <c r="C136">
        <f t="shared" si="49"/>
        <v>1</v>
      </c>
      <c r="D136">
        <f t="shared" si="50"/>
        <v>0</v>
      </c>
      <c r="E136">
        <f t="shared" si="51"/>
        <v>0</v>
      </c>
      <c r="F136">
        <f t="shared" si="52"/>
        <v>0</v>
      </c>
      <c r="G136">
        <f t="shared" si="53"/>
        <v>1</v>
      </c>
      <c r="H136">
        <f t="shared" si="54"/>
        <v>0</v>
      </c>
      <c r="I136">
        <f t="shared" si="55"/>
        <v>0</v>
      </c>
      <c r="J136">
        <f t="shared" si="56"/>
        <v>0</v>
      </c>
      <c r="K136" s="45">
        <f t="shared" si="57"/>
        <v>0</v>
      </c>
      <c r="L136" s="45">
        <f t="shared" si="58"/>
        <v>0</v>
      </c>
      <c r="M136" s="45">
        <f t="shared" si="59"/>
        <v>0.5</v>
      </c>
      <c r="N136" s="45">
        <f t="shared" si="60"/>
        <v>0</v>
      </c>
      <c r="O136" s="45">
        <f t="shared" si="61"/>
        <v>0</v>
      </c>
      <c r="P136" s="45">
        <f t="shared" si="62"/>
        <v>0</v>
      </c>
      <c r="Q136" s="45">
        <f t="shared" si="63"/>
        <v>0.5</v>
      </c>
      <c r="R136" s="45">
        <f t="shared" si="64"/>
        <v>0</v>
      </c>
      <c r="S136" s="45">
        <f t="shared" si="65"/>
        <v>0</v>
      </c>
      <c r="T136" s="45">
        <f t="shared" si="66"/>
        <v>0</v>
      </c>
    </row>
    <row r="137" spans="1:20" x14ac:dyDescent="0.3">
      <c r="A137">
        <f t="shared" si="47"/>
        <v>0</v>
      </c>
      <c r="B137">
        <f t="shared" si="48"/>
        <v>0</v>
      </c>
      <c r="C137">
        <f t="shared" si="49"/>
        <v>1</v>
      </c>
      <c r="D137">
        <f t="shared" si="50"/>
        <v>0</v>
      </c>
      <c r="E137">
        <f t="shared" si="51"/>
        <v>0</v>
      </c>
      <c r="F137">
        <f t="shared" si="52"/>
        <v>0</v>
      </c>
      <c r="G137">
        <f t="shared" si="53"/>
        <v>1</v>
      </c>
      <c r="H137">
        <f t="shared" si="54"/>
        <v>0</v>
      </c>
      <c r="I137">
        <f t="shared" si="55"/>
        <v>0</v>
      </c>
      <c r="J137">
        <f t="shared" si="56"/>
        <v>1</v>
      </c>
      <c r="K137" s="45">
        <f t="shared" si="57"/>
        <v>0</v>
      </c>
      <c r="L137" s="45">
        <f t="shared" si="58"/>
        <v>0</v>
      </c>
      <c r="M137" s="45">
        <f t="shared" si="59"/>
        <v>0.33333333333333331</v>
      </c>
      <c r="N137" s="45">
        <f t="shared" si="60"/>
        <v>0</v>
      </c>
      <c r="O137" s="45">
        <f t="shared" si="61"/>
        <v>0</v>
      </c>
      <c r="P137" s="45">
        <f t="shared" si="62"/>
        <v>0</v>
      </c>
      <c r="Q137" s="45">
        <f t="shared" si="63"/>
        <v>0.33333333333333331</v>
      </c>
      <c r="R137" s="45">
        <f t="shared" si="64"/>
        <v>0</v>
      </c>
      <c r="S137" s="45">
        <f t="shared" si="65"/>
        <v>0</v>
      </c>
      <c r="T137" s="45">
        <f t="shared" si="66"/>
        <v>0.33333333333333331</v>
      </c>
    </row>
    <row r="138" spans="1:20" x14ac:dyDescent="0.3">
      <c r="A138">
        <f t="shared" si="47"/>
        <v>0</v>
      </c>
      <c r="B138">
        <f t="shared" si="48"/>
        <v>0</v>
      </c>
      <c r="C138">
        <f t="shared" si="49"/>
        <v>1</v>
      </c>
      <c r="D138">
        <f t="shared" si="50"/>
        <v>0</v>
      </c>
      <c r="E138">
        <f t="shared" si="51"/>
        <v>0</v>
      </c>
      <c r="F138">
        <f t="shared" si="52"/>
        <v>0</v>
      </c>
      <c r="G138">
        <f t="shared" si="53"/>
        <v>1</v>
      </c>
      <c r="H138">
        <f t="shared" si="54"/>
        <v>0</v>
      </c>
      <c r="I138">
        <f t="shared" si="55"/>
        <v>1</v>
      </c>
      <c r="J138">
        <f t="shared" si="56"/>
        <v>0</v>
      </c>
      <c r="K138" s="45">
        <f t="shared" si="57"/>
        <v>0</v>
      </c>
      <c r="L138" s="45">
        <f t="shared" si="58"/>
        <v>0</v>
      </c>
      <c r="M138" s="45">
        <f t="shared" si="59"/>
        <v>0.33333333333333331</v>
      </c>
      <c r="N138" s="45">
        <f t="shared" si="60"/>
        <v>0</v>
      </c>
      <c r="O138" s="45">
        <f t="shared" si="61"/>
        <v>0</v>
      </c>
      <c r="P138" s="45">
        <f t="shared" si="62"/>
        <v>0</v>
      </c>
      <c r="Q138" s="45">
        <f t="shared" si="63"/>
        <v>0.33333333333333331</v>
      </c>
      <c r="R138" s="45">
        <f t="shared" si="64"/>
        <v>0</v>
      </c>
      <c r="S138" s="45">
        <f t="shared" si="65"/>
        <v>0.33333333333333331</v>
      </c>
      <c r="T138" s="45">
        <f t="shared" si="66"/>
        <v>0</v>
      </c>
    </row>
    <row r="139" spans="1:20" x14ac:dyDescent="0.3">
      <c r="A139">
        <f t="shared" si="47"/>
        <v>0</v>
      </c>
      <c r="B139">
        <f t="shared" si="48"/>
        <v>0</v>
      </c>
      <c r="C139">
        <f t="shared" si="49"/>
        <v>1</v>
      </c>
      <c r="D139">
        <f t="shared" si="50"/>
        <v>0</v>
      </c>
      <c r="E139">
        <f t="shared" si="51"/>
        <v>0</v>
      </c>
      <c r="F139">
        <f t="shared" si="52"/>
        <v>0</v>
      </c>
      <c r="G139">
        <f t="shared" si="53"/>
        <v>1</v>
      </c>
      <c r="H139">
        <f t="shared" si="54"/>
        <v>0</v>
      </c>
      <c r="I139">
        <f t="shared" si="55"/>
        <v>1</v>
      </c>
      <c r="J139">
        <f t="shared" si="56"/>
        <v>1</v>
      </c>
      <c r="K139" s="45">
        <f t="shared" si="57"/>
        <v>0</v>
      </c>
      <c r="L139" s="45">
        <f t="shared" si="58"/>
        <v>0</v>
      </c>
      <c r="M139" s="45">
        <f t="shared" si="59"/>
        <v>0.25</v>
      </c>
      <c r="N139" s="45">
        <f t="shared" si="60"/>
        <v>0</v>
      </c>
      <c r="O139" s="45">
        <f t="shared" si="61"/>
        <v>0</v>
      </c>
      <c r="P139" s="45">
        <f t="shared" si="62"/>
        <v>0</v>
      </c>
      <c r="Q139" s="45">
        <f t="shared" si="63"/>
        <v>0.25</v>
      </c>
      <c r="R139" s="45">
        <f t="shared" si="64"/>
        <v>0</v>
      </c>
      <c r="S139" s="45">
        <f t="shared" si="65"/>
        <v>0.25</v>
      </c>
      <c r="T139" s="45">
        <f t="shared" si="66"/>
        <v>0.25</v>
      </c>
    </row>
    <row r="140" spans="1:20" x14ac:dyDescent="0.3">
      <c r="A140">
        <f t="shared" si="47"/>
        <v>0</v>
      </c>
      <c r="B140">
        <f t="shared" si="48"/>
        <v>0</v>
      </c>
      <c r="C140">
        <f t="shared" si="49"/>
        <v>1</v>
      </c>
      <c r="D140">
        <f t="shared" si="50"/>
        <v>0</v>
      </c>
      <c r="E140">
        <f t="shared" si="51"/>
        <v>0</v>
      </c>
      <c r="F140">
        <f t="shared" si="52"/>
        <v>0</v>
      </c>
      <c r="G140">
        <f t="shared" si="53"/>
        <v>1</v>
      </c>
      <c r="H140">
        <f t="shared" si="54"/>
        <v>1</v>
      </c>
      <c r="I140">
        <f t="shared" si="55"/>
        <v>0</v>
      </c>
      <c r="J140">
        <f t="shared" si="56"/>
        <v>0</v>
      </c>
      <c r="K140" s="45">
        <f t="shared" si="57"/>
        <v>0</v>
      </c>
      <c r="L140" s="45">
        <f t="shared" si="58"/>
        <v>0</v>
      </c>
      <c r="M140" s="45">
        <f t="shared" si="59"/>
        <v>0.33333333333333331</v>
      </c>
      <c r="N140" s="45">
        <f t="shared" si="60"/>
        <v>0</v>
      </c>
      <c r="O140" s="45">
        <f t="shared" si="61"/>
        <v>0</v>
      </c>
      <c r="P140" s="45">
        <f t="shared" si="62"/>
        <v>0</v>
      </c>
      <c r="Q140" s="45">
        <f t="shared" si="63"/>
        <v>0.33333333333333331</v>
      </c>
      <c r="R140" s="45">
        <f t="shared" si="64"/>
        <v>0.33333333333333331</v>
      </c>
      <c r="S140" s="45">
        <f t="shared" si="65"/>
        <v>0</v>
      </c>
      <c r="T140" s="45">
        <f t="shared" si="66"/>
        <v>0</v>
      </c>
    </row>
    <row r="141" spans="1:20" x14ac:dyDescent="0.3">
      <c r="A141">
        <f t="shared" si="47"/>
        <v>0</v>
      </c>
      <c r="B141">
        <f t="shared" si="48"/>
        <v>0</v>
      </c>
      <c r="C141">
        <f t="shared" si="49"/>
        <v>1</v>
      </c>
      <c r="D141">
        <f t="shared" si="50"/>
        <v>0</v>
      </c>
      <c r="E141">
        <f t="shared" si="51"/>
        <v>0</v>
      </c>
      <c r="F141">
        <f t="shared" si="52"/>
        <v>0</v>
      </c>
      <c r="G141">
        <f t="shared" si="53"/>
        <v>1</v>
      </c>
      <c r="H141">
        <f t="shared" si="54"/>
        <v>1</v>
      </c>
      <c r="I141">
        <f t="shared" si="55"/>
        <v>0</v>
      </c>
      <c r="J141">
        <f t="shared" si="56"/>
        <v>1</v>
      </c>
      <c r="K141" s="45">
        <f t="shared" si="57"/>
        <v>0</v>
      </c>
      <c r="L141" s="45">
        <f t="shared" si="58"/>
        <v>0</v>
      </c>
      <c r="M141" s="45">
        <f t="shared" si="59"/>
        <v>0.25</v>
      </c>
      <c r="N141" s="45">
        <f t="shared" si="60"/>
        <v>0</v>
      </c>
      <c r="O141" s="45">
        <f t="shared" si="61"/>
        <v>0</v>
      </c>
      <c r="P141" s="45">
        <f t="shared" si="62"/>
        <v>0</v>
      </c>
      <c r="Q141" s="45">
        <f t="shared" si="63"/>
        <v>0.25</v>
      </c>
      <c r="R141" s="45">
        <f t="shared" si="64"/>
        <v>0.25</v>
      </c>
      <c r="S141" s="45">
        <f t="shared" si="65"/>
        <v>0</v>
      </c>
      <c r="T141" s="45">
        <f t="shared" si="66"/>
        <v>0.25</v>
      </c>
    </row>
    <row r="142" spans="1:20" x14ac:dyDescent="0.3">
      <c r="A142">
        <f t="shared" si="47"/>
        <v>0</v>
      </c>
      <c r="B142">
        <f t="shared" si="48"/>
        <v>0</v>
      </c>
      <c r="C142">
        <f t="shared" si="49"/>
        <v>1</v>
      </c>
      <c r="D142">
        <f t="shared" si="50"/>
        <v>0</v>
      </c>
      <c r="E142">
        <f t="shared" si="51"/>
        <v>0</v>
      </c>
      <c r="F142">
        <f t="shared" si="52"/>
        <v>0</v>
      </c>
      <c r="G142">
        <f t="shared" si="53"/>
        <v>1</v>
      </c>
      <c r="H142">
        <f t="shared" si="54"/>
        <v>1</v>
      </c>
      <c r="I142">
        <f t="shared" si="55"/>
        <v>1</v>
      </c>
      <c r="J142">
        <f t="shared" si="56"/>
        <v>0</v>
      </c>
      <c r="K142" s="45">
        <f t="shared" si="57"/>
        <v>0</v>
      </c>
      <c r="L142" s="45">
        <f t="shared" si="58"/>
        <v>0</v>
      </c>
      <c r="M142" s="45">
        <f t="shared" si="59"/>
        <v>0.25</v>
      </c>
      <c r="N142" s="45">
        <f t="shared" si="60"/>
        <v>0</v>
      </c>
      <c r="O142" s="45">
        <f t="shared" si="61"/>
        <v>0</v>
      </c>
      <c r="P142" s="45">
        <f t="shared" si="62"/>
        <v>0</v>
      </c>
      <c r="Q142" s="45">
        <f t="shared" si="63"/>
        <v>0.25</v>
      </c>
      <c r="R142" s="45">
        <f t="shared" si="64"/>
        <v>0.25</v>
      </c>
      <c r="S142" s="45">
        <f t="shared" si="65"/>
        <v>0.25</v>
      </c>
      <c r="T142" s="45">
        <f t="shared" si="66"/>
        <v>0</v>
      </c>
    </row>
    <row r="143" spans="1:20" x14ac:dyDescent="0.3">
      <c r="A143">
        <f t="shared" si="47"/>
        <v>0</v>
      </c>
      <c r="B143">
        <f t="shared" si="48"/>
        <v>0</v>
      </c>
      <c r="C143">
        <f t="shared" si="49"/>
        <v>1</v>
      </c>
      <c r="D143">
        <f t="shared" si="50"/>
        <v>0</v>
      </c>
      <c r="E143">
        <f t="shared" si="51"/>
        <v>0</v>
      </c>
      <c r="F143">
        <f t="shared" si="52"/>
        <v>0</v>
      </c>
      <c r="G143">
        <f t="shared" si="53"/>
        <v>1</v>
      </c>
      <c r="H143">
        <f t="shared" si="54"/>
        <v>1</v>
      </c>
      <c r="I143">
        <f t="shared" si="55"/>
        <v>1</v>
      </c>
      <c r="J143">
        <f t="shared" si="56"/>
        <v>1</v>
      </c>
      <c r="K143" s="45">
        <f t="shared" si="57"/>
        <v>0</v>
      </c>
      <c r="L143" s="45">
        <f t="shared" si="58"/>
        <v>0</v>
      </c>
      <c r="M143" s="45">
        <f t="shared" si="59"/>
        <v>0.2</v>
      </c>
      <c r="N143" s="45">
        <f t="shared" si="60"/>
        <v>0</v>
      </c>
      <c r="O143" s="45">
        <f t="shared" si="61"/>
        <v>0</v>
      </c>
      <c r="P143" s="45">
        <f t="shared" si="62"/>
        <v>0</v>
      </c>
      <c r="Q143" s="45">
        <f t="shared" si="63"/>
        <v>0.2</v>
      </c>
      <c r="R143" s="45">
        <f t="shared" si="64"/>
        <v>0.2</v>
      </c>
      <c r="S143" s="45">
        <f t="shared" si="65"/>
        <v>0.2</v>
      </c>
      <c r="T143" s="45">
        <f t="shared" si="66"/>
        <v>0.2</v>
      </c>
    </row>
    <row r="144" spans="1:20" x14ac:dyDescent="0.3">
      <c r="A144">
        <f t="shared" si="47"/>
        <v>0</v>
      </c>
      <c r="B144">
        <f t="shared" si="48"/>
        <v>0</v>
      </c>
      <c r="C144">
        <f t="shared" si="49"/>
        <v>1</v>
      </c>
      <c r="D144">
        <f t="shared" si="50"/>
        <v>0</v>
      </c>
      <c r="E144">
        <f t="shared" si="51"/>
        <v>0</v>
      </c>
      <c r="F144">
        <f t="shared" si="52"/>
        <v>1</v>
      </c>
      <c r="G144">
        <f t="shared" si="53"/>
        <v>0</v>
      </c>
      <c r="H144">
        <f t="shared" si="54"/>
        <v>0</v>
      </c>
      <c r="I144">
        <f t="shared" si="55"/>
        <v>0</v>
      </c>
      <c r="J144">
        <f t="shared" si="56"/>
        <v>0</v>
      </c>
      <c r="K144" s="45">
        <f t="shared" si="57"/>
        <v>0</v>
      </c>
      <c r="L144" s="45">
        <f t="shared" si="58"/>
        <v>0</v>
      </c>
      <c r="M144" s="45">
        <f t="shared" si="59"/>
        <v>0.5</v>
      </c>
      <c r="N144" s="45">
        <f t="shared" si="60"/>
        <v>0</v>
      </c>
      <c r="O144" s="45">
        <f t="shared" si="61"/>
        <v>0</v>
      </c>
      <c r="P144" s="45">
        <f t="shared" si="62"/>
        <v>0.5</v>
      </c>
      <c r="Q144" s="45">
        <f t="shared" si="63"/>
        <v>0</v>
      </c>
      <c r="R144" s="45">
        <f t="shared" si="64"/>
        <v>0</v>
      </c>
      <c r="S144" s="45">
        <f t="shared" si="65"/>
        <v>0</v>
      </c>
      <c r="T144" s="45">
        <f t="shared" si="66"/>
        <v>0</v>
      </c>
    </row>
    <row r="145" spans="1:20" x14ac:dyDescent="0.3">
      <c r="A145">
        <f t="shared" si="47"/>
        <v>0</v>
      </c>
      <c r="B145">
        <f t="shared" si="48"/>
        <v>0</v>
      </c>
      <c r="C145">
        <f t="shared" si="49"/>
        <v>1</v>
      </c>
      <c r="D145">
        <f t="shared" si="50"/>
        <v>0</v>
      </c>
      <c r="E145">
        <f t="shared" si="51"/>
        <v>0</v>
      </c>
      <c r="F145">
        <f t="shared" si="52"/>
        <v>1</v>
      </c>
      <c r="G145">
        <f t="shared" si="53"/>
        <v>0</v>
      </c>
      <c r="H145">
        <f t="shared" si="54"/>
        <v>0</v>
      </c>
      <c r="I145">
        <f t="shared" si="55"/>
        <v>0</v>
      </c>
      <c r="J145">
        <f t="shared" si="56"/>
        <v>1</v>
      </c>
      <c r="K145" s="45">
        <f t="shared" si="57"/>
        <v>0</v>
      </c>
      <c r="L145" s="45">
        <f t="shared" si="58"/>
        <v>0</v>
      </c>
      <c r="M145" s="45">
        <f t="shared" si="59"/>
        <v>0.33333333333333331</v>
      </c>
      <c r="N145" s="45">
        <f t="shared" si="60"/>
        <v>0</v>
      </c>
      <c r="O145" s="45">
        <f t="shared" si="61"/>
        <v>0</v>
      </c>
      <c r="P145" s="45">
        <f t="shared" si="62"/>
        <v>0.33333333333333331</v>
      </c>
      <c r="Q145" s="45">
        <f t="shared" si="63"/>
        <v>0</v>
      </c>
      <c r="R145" s="45">
        <f t="shared" si="64"/>
        <v>0</v>
      </c>
      <c r="S145" s="45">
        <f t="shared" si="65"/>
        <v>0</v>
      </c>
      <c r="T145" s="45">
        <f t="shared" si="66"/>
        <v>0.33333333333333331</v>
      </c>
    </row>
    <row r="146" spans="1:20" x14ac:dyDescent="0.3">
      <c r="A146">
        <f t="shared" si="47"/>
        <v>0</v>
      </c>
      <c r="B146">
        <f t="shared" si="48"/>
        <v>0</v>
      </c>
      <c r="C146">
        <f t="shared" si="49"/>
        <v>1</v>
      </c>
      <c r="D146">
        <f t="shared" si="50"/>
        <v>0</v>
      </c>
      <c r="E146">
        <f t="shared" si="51"/>
        <v>0</v>
      </c>
      <c r="F146">
        <f t="shared" si="52"/>
        <v>1</v>
      </c>
      <c r="G146">
        <f t="shared" si="53"/>
        <v>0</v>
      </c>
      <c r="H146">
        <f t="shared" si="54"/>
        <v>0</v>
      </c>
      <c r="I146">
        <f t="shared" si="55"/>
        <v>1</v>
      </c>
      <c r="J146">
        <f t="shared" si="56"/>
        <v>0</v>
      </c>
      <c r="K146" s="45">
        <f t="shared" si="57"/>
        <v>0</v>
      </c>
      <c r="L146" s="45">
        <f t="shared" si="58"/>
        <v>0</v>
      </c>
      <c r="M146" s="45">
        <f t="shared" si="59"/>
        <v>0.33333333333333331</v>
      </c>
      <c r="N146" s="45">
        <f t="shared" si="60"/>
        <v>0</v>
      </c>
      <c r="O146" s="45">
        <f t="shared" si="61"/>
        <v>0</v>
      </c>
      <c r="P146" s="45">
        <f t="shared" si="62"/>
        <v>0.33333333333333331</v>
      </c>
      <c r="Q146" s="45">
        <f t="shared" si="63"/>
        <v>0</v>
      </c>
      <c r="R146" s="45">
        <f t="shared" si="64"/>
        <v>0</v>
      </c>
      <c r="S146" s="45">
        <f t="shared" si="65"/>
        <v>0.33333333333333331</v>
      </c>
      <c r="T146" s="45">
        <f t="shared" si="66"/>
        <v>0</v>
      </c>
    </row>
    <row r="147" spans="1:20" x14ac:dyDescent="0.3">
      <c r="A147">
        <f t="shared" si="47"/>
        <v>0</v>
      </c>
      <c r="B147">
        <f t="shared" si="48"/>
        <v>0</v>
      </c>
      <c r="C147">
        <f t="shared" si="49"/>
        <v>1</v>
      </c>
      <c r="D147">
        <f t="shared" si="50"/>
        <v>0</v>
      </c>
      <c r="E147">
        <f t="shared" si="51"/>
        <v>0</v>
      </c>
      <c r="F147">
        <f t="shared" si="52"/>
        <v>1</v>
      </c>
      <c r="G147">
        <f t="shared" si="53"/>
        <v>0</v>
      </c>
      <c r="H147">
        <f t="shared" si="54"/>
        <v>0</v>
      </c>
      <c r="I147">
        <f t="shared" si="55"/>
        <v>1</v>
      </c>
      <c r="J147">
        <f t="shared" si="56"/>
        <v>1</v>
      </c>
      <c r="K147" s="45">
        <f t="shared" si="57"/>
        <v>0</v>
      </c>
      <c r="L147" s="45">
        <f t="shared" si="58"/>
        <v>0</v>
      </c>
      <c r="M147" s="45">
        <f t="shared" si="59"/>
        <v>0.25</v>
      </c>
      <c r="N147" s="45">
        <f t="shared" si="60"/>
        <v>0</v>
      </c>
      <c r="O147" s="45">
        <f t="shared" si="61"/>
        <v>0</v>
      </c>
      <c r="P147" s="45">
        <f t="shared" si="62"/>
        <v>0.25</v>
      </c>
      <c r="Q147" s="45">
        <f t="shared" si="63"/>
        <v>0</v>
      </c>
      <c r="R147" s="45">
        <f t="shared" si="64"/>
        <v>0</v>
      </c>
      <c r="S147" s="45">
        <f t="shared" si="65"/>
        <v>0.25</v>
      </c>
      <c r="T147" s="45">
        <f t="shared" si="66"/>
        <v>0.25</v>
      </c>
    </row>
    <row r="148" spans="1:20" x14ac:dyDescent="0.3">
      <c r="A148">
        <f t="shared" si="47"/>
        <v>0</v>
      </c>
      <c r="B148">
        <f t="shared" si="48"/>
        <v>0</v>
      </c>
      <c r="C148">
        <f t="shared" si="49"/>
        <v>1</v>
      </c>
      <c r="D148">
        <f t="shared" si="50"/>
        <v>0</v>
      </c>
      <c r="E148">
        <f t="shared" si="51"/>
        <v>0</v>
      </c>
      <c r="F148">
        <f t="shared" si="52"/>
        <v>1</v>
      </c>
      <c r="G148">
        <f t="shared" si="53"/>
        <v>0</v>
      </c>
      <c r="H148">
        <f t="shared" si="54"/>
        <v>1</v>
      </c>
      <c r="I148">
        <f t="shared" si="55"/>
        <v>0</v>
      </c>
      <c r="J148">
        <f t="shared" si="56"/>
        <v>0</v>
      </c>
      <c r="K148" s="45">
        <f t="shared" si="57"/>
        <v>0</v>
      </c>
      <c r="L148" s="45">
        <f t="shared" si="58"/>
        <v>0</v>
      </c>
      <c r="M148" s="45">
        <f t="shared" si="59"/>
        <v>0.33333333333333331</v>
      </c>
      <c r="N148" s="45">
        <f t="shared" si="60"/>
        <v>0</v>
      </c>
      <c r="O148" s="45">
        <f t="shared" si="61"/>
        <v>0</v>
      </c>
      <c r="P148" s="45">
        <f t="shared" si="62"/>
        <v>0.33333333333333331</v>
      </c>
      <c r="Q148" s="45">
        <f t="shared" si="63"/>
        <v>0</v>
      </c>
      <c r="R148" s="45">
        <f t="shared" si="64"/>
        <v>0.33333333333333331</v>
      </c>
      <c r="S148" s="45">
        <f t="shared" si="65"/>
        <v>0</v>
      </c>
      <c r="T148" s="45">
        <f t="shared" si="66"/>
        <v>0</v>
      </c>
    </row>
    <row r="149" spans="1:20" x14ac:dyDescent="0.3">
      <c r="A149">
        <f t="shared" si="47"/>
        <v>0</v>
      </c>
      <c r="B149">
        <f t="shared" si="48"/>
        <v>0</v>
      </c>
      <c r="C149">
        <f t="shared" si="49"/>
        <v>1</v>
      </c>
      <c r="D149">
        <f t="shared" si="50"/>
        <v>0</v>
      </c>
      <c r="E149">
        <f t="shared" si="51"/>
        <v>0</v>
      </c>
      <c r="F149">
        <f t="shared" si="52"/>
        <v>1</v>
      </c>
      <c r="G149">
        <f t="shared" si="53"/>
        <v>0</v>
      </c>
      <c r="H149">
        <f t="shared" si="54"/>
        <v>1</v>
      </c>
      <c r="I149">
        <f t="shared" si="55"/>
        <v>0</v>
      </c>
      <c r="J149">
        <f t="shared" si="56"/>
        <v>1</v>
      </c>
      <c r="K149" s="45">
        <f t="shared" si="57"/>
        <v>0</v>
      </c>
      <c r="L149" s="45">
        <f t="shared" si="58"/>
        <v>0</v>
      </c>
      <c r="M149" s="45">
        <f t="shared" si="59"/>
        <v>0.25</v>
      </c>
      <c r="N149" s="45">
        <f t="shared" si="60"/>
        <v>0</v>
      </c>
      <c r="O149" s="45">
        <f t="shared" si="61"/>
        <v>0</v>
      </c>
      <c r="P149" s="45">
        <f t="shared" si="62"/>
        <v>0.25</v>
      </c>
      <c r="Q149" s="45">
        <f t="shared" si="63"/>
        <v>0</v>
      </c>
      <c r="R149" s="45">
        <f t="shared" si="64"/>
        <v>0.25</v>
      </c>
      <c r="S149" s="45">
        <f t="shared" si="65"/>
        <v>0</v>
      </c>
      <c r="T149" s="45">
        <f t="shared" si="66"/>
        <v>0.25</v>
      </c>
    </row>
    <row r="150" spans="1:20" x14ac:dyDescent="0.3">
      <c r="A150">
        <f t="shared" si="47"/>
        <v>0</v>
      </c>
      <c r="B150">
        <f t="shared" si="48"/>
        <v>0</v>
      </c>
      <c r="C150">
        <f t="shared" si="49"/>
        <v>1</v>
      </c>
      <c r="D150">
        <f t="shared" si="50"/>
        <v>0</v>
      </c>
      <c r="E150">
        <f t="shared" si="51"/>
        <v>0</v>
      </c>
      <c r="F150">
        <f t="shared" si="52"/>
        <v>1</v>
      </c>
      <c r="G150">
        <f t="shared" si="53"/>
        <v>0</v>
      </c>
      <c r="H150">
        <f t="shared" si="54"/>
        <v>1</v>
      </c>
      <c r="I150">
        <f t="shared" si="55"/>
        <v>1</v>
      </c>
      <c r="J150">
        <f t="shared" si="56"/>
        <v>0</v>
      </c>
      <c r="K150" s="45">
        <f t="shared" si="57"/>
        <v>0</v>
      </c>
      <c r="L150" s="45">
        <f t="shared" si="58"/>
        <v>0</v>
      </c>
      <c r="M150" s="45">
        <f t="shared" si="59"/>
        <v>0.25</v>
      </c>
      <c r="N150" s="45">
        <f t="shared" si="60"/>
        <v>0</v>
      </c>
      <c r="O150" s="45">
        <f t="shared" si="61"/>
        <v>0</v>
      </c>
      <c r="P150" s="45">
        <f t="shared" si="62"/>
        <v>0.25</v>
      </c>
      <c r="Q150" s="45">
        <f t="shared" si="63"/>
        <v>0</v>
      </c>
      <c r="R150" s="45">
        <f t="shared" si="64"/>
        <v>0.25</v>
      </c>
      <c r="S150" s="45">
        <f t="shared" si="65"/>
        <v>0.25</v>
      </c>
      <c r="T150" s="45">
        <f t="shared" si="66"/>
        <v>0</v>
      </c>
    </row>
    <row r="151" spans="1:20" x14ac:dyDescent="0.3">
      <c r="A151">
        <f t="shared" si="47"/>
        <v>0</v>
      </c>
      <c r="B151">
        <f t="shared" si="48"/>
        <v>0</v>
      </c>
      <c r="C151">
        <f t="shared" si="49"/>
        <v>1</v>
      </c>
      <c r="D151">
        <f t="shared" si="50"/>
        <v>0</v>
      </c>
      <c r="E151">
        <f t="shared" si="51"/>
        <v>0</v>
      </c>
      <c r="F151">
        <f t="shared" si="52"/>
        <v>1</v>
      </c>
      <c r="G151">
        <f t="shared" si="53"/>
        <v>0</v>
      </c>
      <c r="H151">
        <f t="shared" si="54"/>
        <v>1</v>
      </c>
      <c r="I151">
        <f t="shared" si="55"/>
        <v>1</v>
      </c>
      <c r="J151">
        <f t="shared" si="56"/>
        <v>1</v>
      </c>
      <c r="K151" s="45">
        <f t="shared" si="57"/>
        <v>0</v>
      </c>
      <c r="L151" s="45">
        <f t="shared" si="58"/>
        <v>0</v>
      </c>
      <c r="M151" s="45">
        <f t="shared" si="59"/>
        <v>0.2</v>
      </c>
      <c r="N151" s="45">
        <f t="shared" si="60"/>
        <v>0</v>
      </c>
      <c r="O151" s="45">
        <f t="shared" si="61"/>
        <v>0</v>
      </c>
      <c r="P151" s="45">
        <f t="shared" si="62"/>
        <v>0.2</v>
      </c>
      <c r="Q151" s="45">
        <f t="shared" si="63"/>
        <v>0</v>
      </c>
      <c r="R151" s="45">
        <f t="shared" si="64"/>
        <v>0.2</v>
      </c>
      <c r="S151" s="45">
        <f t="shared" si="65"/>
        <v>0.2</v>
      </c>
      <c r="T151" s="45">
        <f t="shared" si="66"/>
        <v>0.2</v>
      </c>
    </row>
    <row r="152" spans="1:20" x14ac:dyDescent="0.3">
      <c r="A152">
        <f t="shared" si="47"/>
        <v>0</v>
      </c>
      <c r="B152">
        <f t="shared" si="48"/>
        <v>0</v>
      </c>
      <c r="C152">
        <f t="shared" si="49"/>
        <v>1</v>
      </c>
      <c r="D152">
        <f t="shared" si="50"/>
        <v>0</v>
      </c>
      <c r="E152">
        <f t="shared" si="51"/>
        <v>0</v>
      </c>
      <c r="F152">
        <f t="shared" si="52"/>
        <v>1</v>
      </c>
      <c r="G152">
        <f t="shared" si="53"/>
        <v>1</v>
      </c>
      <c r="H152">
        <f t="shared" si="54"/>
        <v>0</v>
      </c>
      <c r="I152">
        <f t="shared" si="55"/>
        <v>0</v>
      </c>
      <c r="J152">
        <f t="shared" si="56"/>
        <v>0</v>
      </c>
      <c r="K152" s="45">
        <f t="shared" si="57"/>
        <v>0</v>
      </c>
      <c r="L152" s="45">
        <f t="shared" si="58"/>
        <v>0</v>
      </c>
      <c r="M152" s="45">
        <f t="shared" si="59"/>
        <v>0.33333333333333331</v>
      </c>
      <c r="N152" s="45">
        <f t="shared" si="60"/>
        <v>0</v>
      </c>
      <c r="O152" s="45">
        <f t="shared" si="61"/>
        <v>0</v>
      </c>
      <c r="P152" s="45">
        <f t="shared" si="62"/>
        <v>0.33333333333333331</v>
      </c>
      <c r="Q152" s="45">
        <f t="shared" si="63"/>
        <v>0.33333333333333331</v>
      </c>
      <c r="R152" s="45">
        <f t="shared" si="64"/>
        <v>0</v>
      </c>
      <c r="S152" s="45">
        <f t="shared" si="65"/>
        <v>0</v>
      </c>
      <c r="T152" s="45">
        <f t="shared" si="66"/>
        <v>0</v>
      </c>
    </row>
    <row r="153" spans="1:20" x14ac:dyDescent="0.3">
      <c r="A153">
        <f t="shared" si="47"/>
        <v>0</v>
      </c>
      <c r="B153">
        <f t="shared" si="48"/>
        <v>0</v>
      </c>
      <c r="C153">
        <f t="shared" si="49"/>
        <v>1</v>
      </c>
      <c r="D153">
        <f t="shared" si="50"/>
        <v>0</v>
      </c>
      <c r="E153">
        <f t="shared" si="51"/>
        <v>0</v>
      </c>
      <c r="F153">
        <f t="shared" si="52"/>
        <v>1</v>
      </c>
      <c r="G153">
        <f t="shared" si="53"/>
        <v>1</v>
      </c>
      <c r="H153">
        <f t="shared" si="54"/>
        <v>0</v>
      </c>
      <c r="I153">
        <f t="shared" si="55"/>
        <v>0</v>
      </c>
      <c r="J153">
        <f t="shared" si="56"/>
        <v>1</v>
      </c>
      <c r="K153" s="45">
        <f t="shared" si="57"/>
        <v>0</v>
      </c>
      <c r="L153" s="45">
        <f t="shared" si="58"/>
        <v>0</v>
      </c>
      <c r="M153" s="45">
        <f t="shared" si="59"/>
        <v>0.25</v>
      </c>
      <c r="N153" s="45">
        <f t="shared" si="60"/>
        <v>0</v>
      </c>
      <c r="O153" s="45">
        <f t="shared" si="61"/>
        <v>0</v>
      </c>
      <c r="P153" s="45">
        <f t="shared" si="62"/>
        <v>0.25</v>
      </c>
      <c r="Q153" s="45">
        <f t="shared" si="63"/>
        <v>0.25</v>
      </c>
      <c r="R153" s="45">
        <f t="shared" si="64"/>
        <v>0</v>
      </c>
      <c r="S153" s="45">
        <f t="shared" si="65"/>
        <v>0</v>
      </c>
      <c r="T153" s="45">
        <f t="shared" si="66"/>
        <v>0.25</v>
      </c>
    </row>
    <row r="154" spans="1:20" x14ac:dyDescent="0.3">
      <c r="A154">
        <f t="shared" si="47"/>
        <v>0</v>
      </c>
      <c r="B154">
        <f t="shared" si="48"/>
        <v>0</v>
      </c>
      <c r="C154">
        <f t="shared" si="49"/>
        <v>1</v>
      </c>
      <c r="D154">
        <f t="shared" si="50"/>
        <v>0</v>
      </c>
      <c r="E154">
        <f t="shared" si="51"/>
        <v>0</v>
      </c>
      <c r="F154">
        <f t="shared" si="52"/>
        <v>1</v>
      </c>
      <c r="G154">
        <f t="shared" si="53"/>
        <v>1</v>
      </c>
      <c r="H154">
        <f t="shared" si="54"/>
        <v>0</v>
      </c>
      <c r="I154">
        <f t="shared" si="55"/>
        <v>1</v>
      </c>
      <c r="J154">
        <f t="shared" si="56"/>
        <v>0</v>
      </c>
      <c r="K154" s="45">
        <f t="shared" si="57"/>
        <v>0</v>
      </c>
      <c r="L154" s="45">
        <f t="shared" si="58"/>
        <v>0</v>
      </c>
      <c r="M154" s="45">
        <f t="shared" si="59"/>
        <v>0.25</v>
      </c>
      <c r="N154" s="45">
        <f t="shared" si="60"/>
        <v>0</v>
      </c>
      <c r="O154" s="45">
        <f t="shared" si="61"/>
        <v>0</v>
      </c>
      <c r="P154" s="45">
        <f t="shared" si="62"/>
        <v>0.25</v>
      </c>
      <c r="Q154" s="45">
        <f t="shared" si="63"/>
        <v>0.25</v>
      </c>
      <c r="R154" s="45">
        <f t="shared" si="64"/>
        <v>0</v>
      </c>
      <c r="S154" s="45">
        <f t="shared" si="65"/>
        <v>0.25</v>
      </c>
      <c r="T154" s="45">
        <f t="shared" si="66"/>
        <v>0</v>
      </c>
    </row>
    <row r="155" spans="1:20" x14ac:dyDescent="0.3">
      <c r="A155">
        <f t="shared" si="47"/>
        <v>0</v>
      </c>
      <c r="B155">
        <f t="shared" si="48"/>
        <v>0</v>
      </c>
      <c r="C155">
        <f t="shared" si="49"/>
        <v>1</v>
      </c>
      <c r="D155">
        <f t="shared" si="50"/>
        <v>0</v>
      </c>
      <c r="E155">
        <f t="shared" si="51"/>
        <v>0</v>
      </c>
      <c r="F155">
        <f t="shared" si="52"/>
        <v>1</v>
      </c>
      <c r="G155">
        <f t="shared" si="53"/>
        <v>1</v>
      </c>
      <c r="H155">
        <f t="shared" si="54"/>
        <v>0</v>
      </c>
      <c r="I155">
        <f t="shared" si="55"/>
        <v>1</v>
      </c>
      <c r="J155">
        <f t="shared" si="56"/>
        <v>1</v>
      </c>
      <c r="K155" s="45">
        <f t="shared" si="57"/>
        <v>0</v>
      </c>
      <c r="L155" s="45">
        <f t="shared" si="58"/>
        <v>0</v>
      </c>
      <c r="M155" s="45">
        <f t="shared" si="59"/>
        <v>0.2</v>
      </c>
      <c r="N155" s="45">
        <f t="shared" si="60"/>
        <v>0</v>
      </c>
      <c r="O155" s="45">
        <f t="shared" si="61"/>
        <v>0</v>
      </c>
      <c r="P155" s="45">
        <f t="shared" si="62"/>
        <v>0.2</v>
      </c>
      <c r="Q155" s="45">
        <f t="shared" si="63"/>
        <v>0.2</v>
      </c>
      <c r="R155" s="45">
        <f t="shared" si="64"/>
        <v>0</v>
      </c>
      <c r="S155" s="45">
        <f t="shared" si="65"/>
        <v>0.2</v>
      </c>
      <c r="T155" s="45">
        <f t="shared" si="66"/>
        <v>0.2</v>
      </c>
    </row>
    <row r="156" spans="1:20" x14ac:dyDescent="0.3">
      <c r="A156">
        <f t="shared" si="47"/>
        <v>0</v>
      </c>
      <c r="B156">
        <f t="shared" si="48"/>
        <v>0</v>
      </c>
      <c r="C156">
        <f t="shared" si="49"/>
        <v>1</v>
      </c>
      <c r="D156">
        <f t="shared" si="50"/>
        <v>0</v>
      </c>
      <c r="E156">
        <f t="shared" si="51"/>
        <v>0</v>
      </c>
      <c r="F156">
        <f t="shared" si="52"/>
        <v>1</v>
      </c>
      <c r="G156">
        <f t="shared" si="53"/>
        <v>1</v>
      </c>
      <c r="H156">
        <f t="shared" si="54"/>
        <v>1</v>
      </c>
      <c r="I156">
        <f t="shared" si="55"/>
        <v>0</v>
      </c>
      <c r="J156">
        <f t="shared" si="56"/>
        <v>0</v>
      </c>
      <c r="K156" s="45">
        <f t="shared" si="57"/>
        <v>0</v>
      </c>
      <c r="L156" s="45">
        <f t="shared" si="58"/>
        <v>0</v>
      </c>
      <c r="M156" s="45">
        <f t="shared" si="59"/>
        <v>0.25</v>
      </c>
      <c r="N156" s="45">
        <f t="shared" si="60"/>
        <v>0</v>
      </c>
      <c r="O156" s="45">
        <f t="shared" si="61"/>
        <v>0</v>
      </c>
      <c r="P156" s="45">
        <f t="shared" si="62"/>
        <v>0.25</v>
      </c>
      <c r="Q156" s="45">
        <f t="shared" si="63"/>
        <v>0.25</v>
      </c>
      <c r="R156" s="45">
        <f t="shared" si="64"/>
        <v>0.25</v>
      </c>
      <c r="S156" s="45">
        <f t="shared" si="65"/>
        <v>0</v>
      </c>
      <c r="T156" s="45">
        <f t="shared" si="66"/>
        <v>0</v>
      </c>
    </row>
    <row r="157" spans="1:20" x14ac:dyDescent="0.3">
      <c r="A157">
        <f t="shared" si="47"/>
        <v>0</v>
      </c>
      <c r="B157">
        <f t="shared" si="48"/>
        <v>0</v>
      </c>
      <c r="C157">
        <f t="shared" si="49"/>
        <v>1</v>
      </c>
      <c r="D157">
        <f t="shared" si="50"/>
        <v>0</v>
      </c>
      <c r="E157">
        <f t="shared" si="51"/>
        <v>0</v>
      </c>
      <c r="F157">
        <f t="shared" si="52"/>
        <v>1</v>
      </c>
      <c r="G157">
        <f t="shared" si="53"/>
        <v>1</v>
      </c>
      <c r="H157">
        <f t="shared" si="54"/>
        <v>1</v>
      </c>
      <c r="I157">
        <f t="shared" si="55"/>
        <v>0</v>
      </c>
      <c r="J157">
        <f t="shared" si="56"/>
        <v>1</v>
      </c>
      <c r="K157" s="45">
        <f t="shared" si="57"/>
        <v>0</v>
      </c>
      <c r="L157" s="45">
        <f t="shared" si="58"/>
        <v>0</v>
      </c>
      <c r="M157" s="45">
        <f t="shared" si="59"/>
        <v>0.2</v>
      </c>
      <c r="N157" s="45">
        <f t="shared" si="60"/>
        <v>0</v>
      </c>
      <c r="O157" s="45">
        <f t="shared" si="61"/>
        <v>0</v>
      </c>
      <c r="P157" s="45">
        <f t="shared" si="62"/>
        <v>0.2</v>
      </c>
      <c r="Q157" s="45">
        <f t="shared" si="63"/>
        <v>0.2</v>
      </c>
      <c r="R157" s="45">
        <f t="shared" si="64"/>
        <v>0.2</v>
      </c>
      <c r="S157" s="45">
        <f t="shared" si="65"/>
        <v>0</v>
      </c>
      <c r="T157" s="45">
        <f t="shared" si="66"/>
        <v>0.2</v>
      </c>
    </row>
    <row r="158" spans="1:20" x14ac:dyDescent="0.3">
      <c r="A158">
        <f t="shared" si="47"/>
        <v>0</v>
      </c>
      <c r="B158">
        <f t="shared" si="48"/>
        <v>0</v>
      </c>
      <c r="C158">
        <f t="shared" si="49"/>
        <v>1</v>
      </c>
      <c r="D158">
        <f t="shared" si="50"/>
        <v>0</v>
      </c>
      <c r="E158">
        <f t="shared" si="51"/>
        <v>0</v>
      </c>
      <c r="F158">
        <f t="shared" si="52"/>
        <v>1</v>
      </c>
      <c r="G158">
        <f t="shared" si="53"/>
        <v>1</v>
      </c>
      <c r="H158">
        <f t="shared" si="54"/>
        <v>1</v>
      </c>
      <c r="I158">
        <f t="shared" si="55"/>
        <v>1</v>
      </c>
      <c r="J158">
        <f t="shared" si="56"/>
        <v>0</v>
      </c>
      <c r="K158" s="45">
        <f t="shared" si="57"/>
        <v>0</v>
      </c>
      <c r="L158" s="45">
        <f t="shared" si="58"/>
        <v>0</v>
      </c>
      <c r="M158" s="45">
        <f t="shared" si="59"/>
        <v>0.2</v>
      </c>
      <c r="N158" s="45">
        <f t="shared" si="60"/>
        <v>0</v>
      </c>
      <c r="O158" s="45">
        <f t="shared" si="61"/>
        <v>0</v>
      </c>
      <c r="P158" s="45">
        <f t="shared" si="62"/>
        <v>0.2</v>
      </c>
      <c r="Q158" s="45">
        <f t="shared" si="63"/>
        <v>0.2</v>
      </c>
      <c r="R158" s="45">
        <f t="shared" si="64"/>
        <v>0.2</v>
      </c>
      <c r="S158" s="45">
        <f t="shared" si="65"/>
        <v>0.2</v>
      </c>
      <c r="T158" s="45">
        <f t="shared" si="66"/>
        <v>0</v>
      </c>
    </row>
    <row r="159" spans="1:20" x14ac:dyDescent="0.3">
      <c r="A159">
        <f t="shared" si="47"/>
        <v>0</v>
      </c>
      <c r="B159">
        <f t="shared" si="48"/>
        <v>0</v>
      </c>
      <c r="C159">
        <f t="shared" si="49"/>
        <v>1</v>
      </c>
      <c r="D159">
        <f t="shared" si="50"/>
        <v>0</v>
      </c>
      <c r="E159">
        <f t="shared" si="51"/>
        <v>0</v>
      </c>
      <c r="F159">
        <f t="shared" si="52"/>
        <v>1</v>
      </c>
      <c r="G159">
        <f t="shared" si="53"/>
        <v>1</v>
      </c>
      <c r="H159">
        <f t="shared" si="54"/>
        <v>1</v>
      </c>
      <c r="I159">
        <f t="shared" si="55"/>
        <v>1</v>
      </c>
      <c r="J159">
        <f t="shared" si="56"/>
        <v>1</v>
      </c>
      <c r="K159" s="45">
        <f t="shared" si="57"/>
        <v>0</v>
      </c>
      <c r="L159" s="45">
        <f t="shared" si="58"/>
        <v>0</v>
      </c>
      <c r="M159" s="45">
        <f t="shared" si="59"/>
        <v>0.16666666666666666</v>
      </c>
      <c r="N159" s="45">
        <f t="shared" si="60"/>
        <v>0</v>
      </c>
      <c r="O159" s="45">
        <f t="shared" si="61"/>
        <v>0</v>
      </c>
      <c r="P159" s="45">
        <f t="shared" si="62"/>
        <v>0.16666666666666666</v>
      </c>
      <c r="Q159" s="45">
        <f t="shared" si="63"/>
        <v>0.16666666666666666</v>
      </c>
      <c r="R159" s="45">
        <f t="shared" si="64"/>
        <v>0.16666666666666666</v>
      </c>
      <c r="S159" s="45">
        <f t="shared" si="65"/>
        <v>0.16666666666666666</v>
      </c>
      <c r="T159" s="45">
        <f t="shared" si="66"/>
        <v>0.16666666666666666</v>
      </c>
    </row>
    <row r="160" spans="1:20" x14ac:dyDescent="0.3">
      <c r="A160">
        <f t="shared" si="47"/>
        <v>0</v>
      </c>
      <c r="B160">
        <f t="shared" si="48"/>
        <v>0</v>
      </c>
      <c r="C160">
        <f t="shared" si="49"/>
        <v>1</v>
      </c>
      <c r="D160">
        <f t="shared" si="50"/>
        <v>0</v>
      </c>
      <c r="E160">
        <f t="shared" si="51"/>
        <v>1</v>
      </c>
      <c r="F160">
        <f t="shared" si="52"/>
        <v>0</v>
      </c>
      <c r="G160">
        <f t="shared" si="53"/>
        <v>0</v>
      </c>
      <c r="H160">
        <f t="shared" si="54"/>
        <v>0</v>
      </c>
      <c r="I160">
        <f t="shared" si="55"/>
        <v>0</v>
      </c>
      <c r="J160">
        <f t="shared" si="56"/>
        <v>0</v>
      </c>
      <c r="K160" s="45">
        <f t="shared" si="57"/>
        <v>0</v>
      </c>
      <c r="L160" s="45">
        <f t="shared" si="58"/>
        <v>0</v>
      </c>
      <c r="M160" s="45">
        <f t="shared" si="59"/>
        <v>0.5</v>
      </c>
      <c r="N160" s="45">
        <f t="shared" si="60"/>
        <v>0</v>
      </c>
      <c r="O160" s="45">
        <f t="shared" si="61"/>
        <v>0.5</v>
      </c>
      <c r="P160" s="45">
        <f t="shared" si="62"/>
        <v>0</v>
      </c>
      <c r="Q160" s="45">
        <f t="shared" si="63"/>
        <v>0</v>
      </c>
      <c r="R160" s="45">
        <f t="shared" si="64"/>
        <v>0</v>
      </c>
      <c r="S160" s="45">
        <f t="shared" si="65"/>
        <v>0</v>
      </c>
      <c r="T160" s="45">
        <f t="shared" si="66"/>
        <v>0</v>
      </c>
    </row>
    <row r="161" spans="1:20" x14ac:dyDescent="0.3">
      <c r="A161">
        <f t="shared" si="47"/>
        <v>0</v>
      </c>
      <c r="B161">
        <f t="shared" si="48"/>
        <v>0</v>
      </c>
      <c r="C161">
        <f t="shared" si="49"/>
        <v>1</v>
      </c>
      <c r="D161">
        <f t="shared" si="50"/>
        <v>0</v>
      </c>
      <c r="E161">
        <f t="shared" si="51"/>
        <v>1</v>
      </c>
      <c r="F161">
        <f t="shared" si="52"/>
        <v>0</v>
      </c>
      <c r="G161">
        <f t="shared" si="53"/>
        <v>0</v>
      </c>
      <c r="H161">
        <f t="shared" si="54"/>
        <v>0</v>
      </c>
      <c r="I161">
        <f t="shared" si="55"/>
        <v>0</v>
      </c>
      <c r="J161">
        <f t="shared" si="56"/>
        <v>1</v>
      </c>
      <c r="K161" s="45">
        <f t="shared" si="57"/>
        <v>0</v>
      </c>
      <c r="L161" s="45">
        <f t="shared" si="58"/>
        <v>0</v>
      </c>
      <c r="M161" s="45">
        <f t="shared" si="59"/>
        <v>0.33333333333333331</v>
      </c>
      <c r="N161" s="45">
        <f t="shared" si="60"/>
        <v>0</v>
      </c>
      <c r="O161" s="45">
        <f t="shared" si="61"/>
        <v>0.33333333333333331</v>
      </c>
      <c r="P161" s="45">
        <f t="shared" si="62"/>
        <v>0</v>
      </c>
      <c r="Q161" s="45">
        <f t="shared" si="63"/>
        <v>0</v>
      </c>
      <c r="R161" s="45">
        <f t="shared" si="64"/>
        <v>0</v>
      </c>
      <c r="S161" s="45">
        <f t="shared" si="65"/>
        <v>0</v>
      </c>
      <c r="T161" s="45">
        <f t="shared" si="66"/>
        <v>0.33333333333333331</v>
      </c>
    </row>
    <row r="162" spans="1:20" x14ac:dyDescent="0.3">
      <c r="A162">
        <f t="shared" si="47"/>
        <v>0</v>
      </c>
      <c r="B162">
        <f t="shared" si="48"/>
        <v>0</v>
      </c>
      <c r="C162">
        <f t="shared" si="49"/>
        <v>1</v>
      </c>
      <c r="D162">
        <f t="shared" si="50"/>
        <v>0</v>
      </c>
      <c r="E162">
        <f t="shared" si="51"/>
        <v>1</v>
      </c>
      <c r="F162">
        <f t="shared" si="52"/>
        <v>0</v>
      </c>
      <c r="G162">
        <f t="shared" si="53"/>
        <v>0</v>
      </c>
      <c r="H162">
        <f t="shared" si="54"/>
        <v>0</v>
      </c>
      <c r="I162">
        <f t="shared" si="55"/>
        <v>1</v>
      </c>
      <c r="J162">
        <f t="shared" si="56"/>
        <v>0</v>
      </c>
      <c r="K162" s="45">
        <f t="shared" si="57"/>
        <v>0</v>
      </c>
      <c r="L162" s="45">
        <f t="shared" si="58"/>
        <v>0</v>
      </c>
      <c r="M162" s="45">
        <f t="shared" si="59"/>
        <v>0.33333333333333331</v>
      </c>
      <c r="N162" s="45">
        <f t="shared" si="60"/>
        <v>0</v>
      </c>
      <c r="O162" s="45">
        <f t="shared" si="61"/>
        <v>0.33333333333333331</v>
      </c>
      <c r="P162" s="45">
        <f t="shared" si="62"/>
        <v>0</v>
      </c>
      <c r="Q162" s="45">
        <f t="shared" si="63"/>
        <v>0</v>
      </c>
      <c r="R162" s="45">
        <f t="shared" si="64"/>
        <v>0</v>
      </c>
      <c r="S162" s="45">
        <f t="shared" si="65"/>
        <v>0.33333333333333331</v>
      </c>
      <c r="T162" s="45">
        <f t="shared" si="66"/>
        <v>0</v>
      </c>
    </row>
    <row r="163" spans="1:20" x14ac:dyDescent="0.3">
      <c r="A163">
        <f t="shared" si="47"/>
        <v>0</v>
      </c>
      <c r="B163">
        <f t="shared" si="48"/>
        <v>0</v>
      </c>
      <c r="C163">
        <f t="shared" si="49"/>
        <v>1</v>
      </c>
      <c r="D163">
        <f t="shared" si="50"/>
        <v>0</v>
      </c>
      <c r="E163">
        <f t="shared" si="51"/>
        <v>1</v>
      </c>
      <c r="F163">
        <f t="shared" si="52"/>
        <v>0</v>
      </c>
      <c r="G163">
        <f t="shared" si="53"/>
        <v>0</v>
      </c>
      <c r="H163">
        <f t="shared" si="54"/>
        <v>0</v>
      </c>
      <c r="I163">
        <f t="shared" si="55"/>
        <v>1</v>
      </c>
      <c r="J163">
        <f t="shared" si="56"/>
        <v>1</v>
      </c>
      <c r="K163" s="45">
        <f t="shared" si="57"/>
        <v>0</v>
      </c>
      <c r="L163" s="45">
        <f t="shared" si="58"/>
        <v>0</v>
      </c>
      <c r="M163" s="45">
        <f t="shared" si="59"/>
        <v>0.25</v>
      </c>
      <c r="N163" s="45">
        <f t="shared" si="60"/>
        <v>0</v>
      </c>
      <c r="O163" s="45">
        <f t="shared" si="61"/>
        <v>0.25</v>
      </c>
      <c r="P163" s="45">
        <f t="shared" si="62"/>
        <v>0</v>
      </c>
      <c r="Q163" s="45">
        <f t="shared" si="63"/>
        <v>0</v>
      </c>
      <c r="R163" s="45">
        <f t="shared" si="64"/>
        <v>0</v>
      </c>
      <c r="S163" s="45">
        <f t="shared" si="65"/>
        <v>0.25</v>
      </c>
      <c r="T163" s="45">
        <f t="shared" si="66"/>
        <v>0.25</v>
      </c>
    </row>
    <row r="164" spans="1:20" x14ac:dyDescent="0.3">
      <c r="A164">
        <f t="shared" si="47"/>
        <v>0</v>
      </c>
      <c r="B164">
        <f t="shared" si="48"/>
        <v>0</v>
      </c>
      <c r="C164">
        <f t="shared" si="49"/>
        <v>1</v>
      </c>
      <c r="D164">
        <f t="shared" si="50"/>
        <v>0</v>
      </c>
      <c r="E164">
        <f t="shared" si="51"/>
        <v>1</v>
      </c>
      <c r="F164">
        <f t="shared" si="52"/>
        <v>0</v>
      </c>
      <c r="G164">
        <f t="shared" si="53"/>
        <v>0</v>
      </c>
      <c r="H164">
        <f t="shared" si="54"/>
        <v>1</v>
      </c>
      <c r="I164">
        <f t="shared" si="55"/>
        <v>0</v>
      </c>
      <c r="J164">
        <f t="shared" si="56"/>
        <v>0</v>
      </c>
      <c r="K164" s="45">
        <f t="shared" si="57"/>
        <v>0</v>
      </c>
      <c r="L164" s="45">
        <f t="shared" si="58"/>
        <v>0</v>
      </c>
      <c r="M164" s="45">
        <f t="shared" si="59"/>
        <v>0.33333333333333331</v>
      </c>
      <c r="N164" s="45">
        <f t="shared" si="60"/>
        <v>0</v>
      </c>
      <c r="O164" s="45">
        <f t="shared" si="61"/>
        <v>0.33333333333333331</v>
      </c>
      <c r="P164" s="45">
        <f t="shared" si="62"/>
        <v>0</v>
      </c>
      <c r="Q164" s="45">
        <f t="shared" si="63"/>
        <v>0</v>
      </c>
      <c r="R164" s="45">
        <f t="shared" si="64"/>
        <v>0.33333333333333331</v>
      </c>
      <c r="S164" s="45">
        <f t="shared" si="65"/>
        <v>0</v>
      </c>
      <c r="T164" s="45">
        <f t="shared" si="66"/>
        <v>0</v>
      </c>
    </row>
    <row r="165" spans="1:20" x14ac:dyDescent="0.3">
      <c r="A165">
        <f t="shared" si="47"/>
        <v>0</v>
      </c>
      <c r="B165">
        <f t="shared" si="48"/>
        <v>0</v>
      </c>
      <c r="C165">
        <f t="shared" si="49"/>
        <v>1</v>
      </c>
      <c r="D165">
        <f t="shared" si="50"/>
        <v>0</v>
      </c>
      <c r="E165">
        <f t="shared" si="51"/>
        <v>1</v>
      </c>
      <c r="F165">
        <f t="shared" si="52"/>
        <v>0</v>
      </c>
      <c r="G165">
        <f t="shared" si="53"/>
        <v>0</v>
      </c>
      <c r="H165">
        <f t="shared" si="54"/>
        <v>1</v>
      </c>
      <c r="I165">
        <f t="shared" si="55"/>
        <v>0</v>
      </c>
      <c r="J165">
        <f t="shared" si="56"/>
        <v>1</v>
      </c>
      <c r="K165" s="45">
        <f t="shared" si="57"/>
        <v>0</v>
      </c>
      <c r="L165" s="45">
        <f t="shared" si="58"/>
        <v>0</v>
      </c>
      <c r="M165" s="45">
        <f t="shared" si="59"/>
        <v>0.25</v>
      </c>
      <c r="N165" s="45">
        <f t="shared" si="60"/>
        <v>0</v>
      </c>
      <c r="O165" s="45">
        <f t="shared" si="61"/>
        <v>0.25</v>
      </c>
      <c r="P165" s="45">
        <f t="shared" si="62"/>
        <v>0</v>
      </c>
      <c r="Q165" s="45">
        <f t="shared" si="63"/>
        <v>0</v>
      </c>
      <c r="R165" s="45">
        <f t="shared" si="64"/>
        <v>0.25</v>
      </c>
      <c r="S165" s="45">
        <f t="shared" si="65"/>
        <v>0</v>
      </c>
      <c r="T165" s="45">
        <f t="shared" si="66"/>
        <v>0.25</v>
      </c>
    </row>
    <row r="166" spans="1:20" x14ac:dyDescent="0.3">
      <c r="A166">
        <f t="shared" si="47"/>
        <v>0</v>
      </c>
      <c r="B166">
        <f t="shared" si="48"/>
        <v>0</v>
      </c>
      <c r="C166">
        <f t="shared" si="49"/>
        <v>1</v>
      </c>
      <c r="D166">
        <f t="shared" si="50"/>
        <v>0</v>
      </c>
      <c r="E166">
        <f t="shared" si="51"/>
        <v>1</v>
      </c>
      <c r="F166">
        <f t="shared" si="52"/>
        <v>0</v>
      </c>
      <c r="G166">
        <f t="shared" si="53"/>
        <v>0</v>
      </c>
      <c r="H166">
        <f t="shared" si="54"/>
        <v>1</v>
      </c>
      <c r="I166">
        <f t="shared" si="55"/>
        <v>1</v>
      </c>
      <c r="J166">
        <f t="shared" si="56"/>
        <v>0</v>
      </c>
      <c r="K166" s="45">
        <f t="shared" si="57"/>
        <v>0</v>
      </c>
      <c r="L166" s="45">
        <f t="shared" si="58"/>
        <v>0</v>
      </c>
      <c r="M166" s="45">
        <f t="shared" si="59"/>
        <v>0.25</v>
      </c>
      <c r="N166" s="45">
        <f t="shared" si="60"/>
        <v>0</v>
      </c>
      <c r="O166" s="45">
        <f t="shared" si="61"/>
        <v>0.25</v>
      </c>
      <c r="P166" s="45">
        <f t="shared" si="62"/>
        <v>0</v>
      </c>
      <c r="Q166" s="45">
        <f t="shared" si="63"/>
        <v>0</v>
      </c>
      <c r="R166" s="45">
        <f t="shared" si="64"/>
        <v>0.25</v>
      </c>
      <c r="S166" s="45">
        <f t="shared" si="65"/>
        <v>0.25</v>
      </c>
      <c r="T166" s="45">
        <f t="shared" si="66"/>
        <v>0</v>
      </c>
    </row>
    <row r="167" spans="1:20" x14ac:dyDescent="0.3">
      <c r="A167">
        <f t="shared" si="47"/>
        <v>0</v>
      </c>
      <c r="B167">
        <f t="shared" si="48"/>
        <v>0</v>
      </c>
      <c r="C167">
        <f t="shared" si="49"/>
        <v>1</v>
      </c>
      <c r="D167">
        <f t="shared" si="50"/>
        <v>0</v>
      </c>
      <c r="E167">
        <f t="shared" si="51"/>
        <v>1</v>
      </c>
      <c r="F167">
        <f t="shared" si="52"/>
        <v>0</v>
      </c>
      <c r="G167">
        <f t="shared" si="53"/>
        <v>0</v>
      </c>
      <c r="H167">
        <f t="shared" si="54"/>
        <v>1</v>
      </c>
      <c r="I167">
        <f t="shared" si="55"/>
        <v>1</v>
      </c>
      <c r="J167">
        <f t="shared" si="56"/>
        <v>1</v>
      </c>
      <c r="K167" s="45">
        <f t="shared" si="57"/>
        <v>0</v>
      </c>
      <c r="L167" s="45">
        <f t="shared" si="58"/>
        <v>0</v>
      </c>
      <c r="M167" s="45">
        <f t="shared" si="59"/>
        <v>0.2</v>
      </c>
      <c r="N167" s="45">
        <f t="shared" si="60"/>
        <v>0</v>
      </c>
      <c r="O167" s="45">
        <f t="shared" si="61"/>
        <v>0.2</v>
      </c>
      <c r="P167" s="45">
        <f t="shared" si="62"/>
        <v>0</v>
      </c>
      <c r="Q167" s="45">
        <f t="shared" si="63"/>
        <v>0</v>
      </c>
      <c r="R167" s="45">
        <f t="shared" si="64"/>
        <v>0.2</v>
      </c>
      <c r="S167" s="45">
        <f t="shared" si="65"/>
        <v>0.2</v>
      </c>
      <c r="T167" s="45">
        <f t="shared" si="66"/>
        <v>0.2</v>
      </c>
    </row>
    <row r="168" spans="1:20" x14ac:dyDescent="0.3">
      <c r="A168">
        <f t="shared" si="47"/>
        <v>0</v>
      </c>
      <c r="B168">
        <f t="shared" si="48"/>
        <v>0</v>
      </c>
      <c r="C168">
        <f t="shared" si="49"/>
        <v>1</v>
      </c>
      <c r="D168">
        <f t="shared" si="50"/>
        <v>0</v>
      </c>
      <c r="E168">
        <f t="shared" si="51"/>
        <v>1</v>
      </c>
      <c r="F168">
        <f t="shared" si="52"/>
        <v>0</v>
      </c>
      <c r="G168">
        <f t="shared" si="53"/>
        <v>1</v>
      </c>
      <c r="H168">
        <f t="shared" si="54"/>
        <v>0</v>
      </c>
      <c r="I168">
        <f t="shared" si="55"/>
        <v>0</v>
      </c>
      <c r="J168">
        <f t="shared" si="56"/>
        <v>0</v>
      </c>
      <c r="K168" s="45">
        <f t="shared" si="57"/>
        <v>0</v>
      </c>
      <c r="L168" s="45">
        <f t="shared" si="58"/>
        <v>0</v>
      </c>
      <c r="M168" s="45">
        <f t="shared" si="59"/>
        <v>0.33333333333333331</v>
      </c>
      <c r="N168" s="45">
        <f t="shared" si="60"/>
        <v>0</v>
      </c>
      <c r="O168" s="45">
        <f t="shared" si="61"/>
        <v>0.33333333333333331</v>
      </c>
      <c r="P168" s="45">
        <f t="shared" si="62"/>
        <v>0</v>
      </c>
      <c r="Q168" s="45">
        <f t="shared" si="63"/>
        <v>0.33333333333333331</v>
      </c>
      <c r="R168" s="45">
        <f t="shared" si="64"/>
        <v>0</v>
      </c>
      <c r="S168" s="45">
        <f t="shared" si="65"/>
        <v>0</v>
      </c>
      <c r="T168" s="45">
        <f t="shared" si="66"/>
        <v>0</v>
      </c>
    </row>
    <row r="169" spans="1:20" x14ac:dyDescent="0.3">
      <c r="A169">
        <f t="shared" si="47"/>
        <v>0</v>
      </c>
      <c r="B169">
        <f t="shared" si="48"/>
        <v>0</v>
      </c>
      <c r="C169">
        <f t="shared" si="49"/>
        <v>1</v>
      </c>
      <c r="D169">
        <f t="shared" si="50"/>
        <v>0</v>
      </c>
      <c r="E169">
        <f t="shared" si="51"/>
        <v>1</v>
      </c>
      <c r="F169">
        <f t="shared" si="52"/>
        <v>0</v>
      </c>
      <c r="G169">
        <f t="shared" si="53"/>
        <v>1</v>
      </c>
      <c r="H169">
        <f t="shared" si="54"/>
        <v>0</v>
      </c>
      <c r="I169">
        <f t="shared" si="55"/>
        <v>0</v>
      </c>
      <c r="J169">
        <f t="shared" si="56"/>
        <v>1</v>
      </c>
      <c r="K169" s="45">
        <f t="shared" si="57"/>
        <v>0</v>
      </c>
      <c r="L169" s="45">
        <f t="shared" si="58"/>
        <v>0</v>
      </c>
      <c r="M169" s="45">
        <f t="shared" si="59"/>
        <v>0.25</v>
      </c>
      <c r="N169" s="45">
        <f t="shared" si="60"/>
        <v>0</v>
      </c>
      <c r="O169" s="45">
        <f t="shared" si="61"/>
        <v>0.25</v>
      </c>
      <c r="P169" s="45">
        <f t="shared" si="62"/>
        <v>0</v>
      </c>
      <c r="Q169" s="45">
        <f t="shared" si="63"/>
        <v>0.25</v>
      </c>
      <c r="R169" s="45">
        <f t="shared" si="64"/>
        <v>0</v>
      </c>
      <c r="S169" s="45">
        <f t="shared" si="65"/>
        <v>0</v>
      </c>
      <c r="T169" s="45">
        <f t="shared" si="66"/>
        <v>0.25</v>
      </c>
    </row>
    <row r="170" spans="1:20" x14ac:dyDescent="0.3">
      <c r="A170">
        <f t="shared" si="47"/>
        <v>0</v>
      </c>
      <c r="B170">
        <f t="shared" si="48"/>
        <v>0</v>
      </c>
      <c r="C170">
        <f t="shared" si="49"/>
        <v>1</v>
      </c>
      <c r="D170">
        <f t="shared" si="50"/>
        <v>0</v>
      </c>
      <c r="E170">
        <f t="shared" si="51"/>
        <v>1</v>
      </c>
      <c r="F170">
        <f t="shared" si="52"/>
        <v>0</v>
      </c>
      <c r="G170">
        <f t="shared" si="53"/>
        <v>1</v>
      </c>
      <c r="H170">
        <f t="shared" si="54"/>
        <v>0</v>
      </c>
      <c r="I170">
        <f t="shared" si="55"/>
        <v>1</v>
      </c>
      <c r="J170">
        <f t="shared" si="56"/>
        <v>0</v>
      </c>
      <c r="K170" s="45">
        <f t="shared" si="57"/>
        <v>0</v>
      </c>
      <c r="L170" s="45">
        <f t="shared" si="58"/>
        <v>0</v>
      </c>
      <c r="M170" s="45">
        <f t="shared" si="59"/>
        <v>0.25</v>
      </c>
      <c r="N170" s="45">
        <f t="shared" si="60"/>
        <v>0</v>
      </c>
      <c r="O170" s="45">
        <f t="shared" si="61"/>
        <v>0.25</v>
      </c>
      <c r="P170" s="45">
        <f t="shared" si="62"/>
        <v>0</v>
      </c>
      <c r="Q170" s="45">
        <f t="shared" si="63"/>
        <v>0.25</v>
      </c>
      <c r="R170" s="45">
        <f t="shared" si="64"/>
        <v>0</v>
      </c>
      <c r="S170" s="45">
        <f t="shared" si="65"/>
        <v>0.25</v>
      </c>
      <c r="T170" s="45">
        <f t="shared" si="66"/>
        <v>0</v>
      </c>
    </row>
    <row r="171" spans="1:20" x14ac:dyDescent="0.3">
      <c r="A171">
        <f t="shared" si="47"/>
        <v>0</v>
      </c>
      <c r="B171">
        <f t="shared" si="48"/>
        <v>0</v>
      </c>
      <c r="C171">
        <f t="shared" si="49"/>
        <v>1</v>
      </c>
      <c r="D171">
        <f t="shared" si="50"/>
        <v>0</v>
      </c>
      <c r="E171">
        <f t="shared" si="51"/>
        <v>1</v>
      </c>
      <c r="F171">
        <f t="shared" si="52"/>
        <v>0</v>
      </c>
      <c r="G171">
        <f t="shared" si="53"/>
        <v>1</v>
      </c>
      <c r="H171">
        <f t="shared" si="54"/>
        <v>0</v>
      </c>
      <c r="I171">
        <f t="shared" si="55"/>
        <v>1</v>
      </c>
      <c r="J171">
        <f t="shared" si="56"/>
        <v>1</v>
      </c>
      <c r="K171" s="45">
        <f t="shared" si="57"/>
        <v>0</v>
      </c>
      <c r="L171" s="45">
        <f t="shared" si="58"/>
        <v>0</v>
      </c>
      <c r="M171" s="45">
        <f t="shared" si="59"/>
        <v>0.2</v>
      </c>
      <c r="N171" s="45">
        <f t="shared" si="60"/>
        <v>0</v>
      </c>
      <c r="O171" s="45">
        <f t="shared" si="61"/>
        <v>0.2</v>
      </c>
      <c r="P171" s="45">
        <f t="shared" si="62"/>
        <v>0</v>
      </c>
      <c r="Q171" s="45">
        <f t="shared" si="63"/>
        <v>0.2</v>
      </c>
      <c r="R171" s="45">
        <f t="shared" si="64"/>
        <v>0</v>
      </c>
      <c r="S171" s="45">
        <f t="shared" si="65"/>
        <v>0.2</v>
      </c>
      <c r="T171" s="45">
        <f t="shared" si="66"/>
        <v>0.2</v>
      </c>
    </row>
    <row r="172" spans="1:20" x14ac:dyDescent="0.3">
      <c r="A172">
        <f t="shared" si="47"/>
        <v>0</v>
      </c>
      <c r="B172">
        <f t="shared" si="48"/>
        <v>0</v>
      </c>
      <c r="C172">
        <f t="shared" si="49"/>
        <v>1</v>
      </c>
      <c r="D172">
        <f t="shared" si="50"/>
        <v>0</v>
      </c>
      <c r="E172">
        <f t="shared" si="51"/>
        <v>1</v>
      </c>
      <c r="F172">
        <f t="shared" si="52"/>
        <v>0</v>
      </c>
      <c r="G172">
        <f t="shared" si="53"/>
        <v>1</v>
      </c>
      <c r="H172">
        <f t="shared" si="54"/>
        <v>1</v>
      </c>
      <c r="I172">
        <f t="shared" si="55"/>
        <v>0</v>
      </c>
      <c r="J172">
        <f t="shared" si="56"/>
        <v>0</v>
      </c>
      <c r="K172" s="45">
        <f t="shared" si="57"/>
        <v>0</v>
      </c>
      <c r="L172" s="45">
        <f t="shared" si="58"/>
        <v>0</v>
      </c>
      <c r="M172" s="45">
        <f t="shared" si="59"/>
        <v>0.25</v>
      </c>
      <c r="N172" s="45">
        <f t="shared" si="60"/>
        <v>0</v>
      </c>
      <c r="O172" s="45">
        <f t="shared" si="61"/>
        <v>0.25</v>
      </c>
      <c r="P172" s="45">
        <f t="shared" si="62"/>
        <v>0</v>
      </c>
      <c r="Q172" s="45">
        <f t="shared" si="63"/>
        <v>0.25</v>
      </c>
      <c r="R172" s="45">
        <f t="shared" si="64"/>
        <v>0.25</v>
      </c>
      <c r="S172" s="45">
        <f t="shared" si="65"/>
        <v>0</v>
      </c>
      <c r="T172" s="45">
        <f t="shared" si="66"/>
        <v>0</v>
      </c>
    </row>
    <row r="173" spans="1:20" x14ac:dyDescent="0.3">
      <c r="A173">
        <f t="shared" si="47"/>
        <v>0</v>
      </c>
      <c r="B173">
        <f t="shared" si="48"/>
        <v>0</v>
      </c>
      <c r="C173">
        <f t="shared" si="49"/>
        <v>1</v>
      </c>
      <c r="D173">
        <f t="shared" si="50"/>
        <v>0</v>
      </c>
      <c r="E173">
        <f t="shared" si="51"/>
        <v>1</v>
      </c>
      <c r="F173">
        <f t="shared" si="52"/>
        <v>0</v>
      </c>
      <c r="G173">
        <f t="shared" si="53"/>
        <v>1</v>
      </c>
      <c r="H173">
        <f t="shared" si="54"/>
        <v>1</v>
      </c>
      <c r="I173">
        <f t="shared" si="55"/>
        <v>0</v>
      </c>
      <c r="J173">
        <f t="shared" si="56"/>
        <v>1</v>
      </c>
      <c r="K173" s="45">
        <f t="shared" si="57"/>
        <v>0</v>
      </c>
      <c r="L173" s="45">
        <f t="shared" si="58"/>
        <v>0</v>
      </c>
      <c r="M173" s="45">
        <f t="shared" si="59"/>
        <v>0.2</v>
      </c>
      <c r="N173" s="45">
        <f t="shared" si="60"/>
        <v>0</v>
      </c>
      <c r="O173" s="45">
        <f t="shared" si="61"/>
        <v>0.2</v>
      </c>
      <c r="P173" s="45">
        <f t="shared" si="62"/>
        <v>0</v>
      </c>
      <c r="Q173" s="45">
        <f t="shared" si="63"/>
        <v>0.2</v>
      </c>
      <c r="R173" s="45">
        <f t="shared" si="64"/>
        <v>0.2</v>
      </c>
      <c r="S173" s="45">
        <f t="shared" si="65"/>
        <v>0</v>
      </c>
      <c r="T173" s="45">
        <f t="shared" si="66"/>
        <v>0.2</v>
      </c>
    </row>
    <row r="174" spans="1:20" x14ac:dyDescent="0.3">
      <c r="A174">
        <f t="shared" si="47"/>
        <v>0</v>
      </c>
      <c r="B174">
        <f t="shared" si="48"/>
        <v>0</v>
      </c>
      <c r="C174">
        <f t="shared" si="49"/>
        <v>1</v>
      </c>
      <c r="D174">
        <f t="shared" si="50"/>
        <v>0</v>
      </c>
      <c r="E174">
        <f t="shared" si="51"/>
        <v>1</v>
      </c>
      <c r="F174">
        <f t="shared" si="52"/>
        <v>0</v>
      </c>
      <c r="G174">
        <f t="shared" si="53"/>
        <v>1</v>
      </c>
      <c r="H174">
        <f t="shared" si="54"/>
        <v>1</v>
      </c>
      <c r="I174">
        <f t="shared" si="55"/>
        <v>1</v>
      </c>
      <c r="J174">
        <f t="shared" si="56"/>
        <v>0</v>
      </c>
      <c r="K174" s="45">
        <f t="shared" si="57"/>
        <v>0</v>
      </c>
      <c r="L174" s="45">
        <f t="shared" si="58"/>
        <v>0</v>
      </c>
      <c r="M174" s="45">
        <f t="shared" si="59"/>
        <v>0.2</v>
      </c>
      <c r="N174" s="45">
        <f t="shared" si="60"/>
        <v>0</v>
      </c>
      <c r="O174" s="45">
        <f t="shared" si="61"/>
        <v>0.2</v>
      </c>
      <c r="P174" s="45">
        <f t="shared" si="62"/>
        <v>0</v>
      </c>
      <c r="Q174" s="45">
        <f t="shared" si="63"/>
        <v>0.2</v>
      </c>
      <c r="R174" s="45">
        <f t="shared" si="64"/>
        <v>0.2</v>
      </c>
      <c r="S174" s="45">
        <f t="shared" si="65"/>
        <v>0.2</v>
      </c>
      <c r="T174" s="45">
        <f t="shared" si="66"/>
        <v>0</v>
      </c>
    </row>
    <row r="175" spans="1:20" x14ac:dyDescent="0.3">
      <c r="A175">
        <f t="shared" si="47"/>
        <v>0</v>
      </c>
      <c r="B175">
        <f t="shared" si="48"/>
        <v>0</v>
      </c>
      <c r="C175">
        <f t="shared" si="49"/>
        <v>1</v>
      </c>
      <c r="D175">
        <f t="shared" si="50"/>
        <v>0</v>
      </c>
      <c r="E175">
        <f t="shared" si="51"/>
        <v>1</v>
      </c>
      <c r="F175">
        <f t="shared" si="52"/>
        <v>0</v>
      </c>
      <c r="G175">
        <f t="shared" si="53"/>
        <v>1</v>
      </c>
      <c r="H175">
        <f t="shared" si="54"/>
        <v>1</v>
      </c>
      <c r="I175">
        <f t="shared" si="55"/>
        <v>1</v>
      </c>
      <c r="J175">
        <f t="shared" si="56"/>
        <v>1</v>
      </c>
      <c r="K175" s="45">
        <f t="shared" si="57"/>
        <v>0</v>
      </c>
      <c r="L175" s="45">
        <f t="shared" si="58"/>
        <v>0</v>
      </c>
      <c r="M175" s="45">
        <f t="shared" si="59"/>
        <v>0.16666666666666666</v>
      </c>
      <c r="N175" s="45">
        <f t="shared" si="60"/>
        <v>0</v>
      </c>
      <c r="O175" s="45">
        <f t="shared" si="61"/>
        <v>0.16666666666666666</v>
      </c>
      <c r="P175" s="45">
        <f t="shared" si="62"/>
        <v>0</v>
      </c>
      <c r="Q175" s="45">
        <f t="shared" si="63"/>
        <v>0.16666666666666666</v>
      </c>
      <c r="R175" s="45">
        <f t="shared" si="64"/>
        <v>0.16666666666666666</v>
      </c>
      <c r="S175" s="45">
        <f t="shared" si="65"/>
        <v>0.16666666666666666</v>
      </c>
      <c r="T175" s="45">
        <f t="shared" si="66"/>
        <v>0.16666666666666666</v>
      </c>
    </row>
    <row r="176" spans="1:20" x14ac:dyDescent="0.3">
      <c r="A176">
        <f t="shared" si="47"/>
        <v>0</v>
      </c>
      <c r="B176">
        <f t="shared" si="48"/>
        <v>0</v>
      </c>
      <c r="C176">
        <f t="shared" si="49"/>
        <v>1</v>
      </c>
      <c r="D176">
        <f t="shared" si="50"/>
        <v>0</v>
      </c>
      <c r="E176">
        <f t="shared" si="51"/>
        <v>1</v>
      </c>
      <c r="F176">
        <f t="shared" si="52"/>
        <v>1</v>
      </c>
      <c r="G176">
        <f t="shared" si="53"/>
        <v>0</v>
      </c>
      <c r="H176">
        <f t="shared" si="54"/>
        <v>0</v>
      </c>
      <c r="I176">
        <f t="shared" si="55"/>
        <v>0</v>
      </c>
      <c r="J176">
        <f t="shared" si="56"/>
        <v>0</v>
      </c>
      <c r="K176" s="45">
        <f t="shared" si="57"/>
        <v>0</v>
      </c>
      <c r="L176" s="45">
        <f t="shared" si="58"/>
        <v>0</v>
      </c>
      <c r="M176" s="45">
        <f t="shared" si="59"/>
        <v>0.33333333333333331</v>
      </c>
      <c r="N176" s="45">
        <f t="shared" si="60"/>
        <v>0</v>
      </c>
      <c r="O176" s="45">
        <f t="shared" si="61"/>
        <v>0.33333333333333331</v>
      </c>
      <c r="P176" s="45">
        <f t="shared" si="62"/>
        <v>0.33333333333333331</v>
      </c>
      <c r="Q176" s="45">
        <f t="shared" si="63"/>
        <v>0</v>
      </c>
      <c r="R176" s="45">
        <f t="shared" si="64"/>
        <v>0</v>
      </c>
      <c r="S176" s="45">
        <f t="shared" si="65"/>
        <v>0</v>
      </c>
      <c r="T176" s="45">
        <f t="shared" si="66"/>
        <v>0</v>
      </c>
    </row>
    <row r="177" spans="1:20" x14ac:dyDescent="0.3">
      <c r="A177">
        <f t="shared" si="47"/>
        <v>0</v>
      </c>
      <c r="B177">
        <f t="shared" si="48"/>
        <v>0</v>
      </c>
      <c r="C177">
        <f t="shared" si="49"/>
        <v>1</v>
      </c>
      <c r="D177">
        <f t="shared" si="50"/>
        <v>0</v>
      </c>
      <c r="E177">
        <f t="shared" si="51"/>
        <v>1</v>
      </c>
      <c r="F177">
        <f t="shared" si="52"/>
        <v>1</v>
      </c>
      <c r="G177">
        <f t="shared" si="53"/>
        <v>0</v>
      </c>
      <c r="H177">
        <f t="shared" si="54"/>
        <v>0</v>
      </c>
      <c r="I177">
        <f t="shared" si="55"/>
        <v>0</v>
      </c>
      <c r="J177">
        <f t="shared" si="56"/>
        <v>1</v>
      </c>
      <c r="K177" s="45">
        <f t="shared" si="57"/>
        <v>0</v>
      </c>
      <c r="L177" s="45">
        <f t="shared" si="58"/>
        <v>0</v>
      </c>
      <c r="M177" s="45">
        <f t="shared" si="59"/>
        <v>0.25</v>
      </c>
      <c r="N177" s="45">
        <f t="shared" si="60"/>
        <v>0</v>
      </c>
      <c r="O177" s="45">
        <f t="shared" si="61"/>
        <v>0.25</v>
      </c>
      <c r="P177" s="45">
        <f t="shared" si="62"/>
        <v>0.25</v>
      </c>
      <c r="Q177" s="45">
        <f t="shared" si="63"/>
        <v>0</v>
      </c>
      <c r="R177" s="45">
        <f t="shared" si="64"/>
        <v>0</v>
      </c>
      <c r="S177" s="45">
        <f t="shared" si="65"/>
        <v>0</v>
      </c>
      <c r="T177" s="45">
        <f t="shared" si="66"/>
        <v>0.25</v>
      </c>
    </row>
    <row r="178" spans="1:20" x14ac:dyDescent="0.3">
      <c r="A178">
        <f t="shared" si="47"/>
        <v>0</v>
      </c>
      <c r="B178">
        <f t="shared" si="48"/>
        <v>0</v>
      </c>
      <c r="C178">
        <f t="shared" si="49"/>
        <v>1</v>
      </c>
      <c r="D178">
        <f t="shared" si="50"/>
        <v>0</v>
      </c>
      <c r="E178">
        <f t="shared" si="51"/>
        <v>1</v>
      </c>
      <c r="F178">
        <f t="shared" si="52"/>
        <v>1</v>
      </c>
      <c r="G178">
        <f t="shared" si="53"/>
        <v>0</v>
      </c>
      <c r="H178">
        <f t="shared" si="54"/>
        <v>0</v>
      </c>
      <c r="I178">
        <f t="shared" si="55"/>
        <v>1</v>
      </c>
      <c r="J178">
        <f t="shared" si="56"/>
        <v>0</v>
      </c>
      <c r="K178" s="45">
        <f t="shared" si="57"/>
        <v>0</v>
      </c>
      <c r="L178" s="45">
        <f t="shared" si="58"/>
        <v>0</v>
      </c>
      <c r="M178" s="45">
        <f t="shared" si="59"/>
        <v>0.25</v>
      </c>
      <c r="N178" s="45">
        <f t="shared" si="60"/>
        <v>0</v>
      </c>
      <c r="O178" s="45">
        <f t="shared" si="61"/>
        <v>0.25</v>
      </c>
      <c r="P178" s="45">
        <f t="shared" si="62"/>
        <v>0.25</v>
      </c>
      <c r="Q178" s="45">
        <f t="shared" si="63"/>
        <v>0</v>
      </c>
      <c r="R178" s="45">
        <f t="shared" si="64"/>
        <v>0</v>
      </c>
      <c r="S178" s="45">
        <f t="shared" si="65"/>
        <v>0.25</v>
      </c>
      <c r="T178" s="45">
        <f t="shared" si="66"/>
        <v>0</v>
      </c>
    </row>
    <row r="179" spans="1:20" x14ac:dyDescent="0.3">
      <c r="A179">
        <f t="shared" si="47"/>
        <v>0</v>
      </c>
      <c r="B179">
        <f t="shared" si="48"/>
        <v>0</v>
      </c>
      <c r="C179">
        <f t="shared" si="49"/>
        <v>1</v>
      </c>
      <c r="D179">
        <f t="shared" si="50"/>
        <v>0</v>
      </c>
      <c r="E179">
        <f t="shared" si="51"/>
        <v>1</v>
      </c>
      <c r="F179">
        <f t="shared" si="52"/>
        <v>1</v>
      </c>
      <c r="G179">
        <f t="shared" si="53"/>
        <v>0</v>
      </c>
      <c r="H179">
        <f t="shared" si="54"/>
        <v>0</v>
      </c>
      <c r="I179">
        <f t="shared" si="55"/>
        <v>1</v>
      </c>
      <c r="J179">
        <f t="shared" si="56"/>
        <v>1</v>
      </c>
      <c r="K179" s="45">
        <f t="shared" si="57"/>
        <v>0</v>
      </c>
      <c r="L179" s="45">
        <f t="shared" si="58"/>
        <v>0</v>
      </c>
      <c r="M179" s="45">
        <f t="shared" si="59"/>
        <v>0.2</v>
      </c>
      <c r="N179" s="45">
        <f t="shared" si="60"/>
        <v>0</v>
      </c>
      <c r="O179" s="45">
        <f t="shared" si="61"/>
        <v>0.2</v>
      </c>
      <c r="P179" s="45">
        <f t="shared" si="62"/>
        <v>0.2</v>
      </c>
      <c r="Q179" s="45">
        <f t="shared" si="63"/>
        <v>0</v>
      </c>
      <c r="R179" s="45">
        <f t="shared" si="64"/>
        <v>0</v>
      </c>
      <c r="S179" s="45">
        <f t="shared" si="65"/>
        <v>0.2</v>
      </c>
      <c r="T179" s="45">
        <f t="shared" si="66"/>
        <v>0.2</v>
      </c>
    </row>
    <row r="180" spans="1:20" x14ac:dyDescent="0.3">
      <c r="A180">
        <f t="shared" si="47"/>
        <v>0</v>
      </c>
      <c r="B180">
        <f t="shared" si="48"/>
        <v>0</v>
      </c>
      <c r="C180">
        <f t="shared" si="49"/>
        <v>1</v>
      </c>
      <c r="D180">
        <f t="shared" si="50"/>
        <v>0</v>
      </c>
      <c r="E180">
        <f t="shared" si="51"/>
        <v>1</v>
      </c>
      <c r="F180">
        <f t="shared" si="52"/>
        <v>1</v>
      </c>
      <c r="G180">
        <f t="shared" si="53"/>
        <v>0</v>
      </c>
      <c r="H180">
        <f t="shared" si="54"/>
        <v>1</v>
      </c>
      <c r="I180">
        <f t="shared" si="55"/>
        <v>0</v>
      </c>
      <c r="J180">
        <f t="shared" si="56"/>
        <v>0</v>
      </c>
      <c r="K180" s="45">
        <f t="shared" si="57"/>
        <v>0</v>
      </c>
      <c r="L180" s="45">
        <f t="shared" si="58"/>
        <v>0</v>
      </c>
      <c r="M180" s="45">
        <f t="shared" si="59"/>
        <v>0.25</v>
      </c>
      <c r="N180" s="45">
        <f t="shared" si="60"/>
        <v>0</v>
      </c>
      <c r="O180" s="45">
        <f t="shared" si="61"/>
        <v>0.25</v>
      </c>
      <c r="P180" s="45">
        <f t="shared" si="62"/>
        <v>0.25</v>
      </c>
      <c r="Q180" s="45">
        <f t="shared" si="63"/>
        <v>0</v>
      </c>
      <c r="R180" s="45">
        <f t="shared" si="64"/>
        <v>0.25</v>
      </c>
      <c r="S180" s="45">
        <f t="shared" si="65"/>
        <v>0</v>
      </c>
      <c r="T180" s="45">
        <f t="shared" si="66"/>
        <v>0</v>
      </c>
    </row>
    <row r="181" spans="1:20" x14ac:dyDescent="0.3">
      <c r="A181">
        <f t="shared" si="47"/>
        <v>0</v>
      </c>
      <c r="B181">
        <f t="shared" si="48"/>
        <v>0</v>
      </c>
      <c r="C181">
        <f t="shared" si="49"/>
        <v>1</v>
      </c>
      <c r="D181">
        <f t="shared" si="50"/>
        <v>0</v>
      </c>
      <c r="E181">
        <f t="shared" si="51"/>
        <v>1</v>
      </c>
      <c r="F181">
        <f t="shared" si="52"/>
        <v>1</v>
      </c>
      <c r="G181">
        <f t="shared" si="53"/>
        <v>0</v>
      </c>
      <c r="H181">
        <f t="shared" si="54"/>
        <v>1</v>
      </c>
      <c r="I181">
        <f t="shared" si="55"/>
        <v>0</v>
      </c>
      <c r="J181">
        <f t="shared" si="56"/>
        <v>1</v>
      </c>
      <c r="K181" s="45">
        <f t="shared" si="57"/>
        <v>0</v>
      </c>
      <c r="L181" s="45">
        <f t="shared" si="58"/>
        <v>0</v>
      </c>
      <c r="M181" s="45">
        <f t="shared" si="59"/>
        <v>0.2</v>
      </c>
      <c r="N181" s="45">
        <f t="shared" si="60"/>
        <v>0</v>
      </c>
      <c r="O181" s="45">
        <f t="shared" si="61"/>
        <v>0.2</v>
      </c>
      <c r="P181" s="45">
        <f t="shared" si="62"/>
        <v>0.2</v>
      </c>
      <c r="Q181" s="45">
        <f t="shared" si="63"/>
        <v>0</v>
      </c>
      <c r="R181" s="45">
        <f t="shared" si="64"/>
        <v>0.2</v>
      </c>
      <c r="S181" s="45">
        <f t="shared" si="65"/>
        <v>0</v>
      </c>
      <c r="T181" s="45">
        <f t="shared" si="66"/>
        <v>0.2</v>
      </c>
    </row>
    <row r="182" spans="1:20" x14ac:dyDescent="0.3">
      <c r="A182">
        <f t="shared" si="47"/>
        <v>0</v>
      </c>
      <c r="B182">
        <f t="shared" si="48"/>
        <v>0</v>
      </c>
      <c r="C182">
        <f t="shared" si="49"/>
        <v>1</v>
      </c>
      <c r="D182">
        <f t="shared" si="50"/>
        <v>0</v>
      </c>
      <c r="E182">
        <f t="shared" si="51"/>
        <v>1</v>
      </c>
      <c r="F182">
        <f t="shared" si="52"/>
        <v>1</v>
      </c>
      <c r="G182">
        <f t="shared" si="53"/>
        <v>0</v>
      </c>
      <c r="H182">
        <f t="shared" si="54"/>
        <v>1</v>
      </c>
      <c r="I182">
        <f t="shared" si="55"/>
        <v>1</v>
      </c>
      <c r="J182">
        <f t="shared" si="56"/>
        <v>0</v>
      </c>
      <c r="K182" s="45">
        <f t="shared" si="57"/>
        <v>0</v>
      </c>
      <c r="L182" s="45">
        <f t="shared" si="58"/>
        <v>0</v>
      </c>
      <c r="M182" s="45">
        <f t="shared" si="59"/>
        <v>0.2</v>
      </c>
      <c r="N182" s="45">
        <f t="shared" si="60"/>
        <v>0</v>
      </c>
      <c r="O182" s="45">
        <f t="shared" si="61"/>
        <v>0.2</v>
      </c>
      <c r="P182" s="45">
        <f t="shared" si="62"/>
        <v>0.2</v>
      </c>
      <c r="Q182" s="45">
        <f t="shared" si="63"/>
        <v>0</v>
      </c>
      <c r="R182" s="45">
        <f t="shared" si="64"/>
        <v>0.2</v>
      </c>
      <c r="S182" s="45">
        <f t="shared" si="65"/>
        <v>0.2</v>
      </c>
      <c r="T182" s="45">
        <f t="shared" si="66"/>
        <v>0</v>
      </c>
    </row>
    <row r="183" spans="1:20" x14ac:dyDescent="0.3">
      <c r="A183">
        <f t="shared" si="47"/>
        <v>0</v>
      </c>
      <c r="B183">
        <f t="shared" si="48"/>
        <v>0</v>
      </c>
      <c r="C183">
        <f t="shared" si="49"/>
        <v>1</v>
      </c>
      <c r="D183">
        <f t="shared" si="50"/>
        <v>0</v>
      </c>
      <c r="E183">
        <f t="shared" si="51"/>
        <v>1</v>
      </c>
      <c r="F183">
        <f t="shared" si="52"/>
        <v>1</v>
      </c>
      <c r="G183">
        <f t="shared" si="53"/>
        <v>0</v>
      </c>
      <c r="H183">
        <f t="shared" si="54"/>
        <v>1</v>
      </c>
      <c r="I183">
        <f t="shared" si="55"/>
        <v>1</v>
      </c>
      <c r="J183">
        <f t="shared" si="56"/>
        <v>1</v>
      </c>
      <c r="K183" s="45">
        <f t="shared" si="57"/>
        <v>0</v>
      </c>
      <c r="L183" s="45">
        <f t="shared" si="58"/>
        <v>0</v>
      </c>
      <c r="M183" s="45">
        <f t="shared" si="59"/>
        <v>0.16666666666666666</v>
      </c>
      <c r="N183" s="45">
        <f t="shared" si="60"/>
        <v>0</v>
      </c>
      <c r="O183" s="45">
        <f t="shared" si="61"/>
        <v>0.16666666666666666</v>
      </c>
      <c r="P183" s="45">
        <f t="shared" si="62"/>
        <v>0.16666666666666666</v>
      </c>
      <c r="Q183" s="45">
        <f t="shared" si="63"/>
        <v>0</v>
      </c>
      <c r="R183" s="45">
        <f t="shared" si="64"/>
        <v>0.16666666666666666</v>
      </c>
      <c r="S183" s="45">
        <f t="shared" si="65"/>
        <v>0.16666666666666666</v>
      </c>
      <c r="T183" s="45">
        <f t="shared" si="66"/>
        <v>0.16666666666666666</v>
      </c>
    </row>
    <row r="184" spans="1:20" x14ac:dyDescent="0.3">
      <c r="A184">
        <f t="shared" si="47"/>
        <v>0</v>
      </c>
      <c r="B184">
        <f t="shared" si="48"/>
        <v>0</v>
      </c>
      <c r="C184">
        <f t="shared" si="49"/>
        <v>1</v>
      </c>
      <c r="D184">
        <f t="shared" si="50"/>
        <v>0</v>
      </c>
      <c r="E184">
        <f t="shared" si="51"/>
        <v>1</v>
      </c>
      <c r="F184">
        <f t="shared" si="52"/>
        <v>1</v>
      </c>
      <c r="G184">
        <f t="shared" si="53"/>
        <v>1</v>
      </c>
      <c r="H184">
        <f t="shared" si="54"/>
        <v>0</v>
      </c>
      <c r="I184">
        <f t="shared" si="55"/>
        <v>0</v>
      </c>
      <c r="J184">
        <f t="shared" si="56"/>
        <v>0</v>
      </c>
      <c r="K184" s="45">
        <f t="shared" si="57"/>
        <v>0</v>
      </c>
      <c r="L184" s="45">
        <f t="shared" si="58"/>
        <v>0</v>
      </c>
      <c r="M184" s="45">
        <f t="shared" si="59"/>
        <v>0.25</v>
      </c>
      <c r="N184" s="45">
        <f t="shared" si="60"/>
        <v>0</v>
      </c>
      <c r="O184" s="45">
        <f t="shared" si="61"/>
        <v>0.25</v>
      </c>
      <c r="P184" s="45">
        <f t="shared" si="62"/>
        <v>0.25</v>
      </c>
      <c r="Q184" s="45">
        <f t="shared" si="63"/>
        <v>0.25</v>
      </c>
      <c r="R184" s="45">
        <f t="shared" si="64"/>
        <v>0</v>
      </c>
      <c r="S184" s="45">
        <f t="shared" si="65"/>
        <v>0</v>
      </c>
      <c r="T184" s="45">
        <f t="shared" si="66"/>
        <v>0</v>
      </c>
    </row>
    <row r="185" spans="1:20" x14ac:dyDescent="0.3">
      <c r="A185">
        <f t="shared" si="47"/>
        <v>0</v>
      </c>
      <c r="B185">
        <f t="shared" si="48"/>
        <v>0</v>
      </c>
      <c r="C185">
        <f t="shared" si="49"/>
        <v>1</v>
      </c>
      <c r="D185">
        <f t="shared" si="50"/>
        <v>0</v>
      </c>
      <c r="E185">
        <f t="shared" si="51"/>
        <v>1</v>
      </c>
      <c r="F185">
        <f t="shared" si="52"/>
        <v>1</v>
      </c>
      <c r="G185">
        <f t="shared" si="53"/>
        <v>1</v>
      </c>
      <c r="H185">
        <f t="shared" si="54"/>
        <v>0</v>
      </c>
      <c r="I185">
        <f t="shared" si="55"/>
        <v>0</v>
      </c>
      <c r="J185">
        <f t="shared" si="56"/>
        <v>1</v>
      </c>
      <c r="K185" s="45">
        <f t="shared" si="57"/>
        <v>0</v>
      </c>
      <c r="L185" s="45">
        <f t="shared" si="58"/>
        <v>0</v>
      </c>
      <c r="M185" s="45">
        <f t="shared" si="59"/>
        <v>0.2</v>
      </c>
      <c r="N185" s="45">
        <f t="shared" si="60"/>
        <v>0</v>
      </c>
      <c r="O185" s="45">
        <f t="shared" si="61"/>
        <v>0.2</v>
      </c>
      <c r="P185" s="45">
        <f t="shared" si="62"/>
        <v>0.2</v>
      </c>
      <c r="Q185" s="45">
        <f t="shared" si="63"/>
        <v>0.2</v>
      </c>
      <c r="R185" s="45">
        <f t="shared" si="64"/>
        <v>0</v>
      </c>
      <c r="S185" s="45">
        <f t="shared" si="65"/>
        <v>0</v>
      </c>
      <c r="T185" s="45">
        <f t="shared" si="66"/>
        <v>0.2</v>
      </c>
    </row>
    <row r="186" spans="1:20" x14ac:dyDescent="0.3">
      <c r="A186">
        <f t="shared" si="47"/>
        <v>0</v>
      </c>
      <c r="B186">
        <f t="shared" si="48"/>
        <v>0</v>
      </c>
      <c r="C186">
        <f t="shared" si="49"/>
        <v>1</v>
      </c>
      <c r="D186">
        <f t="shared" si="50"/>
        <v>0</v>
      </c>
      <c r="E186">
        <f t="shared" si="51"/>
        <v>1</v>
      </c>
      <c r="F186">
        <f t="shared" si="52"/>
        <v>1</v>
      </c>
      <c r="G186">
        <f t="shared" si="53"/>
        <v>1</v>
      </c>
      <c r="H186">
        <f t="shared" si="54"/>
        <v>0</v>
      </c>
      <c r="I186">
        <f t="shared" si="55"/>
        <v>1</v>
      </c>
      <c r="J186">
        <f t="shared" si="56"/>
        <v>0</v>
      </c>
      <c r="K186" s="45">
        <f t="shared" si="57"/>
        <v>0</v>
      </c>
      <c r="L186" s="45">
        <f t="shared" si="58"/>
        <v>0</v>
      </c>
      <c r="M186" s="45">
        <f t="shared" si="59"/>
        <v>0.2</v>
      </c>
      <c r="N186" s="45">
        <f t="shared" si="60"/>
        <v>0</v>
      </c>
      <c r="O186" s="45">
        <f t="shared" si="61"/>
        <v>0.2</v>
      </c>
      <c r="P186" s="45">
        <f t="shared" si="62"/>
        <v>0.2</v>
      </c>
      <c r="Q186" s="45">
        <f t="shared" si="63"/>
        <v>0.2</v>
      </c>
      <c r="R186" s="45">
        <f t="shared" si="64"/>
        <v>0</v>
      </c>
      <c r="S186" s="45">
        <f t="shared" si="65"/>
        <v>0.2</v>
      </c>
      <c r="T186" s="45">
        <f t="shared" si="66"/>
        <v>0</v>
      </c>
    </row>
    <row r="187" spans="1:20" x14ac:dyDescent="0.3">
      <c r="A187">
        <f t="shared" si="47"/>
        <v>0</v>
      </c>
      <c r="B187">
        <f t="shared" si="48"/>
        <v>0</v>
      </c>
      <c r="C187">
        <f t="shared" si="49"/>
        <v>1</v>
      </c>
      <c r="D187">
        <f t="shared" si="50"/>
        <v>0</v>
      </c>
      <c r="E187">
        <f t="shared" si="51"/>
        <v>1</v>
      </c>
      <c r="F187">
        <f t="shared" si="52"/>
        <v>1</v>
      </c>
      <c r="G187">
        <f t="shared" si="53"/>
        <v>1</v>
      </c>
      <c r="H187">
        <f t="shared" si="54"/>
        <v>0</v>
      </c>
      <c r="I187">
        <f t="shared" si="55"/>
        <v>1</v>
      </c>
      <c r="J187">
        <f t="shared" si="56"/>
        <v>1</v>
      </c>
      <c r="K187" s="45">
        <f t="shared" si="57"/>
        <v>0</v>
      </c>
      <c r="L187" s="45">
        <f t="shared" si="58"/>
        <v>0</v>
      </c>
      <c r="M187" s="45">
        <f t="shared" si="59"/>
        <v>0.16666666666666666</v>
      </c>
      <c r="N187" s="45">
        <f t="shared" si="60"/>
        <v>0</v>
      </c>
      <c r="O187" s="45">
        <f t="shared" si="61"/>
        <v>0.16666666666666666</v>
      </c>
      <c r="P187" s="45">
        <f t="shared" si="62"/>
        <v>0.16666666666666666</v>
      </c>
      <c r="Q187" s="45">
        <f t="shared" si="63"/>
        <v>0.16666666666666666</v>
      </c>
      <c r="R187" s="45">
        <f t="shared" si="64"/>
        <v>0</v>
      </c>
      <c r="S187" s="45">
        <f t="shared" si="65"/>
        <v>0.16666666666666666</v>
      </c>
      <c r="T187" s="45">
        <f t="shared" si="66"/>
        <v>0.16666666666666666</v>
      </c>
    </row>
    <row r="188" spans="1:20" x14ac:dyDescent="0.3">
      <c r="A188">
        <f t="shared" si="47"/>
        <v>0</v>
      </c>
      <c r="B188">
        <f t="shared" si="48"/>
        <v>0</v>
      </c>
      <c r="C188">
        <f t="shared" si="49"/>
        <v>1</v>
      </c>
      <c r="D188">
        <f t="shared" si="50"/>
        <v>0</v>
      </c>
      <c r="E188">
        <f t="shared" si="51"/>
        <v>1</v>
      </c>
      <c r="F188">
        <f t="shared" si="52"/>
        <v>1</v>
      </c>
      <c r="G188">
        <f t="shared" si="53"/>
        <v>1</v>
      </c>
      <c r="H188">
        <f t="shared" si="54"/>
        <v>1</v>
      </c>
      <c r="I188">
        <f t="shared" si="55"/>
        <v>0</v>
      </c>
      <c r="J188">
        <f t="shared" si="56"/>
        <v>0</v>
      </c>
      <c r="K188" s="45">
        <f t="shared" si="57"/>
        <v>0</v>
      </c>
      <c r="L188" s="45">
        <f t="shared" si="58"/>
        <v>0</v>
      </c>
      <c r="M188" s="45">
        <f t="shared" si="59"/>
        <v>0.2</v>
      </c>
      <c r="N188" s="45">
        <f t="shared" si="60"/>
        <v>0</v>
      </c>
      <c r="O188" s="45">
        <f t="shared" si="61"/>
        <v>0.2</v>
      </c>
      <c r="P188" s="45">
        <f t="shared" si="62"/>
        <v>0.2</v>
      </c>
      <c r="Q188" s="45">
        <f t="shared" si="63"/>
        <v>0.2</v>
      </c>
      <c r="R188" s="45">
        <f t="shared" si="64"/>
        <v>0.2</v>
      </c>
      <c r="S188" s="45">
        <f t="shared" si="65"/>
        <v>0</v>
      </c>
      <c r="T188" s="45">
        <f t="shared" si="66"/>
        <v>0</v>
      </c>
    </row>
    <row r="189" spans="1:20" x14ac:dyDescent="0.3">
      <c r="A189">
        <f t="shared" si="47"/>
        <v>0</v>
      </c>
      <c r="B189">
        <f t="shared" si="48"/>
        <v>0</v>
      </c>
      <c r="C189">
        <f t="shared" si="49"/>
        <v>1</v>
      </c>
      <c r="D189">
        <f t="shared" si="50"/>
        <v>0</v>
      </c>
      <c r="E189">
        <f t="shared" si="51"/>
        <v>1</v>
      </c>
      <c r="F189">
        <f t="shared" si="52"/>
        <v>1</v>
      </c>
      <c r="G189">
        <f t="shared" si="53"/>
        <v>1</v>
      </c>
      <c r="H189">
        <f t="shared" si="54"/>
        <v>1</v>
      </c>
      <c r="I189">
        <f t="shared" si="55"/>
        <v>0</v>
      </c>
      <c r="J189">
        <f t="shared" si="56"/>
        <v>1</v>
      </c>
      <c r="K189" s="45">
        <f t="shared" si="57"/>
        <v>0</v>
      </c>
      <c r="L189" s="45">
        <f t="shared" si="58"/>
        <v>0</v>
      </c>
      <c r="M189" s="45">
        <f t="shared" si="59"/>
        <v>0.16666666666666666</v>
      </c>
      <c r="N189" s="45">
        <f t="shared" si="60"/>
        <v>0</v>
      </c>
      <c r="O189" s="45">
        <f t="shared" si="61"/>
        <v>0.16666666666666666</v>
      </c>
      <c r="P189" s="45">
        <f t="shared" si="62"/>
        <v>0.16666666666666666</v>
      </c>
      <c r="Q189" s="45">
        <f t="shared" si="63"/>
        <v>0.16666666666666666</v>
      </c>
      <c r="R189" s="45">
        <f t="shared" si="64"/>
        <v>0.16666666666666666</v>
      </c>
      <c r="S189" s="45">
        <f t="shared" si="65"/>
        <v>0</v>
      </c>
      <c r="T189" s="45">
        <f t="shared" si="66"/>
        <v>0.16666666666666666</v>
      </c>
    </row>
    <row r="190" spans="1:20" x14ac:dyDescent="0.3">
      <c r="A190">
        <f t="shared" si="47"/>
        <v>0</v>
      </c>
      <c r="B190">
        <f t="shared" si="48"/>
        <v>0</v>
      </c>
      <c r="C190">
        <f t="shared" si="49"/>
        <v>1</v>
      </c>
      <c r="D190">
        <f t="shared" si="50"/>
        <v>0</v>
      </c>
      <c r="E190">
        <f t="shared" si="51"/>
        <v>1</v>
      </c>
      <c r="F190">
        <f t="shared" si="52"/>
        <v>1</v>
      </c>
      <c r="G190">
        <f t="shared" si="53"/>
        <v>1</v>
      </c>
      <c r="H190">
        <f t="shared" si="54"/>
        <v>1</v>
      </c>
      <c r="I190">
        <f t="shared" si="55"/>
        <v>1</v>
      </c>
      <c r="J190">
        <f t="shared" si="56"/>
        <v>0</v>
      </c>
      <c r="K190" s="45">
        <f t="shared" si="57"/>
        <v>0</v>
      </c>
      <c r="L190" s="45">
        <f t="shared" si="58"/>
        <v>0</v>
      </c>
      <c r="M190" s="45">
        <f t="shared" si="59"/>
        <v>0.16666666666666666</v>
      </c>
      <c r="N190" s="45">
        <f t="shared" si="60"/>
        <v>0</v>
      </c>
      <c r="O190" s="45">
        <f t="shared" si="61"/>
        <v>0.16666666666666666</v>
      </c>
      <c r="P190" s="45">
        <f t="shared" si="62"/>
        <v>0.16666666666666666</v>
      </c>
      <c r="Q190" s="45">
        <f t="shared" si="63"/>
        <v>0.16666666666666666</v>
      </c>
      <c r="R190" s="45">
        <f t="shared" si="64"/>
        <v>0.16666666666666666</v>
      </c>
      <c r="S190" s="45">
        <f t="shared" si="65"/>
        <v>0.16666666666666666</v>
      </c>
      <c r="T190" s="45">
        <f t="shared" si="66"/>
        <v>0</v>
      </c>
    </row>
    <row r="191" spans="1:20" x14ac:dyDescent="0.3">
      <c r="A191">
        <f t="shared" si="47"/>
        <v>0</v>
      </c>
      <c r="B191">
        <f t="shared" si="48"/>
        <v>0</v>
      </c>
      <c r="C191">
        <f t="shared" si="49"/>
        <v>1</v>
      </c>
      <c r="D191">
        <f t="shared" si="50"/>
        <v>0</v>
      </c>
      <c r="E191">
        <f t="shared" si="51"/>
        <v>1</v>
      </c>
      <c r="F191">
        <f t="shared" si="52"/>
        <v>1</v>
      </c>
      <c r="G191">
        <f t="shared" si="53"/>
        <v>1</v>
      </c>
      <c r="H191">
        <f t="shared" si="54"/>
        <v>1</v>
      </c>
      <c r="I191">
        <f t="shared" si="55"/>
        <v>1</v>
      </c>
      <c r="J191">
        <f t="shared" si="56"/>
        <v>1</v>
      </c>
      <c r="K191" s="45">
        <f t="shared" si="57"/>
        <v>0</v>
      </c>
      <c r="L191" s="45">
        <f t="shared" si="58"/>
        <v>0</v>
      </c>
      <c r="M191" s="45">
        <f t="shared" si="59"/>
        <v>0.14285714285714285</v>
      </c>
      <c r="N191" s="45">
        <f t="shared" si="60"/>
        <v>0</v>
      </c>
      <c r="O191" s="45">
        <f t="shared" si="61"/>
        <v>0.14285714285714285</v>
      </c>
      <c r="P191" s="45">
        <f t="shared" si="62"/>
        <v>0.14285714285714285</v>
      </c>
      <c r="Q191" s="45">
        <f t="shared" si="63"/>
        <v>0.14285714285714285</v>
      </c>
      <c r="R191" s="45">
        <f t="shared" si="64"/>
        <v>0.14285714285714285</v>
      </c>
      <c r="S191" s="45">
        <f t="shared" si="65"/>
        <v>0.14285714285714285</v>
      </c>
      <c r="T191" s="45">
        <f t="shared" si="66"/>
        <v>0.14285714285714285</v>
      </c>
    </row>
    <row r="192" spans="1:20" x14ac:dyDescent="0.3">
      <c r="A192">
        <f t="shared" si="47"/>
        <v>0</v>
      </c>
      <c r="B192">
        <f t="shared" si="48"/>
        <v>0</v>
      </c>
      <c r="C192">
        <f t="shared" si="49"/>
        <v>1</v>
      </c>
      <c r="D192">
        <f t="shared" si="50"/>
        <v>1</v>
      </c>
      <c r="E192">
        <f t="shared" si="51"/>
        <v>0</v>
      </c>
      <c r="F192">
        <f t="shared" si="52"/>
        <v>0</v>
      </c>
      <c r="G192">
        <f t="shared" si="53"/>
        <v>0</v>
      </c>
      <c r="H192">
        <f t="shared" si="54"/>
        <v>0</v>
      </c>
      <c r="I192">
        <f t="shared" si="55"/>
        <v>0</v>
      </c>
      <c r="J192">
        <f t="shared" si="56"/>
        <v>0</v>
      </c>
      <c r="K192" s="45">
        <f t="shared" si="57"/>
        <v>0</v>
      </c>
      <c r="L192" s="45">
        <f t="shared" si="58"/>
        <v>0</v>
      </c>
      <c r="M192" s="45">
        <f t="shared" si="59"/>
        <v>0.5</v>
      </c>
      <c r="N192" s="45">
        <f t="shared" si="60"/>
        <v>0.5</v>
      </c>
      <c r="O192" s="45">
        <f t="shared" si="61"/>
        <v>0</v>
      </c>
      <c r="P192" s="45">
        <f t="shared" si="62"/>
        <v>0</v>
      </c>
      <c r="Q192" s="45">
        <f t="shared" si="63"/>
        <v>0</v>
      </c>
      <c r="R192" s="45">
        <f t="shared" si="64"/>
        <v>0</v>
      </c>
      <c r="S192" s="45">
        <f t="shared" si="65"/>
        <v>0</v>
      </c>
      <c r="T192" s="45">
        <f t="shared" si="66"/>
        <v>0</v>
      </c>
    </row>
    <row r="193" spans="1:20" x14ac:dyDescent="0.3">
      <c r="A193">
        <f t="shared" si="47"/>
        <v>0</v>
      </c>
      <c r="B193">
        <f t="shared" si="48"/>
        <v>0</v>
      </c>
      <c r="C193">
        <f t="shared" si="49"/>
        <v>1</v>
      </c>
      <c r="D193">
        <f t="shared" si="50"/>
        <v>1</v>
      </c>
      <c r="E193">
        <f t="shared" si="51"/>
        <v>0</v>
      </c>
      <c r="F193">
        <f t="shared" si="52"/>
        <v>0</v>
      </c>
      <c r="G193">
        <f t="shared" si="53"/>
        <v>0</v>
      </c>
      <c r="H193">
        <f t="shared" si="54"/>
        <v>0</v>
      </c>
      <c r="I193">
        <f t="shared" si="55"/>
        <v>0</v>
      </c>
      <c r="J193">
        <f t="shared" si="56"/>
        <v>1</v>
      </c>
      <c r="K193" s="45">
        <f t="shared" si="57"/>
        <v>0</v>
      </c>
      <c r="L193" s="45">
        <f t="shared" si="58"/>
        <v>0</v>
      </c>
      <c r="M193" s="45">
        <f t="shared" si="59"/>
        <v>0.33333333333333331</v>
      </c>
      <c r="N193" s="45">
        <f t="shared" si="60"/>
        <v>0.33333333333333331</v>
      </c>
      <c r="O193" s="45">
        <f t="shared" si="61"/>
        <v>0</v>
      </c>
      <c r="P193" s="45">
        <f t="shared" si="62"/>
        <v>0</v>
      </c>
      <c r="Q193" s="45">
        <f t="shared" si="63"/>
        <v>0</v>
      </c>
      <c r="R193" s="45">
        <f t="shared" si="64"/>
        <v>0</v>
      </c>
      <c r="S193" s="45">
        <f t="shared" si="65"/>
        <v>0</v>
      </c>
      <c r="T193" s="45">
        <f t="shared" si="66"/>
        <v>0.33333333333333331</v>
      </c>
    </row>
    <row r="194" spans="1:20" x14ac:dyDescent="0.3">
      <c r="A194">
        <f t="shared" ref="A194:A257" si="67">INT( MOD(ROW()+0,1024)/512)</f>
        <v>0</v>
      </c>
      <c r="B194">
        <f t="shared" ref="B194:B257" si="68">INT( MOD(ROW()+0,512)/256)</f>
        <v>0</v>
      </c>
      <c r="C194">
        <f t="shared" ref="C194:C257" si="69">INT( MOD(ROW()+0,256)/128)</f>
        <v>1</v>
      </c>
      <c r="D194">
        <f t="shared" ref="D194:D257" si="70">INT( MOD(ROW()+0,128)/64)</f>
        <v>1</v>
      </c>
      <c r="E194">
        <f t="shared" ref="E194:E257" si="71">INT( MOD(ROW()+0,64)/32)</f>
        <v>0</v>
      </c>
      <c r="F194">
        <f t="shared" ref="F194:F257" si="72">INT( MOD(ROW()+0,32)/16)</f>
        <v>0</v>
      </c>
      <c r="G194">
        <f t="shared" ref="G194:G257" si="73">INT( MOD(ROW()+0,16)/8)</f>
        <v>0</v>
      </c>
      <c r="H194">
        <f t="shared" ref="H194:H257" si="74">INT( MOD(ROW()+0,8)/4)</f>
        <v>0</v>
      </c>
      <c r="I194">
        <f t="shared" ref="I194:I257" si="75">INT( MOD(ROW()+0,4)/2)</f>
        <v>1</v>
      </c>
      <c r="J194">
        <f t="shared" ref="J194:J257" si="76">INT( MOD(ROW()+0,2)/1)</f>
        <v>0</v>
      </c>
      <c r="K194" s="45">
        <f t="shared" ref="K194:K257" si="77">A194/SUM($A194:$J194)</f>
        <v>0</v>
      </c>
      <c r="L194" s="45">
        <f t="shared" ref="L194:L257" si="78">B194/SUM($A194:$J194)</f>
        <v>0</v>
      </c>
      <c r="M194" s="45">
        <f t="shared" ref="M194:M257" si="79">C194/SUM($A194:$J194)</f>
        <v>0.33333333333333331</v>
      </c>
      <c r="N194" s="45">
        <f t="shared" ref="N194:N257" si="80">D194/SUM($A194:$J194)</f>
        <v>0.33333333333333331</v>
      </c>
      <c r="O194" s="45">
        <f t="shared" ref="O194:O257" si="81">E194/SUM($A194:$J194)</f>
        <v>0</v>
      </c>
      <c r="P194" s="45">
        <f t="shared" ref="P194:P257" si="82">F194/SUM($A194:$J194)</f>
        <v>0</v>
      </c>
      <c r="Q194" s="45">
        <f t="shared" ref="Q194:Q257" si="83">G194/SUM($A194:$J194)</f>
        <v>0</v>
      </c>
      <c r="R194" s="45">
        <f t="shared" ref="R194:R257" si="84">H194/SUM($A194:$J194)</f>
        <v>0</v>
      </c>
      <c r="S194" s="45">
        <f t="shared" ref="S194:S257" si="85">I194/SUM($A194:$J194)</f>
        <v>0.33333333333333331</v>
      </c>
      <c r="T194" s="45">
        <f t="shared" ref="T194:T257" si="86">J194/SUM($A194:$J194)</f>
        <v>0</v>
      </c>
    </row>
    <row r="195" spans="1:20" x14ac:dyDescent="0.3">
      <c r="A195">
        <f t="shared" si="67"/>
        <v>0</v>
      </c>
      <c r="B195">
        <f t="shared" si="68"/>
        <v>0</v>
      </c>
      <c r="C195">
        <f t="shared" si="69"/>
        <v>1</v>
      </c>
      <c r="D195">
        <f t="shared" si="70"/>
        <v>1</v>
      </c>
      <c r="E195">
        <f t="shared" si="71"/>
        <v>0</v>
      </c>
      <c r="F195">
        <f t="shared" si="72"/>
        <v>0</v>
      </c>
      <c r="G195">
        <f t="shared" si="73"/>
        <v>0</v>
      </c>
      <c r="H195">
        <f t="shared" si="74"/>
        <v>0</v>
      </c>
      <c r="I195">
        <f t="shared" si="75"/>
        <v>1</v>
      </c>
      <c r="J195">
        <f t="shared" si="76"/>
        <v>1</v>
      </c>
      <c r="K195" s="45">
        <f t="shared" si="77"/>
        <v>0</v>
      </c>
      <c r="L195" s="45">
        <f t="shared" si="78"/>
        <v>0</v>
      </c>
      <c r="M195" s="45">
        <f t="shared" si="79"/>
        <v>0.25</v>
      </c>
      <c r="N195" s="45">
        <f t="shared" si="80"/>
        <v>0.25</v>
      </c>
      <c r="O195" s="45">
        <f t="shared" si="81"/>
        <v>0</v>
      </c>
      <c r="P195" s="45">
        <f t="shared" si="82"/>
        <v>0</v>
      </c>
      <c r="Q195" s="45">
        <f t="shared" si="83"/>
        <v>0</v>
      </c>
      <c r="R195" s="45">
        <f t="shared" si="84"/>
        <v>0</v>
      </c>
      <c r="S195" s="45">
        <f t="shared" si="85"/>
        <v>0.25</v>
      </c>
      <c r="T195" s="45">
        <f t="shared" si="86"/>
        <v>0.25</v>
      </c>
    </row>
    <row r="196" spans="1:20" x14ac:dyDescent="0.3">
      <c r="A196">
        <f t="shared" si="67"/>
        <v>0</v>
      </c>
      <c r="B196">
        <f t="shared" si="68"/>
        <v>0</v>
      </c>
      <c r="C196">
        <f t="shared" si="69"/>
        <v>1</v>
      </c>
      <c r="D196">
        <f t="shared" si="70"/>
        <v>1</v>
      </c>
      <c r="E196">
        <f t="shared" si="71"/>
        <v>0</v>
      </c>
      <c r="F196">
        <f t="shared" si="72"/>
        <v>0</v>
      </c>
      <c r="G196">
        <f t="shared" si="73"/>
        <v>0</v>
      </c>
      <c r="H196">
        <f t="shared" si="74"/>
        <v>1</v>
      </c>
      <c r="I196">
        <f t="shared" si="75"/>
        <v>0</v>
      </c>
      <c r="J196">
        <f t="shared" si="76"/>
        <v>0</v>
      </c>
      <c r="K196" s="45">
        <f t="shared" si="77"/>
        <v>0</v>
      </c>
      <c r="L196" s="45">
        <f t="shared" si="78"/>
        <v>0</v>
      </c>
      <c r="M196" s="45">
        <f t="shared" si="79"/>
        <v>0.33333333333333331</v>
      </c>
      <c r="N196" s="45">
        <f t="shared" si="80"/>
        <v>0.33333333333333331</v>
      </c>
      <c r="O196" s="45">
        <f t="shared" si="81"/>
        <v>0</v>
      </c>
      <c r="P196" s="45">
        <f t="shared" si="82"/>
        <v>0</v>
      </c>
      <c r="Q196" s="45">
        <f t="shared" si="83"/>
        <v>0</v>
      </c>
      <c r="R196" s="45">
        <f t="shared" si="84"/>
        <v>0.33333333333333331</v>
      </c>
      <c r="S196" s="45">
        <f t="shared" si="85"/>
        <v>0</v>
      </c>
      <c r="T196" s="45">
        <f t="shared" si="86"/>
        <v>0</v>
      </c>
    </row>
    <row r="197" spans="1:20" x14ac:dyDescent="0.3">
      <c r="A197">
        <f t="shared" si="67"/>
        <v>0</v>
      </c>
      <c r="B197">
        <f t="shared" si="68"/>
        <v>0</v>
      </c>
      <c r="C197">
        <f t="shared" si="69"/>
        <v>1</v>
      </c>
      <c r="D197">
        <f t="shared" si="70"/>
        <v>1</v>
      </c>
      <c r="E197">
        <f t="shared" si="71"/>
        <v>0</v>
      </c>
      <c r="F197">
        <f t="shared" si="72"/>
        <v>0</v>
      </c>
      <c r="G197">
        <f t="shared" si="73"/>
        <v>0</v>
      </c>
      <c r="H197">
        <f t="shared" si="74"/>
        <v>1</v>
      </c>
      <c r="I197">
        <f t="shared" si="75"/>
        <v>0</v>
      </c>
      <c r="J197">
        <f t="shared" si="76"/>
        <v>1</v>
      </c>
      <c r="K197" s="45">
        <f t="shared" si="77"/>
        <v>0</v>
      </c>
      <c r="L197" s="45">
        <f t="shared" si="78"/>
        <v>0</v>
      </c>
      <c r="M197" s="45">
        <f t="shared" si="79"/>
        <v>0.25</v>
      </c>
      <c r="N197" s="45">
        <f t="shared" si="80"/>
        <v>0.25</v>
      </c>
      <c r="O197" s="45">
        <f t="shared" si="81"/>
        <v>0</v>
      </c>
      <c r="P197" s="45">
        <f t="shared" si="82"/>
        <v>0</v>
      </c>
      <c r="Q197" s="45">
        <f t="shared" si="83"/>
        <v>0</v>
      </c>
      <c r="R197" s="45">
        <f t="shared" si="84"/>
        <v>0.25</v>
      </c>
      <c r="S197" s="45">
        <f t="shared" si="85"/>
        <v>0</v>
      </c>
      <c r="T197" s="45">
        <f t="shared" si="86"/>
        <v>0.25</v>
      </c>
    </row>
    <row r="198" spans="1:20" x14ac:dyDescent="0.3">
      <c r="A198">
        <f t="shared" si="67"/>
        <v>0</v>
      </c>
      <c r="B198">
        <f t="shared" si="68"/>
        <v>0</v>
      </c>
      <c r="C198">
        <f t="shared" si="69"/>
        <v>1</v>
      </c>
      <c r="D198">
        <f t="shared" si="70"/>
        <v>1</v>
      </c>
      <c r="E198">
        <f t="shared" si="71"/>
        <v>0</v>
      </c>
      <c r="F198">
        <f t="shared" si="72"/>
        <v>0</v>
      </c>
      <c r="G198">
        <f t="shared" si="73"/>
        <v>0</v>
      </c>
      <c r="H198">
        <f t="shared" si="74"/>
        <v>1</v>
      </c>
      <c r="I198">
        <f t="shared" si="75"/>
        <v>1</v>
      </c>
      <c r="J198">
        <f t="shared" si="76"/>
        <v>0</v>
      </c>
      <c r="K198" s="45">
        <f t="shared" si="77"/>
        <v>0</v>
      </c>
      <c r="L198" s="45">
        <f t="shared" si="78"/>
        <v>0</v>
      </c>
      <c r="M198" s="45">
        <f t="shared" si="79"/>
        <v>0.25</v>
      </c>
      <c r="N198" s="45">
        <f t="shared" si="80"/>
        <v>0.25</v>
      </c>
      <c r="O198" s="45">
        <f t="shared" si="81"/>
        <v>0</v>
      </c>
      <c r="P198" s="45">
        <f t="shared" si="82"/>
        <v>0</v>
      </c>
      <c r="Q198" s="45">
        <f t="shared" si="83"/>
        <v>0</v>
      </c>
      <c r="R198" s="45">
        <f t="shared" si="84"/>
        <v>0.25</v>
      </c>
      <c r="S198" s="45">
        <f t="shared" si="85"/>
        <v>0.25</v>
      </c>
      <c r="T198" s="45">
        <f t="shared" si="86"/>
        <v>0</v>
      </c>
    </row>
    <row r="199" spans="1:20" x14ac:dyDescent="0.3">
      <c r="A199">
        <f t="shared" si="67"/>
        <v>0</v>
      </c>
      <c r="B199">
        <f t="shared" si="68"/>
        <v>0</v>
      </c>
      <c r="C199">
        <f t="shared" si="69"/>
        <v>1</v>
      </c>
      <c r="D199">
        <f t="shared" si="70"/>
        <v>1</v>
      </c>
      <c r="E199">
        <f t="shared" si="71"/>
        <v>0</v>
      </c>
      <c r="F199">
        <f t="shared" si="72"/>
        <v>0</v>
      </c>
      <c r="G199">
        <f t="shared" si="73"/>
        <v>0</v>
      </c>
      <c r="H199">
        <f t="shared" si="74"/>
        <v>1</v>
      </c>
      <c r="I199">
        <f t="shared" si="75"/>
        <v>1</v>
      </c>
      <c r="J199">
        <f t="shared" si="76"/>
        <v>1</v>
      </c>
      <c r="K199" s="45">
        <f t="shared" si="77"/>
        <v>0</v>
      </c>
      <c r="L199" s="45">
        <f t="shared" si="78"/>
        <v>0</v>
      </c>
      <c r="M199" s="45">
        <f t="shared" si="79"/>
        <v>0.2</v>
      </c>
      <c r="N199" s="45">
        <f t="shared" si="80"/>
        <v>0.2</v>
      </c>
      <c r="O199" s="45">
        <f t="shared" si="81"/>
        <v>0</v>
      </c>
      <c r="P199" s="45">
        <f t="shared" si="82"/>
        <v>0</v>
      </c>
      <c r="Q199" s="45">
        <f t="shared" si="83"/>
        <v>0</v>
      </c>
      <c r="R199" s="45">
        <f t="shared" si="84"/>
        <v>0.2</v>
      </c>
      <c r="S199" s="45">
        <f t="shared" si="85"/>
        <v>0.2</v>
      </c>
      <c r="T199" s="45">
        <f t="shared" si="86"/>
        <v>0.2</v>
      </c>
    </row>
    <row r="200" spans="1:20" x14ac:dyDescent="0.3">
      <c r="A200">
        <f t="shared" si="67"/>
        <v>0</v>
      </c>
      <c r="B200">
        <f t="shared" si="68"/>
        <v>0</v>
      </c>
      <c r="C200">
        <f t="shared" si="69"/>
        <v>1</v>
      </c>
      <c r="D200">
        <f t="shared" si="70"/>
        <v>1</v>
      </c>
      <c r="E200">
        <f t="shared" si="71"/>
        <v>0</v>
      </c>
      <c r="F200">
        <f t="shared" si="72"/>
        <v>0</v>
      </c>
      <c r="G200">
        <f t="shared" si="73"/>
        <v>1</v>
      </c>
      <c r="H200">
        <f t="shared" si="74"/>
        <v>0</v>
      </c>
      <c r="I200">
        <f t="shared" si="75"/>
        <v>0</v>
      </c>
      <c r="J200">
        <f t="shared" si="76"/>
        <v>0</v>
      </c>
      <c r="K200" s="45">
        <f t="shared" si="77"/>
        <v>0</v>
      </c>
      <c r="L200" s="45">
        <f t="shared" si="78"/>
        <v>0</v>
      </c>
      <c r="M200" s="45">
        <f t="shared" si="79"/>
        <v>0.33333333333333331</v>
      </c>
      <c r="N200" s="45">
        <f t="shared" si="80"/>
        <v>0.33333333333333331</v>
      </c>
      <c r="O200" s="45">
        <f t="shared" si="81"/>
        <v>0</v>
      </c>
      <c r="P200" s="45">
        <f t="shared" si="82"/>
        <v>0</v>
      </c>
      <c r="Q200" s="45">
        <f t="shared" si="83"/>
        <v>0.33333333333333331</v>
      </c>
      <c r="R200" s="45">
        <f t="shared" si="84"/>
        <v>0</v>
      </c>
      <c r="S200" s="45">
        <f t="shared" si="85"/>
        <v>0</v>
      </c>
      <c r="T200" s="45">
        <f t="shared" si="86"/>
        <v>0</v>
      </c>
    </row>
    <row r="201" spans="1:20" x14ac:dyDescent="0.3">
      <c r="A201">
        <f t="shared" si="67"/>
        <v>0</v>
      </c>
      <c r="B201">
        <f t="shared" si="68"/>
        <v>0</v>
      </c>
      <c r="C201">
        <f t="shared" si="69"/>
        <v>1</v>
      </c>
      <c r="D201">
        <f t="shared" si="70"/>
        <v>1</v>
      </c>
      <c r="E201">
        <f t="shared" si="71"/>
        <v>0</v>
      </c>
      <c r="F201">
        <f t="shared" si="72"/>
        <v>0</v>
      </c>
      <c r="G201">
        <f t="shared" si="73"/>
        <v>1</v>
      </c>
      <c r="H201">
        <f t="shared" si="74"/>
        <v>0</v>
      </c>
      <c r="I201">
        <f t="shared" si="75"/>
        <v>0</v>
      </c>
      <c r="J201">
        <f t="shared" si="76"/>
        <v>1</v>
      </c>
      <c r="K201" s="45">
        <f t="shared" si="77"/>
        <v>0</v>
      </c>
      <c r="L201" s="45">
        <f t="shared" si="78"/>
        <v>0</v>
      </c>
      <c r="M201" s="45">
        <f t="shared" si="79"/>
        <v>0.25</v>
      </c>
      <c r="N201" s="45">
        <f t="shared" si="80"/>
        <v>0.25</v>
      </c>
      <c r="O201" s="45">
        <f t="shared" si="81"/>
        <v>0</v>
      </c>
      <c r="P201" s="45">
        <f t="shared" si="82"/>
        <v>0</v>
      </c>
      <c r="Q201" s="45">
        <f t="shared" si="83"/>
        <v>0.25</v>
      </c>
      <c r="R201" s="45">
        <f t="shared" si="84"/>
        <v>0</v>
      </c>
      <c r="S201" s="45">
        <f t="shared" si="85"/>
        <v>0</v>
      </c>
      <c r="T201" s="45">
        <f t="shared" si="86"/>
        <v>0.25</v>
      </c>
    </row>
    <row r="202" spans="1:20" x14ac:dyDescent="0.3">
      <c r="A202">
        <f t="shared" si="67"/>
        <v>0</v>
      </c>
      <c r="B202">
        <f t="shared" si="68"/>
        <v>0</v>
      </c>
      <c r="C202">
        <f t="shared" si="69"/>
        <v>1</v>
      </c>
      <c r="D202">
        <f t="shared" si="70"/>
        <v>1</v>
      </c>
      <c r="E202">
        <f t="shared" si="71"/>
        <v>0</v>
      </c>
      <c r="F202">
        <f t="shared" si="72"/>
        <v>0</v>
      </c>
      <c r="G202">
        <f t="shared" si="73"/>
        <v>1</v>
      </c>
      <c r="H202">
        <f t="shared" si="74"/>
        <v>0</v>
      </c>
      <c r="I202">
        <f t="shared" si="75"/>
        <v>1</v>
      </c>
      <c r="J202">
        <f t="shared" si="76"/>
        <v>0</v>
      </c>
      <c r="K202" s="45">
        <f t="shared" si="77"/>
        <v>0</v>
      </c>
      <c r="L202" s="45">
        <f t="shared" si="78"/>
        <v>0</v>
      </c>
      <c r="M202" s="45">
        <f t="shared" si="79"/>
        <v>0.25</v>
      </c>
      <c r="N202" s="45">
        <f t="shared" si="80"/>
        <v>0.25</v>
      </c>
      <c r="O202" s="45">
        <f t="shared" si="81"/>
        <v>0</v>
      </c>
      <c r="P202" s="45">
        <f t="shared" si="82"/>
        <v>0</v>
      </c>
      <c r="Q202" s="45">
        <f t="shared" si="83"/>
        <v>0.25</v>
      </c>
      <c r="R202" s="45">
        <f t="shared" si="84"/>
        <v>0</v>
      </c>
      <c r="S202" s="45">
        <f t="shared" si="85"/>
        <v>0.25</v>
      </c>
      <c r="T202" s="45">
        <f t="shared" si="86"/>
        <v>0</v>
      </c>
    </row>
    <row r="203" spans="1:20" x14ac:dyDescent="0.3">
      <c r="A203">
        <f t="shared" si="67"/>
        <v>0</v>
      </c>
      <c r="B203">
        <f t="shared" si="68"/>
        <v>0</v>
      </c>
      <c r="C203">
        <f t="shared" si="69"/>
        <v>1</v>
      </c>
      <c r="D203">
        <f t="shared" si="70"/>
        <v>1</v>
      </c>
      <c r="E203">
        <f t="shared" si="71"/>
        <v>0</v>
      </c>
      <c r="F203">
        <f t="shared" si="72"/>
        <v>0</v>
      </c>
      <c r="G203">
        <f t="shared" si="73"/>
        <v>1</v>
      </c>
      <c r="H203">
        <f t="shared" si="74"/>
        <v>0</v>
      </c>
      <c r="I203">
        <f t="shared" si="75"/>
        <v>1</v>
      </c>
      <c r="J203">
        <f t="shared" si="76"/>
        <v>1</v>
      </c>
      <c r="K203" s="45">
        <f t="shared" si="77"/>
        <v>0</v>
      </c>
      <c r="L203" s="45">
        <f t="shared" si="78"/>
        <v>0</v>
      </c>
      <c r="M203" s="45">
        <f t="shared" si="79"/>
        <v>0.2</v>
      </c>
      <c r="N203" s="45">
        <f t="shared" si="80"/>
        <v>0.2</v>
      </c>
      <c r="O203" s="45">
        <f t="shared" si="81"/>
        <v>0</v>
      </c>
      <c r="P203" s="45">
        <f t="shared" si="82"/>
        <v>0</v>
      </c>
      <c r="Q203" s="45">
        <f t="shared" si="83"/>
        <v>0.2</v>
      </c>
      <c r="R203" s="45">
        <f t="shared" si="84"/>
        <v>0</v>
      </c>
      <c r="S203" s="45">
        <f t="shared" si="85"/>
        <v>0.2</v>
      </c>
      <c r="T203" s="45">
        <f t="shared" si="86"/>
        <v>0.2</v>
      </c>
    </row>
    <row r="204" spans="1:20" x14ac:dyDescent="0.3">
      <c r="A204">
        <f t="shared" si="67"/>
        <v>0</v>
      </c>
      <c r="B204">
        <f t="shared" si="68"/>
        <v>0</v>
      </c>
      <c r="C204">
        <f t="shared" si="69"/>
        <v>1</v>
      </c>
      <c r="D204">
        <f t="shared" si="70"/>
        <v>1</v>
      </c>
      <c r="E204">
        <f t="shared" si="71"/>
        <v>0</v>
      </c>
      <c r="F204">
        <f t="shared" si="72"/>
        <v>0</v>
      </c>
      <c r="G204">
        <f t="shared" si="73"/>
        <v>1</v>
      </c>
      <c r="H204">
        <f t="shared" si="74"/>
        <v>1</v>
      </c>
      <c r="I204">
        <f t="shared" si="75"/>
        <v>0</v>
      </c>
      <c r="J204">
        <f t="shared" si="76"/>
        <v>0</v>
      </c>
      <c r="K204" s="45">
        <f t="shared" si="77"/>
        <v>0</v>
      </c>
      <c r="L204" s="45">
        <f t="shared" si="78"/>
        <v>0</v>
      </c>
      <c r="M204" s="45">
        <f t="shared" si="79"/>
        <v>0.25</v>
      </c>
      <c r="N204" s="45">
        <f t="shared" si="80"/>
        <v>0.25</v>
      </c>
      <c r="O204" s="45">
        <f t="shared" si="81"/>
        <v>0</v>
      </c>
      <c r="P204" s="45">
        <f t="shared" si="82"/>
        <v>0</v>
      </c>
      <c r="Q204" s="45">
        <f t="shared" si="83"/>
        <v>0.25</v>
      </c>
      <c r="R204" s="45">
        <f t="shared" si="84"/>
        <v>0.25</v>
      </c>
      <c r="S204" s="45">
        <f t="shared" si="85"/>
        <v>0</v>
      </c>
      <c r="T204" s="45">
        <f t="shared" si="86"/>
        <v>0</v>
      </c>
    </row>
    <row r="205" spans="1:20" x14ac:dyDescent="0.3">
      <c r="A205">
        <f t="shared" si="67"/>
        <v>0</v>
      </c>
      <c r="B205">
        <f t="shared" si="68"/>
        <v>0</v>
      </c>
      <c r="C205">
        <f t="shared" si="69"/>
        <v>1</v>
      </c>
      <c r="D205">
        <f t="shared" si="70"/>
        <v>1</v>
      </c>
      <c r="E205">
        <f t="shared" si="71"/>
        <v>0</v>
      </c>
      <c r="F205">
        <f t="shared" si="72"/>
        <v>0</v>
      </c>
      <c r="G205">
        <f t="shared" si="73"/>
        <v>1</v>
      </c>
      <c r="H205">
        <f t="shared" si="74"/>
        <v>1</v>
      </c>
      <c r="I205">
        <f t="shared" si="75"/>
        <v>0</v>
      </c>
      <c r="J205">
        <f t="shared" si="76"/>
        <v>1</v>
      </c>
      <c r="K205" s="45">
        <f t="shared" si="77"/>
        <v>0</v>
      </c>
      <c r="L205" s="45">
        <f t="shared" si="78"/>
        <v>0</v>
      </c>
      <c r="M205" s="45">
        <f t="shared" si="79"/>
        <v>0.2</v>
      </c>
      <c r="N205" s="45">
        <f t="shared" si="80"/>
        <v>0.2</v>
      </c>
      <c r="O205" s="45">
        <f t="shared" si="81"/>
        <v>0</v>
      </c>
      <c r="P205" s="45">
        <f t="shared" si="82"/>
        <v>0</v>
      </c>
      <c r="Q205" s="45">
        <f t="shared" si="83"/>
        <v>0.2</v>
      </c>
      <c r="R205" s="45">
        <f t="shared" si="84"/>
        <v>0.2</v>
      </c>
      <c r="S205" s="45">
        <f t="shared" si="85"/>
        <v>0</v>
      </c>
      <c r="T205" s="45">
        <f t="shared" si="86"/>
        <v>0.2</v>
      </c>
    </row>
    <row r="206" spans="1:20" x14ac:dyDescent="0.3">
      <c r="A206">
        <f t="shared" si="67"/>
        <v>0</v>
      </c>
      <c r="B206">
        <f t="shared" si="68"/>
        <v>0</v>
      </c>
      <c r="C206">
        <f t="shared" si="69"/>
        <v>1</v>
      </c>
      <c r="D206">
        <f t="shared" si="70"/>
        <v>1</v>
      </c>
      <c r="E206">
        <f t="shared" si="71"/>
        <v>0</v>
      </c>
      <c r="F206">
        <f t="shared" si="72"/>
        <v>0</v>
      </c>
      <c r="G206">
        <f t="shared" si="73"/>
        <v>1</v>
      </c>
      <c r="H206">
        <f t="shared" si="74"/>
        <v>1</v>
      </c>
      <c r="I206">
        <f t="shared" si="75"/>
        <v>1</v>
      </c>
      <c r="J206">
        <f t="shared" si="76"/>
        <v>0</v>
      </c>
      <c r="K206" s="45">
        <f t="shared" si="77"/>
        <v>0</v>
      </c>
      <c r="L206" s="45">
        <f t="shared" si="78"/>
        <v>0</v>
      </c>
      <c r="M206" s="45">
        <f t="shared" si="79"/>
        <v>0.2</v>
      </c>
      <c r="N206" s="45">
        <f t="shared" si="80"/>
        <v>0.2</v>
      </c>
      <c r="O206" s="45">
        <f t="shared" si="81"/>
        <v>0</v>
      </c>
      <c r="P206" s="45">
        <f t="shared" si="82"/>
        <v>0</v>
      </c>
      <c r="Q206" s="45">
        <f t="shared" si="83"/>
        <v>0.2</v>
      </c>
      <c r="R206" s="45">
        <f t="shared" si="84"/>
        <v>0.2</v>
      </c>
      <c r="S206" s="45">
        <f t="shared" si="85"/>
        <v>0.2</v>
      </c>
      <c r="T206" s="45">
        <f t="shared" si="86"/>
        <v>0</v>
      </c>
    </row>
    <row r="207" spans="1:20" x14ac:dyDescent="0.3">
      <c r="A207">
        <f t="shared" si="67"/>
        <v>0</v>
      </c>
      <c r="B207">
        <f t="shared" si="68"/>
        <v>0</v>
      </c>
      <c r="C207">
        <f t="shared" si="69"/>
        <v>1</v>
      </c>
      <c r="D207">
        <f t="shared" si="70"/>
        <v>1</v>
      </c>
      <c r="E207">
        <f t="shared" si="71"/>
        <v>0</v>
      </c>
      <c r="F207">
        <f t="shared" si="72"/>
        <v>0</v>
      </c>
      <c r="G207">
        <f t="shared" si="73"/>
        <v>1</v>
      </c>
      <c r="H207">
        <f t="shared" si="74"/>
        <v>1</v>
      </c>
      <c r="I207">
        <f t="shared" si="75"/>
        <v>1</v>
      </c>
      <c r="J207">
        <f t="shared" si="76"/>
        <v>1</v>
      </c>
      <c r="K207" s="45">
        <f t="shared" si="77"/>
        <v>0</v>
      </c>
      <c r="L207" s="45">
        <f t="shared" si="78"/>
        <v>0</v>
      </c>
      <c r="M207" s="45">
        <f t="shared" si="79"/>
        <v>0.16666666666666666</v>
      </c>
      <c r="N207" s="45">
        <f t="shared" si="80"/>
        <v>0.16666666666666666</v>
      </c>
      <c r="O207" s="45">
        <f t="shared" si="81"/>
        <v>0</v>
      </c>
      <c r="P207" s="45">
        <f t="shared" si="82"/>
        <v>0</v>
      </c>
      <c r="Q207" s="45">
        <f t="shared" si="83"/>
        <v>0.16666666666666666</v>
      </c>
      <c r="R207" s="45">
        <f t="shared" si="84"/>
        <v>0.16666666666666666</v>
      </c>
      <c r="S207" s="45">
        <f t="shared" si="85"/>
        <v>0.16666666666666666</v>
      </c>
      <c r="T207" s="45">
        <f t="shared" si="86"/>
        <v>0.16666666666666666</v>
      </c>
    </row>
    <row r="208" spans="1:20" x14ac:dyDescent="0.3">
      <c r="A208">
        <f t="shared" si="67"/>
        <v>0</v>
      </c>
      <c r="B208">
        <f t="shared" si="68"/>
        <v>0</v>
      </c>
      <c r="C208">
        <f t="shared" si="69"/>
        <v>1</v>
      </c>
      <c r="D208">
        <f t="shared" si="70"/>
        <v>1</v>
      </c>
      <c r="E208">
        <f t="shared" si="71"/>
        <v>0</v>
      </c>
      <c r="F208">
        <f t="shared" si="72"/>
        <v>1</v>
      </c>
      <c r="G208">
        <f t="shared" si="73"/>
        <v>0</v>
      </c>
      <c r="H208">
        <f t="shared" si="74"/>
        <v>0</v>
      </c>
      <c r="I208">
        <f t="shared" si="75"/>
        <v>0</v>
      </c>
      <c r="J208">
        <f t="shared" si="76"/>
        <v>0</v>
      </c>
      <c r="K208" s="45">
        <f t="shared" si="77"/>
        <v>0</v>
      </c>
      <c r="L208" s="45">
        <f t="shared" si="78"/>
        <v>0</v>
      </c>
      <c r="M208" s="45">
        <f t="shared" si="79"/>
        <v>0.33333333333333331</v>
      </c>
      <c r="N208" s="45">
        <f t="shared" si="80"/>
        <v>0.33333333333333331</v>
      </c>
      <c r="O208" s="45">
        <f t="shared" si="81"/>
        <v>0</v>
      </c>
      <c r="P208" s="45">
        <f t="shared" si="82"/>
        <v>0.33333333333333331</v>
      </c>
      <c r="Q208" s="45">
        <f t="shared" si="83"/>
        <v>0</v>
      </c>
      <c r="R208" s="45">
        <f t="shared" si="84"/>
        <v>0</v>
      </c>
      <c r="S208" s="45">
        <f t="shared" si="85"/>
        <v>0</v>
      </c>
      <c r="T208" s="45">
        <f t="shared" si="86"/>
        <v>0</v>
      </c>
    </row>
    <row r="209" spans="1:20" x14ac:dyDescent="0.3">
      <c r="A209">
        <f t="shared" si="67"/>
        <v>0</v>
      </c>
      <c r="B209">
        <f t="shared" si="68"/>
        <v>0</v>
      </c>
      <c r="C209">
        <f t="shared" si="69"/>
        <v>1</v>
      </c>
      <c r="D209">
        <f t="shared" si="70"/>
        <v>1</v>
      </c>
      <c r="E209">
        <f t="shared" si="71"/>
        <v>0</v>
      </c>
      <c r="F209">
        <f t="shared" si="72"/>
        <v>1</v>
      </c>
      <c r="G209">
        <f t="shared" si="73"/>
        <v>0</v>
      </c>
      <c r="H209">
        <f t="shared" si="74"/>
        <v>0</v>
      </c>
      <c r="I209">
        <f t="shared" si="75"/>
        <v>0</v>
      </c>
      <c r="J209">
        <f t="shared" si="76"/>
        <v>1</v>
      </c>
      <c r="K209" s="45">
        <f t="shared" si="77"/>
        <v>0</v>
      </c>
      <c r="L209" s="45">
        <f t="shared" si="78"/>
        <v>0</v>
      </c>
      <c r="M209" s="45">
        <f t="shared" si="79"/>
        <v>0.25</v>
      </c>
      <c r="N209" s="45">
        <f t="shared" si="80"/>
        <v>0.25</v>
      </c>
      <c r="O209" s="45">
        <f t="shared" si="81"/>
        <v>0</v>
      </c>
      <c r="P209" s="45">
        <f t="shared" si="82"/>
        <v>0.25</v>
      </c>
      <c r="Q209" s="45">
        <f t="shared" si="83"/>
        <v>0</v>
      </c>
      <c r="R209" s="45">
        <f t="shared" si="84"/>
        <v>0</v>
      </c>
      <c r="S209" s="45">
        <f t="shared" si="85"/>
        <v>0</v>
      </c>
      <c r="T209" s="45">
        <f t="shared" si="86"/>
        <v>0.25</v>
      </c>
    </row>
    <row r="210" spans="1:20" x14ac:dyDescent="0.3">
      <c r="A210">
        <f t="shared" si="67"/>
        <v>0</v>
      </c>
      <c r="B210">
        <f t="shared" si="68"/>
        <v>0</v>
      </c>
      <c r="C210">
        <f t="shared" si="69"/>
        <v>1</v>
      </c>
      <c r="D210">
        <f t="shared" si="70"/>
        <v>1</v>
      </c>
      <c r="E210">
        <f t="shared" si="71"/>
        <v>0</v>
      </c>
      <c r="F210">
        <f t="shared" si="72"/>
        <v>1</v>
      </c>
      <c r="G210">
        <f t="shared" si="73"/>
        <v>0</v>
      </c>
      <c r="H210">
        <f t="shared" si="74"/>
        <v>0</v>
      </c>
      <c r="I210">
        <f t="shared" si="75"/>
        <v>1</v>
      </c>
      <c r="J210">
        <f t="shared" si="76"/>
        <v>0</v>
      </c>
      <c r="K210" s="45">
        <f t="shared" si="77"/>
        <v>0</v>
      </c>
      <c r="L210" s="45">
        <f t="shared" si="78"/>
        <v>0</v>
      </c>
      <c r="M210" s="45">
        <f t="shared" si="79"/>
        <v>0.25</v>
      </c>
      <c r="N210" s="45">
        <f t="shared" si="80"/>
        <v>0.25</v>
      </c>
      <c r="O210" s="45">
        <f t="shared" si="81"/>
        <v>0</v>
      </c>
      <c r="P210" s="45">
        <f t="shared" si="82"/>
        <v>0.25</v>
      </c>
      <c r="Q210" s="45">
        <f t="shared" si="83"/>
        <v>0</v>
      </c>
      <c r="R210" s="45">
        <f t="shared" si="84"/>
        <v>0</v>
      </c>
      <c r="S210" s="45">
        <f t="shared" si="85"/>
        <v>0.25</v>
      </c>
      <c r="T210" s="45">
        <f t="shared" si="86"/>
        <v>0</v>
      </c>
    </row>
    <row r="211" spans="1:20" x14ac:dyDescent="0.3">
      <c r="A211">
        <f t="shared" si="67"/>
        <v>0</v>
      </c>
      <c r="B211">
        <f t="shared" si="68"/>
        <v>0</v>
      </c>
      <c r="C211">
        <f t="shared" si="69"/>
        <v>1</v>
      </c>
      <c r="D211">
        <f t="shared" si="70"/>
        <v>1</v>
      </c>
      <c r="E211">
        <f t="shared" si="71"/>
        <v>0</v>
      </c>
      <c r="F211">
        <f t="shared" si="72"/>
        <v>1</v>
      </c>
      <c r="G211">
        <f t="shared" si="73"/>
        <v>0</v>
      </c>
      <c r="H211">
        <f t="shared" si="74"/>
        <v>0</v>
      </c>
      <c r="I211">
        <f t="shared" si="75"/>
        <v>1</v>
      </c>
      <c r="J211">
        <f t="shared" si="76"/>
        <v>1</v>
      </c>
      <c r="K211" s="45">
        <f t="shared" si="77"/>
        <v>0</v>
      </c>
      <c r="L211" s="45">
        <f t="shared" si="78"/>
        <v>0</v>
      </c>
      <c r="M211" s="45">
        <f t="shared" si="79"/>
        <v>0.2</v>
      </c>
      <c r="N211" s="45">
        <f t="shared" si="80"/>
        <v>0.2</v>
      </c>
      <c r="O211" s="45">
        <f t="shared" si="81"/>
        <v>0</v>
      </c>
      <c r="P211" s="45">
        <f t="shared" si="82"/>
        <v>0.2</v>
      </c>
      <c r="Q211" s="45">
        <f t="shared" si="83"/>
        <v>0</v>
      </c>
      <c r="R211" s="45">
        <f t="shared" si="84"/>
        <v>0</v>
      </c>
      <c r="S211" s="45">
        <f t="shared" si="85"/>
        <v>0.2</v>
      </c>
      <c r="T211" s="45">
        <f t="shared" si="86"/>
        <v>0.2</v>
      </c>
    </row>
    <row r="212" spans="1:20" x14ac:dyDescent="0.3">
      <c r="A212">
        <f t="shared" si="67"/>
        <v>0</v>
      </c>
      <c r="B212">
        <f t="shared" si="68"/>
        <v>0</v>
      </c>
      <c r="C212">
        <f t="shared" si="69"/>
        <v>1</v>
      </c>
      <c r="D212">
        <f t="shared" si="70"/>
        <v>1</v>
      </c>
      <c r="E212">
        <f t="shared" si="71"/>
        <v>0</v>
      </c>
      <c r="F212">
        <f t="shared" si="72"/>
        <v>1</v>
      </c>
      <c r="G212">
        <f t="shared" si="73"/>
        <v>0</v>
      </c>
      <c r="H212">
        <f t="shared" si="74"/>
        <v>1</v>
      </c>
      <c r="I212">
        <f t="shared" si="75"/>
        <v>0</v>
      </c>
      <c r="J212">
        <f t="shared" si="76"/>
        <v>0</v>
      </c>
      <c r="K212" s="45">
        <f t="shared" si="77"/>
        <v>0</v>
      </c>
      <c r="L212" s="45">
        <f t="shared" si="78"/>
        <v>0</v>
      </c>
      <c r="M212" s="45">
        <f t="shared" si="79"/>
        <v>0.25</v>
      </c>
      <c r="N212" s="45">
        <f t="shared" si="80"/>
        <v>0.25</v>
      </c>
      <c r="O212" s="45">
        <f t="shared" si="81"/>
        <v>0</v>
      </c>
      <c r="P212" s="45">
        <f t="shared" si="82"/>
        <v>0.25</v>
      </c>
      <c r="Q212" s="45">
        <f t="shared" si="83"/>
        <v>0</v>
      </c>
      <c r="R212" s="45">
        <f t="shared" si="84"/>
        <v>0.25</v>
      </c>
      <c r="S212" s="45">
        <f t="shared" si="85"/>
        <v>0</v>
      </c>
      <c r="T212" s="45">
        <f t="shared" si="86"/>
        <v>0</v>
      </c>
    </row>
    <row r="213" spans="1:20" x14ac:dyDescent="0.3">
      <c r="A213">
        <f t="shared" si="67"/>
        <v>0</v>
      </c>
      <c r="B213">
        <f t="shared" si="68"/>
        <v>0</v>
      </c>
      <c r="C213">
        <f t="shared" si="69"/>
        <v>1</v>
      </c>
      <c r="D213">
        <f t="shared" si="70"/>
        <v>1</v>
      </c>
      <c r="E213">
        <f t="shared" si="71"/>
        <v>0</v>
      </c>
      <c r="F213">
        <f t="shared" si="72"/>
        <v>1</v>
      </c>
      <c r="G213">
        <f t="shared" si="73"/>
        <v>0</v>
      </c>
      <c r="H213">
        <f t="shared" si="74"/>
        <v>1</v>
      </c>
      <c r="I213">
        <f t="shared" si="75"/>
        <v>0</v>
      </c>
      <c r="J213">
        <f t="shared" si="76"/>
        <v>1</v>
      </c>
      <c r="K213" s="45">
        <f t="shared" si="77"/>
        <v>0</v>
      </c>
      <c r="L213" s="45">
        <f t="shared" si="78"/>
        <v>0</v>
      </c>
      <c r="M213" s="45">
        <f t="shared" si="79"/>
        <v>0.2</v>
      </c>
      <c r="N213" s="45">
        <f t="shared" si="80"/>
        <v>0.2</v>
      </c>
      <c r="O213" s="45">
        <f t="shared" si="81"/>
        <v>0</v>
      </c>
      <c r="P213" s="45">
        <f t="shared" si="82"/>
        <v>0.2</v>
      </c>
      <c r="Q213" s="45">
        <f t="shared" si="83"/>
        <v>0</v>
      </c>
      <c r="R213" s="45">
        <f t="shared" si="84"/>
        <v>0.2</v>
      </c>
      <c r="S213" s="45">
        <f t="shared" si="85"/>
        <v>0</v>
      </c>
      <c r="T213" s="45">
        <f t="shared" si="86"/>
        <v>0.2</v>
      </c>
    </row>
    <row r="214" spans="1:20" x14ac:dyDescent="0.3">
      <c r="A214">
        <f t="shared" si="67"/>
        <v>0</v>
      </c>
      <c r="B214">
        <f t="shared" si="68"/>
        <v>0</v>
      </c>
      <c r="C214">
        <f t="shared" si="69"/>
        <v>1</v>
      </c>
      <c r="D214">
        <f t="shared" si="70"/>
        <v>1</v>
      </c>
      <c r="E214">
        <f t="shared" si="71"/>
        <v>0</v>
      </c>
      <c r="F214">
        <f t="shared" si="72"/>
        <v>1</v>
      </c>
      <c r="G214">
        <f t="shared" si="73"/>
        <v>0</v>
      </c>
      <c r="H214">
        <f t="shared" si="74"/>
        <v>1</v>
      </c>
      <c r="I214">
        <f t="shared" si="75"/>
        <v>1</v>
      </c>
      <c r="J214">
        <f t="shared" si="76"/>
        <v>0</v>
      </c>
      <c r="K214" s="45">
        <f t="shared" si="77"/>
        <v>0</v>
      </c>
      <c r="L214" s="45">
        <f t="shared" si="78"/>
        <v>0</v>
      </c>
      <c r="M214" s="45">
        <f t="shared" si="79"/>
        <v>0.2</v>
      </c>
      <c r="N214" s="45">
        <f t="shared" si="80"/>
        <v>0.2</v>
      </c>
      <c r="O214" s="45">
        <f t="shared" si="81"/>
        <v>0</v>
      </c>
      <c r="P214" s="45">
        <f t="shared" si="82"/>
        <v>0.2</v>
      </c>
      <c r="Q214" s="45">
        <f t="shared" si="83"/>
        <v>0</v>
      </c>
      <c r="R214" s="45">
        <f t="shared" si="84"/>
        <v>0.2</v>
      </c>
      <c r="S214" s="45">
        <f t="shared" si="85"/>
        <v>0.2</v>
      </c>
      <c r="T214" s="45">
        <f t="shared" si="86"/>
        <v>0</v>
      </c>
    </row>
    <row r="215" spans="1:20" x14ac:dyDescent="0.3">
      <c r="A215">
        <f t="shared" si="67"/>
        <v>0</v>
      </c>
      <c r="B215">
        <f t="shared" si="68"/>
        <v>0</v>
      </c>
      <c r="C215">
        <f t="shared" si="69"/>
        <v>1</v>
      </c>
      <c r="D215">
        <f t="shared" si="70"/>
        <v>1</v>
      </c>
      <c r="E215">
        <f t="shared" si="71"/>
        <v>0</v>
      </c>
      <c r="F215">
        <f t="shared" si="72"/>
        <v>1</v>
      </c>
      <c r="G215">
        <f t="shared" si="73"/>
        <v>0</v>
      </c>
      <c r="H215">
        <f t="shared" si="74"/>
        <v>1</v>
      </c>
      <c r="I215">
        <f t="shared" si="75"/>
        <v>1</v>
      </c>
      <c r="J215">
        <f t="shared" si="76"/>
        <v>1</v>
      </c>
      <c r="K215" s="45">
        <f t="shared" si="77"/>
        <v>0</v>
      </c>
      <c r="L215" s="45">
        <f t="shared" si="78"/>
        <v>0</v>
      </c>
      <c r="M215" s="45">
        <f t="shared" si="79"/>
        <v>0.16666666666666666</v>
      </c>
      <c r="N215" s="45">
        <f t="shared" si="80"/>
        <v>0.16666666666666666</v>
      </c>
      <c r="O215" s="45">
        <f t="shared" si="81"/>
        <v>0</v>
      </c>
      <c r="P215" s="45">
        <f t="shared" si="82"/>
        <v>0.16666666666666666</v>
      </c>
      <c r="Q215" s="45">
        <f t="shared" si="83"/>
        <v>0</v>
      </c>
      <c r="R215" s="45">
        <f t="shared" si="84"/>
        <v>0.16666666666666666</v>
      </c>
      <c r="S215" s="45">
        <f t="shared" si="85"/>
        <v>0.16666666666666666</v>
      </c>
      <c r="T215" s="45">
        <f t="shared" si="86"/>
        <v>0.16666666666666666</v>
      </c>
    </row>
    <row r="216" spans="1:20" x14ac:dyDescent="0.3">
      <c r="A216">
        <f t="shared" si="67"/>
        <v>0</v>
      </c>
      <c r="B216">
        <f t="shared" si="68"/>
        <v>0</v>
      </c>
      <c r="C216">
        <f t="shared" si="69"/>
        <v>1</v>
      </c>
      <c r="D216">
        <f t="shared" si="70"/>
        <v>1</v>
      </c>
      <c r="E216">
        <f t="shared" si="71"/>
        <v>0</v>
      </c>
      <c r="F216">
        <f t="shared" si="72"/>
        <v>1</v>
      </c>
      <c r="G216">
        <f t="shared" si="73"/>
        <v>1</v>
      </c>
      <c r="H216">
        <f t="shared" si="74"/>
        <v>0</v>
      </c>
      <c r="I216">
        <f t="shared" si="75"/>
        <v>0</v>
      </c>
      <c r="J216">
        <f t="shared" si="76"/>
        <v>0</v>
      </c>
      <c r="K216" s="45">
        <f t="shared" si="77"/>
        <v>0</v>
      </c>
      <c r="L216" s="45">
        <f t="shared" si="78"/>
        <v>0</v>
      </c>
      <c r="M216" s="45">
        <f t="shared" si="79"/>
        <v>0.25</v>
      </c>
      <c r="N216" s="45">
        <f t="shared" si="80"/>
        <v>0.25</v>
      </c>
      <c r="O216" s="45">
        <f t="shared" si="81"/>
        <v>0</v>
      </c>
      <c r="P216" s="45">
        <f t="shared" si="82"/>
        <v>0.25</v>
      </c>
      <c r="Q216" s="45">
        <f t="shared" si="83"/>
        <v>0.25</v>
      </c>
      <c r="R216" s="45">
        <f t="shared" si="84"/>
        <v>0</v>
      </c>
      <c r="S216" s="45">
        <f t="shared" si="85"/>
        <v>0</v>
      </c>
      <c r="T216" s="45">
        <f t="shared" si="86"/>
        <v>0</v>
      </c>
    </row>
    <row r="217" spans="1:20" x14ac:dyDescent="0.3">
      <c r="A217">
        <f t="shared" si="67"/>
        <v>0</v>
      </c>
      <c r="B217">
        <f t="shared" si="68"/>
        <v>0</v>
      </c>
      <c r="C217">
        <f t="shared" si="69"/>
        <v>1</v>
      </c>
      <c r="D217">
        <f t="shared" si="70"/>
        <v>1</v>
      </c>
      <c r="E217">
        <f t="shared" si="71"/>
        <v>0</v>
      </c>
      <c r="F217">
        <f t="shared" si="72"/>
        <v>1</v>
      </c>
      <c r="G217">
        <f t="shared" si="73"/>
        <v>1</v>
      </c>
      <c r="H217">
        <f t="shared" si="74"/>
        <v>0</v>
      </c>
      <c r="I217">
        <f t="shared" si="75"/>
        <v>0</v>
      </c>
      <c r="J217">
        <f t="shared" si="76"/>
        <v>1</v>
      </c>
      <c r="K217" s="45">
        <f t="shared" si="77"/>
        <v>0</v>
      </c>
      <c r="L217" s="45">
        <f t="shared" si="78"/>
        <v>0</v>
      </c>
      <c r="M217" s="45">
        <f t="shared" si="79"/>
        <v>0.2</v>
      </c>
      <c r="N217" s="45">
        <f t="shared" si="80"/>
        <v>0.2</v>
      </c>
      <c r="O217" s="45">
        <f t="shared" si="81"/>
        <v>0</v>
      </c>
      <c r="P217" s="45">
        <f t="shared" si="82"/>
        <v>0.2</v>
      </c>
      <c r="Q217" s="45">
        <f t="shared" si="83"/>
        <v>0.2</v>
      </c>
      <c r="R217" s="45">
        <f t="shared" si="84"/>
        <v>0</v>
      </c>
      <c r="S217" s="45">
        <f t="shared" si="85"/>
        <v>0</v>
      </c>
      <c r="T217" s="45">
        <f t="shared" si="86"/>
        <v>0.2</v>
      </c>
    </row>
    <row r="218" spans="1:20" x14ac:dyDescent="0.3">
      <c r="A218">
        <f t="shared" si="67"/>
        <v>0</v>
      </c>
      <c r="B218">
        <f t="shared" si="68"/>
        <v>0</v>
      </c>
      <c r="C218">
        <f t="shared" si="69"/>
        <v>1</v>
      </c>
      <c r="D218">
        <f t="shared" si="70"/>
        <v>1</v>
      </c>
      <c r="E218">
        <f t="shared" si="71"/>
        <v>0</v>
      </c>
      <c r="F218">
        <f t="shared" si="72"/>
        <v>1</v>
      </c>
      <c r="G218">
        <f t="shared" si="73"/>
        <v>1</v>
      </c>
      <c r="H218">
        <f t="shared" si="74"/>
        <v>0</v>
      </c>
      <c r="I218">
        <f t="shared" si="75"/>
        <v>1</v>
      </c>
      <c r="J218">
        <f t="shared" si="76"/>
        <v>0</v>
      </c>
      <c r="K218" s="45">
        <f t="shared" si="77"/>
        <v>0</v>
      </c>
      <c r="L218" s="45">
        <f t="shared" si="78"/>
        <v>0</v>
      </c>
      <c r="M218" s="45">
        <f t="shared" si="79"/>
        <v>0.2</v>
      </c>
      <c r="N218" s="45">
        <f t="shared" si="80"/>
        <v>0.2</v>
      </c>
      <c r="O218" s="45">
        <f t="shared" si="81"/>
        <v>0</v>
      </c>
      <c r="P218" s="45">
        <f t="shared" si="82"/>
        <v>0.2</v>
      </c>
      <c r="Q218" s="45">
        <f t="shared" si="83"/>
        <v>0.2</v>
      </c>
      <c r="R218" s="45">
        <f t="shared" si="84"/>
        <v>0</v>
      </c>
      <c r="S218" s="45">
        <f t="shared" si="85"/>
        <v>0.2</v>
      </c>
      <c r="T218" s="45">
        <f t="shared" si="86"/>
        <v>0</v>
      </c>
    </row>
    <row r="219" spans="1:20" x14ac:dyDescent="0.3">
      <c r="A219">
        <f t="shared" si="67"/>
        <v>0</v>
      </c>
      <c r="B219">
        <f t="shared" si="68"/>
        <v>0</v>
      </c>
      <c r="C219">
        <f t="shared" si="69"/>
        <v>1</v>
      </c>
      <c r="D219">
        <f t="shared" si="70"/>
        <v>1</v>
      </c>
      <c r="E219">
        <f t="shared" si="71"/>
        <v>0</v>
      </c>
      <c r="F219">
        <f t="shared" si="72"/>
        <v>1</v>
      </c>
      <c r="G219">
        <f t="shared" si="73"/>
        <v>1</v>
      </c>
      <c r="H219">
        <f t="shared" si="74"/>
        <v>0</v>
      </c>
      <c r="I219">
        <f t="shared" si="75"/>
        <v>1</v>
      </c>
      <c r="J219">
        <f t="shared" si="76"/>
        <v>1</v>
      </c>
      <c r="K219" s="45">
        <f t="shared" si="77"/>
        <v>0</v>
      </c>
      <c r="L219" s="45">
        <f t="shared" si="78"/>
        <v>0</v>
      </c>
      <c r="M219" s="45">
        <f t="shared" si="79"/>
        <v>0.16666666666666666</v>
      </c>
      <c r="N219" s="45">
        <f t="shared" si="80"/>
        <v>0.16666666666666666</v>
      </c>
      <c r="O219" s="45">
        <f t="shared" si="81"/>
        <v>0</v>
      </c>
      <c r="P219" s="45">
        <f t="shared" si="82"/>
        <v>0.16666666666666666</v>
      </c>
      <c r="Q219" s="45">
        <f t="shared" si="83"/>
        <v>0.16666666666666666</v>
      </c>
      <c r="R219" s="45">
        <f t="shared" si="84"/>
        <v>0</v>
      </c>
      <c r="S219" s="45">
        <f t="shared" si="85"/>
        <v>0.16666666666666666</v>
      </c>
      <c r="T219" s="45">
        <f t="shared" si="86"/>
        <v>0.16666666666666666</v>
      </c>
    </row>
    <row r="220" spans="1:20" x14ac:dyDescent="0.3">
      <c r="A220">
        <f t="shared" si="67"/>
        <v>0</v>
      </c>
      <c r="B220">
        <f t="shared" si="68"/>
        <v>0</v>
      </c>
      <c r="C220">
        <f t="shared" si="69"/>
        <v>1</v>
      </c>
      <c r="D220">
        <f t="shared" si="70"/>
        <v>1</v>
      </c>
      <c r="E220">
        <f t="shared" si="71"/>
        <v>0</v>
      </c>
      <c r="F220">
        <f t="shared" si="72"/>
        <v>1</v>
      </c>
      <c r="G220">
        <f t="shared" si="73"/>
        <v>1</v>
      </c>
      <c r="H220">
        <f t="shared" si="74"/>
        <v>1</v>
      </c>
      <c r="I220">
        <f t="shared" si="75"/>
        <v>0</v>
      </c>
      <c r="J220">
        <f t="shared" si="76"/>
        <v>0</v>
      </c>
      <c r="K220" s="45">
        <f t="shared" si="77"/>
        <v>0</v>
      </c>
      <c r="L220" s="45">
        <f t="shared" si="78"/>
        <v>0</v>
      </c>
      <c r="M220" s="45">
        <f t="shared" si="79"/>
        <v>0.2</v>
      </c>
      <c r="N220" s="45">
        <f t="shared" si="80"/>
        <v>0.2</v>
      </c>
      <c r="O220" s="45">
        <f t="shared" si="81"/>
        <v>0</v>
      </c>
      <c r="P220" s="45">
        <f t="shared" si="82"/>
        <v>0.2</v>
      </c>
      <c r="Q220" s="45">
        <f t="shared" si="83"/>
        <v>0.2</v>
      </c>
      <c r="R220" s="45">
        <f t="shared" si="84"/>
        <v>0.2</v>
      </c>
      <c r="S220" s="45">
        <f t="shared" si="85"/>
        <v>0</v>
      </c>
      <c r="T220" s="45">
        <f t="shared" si="86"/>
        <v>0</v>
      </c>
    </row>
    <row r="221" spans="1:20" x14ac:dyDescent="0.3">
      <c r="A221">
        <f t="shared" si="67"/>
        <v>0</v>
      </c>
      <c r="B221">
        <f t="shared" si="68"/>
        <v>0</v>
      </c>
      <c r="C221">
        <f t="shared" si="69"/>
        <v>1</v>
      </c>
      <c r="D221">
        <f t="shared" si="70"/>
        <v>1</v>
      </c>
      <c r="E221">
        <f t="shared" si="71"/>
        <v>0</v>
      </c>
      <c r="F221">
        <f t="shared" si="72"/>
        <v>1</v>
      </c>
      <c r="G221">
        <f t="shared" si="73"/>
        <v>1</v>
      </c>
      <c r="H221">
        <f t="shared" si="74"/>
        <v>1</v>
      </c>
      <c r="I221">
        <f t="shared" si="75"/>
        <v>0</v>
      </c>
      <c r="J221">
        <f t="shared" si="76"/>
        <v>1</v>
      </c>
      <c r="K221" s="45">
        <f t="shared" si="77"/>
        <v>0</v>
      </c>
      <c r="L221" s="45">
        <f t="shared" si="78"/>
        <v>0</v>
      </c>
      <c r="M221" s="45">
        <f t="shared" si="79"/>
        <v>0.16666666666666666</v>
      </c>
      <c r="N221" s="45">
        <f t="shared" si="80"/>
        <v>0.16666666666666666</v>
      </c>
      <c r="O221" s="45">
        <f t="shared" si="81"/>
        <v>0</v>
      </c>
      <c r="P221" s="45">
        <f t="shared" si="82"/>
        <v>0.16666666666666666</v>
      </c>
      <c r="Q221" s="45">
        <f t="shared" si="83"/>
        <v>0.16666666666666666</v>
      </c>
      <c r="R221" s="45">
        <f t="shared" si="84"/>
        <v>0.16666666666666666</v>
      </c>
      <c r="S221" s="45">
        <f t="shared" si="85"/>
        <v>0</v>
      </c>
      <c r="T221" s="45">
        <f t="shared" si="86"/>
        <v>0.16666666666666666</v>
      </c>
    </row>
    <row r="222" spans="1:20" x14ac:dyDescent="0.3">
      <c r="A222">
        <f t="shared" si="67"/>
        <v>0</v>
      </c>
      <c r="B222">
        <f t="shared" si="68"/>
        <v>0</v>
      </c>
      <c r="C222">
        <f t="shared" si="69"/>
        <v>1</v>
      </c>
      <c r="D222">
        <f t="shared" si="70"/>
        <v>1</v>
      </c>
      <c r="E222">
        <f t="shared" si="71"/>
        <v>0</v>
      </c>
      <c r="F222">
        <f t="shared" si="72"/>
        <v>1</v>
      </c>
      <c r="G222">
        <f t="shared" si="73"/>
        <v>1</v>
      </c>
      <c r="H222">
        <f t="shared" si="74"/>
        <v>1</v>
      </c>
      <c r="I222">
        <f t="shared" si="75"/>
        <v>1</v>
      </c>
      <c r="J222">
        <f t="shared" si="76"/>
        <v>0</v>
      </c>
      <c r="K222" s="45">
        <f t="shared" si="77"/>
        <v>0</v>
      </c>
      <c r="L222" s="45">
        <f t="shared" si="78"/>
        <v>0</v>
      </c>
      <c r="M222" s="45">
        <f t="shared" si="79"/>
        <v>0.16666666666666666</v>
      </c>
      <c r="N222" s="45">
        <f t="shared" si="80"/>
        <v>0.16666666666666666</v>
      </c>
      <c r="O222" s="45">
        <f t="shared" si="81"/>
        <v>0</v>
      </c>
      <c r="P222" s="45">
        <f t="shared" si="82"/>
        <v>0.16666666666666666</v>
      </c>
      <c r="Q222" s="45">
        <f t="shared" si="83"/>
        <v>0.16666666666666666</v>
      </c>
      <c r="R222" s="45">
        <f t="shared" si="84"/>
        <v>0.16666666666666666</v>
      </c>
      <c r="S222" s="45">
        <f t="shared" si="85"/>
        <v>0.16666666666666666</v>
      </c>
      <c r="T222" s="45">
        <f t="shared" si="86"/>
        <v>0</v>
      </c>
    </row>
    <row r="223" spans="1:20" x14ac:dyDescent="0.3">
      <c r="A223">
        <f t="shared" si="67"/>
        <v>0</v>
      </c>
      <c r="B223">
        <f t="shared" si="68"/>
        <v>0</v>
      </c>
      <c r="C223">
        <f t="shared" si="69"/>
        <v>1</v>
      </c>
      <c r="D223">
        <f t="shared" si="70"/>
        <v>1</v>
      </c>
      <c r="E223">
        <f t="shared" si="71"/>
        <v>0</v>
      </c>
      <c r="F223">
        <f t="shared" si="72"/>
        <v>1</v>
      </c>
      <c r="G223">
        <f t="shared" si="73"/>
        <v>1</v>
      </c>
      <c r="H223">
        <f t="shared" si="74"/>
        <v>1</v>
      </c>
      <c r="I223">
        <f t="shared" si="75"/>
        <v>1</v>
      </c>
      <c r="J223">
        <f t="shared" si="76"/>
        <v>1</v>
      </c>
      <c r="K223" s="45">
        <f t="shared" si="77"/>
        <v>0</v>
      </c>
      <c r="L223" s="45">
        <f t="shared" si="78"/>
        <v>0</v>
      </c>
      <c r="M223" s="45">
        <f t="shared" si="79"/>
        <v>0.14285714285714285</v>
      </c>
      <c r="N223" s="45">
        <f t="shared" si="80"/>
        <v>0.14285714285714285</v>
      </c>
      <c r="O223" s="45">
        <f t="shared" si="81"/>
        <v>0</v>
      </c>
      <c r="P223" s="45">
        <f t="shared" si="82"/>
        <v>0.14285714285714285</v>
      </c>
      <c r="Q223" s="45">
        <f t="shared" si="83"/>
        <v>0.14285714285714285</v>
      </c>
      <c r="R223" s="45">
        <f t="shared" si="84"/>
        <v>0.14285714285714285</v>
      </c>
      <c r="S223" s="45">
        <f t="shared" si="85"/>
        <v>0.14285714285714285</v>
      </c>
      <c r="T223" s="45">
        <f t="shared" si="86"/>
        <v>0.14285714285714285</v>
      </c>
    </row>
    <row r="224" spans="1:20" x14ac:dyDescent="0.3">
      <c r="A224">
        <f t="shared" si="67"/>
        <v>0</v>
      </c>
      <c r="B224">
        <f t="shared" si="68"/>
        <v>0</v>
      </c>
      <c r="C224">
        <f t="shared" si="69"/>
        <v>1</v>
      </c>
      <c r="D224">
        <f t="shared" si="70"/>
        <v>1</v>
      </c>
      <c r="E224">
        <f t="shared" si="71"/>
        <v>1</v>
      </c>
      <c r="F224">
        <f t="shared" si="72"/>
        <v>0</v>
      </c>
      <c r="G224">
        <f t="shared" si="73"/>
        <v>0</v>
      </c>
      <c r="H224">
        <f t="shared" si="74"/>
        <v>0</v>
      </c>
      <c r="I224">
        <f t="shared" si="75"/>
        <v>0</v>
      </c>
      <c r="J224">
        <f t="shared" si="76"/>
        <v>0</v>
      </c>
      <c r="K224" s="45">
        <f t="shared" si="77"/>
        <v>0</v>
      </c>
      <c r="L224" s="45">
        <f t="shared" si="78"/>
        <v>0</v>
      </c>
      <c r="M224" s="45">
        <f t="shared" si="79"/>
        <v>0.33333333333333331</v>
      </c>
      <c r="N224" s="45">
        <f t="shared" si="80"/>
        <v>0.33333333333333331</v>
      </c>
      <c r="O224" s="45">
        <f t="shared" si="81"/>
        <v>0.33333333333333331</v>
      </c>
      <c r="P224" s="45">
        <f t="shared" si="82"/>
        <v>0</v>
      </c>
      <c r="Q224" s="45">
        <f t="shared" si="83"/>
        <v>0</v>
      </c>
      <c r="R224" s="45">
        <f t="shared" si="84"/>
        <v>0</v>
      </c>
      <c r="S224" s="45">
        <f t="shared" si="85"/>
        <v>0</v>
      </c>
      <c r="T224" s="45">
        <f t="shared" si="86"/>
        <v>0</v>
      </c>
    </row>
    <row r="225" spans="1:20" x14ac:dyDescent="0.3">
      <c r="A225">
        <f t="shared" si="67"/>
        <v>0</v>
      </c>
      <c r="B225">
        <f t="shared" si="68"/>
        <v>0</v>
      </c>
      <c r="C225">
        <f t="shared" si="69"/>
        <v>1</v>
      </c>
      <c r="D225">
        <f t="shared" si="70"/>
        <v>1</v>
      </c>
      <c r="E225">
        <f t="shared" si="71"/>
        <v>1</v>
      </c>
      <c r="F225">
        <f t="shared" si="72"/>
        <v>0</v>
      </c>
      <c r="G225">
        <f t="shared" si="73"/>
        <v>0</v>
      </c>
      <c r="H225">
        <f t="shared" si="74"/>
        <v>0</v>
      </c>
      <c r="I225">
        <f t="shared" si="75"/>
        <v>0</v>
      </c>
      <c r="J225">
        <f t="shared" si="76"/>
        <v>1</v>
      </c>
      <c r="K225" s="45">
        <f t="shared" si="77"/>
        <v>0</v>
      </c>
      <c r="L225" s="45">
        <f t="shared" si="78"/>
        <v>0</v>
      </c>
      <c r="M225" s="45">
        <f t="shared" si="79"/>
        <v>0.25</v>
      </c>
      <c r="N225" s="45">
        <f t="shared" si="80"/>
        <v>0.25</v>
      </c>
      <c r="O225" s="45">
        <f t="shared" si="81"/>
        <v>0.25</v>
      </c>
      <c r="P225" s="45">
        <f t="shared" si="82"/>
        <v>0</v>
      </c>
      <c r="Q225" s="45">
        <f t="shared" si="83"/>
        <v>0</v>
      </c>
      <c r="R225" s="45">
        <f t="shared" si="84"/>
        <v>0</v>
      </c>
      <c r="S225" s="45">
        <f t="shared" si="85"/>
        <v>0</v>
      </c>
      <c r="T225" s="45">
        <f t="shared" si="86"/>
        <v>0.25</v>
      </c>
    </row>
    <row r="226" spans="1:20" x14ac:dyDescent="0.3">
      <c r="A226">
        <f t="shared" si="67"/>
        <v>0</v>
      </c>
      <c r="B226">
        <f t="shared" si="68"/>
        <v>0</v>
      </c>
      <c r="C226">
        <f t="shared" si="69"/>
        <v>1</v>
      </c>
      <c r="D226">
        <f t="shared" si="70"/>
        <v>1</v>
      </c>
      <c r="E226">
        <f t="shared" si="71"/>
        <v>1</v>
      </c>
      <c r="F226">
        <f t="shared" si="72"/>
        <v>0</v>
      </c>
      <c r="G226">
        <f t="shared" si="73"/>
        <v>0</v>
      </c>
      <c r="H226">
        <f t="shared" si="74"/>
        <v>0</v>
      </c>
      <c r="I226">
        <f t="shared" si="75"/>
        <v>1</v>
      </c>
      <c r="J226">
        <f t="shared" si="76"/>
        <v>0</v>
      </c>
      <c r="K226" s="45">
        <f t="shared" si="77"/>
        <v>0</v>
      </c>
      <c r="L226" s="45">
        <f t="shared" si="78"/>
        <v>0</v>
      </c>
      <c r="M226" s="45">
        <f t="shared" si="79"/>
        <v>0.25</v>
      </c>
      <c r="N226" s="45">
        <f t="shared" si="80"/>
        <v>0.25</v>
      </c>
      <c r="O226" s="45">
        <f t="shared" si="81"/>
        <v>0.25</v>
      </c>
      <c r="P226" s="45">
        <f t="shared" si="82"/>
        <v>0</v>
      </c>
      <c r="Q226" s="45">
        <f t="shared" si="83"/>
        <v>0</v>
      </c>
      <c r="R226" s="45">
        <f t="shared" si="84"/>
        <v>0</v>
      </c>
      <c r="S226" s="45">
        <f t="shared" si="85"/>
        <v>0.25</v>
      </c>
      <c r="T226" s="45">
        <f t="shared" si="86"/>
        <v>0</v>
      </c>
    </row>
    <row r="227" spans="1:20" x14ac:dyDescent="0.3">
      <c r="A227">
        <f t="shared" si="67"/>
        <v>0</v>
      </c>
      <c r="B227">
        <f t="shared" si="68"/>
        <v>0</v>
      </c>
      <c r="C227">
        <f t="shared" si="69"/>
        <v>1</v>
      </c>
      <c r="D227">
        <f t="shared" si="70"/>
        <v>1</v>
      </c>
      <c r="E227">
        <f t="shared" si="71"/>
        <v>1</v>
      </c>
      <c r="F227">
        <f t="shared" si="72"/>
        <v>0</v>
      </c>
      <c r="G227">
        <f t="shared" si="73"/>
        <v>0</v>
      </c>
      <c r="H227">
        <f t="shared" si="74"/>
        <v>0</v>
      </c>
      <c r="I227">
        <f t="shared" si="75"/>
        <v>1</v>
      </c>
      <c r="J227">
        <f t="shared" si="76"/>
        <v>1</v>
      </c>
      <c r="K227" s="45">
        <f t="shared" si="77"/>
        <v>0</v>
      </c>
      <c r="L227" s="45">
        <f t="shared" si="78"/>
        <v>0</v>
      </c>
      <c r="M227" s="45">
        <f t="shared" si="79"/>
        <v>0.2</v>
      </c>
      <c r="N227" s="45">
        <f t="shared" si="80"/>
        <v>0.2</v>
      </c>
      <c r="O227" s="45">
        <f t="shared" si="81"/>
        <v>0.2</v>
      </c>
      <c r="P227" s="45">
        <f t="shared" si="82"/>
        <v>0</v>
      </c>
      <c r="Q227" s="45">
        <f t="shared" si="83"/>
        <v>0</v>
      </c>
      <c r="R227" s="45">
        <f t="shared" si="84"/>
        <v>0</v>
      </c>
      <c r="S227" s="45">
        <f t="shared" si="85"/>
        <v>0.2</v>
      </c>
      <c r="T227" s="45">
        <f t="shared" si="86"/>
        <v>0.2</v>
      </c>
    </row>
    <row r="228" spans="1:20" x14ac:dyDescent="0.3">
      <c r="A228">
        <f t="shared" si="67"/>
        <v>0</v>
      </c>
      <c r="B228">
        <f t="shared" si="68"/>
        <v>0</v>
      </c>
      <c r="C228">
        <f t="shared" si="69"/>
        <v>1</v>
      </c>
      <c r="D228">
        <f t="shared" si="70"/>
        <v>1</v>
      </c>
      <c r="E228">
        <f t="shared" si="71"/>
        <v>1</v>
      </c>
      <c r="F228">
        <f t="shared" si="72"/>
        <v>0</v>
      </c>
      <c r="G228">
        <f t="shared" si="73"/>
        <v>0</v>
      </c>
      <c r="H228">
        <f t="shared" si="74"/>
        <v>1</v>
      </c>
      <c r="I228">
        <f t="shared" si="75"/>
        <v>0</v>
      </c>
      <c r="J228">
        <f t="shared" si="76"/>
        <v>0</v>
      </c>
      <c r="K228" s="45">
        <f t="shared" si="77"/>
        <v>0</v>
      </c>
      <c r="L228" s="45">
        <f t="shared" si="78"/>
        <v>0</v>
      </c>
      <c r="M228" s="45">
        <f t="shared" si="79"/>
        <v>0.25</v>
      </c>
      <c r="N228" s="45">
        <f t="shared" si="80"/>
        <v>0.25</v>
      </c>
      <c r="O228" s="45">
        <f t="shared" si="81"/>
        <v>0.25</v>
      </c>
      <c r="P228" s="45">
        <f t="shared" si="82"/>
        <v>0</v>
      </c>
      <c r="Q228" s="45">
        <f t="shared" si="83"/>
        <v>0</v>
      </c>
      <c r="R228" s="45">
        <f t="shared" si="84"/>
        <v>0.25</v>
      </c>
      <c r="S228" s="45">
        <f t="shared" si="85"/>
        <v>0</v>
      </c>
      <c r="T228" s="45">
        <f t="shared" si="86"/>
        <v>0</v>
      </c>
    </row>
    <row r="229" spans="1:20" x14ac:dyDescent="0.3">
      <c r="A229">
        <f t="shared" si="67"/>
        <v>0</v>
      </c>
      <c r="B229">
        <f t="shared" si="68"/>
        <v>0</v>
      </c>
      <c r="C229">
        <f t="shared" si="69"/>
        <v>1</v>
      </c>
      <c r="D229">
        <f t="shared" si="70"/>
        <v>1</v>
      </c>
      <c r="E229">
        <f t="shared" si="71"/>
        <v>1</v>
      </c>
      <c r="F229">
        <f t="shared" si="72"/>
        <v>0</v>
      </c>
      <c r="G229">
        <f t="shared" si="73"/>
        <v>0</v>
      </c>
      <c r="H229">
        <f t="shared" si="74"/>
        <v>1</v>
      </c>
      <c r="I229">
        <f t="shared" si="75"/>
        <v>0</v>
      </c>
      <c r="J229">
        <f t="shared" si="76"/>
        <v>1</v>
      </c>
      <c r="K229" s="45">
        <f t="shared" si="77"/>
        <v>0</v>
      </c>
      <c r="L229" s="45">
        <f t="shared" si="78"/>
        <v>0</v>
      </c>
      <c r="M229" s="45">
        <f t="shared" si="79"/>
        <v>0.2</v>
      </c>
      <c r="N229" s="45">
        <f t="shared" si="80"/>
        <v>0.2</v>
      </c>
      <c r="O229" s="45">
        <f t="shared" si="81"/>
        <v>0.2</v>
      </c>
      <c r="P229" s="45">
        <f t="shared" si="82"/>
        <v>0</v>
      </c>
      <c r="Q229" s="45">
        <f t="shared" si="83"/>
        <v>0</v>
      </c>
      <c r="R229" s="45">
        <f t="shared" si="84"/>
        <v>0.2</v>
      </c>
      <c r="S229" s="45">
        <f t="shared" si="85"/>
        <v>0</v>
      </c>
      <c r="T229" s="45">
        <f t="shared" si="86"/>
        <v>0.2</v>
      </c>
    </row>
    <row r="230" spans="1:20" x14ac:dyDescent="0.3">
      <c r="A230">
        <f t="shared" si="67"/>
        <v>0</v>
      </c>
      <c r="B230">
        <f t="shared" si="68"/>
        <v>0</v>
      </c>
      <c r="C230">
        <f t="shared" si="69"/>
        <v>1</v>
      </c>
      <c r="D230">
        <f t="shared" si="70"/>
        <v>1</v>
      </c>
      <c r="E230">
        <f t="shared" si="71"/>
        <v>1</v>
      </c>
      <c r="F230">
        <f t="shared" si="72"/>
        <v>0</v>
      </c>
      <c r="G230">
        <f t="shared" si="73"/>
        <v>0</v>
      </c>
      <c r="H230">
        <f t="shared" si="74"/>
        <v>1</v>
      </c>
      <c r="I230">
        <f t="shared" si="75"/>
        <v>1</v>
      </c>
      <c r="J230">
        <f t="shared" si="76"/>
        <v>0</v>
      </c>
      <c r="K230" s="45">
        <f t="shared" si="77"/>
        <v>0</v>
      </c>
      <c r="L230" s="45">
        <f t="shared" si="78"/>
        <v>0</v>
      </c>
      <c r="M230" s="45">
        <f t="shared" si="79"/>
        <v>0.2</v>
      </c>
      <c r="N230" s="45">
        <f t="shared" si="80"/>
        <v>0.2</v>
      </c>
      <c r="O230" s="45">
        <f t="shared" si="81"/>
        <v>0.2</v>
      </c>
      <c r="P230" s="45">
        <f t="shared" si="82"/>
        <v>0</v>
      </c>
      <c r="Q230" s="45">
        <f t="shared" si="83"/>
        <v>0</v>
      </c>
      <c r="R230" s="45">
        <f t="shared" si="84"/>
        <v>0.2</v>
      </c>
      <c r="S230" s="45">
        <f t="shared" si="85"/>
        <v>0.2</v>
      </c>
      <c r="T230" s="45">
        <f t="shared" si="86"/>
        <v>0</v>
      </c>
    </row>
    <row r="231" spans="1:20" x14ac:dyDescent="0.3">
      <c r="A231">
        <f t="shared" si="67"/>
        <v>0</v>
      </c>
      <c r="B231">
        <f t="shared" si="68"/>
        <v>0</v>
      </c>
      <c r="C231">
        <f t="shared" si="69"/>
        <v>1</v>
      </c>
      <c r="D231">
        <f t="shared" si="70"/>
        <v>1</v>
      </c>
      <c r="E231">
        <f t="shared" si="71"/>
        <v>1</v>
      </c>
      <c r="F231">
        <f t="shared" si="72"/>
        <v>0</v>
      </c>
      <c r="G231">
        <f t="shared" si="73"/>
        <v>0</v>
      </c>
      <c r="H231">
        <f t="shared" si="74"/>
        <v>1</v>
      </c>
      <c r="I231">
        <f t="shared" si="75"/>
        <v>1</v>
      </c>
      <c r="J231">
        <f t="shared" si="76"/>
        <v>1</v>
      </c>
      <c r="K231" s="45">
        <f t="shared" si="77"/>
        <v>0</v>
      </c>
      <c r="L231" s="45">
        <f t="shared" si="78"/>
        <v>0</v>
      </c>
      <c r="M231" s="45">
        <f t="shared" si="79"/>
        <v>0.16666666666666666</v>
      </c>
      <c r="N231" s="45">
        <f t="shared" si="80"/>
        <v>0.16666666666666666</v>
      </c>
      <c r="O231" s="45">
        <f t="shared" si="81"/>
        <v>0.16666666666666666</v>
      </c>
      <c r="P231" s="45">
        <f t="shared" si="82"/>
        <v>0</v>
      </c>
      <c r="Q231" s="45">
        <f t="shared" si="83"/>
        <v>0</v>
      </c>
      <c r="R231" s="45">
        <f t="shared" si="84"/>
        <v>0.16666666666666666</v>
      </c>
      <c r="S231" s="45">
        <f t="shared" si="85"/>
        <v>0.16666666666666666</v>
      </c>
      <c r="T231" s="45">
        <f t="shared" si="86"/>
        <v>0.16666666666666666</v>
      </c>
    </row>
    <row r="232" spans="1:20" x14ac:dyDescent="0.3">
      <c r="A232">
        <f t="shared" si="67"/>
        <v>0</v>
      </c>
      <c r="B232">
        <f t="shared" si="68"/>
        <v>0</v>
      </c>
      <c r="C232">
        <f t="shared" si="69"/>
        <v>1</v>
      </c>
      <c r="D232">
        <f t="shared" si="70"/>
        <v>1</v>
      </c>
      <c r="E232">
        <f t="shared" si="71"/>
        <v>1</v>
      </c>
      <c r="F232">
        <f t="shared" si="72"/>
        <v>0</v>
      </c>
      <c r="G232">
        <f t="shared" si="73"/>
        <v>1</v>
      </c>
      <c r="H232">
        <f t="shared" si="74"/>
        <v>0</v>
      </c>
      <c r="I232">
        <f t="shared" si="75"/>
        <v>0</v>
      </c>
      <c r="J232">
        <f t="shared" si="76"/>
        <v>0</v>
      </c>
      <c r="K232" s="45">
        <f t="shared" si="77"/>
        <v>0</v>
      </c>
      <c r="L232" s="45">
        <f t="shared" si="78"/>
        <v>0</v>
      </c>
      <c r="M232" s="45">
        <f t="shared" si="79"/>
        <v>0.25</v>
      </c>
      <c r="N232" s="45">
        <f t="shared" si="80"/>
        <v>0.25</v>
      </c>
      <c r="O232" s="45">
        <f t="shared" si="81"/>
        <v>0.25</v>
      </c>
      <c r="P232" s="45">
        <f t="shared" si="82"/>
        <v>0</v>
      </c>
      <c r="Q232" s="45">
        <f t="shared" si="83"/>
        <v>0.25</v>
      </c>
      <c r="R232" s="45">
        <f t="shared" si="84"/>
        <v>0</v>
      </c>
      <c r="S232" s="45">
        <f t="shared" si="85"/>
        <v>0</v>
      </c>
      <c r="T232" s="45">
        <f t="shared" si="86"/>
        <v>0</v>
      </c>
    </row>
    <row r="233" spans="1:20" x14ac:dyDescent="0.3">
      <c r="A233">
        <f t="shared" si="67"/>
        <v>0</v>
      </c>
      <c r="B233">
        <f t="shared" si="68"/>
        <v>0</v>
      </c>
      <c r="C233">
        <f t="shared" si="69"/>
        <v>1</v>
      </c>
      <c r="D233">
        <f t="shared" si="70"/>
        <v>1</v>
      </c>
      <c r="E233">
        <f t="shared" si="71"/>
        <v>1</v>
      </c>
      <c r="F233">
        <f t="shared" si="72"/>
        <v>0</v>
      </c>
      <c r="G233">
        <f t="shared" si="73"/>
        <v>1</v>
      </c>
      <c r="H233">
        <f t="shared" si="74"/>
        <v>0</v>
      </c>
      <c r="I233">
        <f t="shared" si="75"/>
        <v>0</v>
      </c>
      <c r="J233">
        <f t="shared" si="76"/>
        <v>1</v>
      </c>
      <c r="K233" s="45">
        <f t="shared" si="77"/>
        <v>0</v>
      </c>
      <c r="L233" s="45">
        <f t="shared" si="78"/>
        <v>0</v>
      </c>
      <c r="M233" s="45">
        <f t="shared" si="79"/>
        <v>0.2</v>
      </c>
      <c r="N233" s="45">
        <f t="shared" si="80"/>
        <v>0.2</v>
      </c>
      <c r="O233" s="45">
        <f t="shared" si="81"/>
        <v>0.2</v>
      </c>
      <c r="P233" s="45">
        <f t="shared" si="82"/>
        <v>0</v>
      </c>
      <c r="Q233" s="45">
        <f t="shared" si="83"/>
        <v>0.2</v>
      </c>
      <c r="R233" s="45">
        <f t="shared" si="84"/>
        <v>0</v>
      </c>
      <c r="S233" s="45">
        <f t="shared" si="85"/>
        <v>0</v>
      </c>
      <c r="T233" s="45">
        <f t="shared" si="86"/>
        <v>0.2</v>
      </c>
    </row>
    <row r="234" spans="1:20" x14ac:dyDescent="0.3">
      <c r="A234">
        <f t="shared" si="67"/>
        <v>0</v>
      </c>
      <c r="B234">
        <f t="shared" si="68"/>
        <v>0</v>
      </c>
      <c r="C234">
        <f t="shared" si="69"/>
        <v>1</v>
      </c>
      <c r="D234">
        <f t="shared" si="70"/>
        <v>1</v>
      </c>
      <c r="E234">
        <f t="shared" si="71"/>
        <v>1</v>
      </c>
      <c r="F234">
        <f t="shared" si="72"/>
        <v>0</v>
      </c>
      <c r="G234">
        <f t="shared" si="73"/>
        <v>1</v>
      </c>
      <c r="H234">
        <f t="shared" si="74"/>
        <v>0</v>
      </c>
      <c r="I234">
        <f t="shared" si="75"/>
        <v>1</v>
      </c>
      <c r="J234">
        <f t="shared" si="76"/>
        <v>0</v>
      </c>
      <c r="K234" s="45">
        <f t="shared" si="77"/>
        <v>0</v>
      </c>
      <c r="L234" s="45">
        <f t="shared" si="78"/>
        <v>0</v>
      </c>
      <c r="M234" s="45">
        <f t="shared" si="79"/>
        <v>0.2</v>
      </c>
      <c r="N234" s="45">
        <f t="shared" si="80"/>
        <v>0.2</v>
      </c>
      <c r="O234" s="45">
        <f t="shared" si="81"/>
        <v>0.2</v>
      </c>
      <c r="P234" s="45">
        <f t="shared" si="82"/>
        <v>0</v>
      </c>
      <c r="Q234" s="45">
        <f t="shared" si="83"/>
        <v>0.2</v>
      </c>
      <c r="R234" s="45">
        <f t="shared" si="84"/>
        <v>0</v>
      </c>
      <c r="S234" s="45">
        <f t="shared" si="85"/>
        <v>0.2</v>
      </c>
      <c r="T234" s="45">
        <f t="shared" si="86"/>
        <v>0</v>
      </c>
    </row>
    <row r="235" spans="1:20" x14ac:dyDescent="0.3">
      <c r="A235">
        <f t="shared" si="67"/>
        <v>0</v>
      </c>
      <c r="B235">
        <f t="shared" si="68"/>
        <v>0</v>
      </c>
      <c r="C235">
        <f t="shared" si="69"/>
        <v>1</v>
      </c>
      <c r="D235">
        <f t="shared" si="70"/>
        <v>1</v>
      </c>
      <c r="E235">
        <f t="shared" si="71"/>
        <v>1</v>
      </c>
      <c r="F235">
        <f t="shared" si="72"/>
        <v>0</v>
      </c>
      <c r="G235">
        <f t="shared" si="73"/>
        <v>1</v>
      </c>
      <c r="H235">
        <f t="shared" si="74"/>
        <v>0</v>
      </c>
      <c r="I235">
        <f t="shared" si="75"/>
        <v>1</v>
      </c>
      <c r="J235">
        <f t="shared" si="76"/>
        <v>1</v>
      </c>
      <c r="K235" s="45">
        <f t="shared" si="77"/>
        <v>0</v>
      </c>
      <c r="L235" s="45">
        <f t="shared" si="78"/>
        <v>0</v>
      </c>
      <c r="M235" s="45">
        <f t="shared" si="79"/>
        <v>0.16666666666666666</v>
      </c>
      <c r="N235" s="45">
        <f t="shared" si="80"/>
        <v>0.16666666666666666</v>
      </c>
      <c r="O235" s="45">
        <f t="shared" si="81"/>
        <v>0.16666666666666666</v>
      </c>
      <c r="P235" s="45">
        <f t="shared" si="82"/>
        <v>0</v>
      </c>
      <c r="Q235" s="45">
        <f t="shared" si="83"/>
        <v>0.16666666666666666</v>
      </c>
      <c r="R235" s="45">
        <f t="shared" si="84"/>
        <v>0</v>
      </c>
      <c r="S235" s="45">
        <f t="shared" si="85"/>
        <v>0.16666666666666666</v>
      </c>
      <c r="T235" s="45">
        <f t="shared" si="86"/>
        <v>0.16666666666666666</v>
      </c>
    </row>
    <row r="236" spans="1:20" x14ac:dyDescent="0.3">
      <c r="A236">
        <f t="shared" si="67"/>
        <v>0</v>
      </c>
      <c r="B236">
        <f t="shared" si="68"/>
        <v>0</v>
      </c>
      <c r="C236">
        <f t="shared" si="69"/>
        <v>1</v>
      </c>
      <c r="D236">
        <f t="shared" si="70"/>
        <v>1</v>
      </c>
      <c r="E236">
        <f t="shared" si="71"/>
        <v>1</v>
      </c>
      <c r="F236">
        <f t="shared" si="72"/>
        <v>0</v>
      </c>
      <c r="G236">
        <f t="shared" si="73"/>
        <v>1</v>
      </c>
      <c r="H236">
        <f t="shared" si="74"/>
        <v>1</v>
      </c>
      <c r="I236">
        <f t="shared" si="75"/>
        <v>0</v>
      </c>
      <c r="J236">
        <f t="shared" si="76"/>
        <v>0</v>
      </c>
      <c r="K236" s="45">
        <f t="shared" si="77"/>
        <v>0</v>
      </c>
      <c r="L236" s="45">
        <f t="shared" si="78"/>
        <v>0</v>
      </c>
      <c r="M236" s="45">
        <f t="shared" si="79"/>
        <v>0.2</v>
      </c>
      <c r="N236" s="45">
        <f t="shared" si="80"/>
        <v>0.2</v>
      </c>
      <c r="O236" s="45">
        <f t="shared" si="81"/>
        <v>0.2</v>
      </c>
      <c r="P236" s="45">
        <f t="shared" si="82"/>
        <v>0</v>
      </c>
      <c r="Q236" s="45">
        <f t="shared" si="83"/>
        <v>0.2</v>
      </c>
      <c r="R236" s="45">
        <f t="shared" si="84"/>
        <v>0.2</v>
      </c>
      <c r="S236" s="45">
        <f t="shared" si="85"/>
        <v>0</v>
      </c>
      <c r="T236" s="45">
        <f t="shared" si="86"/>
        <v>0</v>
      </c>
    </row>
    <row r="237" spans="1:20" x14ac:dyDescent="0.3">
      <c r="A237">
        <f t="shared" si="67"/>
        <v>0</v>
      </c>
      <c r="B237">
        <f t="shared" si="68"/>
        <v>0</v>
      </c>
      <c r="C237">
        <f t="shared" si="69"/>
        <v>1</v>
      </c>
      <c r="D237">
        <f t="shared" si="70"/>
        <v>1</v>
      </c>
      <c r="E237">
        <f t="shared" si="71"/>
        <v>1</v>
      </c>
      <c r="F237">
        <f t="shared" si="72"/>
        <v>0</v>
      </c>
      <c r="G237">
        <f t="shared" si="73"/>
        <v>1</v>
      </c>
      <c r="H237">
        <f t="shared" si="74"/>
        <v>1</v>
      </c>
      <c r="I237">
        <f t="shared" si="75"/>
        <v>0</v>
      </c>
      <c r="J237">
        <f t="shared" si="76"/>
        <v>1</v>
      </c>
      <c r="K237" s="45">
        <f t="shared" si="77"/>
        <v>0</v>
      </c>
      <c r="L237" s="45">
        <f t="shared" si="78"/>
        <v>0</v>
      </c>
      <c r="M237" s="45">
        <f t="shared" si="79"/>
        <v>0.16666666666666666</v>
      </c>
      <c r="N237" s="45">
        <f t="shared" si="80"/>
        <v>0.16666666666666666</v>
      </c>
      <c r="O237" s="45">
        <f t="shared" si="81"/>
        <v>0.16666666666666666</v>
      </c>
      <c r="P237" s="45">
        <f t="shared" si="82"/>
        <v>0</v>
      </c>
      <c r="Q237" s="45">
        <f t="shared" si="83"/>
        <v>0.16666666666666666</v>
      </c>
      <c r="R237" s="45">
        <f t="shared" si="84"/>
        <v>0.16666666666666666</v>
      </c>
      <c r="S237" s="45">
        <f t="shared" si="85"/>
        <v>0</v>
      </c>
      <c r="T237" s="45">
        <f t="shared" si="86"/>
        <v>0.16666666666666666</v>
      </c>
    </row>
    <row r="238" spans="1:20" x14ac:dyDescent="0.3">
      <c r="A238">
        <f t="shared" si="67"/>
        <v>0</v>
      </c>
      <c r="B238">
        <f t="shared" si="68"/>
        <v>0</v>
      </c>
      <c r="C238">
        <f t="shared" si="69"/>
        <v>1</v>
      </c>
      <c r="D238">
        <f t="shared" si="70"/>
        <v>1</v>
      </c>
      <c r="E238">
        <f t="shared" si="71"/>
        <v>1</v>
      </c>
      <c r="F238">
        <f t="shared" si="72"/>
        <v>0</v>
      </c>
      <c r="G238">
        <f t="shared" si="73"/>
        <v>1</v>
      </c>
      <c r="H238">
        <f t="shared" si="74"/>
        <v>1</v>
      </c>
      <c r="I238">
        <f t="shared" si="75"/>
        <v>1</v>
      </c>
      <c r="J238">
        <f t="shared" si="76"/>
        <v>0</v>
      </c>
      <c r="K238" s="45">
        <f t="shared" si="77"/>
        <v>0</v>
      </c>
      <c r="L238" s="45">
        <f t="shared" si="78"/>
        <v>0</v>
      </c>
      <c r="M238" s="45">
        <f t="shared" si="79"/>
        <v>0.16666666666666666</v>
      </c>
      <c r="N238" s="45">
        <f t="shared" si="80"/>
        <v>0.16666666666666666</v>
      </c>
      <c r="O238" s="45">
        <f t="shared" si="81"/>
        <v>0.16666666666666666</v>
      </c>
      <c r="P238" s="45">
        <f t="shared" si="82"/>
        <v>0</v>
      </c>
      <c r="Q238" s="45">
        <f t="shared" si="83"/>
        <v>0.16666666666666666</v>
      </c>
      <c r="R238" s="45">
        <f t="shared" si="84"/>
        <v>0.16666666666666666</v>
      </c>
      <c r="S238" s="45">
        <f t="shared" si="85"/>
        <v>0.16666666666666666</v>
      </c>
      <c r="T238" s="45">
        <f t="shared" si="86"/>
        <v>0</v>
      </c>
    </row>
    <row r="239" spans="1:20" x14ac:dyDescent="0.3">
      <c r="A239">
        <f t="shared" si="67"/>
        <v>0</v>
      </c>
      <c r="B239">
        <f t="shared" si="68"/>
        <v>0</v>
      </c>
      <c r="C239">
        <f t="shared" si="69"/>
        <v>1</v>
      </c>
      <c r="D239">
        <f t="shared" si="70"/>
        <v>1</v>
      </c>
      <c r="E239">
        <f t="shared" si="71"/>
        <v>1</v>
      </c>
      <c r="F239">
        <f t="shared" si="72"/>
        <v>0</v>
      </c>
      <c r="G239">
        <f t="shared" si="73"/>
        <v>1</v>
      </c>
      <c r="H239">
        <f t="shared" si="74"/>
        <v>1</v>
      </c>
      <c r="I239">
        <f t="shared" si="75"/>
        <v>1</v>
      </c>
      <c r="J239">
        <f t="shared" si="76"/>
        <v>1</v>
      </c>
      <c r="K239" s="45">
        <f t="shared" si="77"/>
        <v>0</v>
      </c>
      <c r="L239" s="45">
        <f t="shared" si="78"/>
        <v>0</v>
      </c>
      <c r="M239" s="45">
        <f t="shared" si="79"/>
        <v>0.14285714285714285</v>
      </c>
      <c r="N239" s="45">
        <f t="shared" si="80"/>
        <v>0.14285714285714285</v>
      </c>
      <c r="O239" s="45">
        <f t="shared" si="81"/>
        <v>0.14285714285714285</v>
      </c>
      <c r="P239" s="45">
        <f t="shared" si="82"/>
        <v>0</v>
      </c>
      <c r="Q239" s="45">
        <f t="shared" si="83"/>
        <v>0.14285714285714285</v>
      </c>
      <c r="R239" s="45">
        <f t="shared" si="84"/>
        <v>0.14285714285714285</v>
      </c>
      <c r="S239" s="45">
        <f t="shared" si="85"/>
        <v>0.14285714285714285</v>
      </c>
      <c r="T239" s="45">
        <f t="shared" si="86"/>
        <v>0.14285714285714285</v>
      </c>
    </row>
    <row r="240" spans="1:20" x14ac:dyDescent="0.3">
      <c r="A240">
        <f t="shared" si="67"/>
        <v>0</v>
      </c>
      <c r="B240">
        <f t="shared" si="68"/>
        <v>0</v>
      </c>
      <c r="C240">
        <f t="shared" si="69"/>
        <v>1</v>
      </c>
      <c r="D240">
        <f t="shared" si="70"/>
        <v>1</v>
      </c>
      <c r="E240">
        <f t="shared" si="71"/>
        <v>1</v>
      </c>
      <c r="F240">
        <f t="shared" si="72"/>
        <v>1</v>
      </c>
      <c r="G240">
        <f t="shared" si="73"/>
        <v>0</v>
      </c>
      <c r="H240">
        <f t="shared" si="74"/>
        <v>0</v>
      </c>
      <c r="I240">
        <f t="shared" si="75"/>
        <v>0</v>
      </c>
      <c r="J240">
        <f t="shared" si="76"/>
        <v>0</v>
      </c>
      <c r="K240" s="45">
        <f t="shared" si="77"/>
        <v>0</v>
      </c>
      <c r="L240" s="45">
        <f t="shared" si="78"/>
        <v>0</v>
      </c>
      <c r="M240" s="45">
        <f t="shared" si="79"/>
        <v>0.25</v>
      </c>
      <c r="N240" s="45">
        <f t="shared" si="80"/>
        <v>0.25</v>
      </c>
      <c r="O240" s="45">
        <f t="shared" si="81"/>
        <v>0.25</v>
      </c>
      <c r="P240" s="45">
        <f t="shared" si="82"/>
        <v>0.25</v>
      </c>
      <c r="Q240" s="45">
        <f t="shared" si="83"/>
        <v>0</v>
      </c>
      <c r="R240" s="45">
        <f t="shared" si="84"/>
        <v>0</v>
      </c>
      <c r="S240" s="45">
        <f t="shared" si="85"/>
        <v>0</v>
      </c>
      <c r="T240" s="45">
        <f t="shared" si="86"/>
        <v>0</v>
      </c>
    </row>
    <row r="241" spans="1:20" x14ac:dyDescent="0.3">
      <c r="A241">
        <f t="shared" si="67"/>
        <v>0</v>
      </c>
      <c r="B241">
        <f t="shared" si="68"/>
        <v>0</v>
      </c>
      <c r="C241">
        <f t="shared" si="69"/>
        <v>1</v>
      </c>
      <c r="D241">
        <f t="shared" si="70"/>
        <v>1</v>
      </c>
      <c r="E241">
        <f t="shared" si="71"/>
        <v>1</v>
      </c>
      <c r="F241">
        <f t="shared" si="72"/>
        <v>1</v>
      </c>
      <c r="G241">
        <f t="shared" si="73"/>
        <v>0</v>
      </c>
      <c r="H241">
        <f t="shared" si="74"/>
        <v>0</v>
      </c>
      <c r="I241">
        <f t="shared" si="75"/>
        <v>0</v>
      </c>
      <c r="J241">
        <f t="shared" si="76"/>
        <v>1</v>
      </c>
      <c r="K241" s="45">
        <f t="shared" si="77"/>
        <v>0</v>
      </c>
      <c r="L241" s="45">
        <f t="shared" si="78"/>
        <v>0</v>
      </c>
      <c r="M241" s="45">
        <f t="shared" si="79"/>
        <v>0.2</v>
      </c>
      <c r="N241" s="45">
        <f t="shared" si="80"/>
        <v>0.2</v>
      </c>
      <c r="O241" s="45">
        <f t="shared" si="81"/>
        <v>0.2</v>
      </c>
      <c r="P241" s="45">
        <f t="shared" si="82"/>
        <v>0.2</v>
      </c>
      <c r="Q241" s="45">
        <f t="shared" si="83"/>
        <v>0</v>
      </c>
      <c r="R241" s="45">
        <f t="shared" si="84"/>
        <v>0</v>
      </c>
      <c r="S241" s="45">
        <f t="shared" si="85"/>
        <v>0</v>
      </c>
      <c r="T241" s="45">
        <f t="shared" si="86"/>
        <v>0.2</v>
      </c>
    </row>
    <row r="242" spans="1:20" x14ac:dyDescent="0.3">
      <c r="A242">
        <f t="shared" si="67"/>
        <v>0</v>
      </c>
      <c r="B242">
        <f t="shared" si="68"/>
        <v>0</v>
      </c>
      <c r="C242">
        <f t="shared" si="69"/>
        <v>1</v>
      </c>
      <c r="D242">
        <f t="shared" si="70"/>
        <v>1</v>
      </c>
      <c r="E242">
        <f t="shared" si="71"/>
        <v>1</v>
      </c>
      <c r="F242">
        <f t="shared" si="72"/>
        <v>1</v>
      </c>
      <c r="G242">
        <f t="shared" si="73"/>
        <v>0</v>
      </c>
      <c r="H242">
        <f t="shared" si="74"/>
        <v>0</v>
      </c>
      <c r="I242">
        <f t="shared" si="75"/>
        <v>1</v>
      </c>
      <c r="J242">
        <f t="shared" si="76"/>
        <v>0</v>
      </c>
      <c r="K242" s="45">
        <f t="shared" si="77"/>
        <v>0</v>
      </c>
      <c r="L242" s="45">
        <f t="shared" si="78"/>
        <v>0</v>
      </c>
      <c r="M242" s="45">
        <f t="shared" si="79"/>
        <v>0.2</v>
      </c>
      <c r="N242" s="45">
        <f t="shared" si="80"/>
        <v>0.2</v>
      </c>
      <c r="O242" s="45">
        <f t="shared" si="81"/>
        <v>0.2</v>
      </c>
      <c r="P242" s="45">
        <f t="shared" si="82"/>
        <v>0.2</v>
      </c>
      <c r="Q242" s="45">
        <f t="shared" si="83"/>
        <v>0</v>
      </c>
      <c r="R242" s="45">
        <f t="shared" si="84"/>
        <v>0</v>
      </c>
      <c r="S242" s="45">
        <f t="shared" si="85"/>
        <v>0.2</v>
      </c>
      <c r="T242" s="45">
        <f t="shared" si="86"/>
        <v>0</v>
      </c>
    </row>
    <row r="243" spans="1:20" x14ac:dyDescent="0.3">
      <c r="A243">
        <f t="shared" si="67"/>
        <v>0</v>
      </c>
      <c r="B243">
        <f t="shared" si="68"/>
        <v>0</v>
      </c>
      <c r="C243">
        <f t="shared" si="69"/>
        <v>1</v>
      </c>
      <c r="D243">
        <f t="shared" si="70"/>
        <v>1</v>
      </c>
      <c r="E243">
        <f t="shared" si="71"/>
        <v>1</v>
      </c>
      <c r="F243">
        <f t="shared" si="72"/>
        <v>1</v>
      </c>
      <c r="G243">
        <f t="shared" si="73"/>
        <v>0</v>
      </c>
      <c r="H243">
        <f t="shared" si="74"/>
        <v>0</v>
      </c>
      <c r="I243">
        <f t="shared" si="75"/>
        <v>1</v>
      </c>
      <c r="J243">
        <f t="shared" si="76"/>
        <v>1</v>
      </c>
      <c r="K243" s="45">
        <f t="shared" si="77"/>
        <v>0</v>
      </c>
      <c r="L243" s="45">
        <f t="shared" si="78"/>
        <v>0</v>
      </c>
      <c r="M243" s="45">
        <f t="shared" si="79"/>
        <v>0.16666666666666666</v>
      </c>
      <c r="N243" s="45">
        <f t="shared" si="80"/>
        <v>0.16666666666666666</v>
      </c>
      <c r="O243" s="45">
        <f t="shared" si="81"/>
        <v>0.16666666666666666</v>
      </c>
      <c r="P243" s="45">
        <f t="shared" si="82"/>
        <v>0.16666666666666666</v>
      </c>
      <c r="Q243" s="45">
        <f t="shared" si="83"/>
        <v>0</v>
      </c>
      <c r="R243" s="45">
        <f t="shared" si="84"/>
        <v>0</v>
      </c>
      <c r="S243" s="45">
        <f t="shared" si="85"/>
        <v>0.16666666666666666</v>
      </c>
      <c r="T243" s="45">
        <f t="shared" si="86"/>
        <v>0.16666666666666666</v>
      </c>
    </row>
    <row r="244" spans="1:20" x14ac:dyDescent="0.3">
      <c r="A244">
        <f t="shared" si="67"/>
        <v>0</v>
      </c>
      <c r="B244">
        <f t="shared" si="68"/>
        <v>0</v>
      </c>
      <c r="C244">
        <f t="shared" si="69"/>
        <v>1</v>
      </c>
      <c r="D244">
        <f t="shared" si="70"/>
        <v>1</v>
      </c>
      <c r="E244">
        <f t="shared" si="71"/>
        <v>1</v>
      </c>
      <c r="F244">
        <f t="shared" si="72"/>
        <v>1</v>
      </c>
      <c r="G244">
        <f t="shared" si="73"/>
        <v>0</v>
      </c>
      <c r="H244">
        <f t="shared" si="74"/>
        <v>1</v>
      </c>
      <c r="I244">
        <f t="shared" si="75"/>
        <v>0</v>
      </c>
      <c r="J244">
        <f t="shared" si="76"/>
        <v>0</v>
      </c>
      <c r="K244" s="45">
        <f t="shared" si="77"/>
        <v>0</v>
      </c>
      <c r="L244" s="45">
        <f t="shared" si="78"/>
        <v>0</v>
      </c>
      <c r="M244" s="45">
        <f t="shared" si="79"/>
        <v>0.2</v>
      </c>
      <c r="N244" s="45">
        <f t="shared" si="80"/>
        <v>0.2</v>
      </c>
      <c r="O244" s="45">
        <f t="shared" si="81"/>
        <v>0.2</v>
      </c>
      <c r="P244" s="45">
        <f t="shared" si="82"/>
        <v>0.2</v>
      </c>
      <c r="Q244" s="45">
        <f t="shared" si="83"/>
        <v>0</v>
      </c>
      <c r="R244" s="45">
        <f t="shared" si="84"/>
        <v>0.2</v>
      </c>
      <c r="S244" s="45">
        <f t="shared" si="85"/>
        <v>0</v>
      </c>
      <c r="T244" s="45">
        <f t="shared" si="86"/>
        <v>0</v>
      </c>
    </row>
    <row r="245" spans="1:20" x14ac:dyDescent="0.3">
      <c r="A245">
        <f t="shared" si="67"/>
        <v>0</v>
      </c>
      <c r="B245">
        <f t="shared" si="68"/>
        <v>0</v>
      </c>
      <c r="C245">
        <f t="shared" si="69"/>
        <v>1</v>
      </c>
      <c r="D245">
        <f t="shared" si="70"/>
        <v>1</v>
      </c>
      <c r="E245">
        <f t="shared" si="71"/>
        <v>1</v>
      </c>
      <c r="F245">
        <f t="shared" si="72"/>
        <v>1</v>
      </c>
      <c r="G245">
        <f t="shared" si="73"/>
        <v>0</v>
      </c>
      <c r="H245">
        <f t="shared" si="74"/>
        <v>1</v>
      </c>
      <c r="I245">
        <f t="shared" si="75"/>
        <v>0</v>
      </c>
      <c r="J245">
        <f t="shared" si="76"/>
        <v>1</v>
      </c>
      <c r="K245" s="45">
        <f t="shared" si="77"/>
        <v>0</v>
      </c>
      <c r="L245" s="45">
        <f t="shared" si="78"/>
        <v>0</v>
      </c>
      <c r="M245" s="45">
        <f t="shared" si="79"/>
        <v>0.16666666666666666</v>
      </c>
      <c r="N245" s="45">
        <f t="shared" si="80"/>
        <v>0.16666666666666666</v>
      </c>
      <c r="O245" s="45">
        <f t="shared" si="81"/>
        <v>0.16666666666666666</v>
      </c>
      <c r="P245" s="45">
        <f t="shared" si="82"/>
        <v>0.16666666666666666</v>
      </c>
      <c r="Q245" s="45">
        <f t="shared" si="83"/>
        <v>0</v>
      </c>
      <c r="R245" s="45">
        <f t="shared" si="84"/>
        <v>0.16666666666666666</v>
      </c>
      <c r="S245" s="45">
        <f t="shared" si="85"/>
        <v>0</v>
      </c>
      <c r="T245" s="45">
        <f t="shared" si="86"/>
        <v>0.16666666666666666</v>
      </c>
    </row>
    <row r="246" spans="1:20" x14ac:dyDescent="0.3">
      <c r="A246">
        <f t="shared" si="67"/>
        <v>0</v>
      </c>
      <c r="B246">
        <f t="shared" si="68"/>
        <v>0</v>
      </c>
      <c r="C246">
        <f t="shared" si="69"/>
        <v>1</v>
      </c>
      <c r="D246">
        <f t="shared" si="70"/>
        <v>1</v>
      </c>
      <c r="E246">
        <f t="shared" si="71"/>
        <v>1</v>
      </c>
      <c r="F246">
        <f t="shared" si="72"/>
        <v>1</v>
      </c>
      <c r="G246">
        <f t="shared" si="73"/>
        <v>0</v>
      </c>
      <c r="H246">
        <f t="shared" si="74"/>
        <v>1</v>
      </c>
      <c r="I246">
        <f t="shared" si="75"/>
        <v>1</v>
      </c>
      <c r="J246">
        <f t="shared" si="76"/>
        <v>0</v>
      </c>
      <c r="K246" s="45">
        <f t="shared" si="77"/>
        <v>0</v>
      </c>
      <c r="L246" s="45">
        <f t="shared" si="78"/>
        <v>0</v>
      </c>
      <c r="M246" s="45">
        <f t="shared" si="79"/>
        <v>0.16666666666666666</v>
      </c>
      <c r="N246" s="45">
        <f t="shared" si="80"/>
        <v>0.16666666666666666</v>
      </c>
      <c r="O246" s="45">
        <f t="shared" si="81"/>
        <v>0.16666666666666666</v>
      </c>
      <c r="P246" s="45">
        <f t="shared" si="82"/>
        <v>0.16666666666666666</v>
      </c>
      <c r="Q246" s="45">
        <f t="shared" si="83"/>
        <v>0</v>
      </c>
      <c r="R246" s="45">
        <f t="shared" si="84"/>
        <v>0.16666666666666666</v>
      </c>
      <c r="S246" s="45">
        <f t="shared" si="85"/>
        <v>0.16666666666666666</v>
      </c>
      <c r="T246" s="45">
        <f t="shared" si="86"/>
        <v>0</v>
      </c>
    </row>
    <row r="247" spans="1:20" x14ac:dyDescent="0.3">
      <c r="A247">
        <f t="shared" si="67"/>
        <v>0</v>
      </c>
      <c r="B247">
        <f t="shared" si="68"/>
        <v>0</v>
      </c>
      <c r="C247">
        <f t="shared" si="69"/>
        <v>1</v>
      </c>
      <c r="D247">
        <f t="shared" si="70"/>
        <v>1</v>
      </c>
      <c r="E247">
        <f t="shared" si="71"/>
        <v>1</v>
      </c>
      <c r="F247">
        <f t="shared" si="72"/>
        <v>1</v>
      </c>
      <c r="G247">
        <f t="shared" si="73"/>
        <v>0</v>
      </c>
      <c r="H247">
        <f t="shared" si="74"/>
        <v>1</v>
      </c>
      <c r="I247">
        <f t="shared" si="75"/>
        <v>1</v>
      </c>
      <c r="J247">
        <f t="shared" si="76"/>
        <v>1</v>
      </c>
      <c r="K247" s="45">
        <f t="shared" si="77"/>
        <v>0</v>
      </c>
      <c r="L247" s="45">
        <f t="shared" si="78"/>
        <v>0</v>
      </c>
      <c r="M247" s="45">
        <f t="shared" si="79"/>
        <v>0.14285714285714285</v>
      </c>
      <c r="N247" s="45">
        <f t="shared" si="80"/>
        <v>0.14285714285714285</v>
      </c>
      <c r="O247" s="45">
        <f t="shared" si="81"/>
        <v>0.14285714285714285</v>
      </c>
      <c r="P247" s="45">
        <f t="shared" si="82"/>
        <v>0.14285714285714285</v>
      </c>
      <c r="Q247" s="45">
        <f t="shared" si="83"/>
        <v>0</v>
      </c>
      <c r="R247" s="45">
        <f t="shared" si="84"/>
        <v>0.14285714285714285</v>
      </c>
      <c r="S247" s="45">
        <f t="shared" si="85"/>
        <v>0.14285714285714285</v>
      </c>
      <c r="T247" s="45">
        <f t="shared" si="86"/>
        <v>0.14285714285714285</v>
      </c>
    </row>
    <row r="248" spans="1:20" x14ac:dyDescent="0.3">
      <c r="A248">
        <f t="shared" si="67"/>
        <v>0</v>
      </c>
      <c r="B248">
        <f t="shared" si="68"/>
        <v>0</v>
      </c>
      <c r="C248">
        <f t="shared" si="69"/>
        <v>1</v>
      </c>
      <c r="D248">
        <f t="shared" si="70"/>
        <v>1</v>
      </c>
      <c r="E248">
        <f t="shared" si="71"/>
        <v>1</v>
      </c>
      <c r="F248">
        <f t="shared" si="72"/>
        <v>1</v>
      </c>
      <c r="G248">
        <f t="shared" si="73"/>
        <v>1</v>
      </c>
      <c r="H248">
        <f t="shared" si="74"/>
        <v>0</v>
      </c>
      <c r="I248">
        <f t="shared" si="75"/>
        <v>0</v>
      </c>
      <c r="J248">
        <f t="shared" si="76"/>
        <v>0</v>
      </c>
      <c r="K248" s="45">
        <f t="shared" si="77"/>
        <v>0</v>
      </c>
      <c r="L248" s="45">
        <f t="shared" si="78"/>
        <v>0</v>
      </c>
      <c r="M248" s="45">
        <f t="shared" si="79"/>
        <v>0.2</v>
      </c>
      <c r="N248" s="45">
        <f t="shared" si="80"/>
        <v>0.2</v>
      </c>
      <c r="O248" s="45">
        <f t="shared" si="81"/>
        <v>0.2</v>
      </c>
      <c r="P248" s="45">
        <f t="shared" si="82"/>
        <v>0.2</v>
      </c>
      <c r="Q248" s="45">
        <f t="shared" si="83"/>
        <v>0.2</v>
      </c>
      <c r="R248" s="45">
        <f t="shared" si="84"/>
        <v>0</v>
      </c>
      <c r="S248" s="45">
        <f t="shared" si="85"/>
        <v>0</v>
      </c>
      <c r="T248" s="45">
        <f t="shared" si="86"/>
        <v>0</v>
      </c>
    </row>
    <row r="249" spans="1:20" x14ac:dyDescent="0.3">
      <c r="A249">
        <f t="shared" si="67"/>
        <v>0</v>
      </c>
      <c r="B249">
        <f t="shared" si="68"/>
        <v>0</v>
      </c>
      <c r="C249">
        <f t="shared" si="69"/>
        <v>1</v>
      </c>
      <c r="D249">
        <f t="shared" si="70"/>
        <v>1</v>
      </c>
      <c r="E249">
        <f t="shared" si="71"/>
        <v>1</v>
      </c>
      <c r="F249">
        <f t="shared" si="72"/>
        <v>1</v>
      </c>
      <c r="G249">
        <f t="shared" si="73"/>
        <v>1</v>
      </c>
      <c r="H249">
        <f t="shared" si="74"/>
        <v>0</v>
      </c>
      <c r="I249">
        <f t="shared" si="75"/>
        <v>0</v>
      </c>
      <c r="J249">
        <f t="shared" si="76"/>
        <v>1</v>
      </c>
      <c r="K249" s="45">
        <f t="shared" si="77"/>
        <v>0</v>
      </c>
      <c r="L249" s="45">
        <f t="shared" si="78"/>
        <v>0</v>
      </c>
      <c r="M249" s="45">
        <f t="shared" si="79"/>
        <v>0.16666666666666666</v>
      </c>
      <c r="N249" s="45">
        <f t="shared" si="80"/>
        <v>0.16666666666666666</v>
      </c>
      <c r="O249" s="45">
        <f t="shared" si="81"/>
        <v>0.16666666666666666</v>
      </c>
      <c r="P249" s="45">
        <f t="shared" si="82"/>
        <v>0.16666666666666666</v>
      </c>
      <c r="Q249" s="45">
        <f t="shared" si="83"/>
        <v>0.16666666666666666</v>
      </c>
      <c r="R249" s="45">
        <f t="shared" si="84"/>
        <v>0</v>
      </c>
      <c r="S249" s="45">
        <f t="shared" si="85"/>
        <v>0</v>
      </c>
      <c r="T249" s="45">
        <f t="shared" si="86"/>
        <v>0.16666666666666666</v>
      </c>
    </row>
    <row r="250" spans="1:20" x14ac:dyDescent="0.3">
      <c r="A250">
        <f t="shared" si="67"/>
        <v>0</v>
      </c>
      <c r="B250">
        <f t="shared" si="68"/>
        <v>0</v>
      </c>
      <c r="C250">
        <f t="shared" si="69"/>
        <v>1</v>
      </c>
      <c r="D250">
        <f t="shared" si="70"/>
        <v>1</v>
      </c>
      <c r="E250">
        <f t="shared" si="71"/>
        <v>1</v>
      </c>
      <c r="F250">
        <f t="shared" si="72"/>
        <v>1</v>
      </c>
      <c r="G250">
        <f t="shared" si="73"/>
        <v>1</v>
      </c>
      <c r="H250">
        <f t="shared" si="74"/>
        <v>0</v>
      </c>
      <c r="I250">
        <f t="shared" si="75"/>
        <v>1</v>
      </c>
      <c r="J250">
        <f t="shared" si="76"/>
        <v>0</v>
      </c>
      <c r="K250" s="45">
        <f t="shared" si="77"/>
        <v>0</v>
      </c>
      <c r="L250" s="45">
        <f t="shared" si="78"/>
        <v>0</v>
      </c>
      <c r="M250" s="45">
        <f t="shared" si="79"/>
        <v>0.16666666666666666</v>
      </c>
      <c r="N250" s="45">
        <f t="shared" si="80"/>
        <v>0.16666666666666666</v>
      </c>
      <c r="O250" s="45">
        <f t="shared" si="81"/>
        <v>0.16666666666666666</v>
      </c>
      <c r="P250" s="45">
        <f t="shared" si="82"/>
        <v>0.16666666666666666</v>
      </c>
      <c r="Q250" s="45">
        <f t="shared" si="83"/>
        <v>0.16666666666666666</v>
      </c>
      <c r="R250" s="45">
        <f t="shared" si="84"/>
        <v>0</v>
      </c>
      <c r="S250" s="45">
        <f t="shared" si="85"/>
        <v>0.16666666666666666</v>
      </c>
      <c r="T250" s="45">
        <f t="shared" si="86"/>
        <v>0</v>
      </c>
    </row>
    <row r="251" spans="1:20" x14ac:dyDescent="0.3">
      <c r="A251">
        <f t="shared" si="67"/>
        <v>0</v>
      </c>
      <c r="B251">
        <f t="shared" si="68"/>
        <v>0</v>
      </c>
      <c r="C251">
        <f t="shared" si="69"/>
        <v>1</v>
      </c>
      <c r="D251">
        <f t="shared" si="70"/>
        <v>1</v>
      </c>
      <c r="E251">
        <f t="shared" si="71"/>
        <v>1</v>
      </c>
      <c r="F251">
        <f t="shared" si="72"/>
        <v>1</v>
      </c>
      <c r="G251">
        <f t="shared" si="73"/>
        <v>1</v>
      </c>
      <c r="H251">
        <f t="shared" si="74"/>
        <v>0</v>
      </c>
      <c r="I251">
        <f t="shared" si="75"/>
        <v>1</v>
      </c>
      <c r="J251">
        <f t="shared" si="76"/>
        <v>1</v>
      </c>
      <c r="K251" s="45">
        <f t="shared" si="77"/>
        <v>0</v>
      </c>
      <c r="L251" s="45">
        <f t="shared" si="78"/>
        <v>0</v>
      </c>
      <c r="M251" s="45">
        <f t="shared" si="79"/>
        <v>0.14285714285714285</v>
      </c>
      <c r="N251" s="45">
        <f t="shared" si="80"/>
        <v>0.14285714285714285</v>
      </c>
      <c r="O251" s="45">
        <f t="shared" si="81"/>
        <v>0.14285714285714285</v>
      </c>
      <c r="P251" s="45">
        <f t="shared" si="82"/>
        <v>0.14285714285714285</v>
      </c>
      <c r="Q251" s="45">
        <f t="shared" si="83"/>
        <v>0.14285714285714285</v>
      </c>
      <c r="R251" s="45">
        <f t="shared" si="84"/>
        <v>0</v>
      </c>
      <c r="S251" s="45">
        <f t="shared" si="85"/>
        <v>0.14285714285714285</v>
      </c>
      <c r="T251" s="45">
        <f t="shared" si="86"/>
        <v>0.14285714285714285</v>
      </c>
    </row>
    <row r="252" spans="1:20" x14ac:dyDescent="0.3">
      <c r="A252">
        <f t="shared" si="67"/>
        <v>0</v>
      </c>
      <c r="B252">
        <f t="shared" si="68"/>
        <v>0</v>
      </c>
      <c r="C252">
        <f t="shared" si="69"/>
        <v>1</v>
      </c>
      <c r="D252">
        <f t="shared" si="70"/>
        <v>1</v>
      </c>
      <c r="E252">
        <f t="shared" si="71"/>
        <v>1</v>
      </c>
      <c r="F252">
        <f t="shared" si="72"/>
        <v>1</v>
      </c>
      <c r="G252">
        <f t="shared" si="73"/>
        <v>1</v>
      </c>
      <c r="H252">
        <f t="shared" si="74"/>
        <v>1</v>
      </c>
      <c r="I252">
        <f t="shared" si="75"/>
        <v>0</v>
      </c>
      <c r="J252">
        <f t="shared" si="76"/>
        <v>0</v>
      </c>
      <c r="K252" s="45">
        <f t="shared" si="77"/>
        <v>0</v>
      </c>
      <c r="L252" s="45">
        <f t="shared" si="78"/>
        <v>0</v>
      </c>
      <c r="M252" s="45">
        <f t="shared" si="79"/>
        <v>0.16666666666666666</v>
      </c>
      <c r="N252" s="45">
        <f t="shared" si="80"/>
        <v>0.16666666666666666</v>
      </c>
      <c r="O252" s="45">
        <f t="shared" si="81"/>
        <v>0.16666666666666666</v>
      </c>
      <c r="P252" s="45">
        <f t="shared" si="82"/>
        <v>0.16666666666666666</v>
      </c>
      <c r="Q252" s="45">
        <f t="shared" si="83"/>
        <v>0.16666666666666666</v>
      </c>
      <c r="R252" s="45">
        <f t="shared" si="84"/>
        <v>0.16666666666666666</v>
      </c>
      <c r="S252" s="45">
        <f t="shared" si="85"/>
        <v>0</v>
      </c>
      <c r="T252" s="45">
        <f t="shared" si="86"/>
        <v>0</v>
      </c>
    </row>
    <row r="253" spans="1:20" x14ac:dyDescent="0.3">
      <c r="A253">
        <f t="shared" si="67"/>
        <v>0</v>
      </c>
      <c r="B253">
        <f t="shared" si="68"/>
        <v>0</v>
      </c>
      <c r="C253">
        <f t="shared" si="69"/>
        <v>1</v>
      </c>
      <c r="D253">
        <f t="shared" si="70"/>
        <v>1</v>
      </c>
      <c r="E253">
        <f t="shared" si="71"/>
        <v>1</v>
      </c>
      <c r="F253">
        <f t="shared" si="72"/>
        <v>1</v>
      </c>
      <c r="G253">
        <f t="shared" si="73"/>
        <v>1</v>
      </c>
      <c r="H253">
        <f t="shared" si="74"/>
        <v>1</v>
      </c>
      <c r="I253">
        <f t="shared" si="75"/>
        <v>0</v>
      </c>
      <c r="J253">
        <f t="shared" si="76"/>
        <v>1</v>
      </c>
      <c r="K253" s="45">
        <f t="shared" si="77"/>
        <v>0</v>
      </c>
      <c r="L253" s="45">
        <f t="shared" si="78"/>
        <v>0</v>
      </c>
      <c r="M253" s="45">
        <f t="shared" si="79"/>
        <v>0.14285714285714285</v>
      </c>
      <c r="N253" s="45">
        <f t="shared" si="80"/>
        <v>0.14285714285714285</v>
      </c>
      <c r="O253" s="45">
        <f t="shared" si="81"/>
        <v>0.14285714285714285</v>
      </c>
      <c r="P253" s="45">
        <f t="shared" si="82"/>
        <v>0.14285714285714285</v>
      </c>
      <c r="Q253" s="45">
        <f t="shared" si="83"/>
        <v>0.14285714285714285</v>
      </c>
      <c r="R253" s="45">
        <f t="shared" si="84"/>
        <v>0.14285714285714285</v>
      </c>
      <c r="S253" s="45">
        <f t="shared" si="85"/>
        <v>0</v>
      </c>
      <c r="T253" s="45">
        <f t="shared" si="86"/>
        <v>0.14285714285714285</v>
      </c>
    </row>
    <row r="254" spans="1:20" x14ac:dyDescent="0.3">
      <c r="A254">
        <f t="shared" si="67"/>
        <v>0</v>
      </c>
      <c r="B254">
        <f t="shared" si="68"/>
        <v>0</v>
      </c>
      <c r="C254">
        <f t="shared" si="69"/>
        <v>1</v>
      </c>
      <c r="D254">
        <f t="shared" si="70"/>
        <v>1</v>
      </c>
      <c r="E254">
        <f t="shared" si="71"/>
        <v>1</v>
      </c>
      <c r="F254">
        <f t="shared" si="72"/>
        <v>1</v>
      </c>
      <c r="G254">
        <f t="shared" si="73"/>
        <v>1</v>
      </c>
      <c r="H254">
        <f t="shared" si="74"/>
        <v>1</v>
      </c>
      <c r="I254">
        <f t="shared" si="75"/>
        <v>1</v>
      </c>
      <c r="J254">
        <f t="shared" si="76"/>
        <v>0</v>
      </c>
      <c r="K254" s="45">
        <f t="shared" si="77"/>
        <v>0</v>
      </c>
      <c r="L254" s="45">
        <f t="shared" si="78"/>
        <v>0</v>
      </c>
      <c r="M254" s="45">
        <f t="shared" si="79"/>
        <v>0.14285714285714285</v>
      </c>
      <c r="N254" s="45">
        <f t="shared" si="80"/>
        <v>0.14285714285714285</v>
      </c>
      <c r="O254" s="45">
        <f t="shared" si="81"/>
        <v>0.14285714285714285</v>
      </c>
      <c r="P254" s="45">
        <f t="shared" si="82"/>
        <v>0.14285714285714285</v>
      </c>
      <c r="Q254" s="45">
        <f t="shared" si="83"/>
        <v>0.14285714285714285</v>
      </c>
      <c r="R254" s="45">
        <f t="shared" si="84"/>
        <v>0.14285714285714285</v>
      </c>
      <c r="S254" s="45">
        <f t="shared" si="85"/>
        <v>0.14285714285714285</v>
      </c>
      <c r="T254" s="45">
        <f t="shared" si="86"/>
        <v>0</v>
      </c>
    </row>
    <row r="255" spans="1:20" x14ac:dyDescent="0.3">
      <c r="A255">
        <f t="shared" si="67"/>
        <v>0</v>
      </c>
      <c r="B255">
        <f t="shared" si="68"/>
        <v>0</v>
      </c>
      <c r="C255">
        <f t="shared" si="69"/>
        <v>1</v>
      </c>
      <c r="D255">
        <f t="shared" si="70"/>
        <v>1</v>
      </c>
      <c r="E255">
        <f t="shared" si="71"/>
        <v>1</v>
      </c>
      <c r="F255">
        <f t="shared" si="72"/>
        <v>1</v>
      </c>
      <c r="G255">
        <f t="shared" si="73"/>
        <v>1</v>
      </c>
      <c r="H255">
        <f t="shared" si="74"/>
        <v>1</v>
      </c>
      <c r="I255">
        <f t="shared" si="75"/>
        <v>1</v>
      </c>
      <c r="J255">
        <f t="shared" si="76"/>
        <v>1</v>
      </c>
      <c r="K255" s="45">
        <f t="shared" si="77"/>
        <v>0</v>
      </c>
      <c r="L255" s="45">
        <f t="shared" si="78"/>
        <v>0</v>
      </c>
      <c r="M255" s="45">
        <f t="shared" si="79"/>
        <v>0.125</v>
      </c>
      <c r="N255" s="45">
        <f t="shared" si="80"/>
        <v>0.125</v>
      </c>
      <c r="O255" s="45">
        <f t="shared" si="81"/>
        <v>0.125</v>
      </c>
      <c r="P255" s="45">
        <f t="shared" si="82"/>
        <v>0.125</v>
      </c>
      <c r="Q255" s="45">
        <f t="shared" si="83"/>
        <v>0.125</v>
      </c>
      <c r="R255" s="45">
        <f t="shared" si="84"/>
        <v>0.125</v>
      </c>
      <c r="S255" s="45">
        <f t="shared" si="85"/>
        <v>0.125</v>
      </c>
      <c r="T255" s="45">
        <f t="shared" si="86"/>
        <v>0.125</v>
      </c>
    </row>
    <row r="256" spans="1:20" x14ac:dyDescent="0.3">
      <c r="A256">
        <f t="shared" si="67"/>
        <v>0</v>
      </c>
      <c r="B256">
        <f t="shared" si="68"/>
        <v>1</v>
      </c>
      <c r="C256">
        <f t="shared" si="69"/>
        <v>0</v>
      </c>
      <c r="D256">
        <f t="shared" si="70"/>
        <v>0</v>
      </c>
      <c r="E256">
        <f t="shared" si="71"/>
        <v>0</v>
      </c>
      <c r="F256">
        <f t="shared" si="72"/>
        <v>0</v>
      </c>
      <c r="G256">
        <f t="shared" si="73"/>
        <v>0</v>
      </c>
      <c r="H256">
        <f t="shared" si="74"/>
        <v>0</v>
      </c>
      <c r="I256">
        <f t="shared" si="75"/>
        <v>0</v>
      </c>
      <c r="J256">
        <f t="shared" si="76"/>
        <v>0</v>
      </c>
      <c r="K256" s="45">
        <f t="shared" si="77"/>
        <v>0</v>
      </c>
      <c r="L256" s="45">
        <f t="shared" si="78"/>
        <v>1</v>
      </c>
      <c r="M256" s="45">
        <f t="shared" si="79"/>
        <v>0</v>
      </c>
      <c r="N256" s="45">
        <f t="shared" si="80"/>
        <v>0</v>
      </c>
      <c r="O256" s="45">
        <f t="shared" si="81"/>
        <v>0</v>
      </c>
      <c r="P256" s="45">
        <f t="shared" si="82"/>
        <v>0</v>
      </c>
      <c r="Q256" s="45">
        <f t="shared" si="83"/>
        <v>0</v>
      </c>
      <c r="R256" s="45">
        <f t="shared" si="84"/>
        <v>0</v>
      </c>
      <c r="S256" s="45">
        <f t="shared" si="85"/>
        <v>0</v>
      </c>
      <c r="T256" s="45">
        <f t="shared" si="86"/>
        <v>0</v>
      </c>
    </row>
    <row r="257" spans="1:20" x14ac:dyDescent="0.3">
      <c r="A257">
        <f t="shared" si="67"/>
        <v>0</v>
      </c>
      <c r="B257">
        <f t="shared" si="68"/>
        <v>1</v>
      </c>
      <c r="C257">
        <f t="shared" si="69"/>
        <v>0</v>
      </c>
      <c r="D257">
        <f t="shared" si="70"/>
        <v>0</v>
      </c>
      <c r="E257">
        <f t="shared" si="71"/>
        <v>0</v>
      </c>
      <c r="F257">
        <f t="shared" si="72"/>
        <v>0</v>
      </c>
      <c r="G257">
        <f t="shared" si="73"/>
        <v>0</v>
      </c>
      <c r="H257">
        <f t="shared" si="74"/>
        <v>0</v>
      </c>
      <c r="I257">
        <f t="shared" si="75"/>
        <v>0</v>
      </c>
      <c r="J257">
        <f t="shared" si="76"/>
        <v>1</v>
      </c>
      <c r="K257" s="45">
        <f t="shared" si="77"/>
        <v>0</v>
      </c>
      <c r="L257" s="45">
        <f t="shared" si="78"/>
        <v>0.5</v>
      </c>
      <c r="M257" s="45">
        <f t="shared" si="79"/>
        <v>0</v>
      </c>
      <c r="N257" s="45">
        <f t="shared" si="80"/>
        <v>0</v>
      </c>
      <c r="O257" s="45">
        <f t="shared" si="81"/>
        <v>0</v>
      </c>
      <c r="P257" s="45">
        <f t="shared" si="82"/>
        <v>0</v>
      </c>
      <c r="Q257" s="45">
        <f t="shared" si="83"/>
        <v>0</v>
      </c>
      <c r="R257" s="45">
        <f t="shared" si="84"/>
        <v>0</v>
      </c>
      <c r="S257" s="45">
        <f t="shared" si="85"/>
        <v>0</v>
      </c>
      <c r="T257" s="45">
        <f t="shared" si="86"/>
        <v>0.5</v>
      </c>
    </row>
    <row r="258" spans="1:20" x14ac:dyDescent="0.3">
      <c r="A258">
        <f t="shared" ref="A258:A321" si="87">INT( MOD(ROW()+0,1024)/512)</f>
        <v>0</v>
      </c>
      <c r="B258">
        <f t="shared" ref="B258:B321" si="88">INT( MOD(ROW()+0,512)/256)</f>
        <v>1</v>
      </c>
      <c r="C258">
        <f t="shared" ref="C258:C321" si="89">INT( MOD(ROW()+0,256)/128)</f>
        <v>0</v>
      </c>
      <c r="D258">
        <f t="shared" ref="D258:D321" si="90">INT( MOD(ROW()+0,128)/64)</f>
        <v>0</v>
      </c>
      <c r="E258">
        <f t="shared" ref="E258:E321" si="91">INT( MOD(ROW()+0,64)/32)</f>
        <v>0</v>
      </c>
      <c r="F258">
        <f t="shared" ref="F258:F321" si="92">INT( MOD(ROW()+0,32)/16)</f>
        <v>0</v>
      </c>
      <c r="G258">
        <f t="shared" ref="G258:G321" si="93">INT( MOD(ROW()+0,16)/8)</f>
        <v>0</v>
      </c>
      <c r="H258">
        <f t="shared" ref="H258:H321" si="94">INT( MOD(ROW()+0,8)/4)</f>
        <v>0</v>
      </c>
      <c r="I258">
        <f t="shared" ref="I258:I321" si="95">INT( MOD(ROW()+0,4)/2)</f>
        <v>1</v>
      </c>
      <c r="J258">
        <f t="shared" ref="J258:J321" si="96">INT( MOD(ROW()+0,2)/1)</f>
        <v>0</v>
      </c>
      <c r="K258" s="45">
        <f t="shared" ref="K258:K321" si="97">A258/SUM($A258:$J258)</f>
        <v>0</v>
      </c>
      <c r="L258" s="45">
        <f t="shared" ref="L258:L321" si="98">B258/SUM($A258:$J258)</f>
        <v>0.5</v>
      </c>
      <c r="M258" s="45">
        <f t="shared" ref="M258:M321" si="99">C258/SUM($A258:$J258)</f>
        <v>0</v>
      </c>
      <c r="N258" s="45">
        <f t="shared" ref="N258:N321" si="100">D258/SUM($A258:$J258)</f>
        <v>0</v>
      </c>
      <c r="O258" s="45">
        <f t="shared" ref="O258:O321" si="101">E258/SUM($A258:$J258)</f>
        <v>0</v>
      </c>
      <c r="P258" s="45">
        <f t="shared" ref="P258:P321" si="102">F258/SUM($A258:$J258)</f>
        <v>0</v>
      </c>
      <c r="Q258" s="45">
        <f t="shared" ref="Q258:Q321" si="103">G258/SUM($A258:$J258)</f>
        <v>0</v>
      </c>
      <c r="R258" s="45">
        <f t="shared" ref="R258:R321" si="104">H258/SUM($A258:$J258)</f>
        <v>0</v>
      </c>
      <c r="S258" s="45">
        <f t="shared" ref="S258:S321" si="105">I258/SUM($A258:$J258)</f>
        <v>0.5</v>
      </c>
      <c r="T258" s="45">
        <f t="shared" ref="T258:T321" si="106">J258/SUM($A258:$J258)</f>
        <v>0</v>
      </c>
    </row>
    <row r="259" spans="1:20" x14ac:dyDescent="0.3">
      <c r="A259">
        <f t="shared" si="87"/>
        <v>0</v>
      </c>
      <c r="B259">
        <f t="shared" si="88"/>
        <v>1</v>
      </c>
      <c r="C259">
        <f t="shared" si="89"/>
        <v>0</v>
      </c>
      <c r="D259">
        <f t="shared" si="90"/>
        <v>0</v>
      </c>
      <c r="E259">
        <f t="shared" si="91"/>
        <v>0</v>
      </c>
      <c r="F259">
        <f t="shared" si="92"/>
        <v>0</v>
      </c>
      <c r="G259">
        <f t="shared" si="93"/>
        <v>0</v>
      </c>
      <c r="H259">
        <f t="shared" si="94"/>
        <v>0</v>
      </c>
      <c r="I259">
        <f t="shared" si="95"/>
        <v>1</v>
      </c>
      <c r="J259">
        <f t="shared" si="96"/>
        <v>1</v>
      </c>
      <c r="K259" s="45">
        <f t="shared" si="97"/>
        <v>0</v>
      </c>
      <c r="L259" s="45">
        <f t="shared" si="98"/>
        <v>0.33333333333333331</v>
      </c>
      <c r="M259" s="45">
        <f t="shared" si="99"/>
        <v>0</v>
      </c>
      <c r="N259" s="45">
        <f t="shared" si="100"/>
        <v>0</v>
      </c>
      <c r="O259" s="45">
        <f t="shared" si="101"/>
        <v>0</v>
      </c>
      <c r="P259" s="45">
        <f t="shared" si="102"/>
        <v>0</v>
      </c>
      <c r="Q259" s="45">
        <f t="shared" si="103"/>
        <v>0</v>
      </c>
      <c r="R259" s="45">
        <f t="shared" si="104"/>
        <v>0</v>
      </c>
      <c r="S259" s="45">
        <f t="shared" si="105"/>
        <v>0.33333333333333331</v>
      </c>
      <c r="T259" s="45">
        <f t="shared" si="106"/>
        <v>0.33333333333333331</v>
      </c>
    </row>
    <row r="260" spans="1:20" x14ac:dyDescent="0.3">
      <c r="A260">
        <f t="shared" si="87"/>
        <v>0</v>
      </c>
      <c r="B260">
        <f t="shared" si="88"/>
        <v>1</v>
      </c>
      <c r="C260">
        <f t="shared" si="89"/>
        <v>0</v>
      </c>
      <c r="D260">
        <f t="shared" si="90"/>
        <v>0</v>
      </c>
      <c r="E260">
        <f t="shared" si="91"/>
        <v>0</v>
      </c>
      <c r="F260">
        <f t="shared" si="92"/>
        <v>0</v>
      </c>
      <c r="G260">
        <f t="shared" si="93"/>
        <v>0</v>
      </c>
      <c r="H260">
        <f t="shared" si="94"/>
        <v>1</v>
      </c>
      <c r="I260">
        <f t="shared" si="95"/>
        <v>0</v>
      </c>
      <c r="J260">
        <f t="shared" si="96"/>
        <v>0</v>
      </c>
      <c r="K260" s="45">
        <f t="shared" si="97"/>
        <v>0</v>
      </c>
      <c r="L260" s="45">
        <f t="shared" si="98"/>
        <v>0.5</v>
      </c>
      <c r="M260" s="45">
        <f t="shared" si="99"/>
        <v>0</v>
      </c>
      <c r="N260" s="45">
        <f t="shared" si="100"/>
        <v>0</v>
      </c>
      <c r="O260" s="45">
        <f t="shared" si="101"/>
        <v>0</v>
      </c>
      <c r="P260" s="45">
        <f t="shared" si="102"/>
        <v>0</v>
      </c>
      <c r="Q260" s="45">
        <f t="shared" si="103"/>
        <v>0</v>
      </c>
      <c r="R260" s="45">
        <f t="shared" si="104"/>
        <v>0.5</v>
      </c>
      <c r="S260" s="45">
        <f t="shared" si="105"/>
        <v>0</v>
      </c>
      <c r="T260" s="45">
        <f t="shared" si="106"/>
        <v>0</v>
      </c>
    </row>
    <row r="261" spans="1:20" x14ac:dyDescent="0.3">
      <c r="A261">
        <f t="shared" si="87"/>
        <v>0</v>
      </c>
      <c r="B261">
        <f t="shared" si="88"/>
        <v>1</v>
      </c>
      <c r="C261">
        <f t="shared" si="89"/>
        <v>0</v>
      </c>
      <c r="D261">
        <f t="shared" si="90"/>
        <v>0</v>
      </c>
      <c r="E261">
        <f t="shared" si="91"/>
        <v>0</v>
      </c>
      <c r="F261">
        <f t="shared" si="92"/>
        <v>0</v>
      </c>
      <c r="G261">
        <f t="shared" si="93"/>
        <v>0</v>
      </c>
      <c r="H261">
        <f t="shared" si="94"/>
        <v>1</v>
      </c>
      <c r="I261">
        <f t="shared" si="95"/>
        <v>0</v>
      </c>
      <c r="J261">
        <f t="shared" si="96"/>
        <v>1</v>
      </c>
      <c r="K261" s="45">
        <f t="shared" si="97"/>
        <v>0</v>
      </c>
      <c r="L261" s="45">
        <f t="shared" si="98"/>
        <v>0.33333333333333331</v>
      </c>
      <c r="M261" s="45">
        <f t="shared" si="99"/>
        <v>0</v>
      </c>
      <c r="N261" s="45">
        <f t="shared" si="100"/>
        <v>0</v>
      </c>
      <c r="O261" s="45">
        <f t="shared" si="101"/>
        <v>0</v>
      </c>
      <c r="P261" s="45">
        <f t="shared" si="102"/>
        <v>0</v>
      </c>
      <c r="Q261" s="45">
        <f t="shared" si="103"/>
        <v>0</v>
      </c>
      <c r="R261" s="45">
        <f t="shared" si="104"/>
        <v>0.33333333333333331</v>
      </c>
      <c r="S261" s="45">
        <f t="shared" si="105"/>
        <v>0</v>
      </c>
      <c r="T261" s="45">
        <f t="shared" si="106"/>
        <v>0.33333333333333331</v>
      </c>
    </row>
    <row r="262" spans="1:20" x14ac:dyDescent="0.3">
      <c r="A262">
        <f t="shared" si="87"/>
        <v>0</v>
      </c>
      <c r="B262">
        <f t="shared" si="88"/>
        <v>1</v>
      </c>
      <c r="C262">
        <f t="shared" si="89"/>
        <v>0</v>
      </c>
      <c r="D262">
        <f t="shared" si="90"/>
        <v>0</v>
      </c>
      <c r="E262">
        <f t="shared" si="91"/>
        <v>0</v>
      </c>
      <c r="F262">
        <f t="shared" si="92"/>
        <v>0</v>
      </c>
      <c r="G262">
        <f t="shared" si="93"/>
        <v>0</v>
      </c>
      <c r="H262">
        <f t="shared" si="94"/>
        <v>1</v>
      </c>
      <c r="I262">
        <f t="shared" si="95"/>
        <v>1</v>
      </c>
      <c r="J262">
        <f t="shared" si="96"/>
        <v>0</v>
      </c>
      <c r="K262" s="45">
        <f t="shared" si="97"/>
        <v>0</v>
      </c>
      <c r="L262" s="45">
        <f t="shared" si="98"/>
        <v>0.33333333333333331</v>
      </c>
      <c r="M262" s="45">
        <f t="shared" si="99"/>
        <v>0</v>
      </c>
      <c r="N262" s="45">
        <f t="shared" si="100"/>
        <v>0</v>
      </c>
      <c r="O262" s="45">
        <f t="shared" si="101"/>
        <v>0</v>
      </c>
      <c r="P262" s="45">
        <f t="shared" si="102"/>
        <v>0</v>
      </c>
      <c r="Q262" s="45">
        <f t="shared" si="103"/>
        <v>0</v>
      </c>
      <c r="R262" s="45">
        <f t="shared" si="104"/>
        <v>0.33333333333333331</v>
      </c>
      <c r="S262" s="45">
        <f t="shared" si="105"/>
        <v>0.33333333333333331</v>
      </c>
      <c r="T262" s="45">
        <f t="shared" si="106"/>
        <v>0</v>
      </c>
    </row>
    <row r="263" spans="1:20" x14ac:dyDescent="0.3">
      <c r="A263">
        <f t="shared" si="87"/>
        <v>0</v>
      </c>
      <c r="B263">
        <f t="shared" si="88"/>
        <v>1</v>
      </c>
      <c r="C263">
        <f t="shared" si="89"/>
        <v>0</v>
      </c>
      <c r="D263">
        <f t="shared" si="90"/>
        <v>0</v>
      </c>
      <c r="E263">
        <f t="shared" si="91"/>
        <v>0</v>
      </c>
      <c r="F263">
        <f t="shared" si="92"/>
        <v>0</v>
      </c>
      <c r="G263">
        <f t="shared" si="93"/>
        <v>0</v>
      </c>
      <c r="H263">
        <f t="shared" si="94"/>
        <v>1</v>
      </c>
      <c r="I263">
        <f t="shared" si="95"/>
        <v>1</v>
      </c>
      <c r="J263">
        <f t="shared" si="96"/>
        <v>1</v>
      </c>
      <c r="K263" s="45">
        <f t="shared" si="97"/>
        <v>0</v>
      </c>
      <c r="L263" s="45">
        <f t="shared" si="98"/>
        <v>0.25</v>
      </c>
      <c r="M263" s="45">
        <f t="shared" si="99"/>
        <v>0</v>
      </c>
      <c r="N263" s="45">
        <f t="shared" si="100"/>
        <v>0</v>
      </c>
      <c r="O263" s="45">
        <f t="shared" si="101"/>
        <v>0</v>
      </c>
      <c r="P263" s="45">
        <f t="shared" si="102"/>
        <v>0</v>
      </c>
      <c r="Q263" s="45">
        <f t="shared" si="103"/>
        <v>0</v>
      </c>
      <c r="R263" s="45">
        <f t="shared" si="104"/>
        <v>0.25</v>
      </c>
      <c r="S263" s="45">
        <f t="shared" si="105"/>
        <v>0.25</v>
      </c>
      <c r="T263" s="45">
        <f t="shared" si="106"/>
        <v>0.25</v>
      </c>
    </row>
    <row r="264" spans="1:20" x14ac:dyDescent="0.3">
      <c r="A264">
        <f t="shared" si="87"/>
        <v>0</v>
      </c>
      <c r="B264">
        <f t="shared" si="88"/>
        <v>1</v>
      </c>
      <c r="C264">
        <f t="shared" si="89"/>
        <v>0</v>
      </c>
      <c r="D264">
        <f t="shared" si="90"/>
        <v>0</v>
      </c>
      <c r="E264">
        <f t="shared" si="91"/>
        <v>0</v>
      </c>
      <c r="F264">
        <f t="shared" si="92"/>
        <v>0</v>
      </c>
      <c r="G264">
        <f t="shared" si="93"/>
        <v>1</v>
      </c>
      <c r="H264">
        <f t="shared" si="94"/>
        <v>0</v>
      </c>
      <c r="I264">
        <f t="shared" si="95"/>
        <v>0</v>
      </c>
      <c r="J264">
        <f t="shared" si="96"/>
        <v>0</v>
      </c>
      <c r="K264" s="45">
        <f t="shared" si="97"/>
        <v>0</v>
      </c>
      <c r="L264" s="45">
        <f t="shared" si="98"/>
        <v>0.5</v>
      </c>
      <c r="M264" s="45">
        <f t="shared" si="99"/>
        <v>0</v>
      </c>
      <c r="N264" s="45">
        <f t="shared" si="100"/>
        <v>0</v>
      </c>
      <c r="O264" s="45">
        <f t="shared" si="101"/>
        <v>0</v>
      </c>
      <c r="P264" s="45">
        <f t="shared" si="102"/>
        <v>0</v>
      </c>
      <c r="Q264" s="45">
        <f t="shared" si="103"/>
        <v>0.5</v>
      </c>
      <c r="R264" s="45">
        <f t="shared" si="104"/>
        <v>0</v>
      </c>
      <c r="S264" s="45">
        <f t="shared" si="105"/>
        <v>0</v>
      </c>
      <c r="T264" s="45">
        <f t="shared" si="106"/>
        <v>0</v>
      </c>
    </row>
    <row r="265" spans="1:20" x14ac:dyDescent="0.3">
      <c r="A265">
        <f t="shared" si="87"/>
        <v>0</v>
      </c>
      <c r="B265">
        <f t="shared" si="88"/>
        <v>1</v>
      </c>
      <c r="C265">
        <f t="shared" si="89"/>
        <v>0</v>
      </c>
      <c r="D265">
        <f t="shared" si="90"/>
        <v>0</v>
      </c>
      <c r="E265">
        <f t="shared" si="91"/>
        <v>0</v>
      </c>
      <c r="F265">
        <f t="shared" si="92"/>
        <v>0</v>
      </c>
      <c r="G265">
        <f t="shared" si="93"/>
        <v>1</v>
      </c>
      <c r="H265">
        <f t="shared" si="94"/>
        <v>0</v>
      </c>
      <c r="I265">
        <f t="shared" si="95"/>
        <v>0</v>
      </c>
      <c r="J265">
        <f t="shared" si="96"/>
        <v>1</v>
      </c>
      <c r="K265" s="45">
        <f t="shared" si="97"/>
        <v>0</v>
      </c>
      <c r="L265" s="45">
        <f t="shared" si="98"/>
        <v>0.33333333333333331</v>
      </c>
      <c r="M265" s="45">
        <f t="shared" si="99"/>
        <v>0</v>
      </c>
      <c r="N265" s="45">
        <f t="shared" si="100"/>
        <v>0</v>
      </c>
      <c r="O265" s="45">
        <f t="shared" si="101"/>
        <v>0</v>
      </c>
      <c r="P265" s="45">
        <f t="shared" si="102"/>
        <v>0</v>
      </c>
      <c r="Q265" s="45">
        <f t="shared" si="103"/>
        <v>0.33333333333333331</v>
      </c>
      <c r="R265" s="45">
        <f t="shared" si="104"/>
        <v>0</v>
      </c>
      <c r="S265" s="45">
        <f t="shared" si="105"/>
        <v>0</v>
      </c>
      <c r="T265" s="45">
        <f t="shared" si="106"/>
        <v>0.33333333333333331</v>
      </c>
    </row>
    <row r="266" spans="1:20" x14ac:dyDescent="0.3">
      <c r="A266">
        <f t="shared" si="87"/>
        <v>0</v>
      </c>
      <c r="B266">
        <f t="shared" si="88"/>
        <v>1</v>
      </c>
      <c r="C266">
        <f t="shared" si="89"/>
        <v>0</v>
      </c>
      <c r="D266">
        <f t="shared" si="90"/>
        <v>0</v>
      </c>
      <c r="E266">
        <f t="shared" si="91"/>
        <v>0</v>
      </c>
      <c r="F266">
        <f t="shared" si="92"/>
        <v>0</v>
      </c>
      <c r="G266">
        <f t="shared" si="93"/>
        <v>1</v>
      </c>
      <c r="H266">
        <f t="shared" si="94"/>
        <v>0</v>
      </c>
      <c r="I266">
        <f t="shared" si="95"/>
        <v>1</v>
      </c>
      <c r="J266">
        <f t="shared" si="96"/>
        <v>0</v>
      </c>
      <c r="K266" s="45">
        <f t="shared" si="97"/>
        <v>0</v>
      </c>
      <c r="L266" s="45">
        <f t="shared" si="98"/>
        <v>0.33333333333333331</v>
      </c>
      <c r="M266" s="45">
        <f t="shared" si="99"/>
        <v>0</v>
      </c>
      <c r="N266" s="45">
        <f t="shared" si="100"/>
        <v>0</v>
      </c>
      <c r="O266" s="45">
        <f t="shared" si="101"/>
        <v>0</v>
      </c>
      <c r="P266" s="45">
        <f t="shared" si="102"/>
        <v>0</v>
      </c>
      <c r="Q266" s="45">
        <f t="shared" si="103"/>
        <v>0.33333333333333331</v>
      </c>
      <c r="R266" s="45">
        <f t="shared" si="104"/>
        <v>0</v>
      </c>
      <c r="S266" s="45">
        <f t="shared" si="105"/>
        <v>0.33333333333333331</v>
      </c>
      <c r="T266" s="45">
        <f t="shared" si="106"/>
        <v>0</v>
      </c>
    </row>
    <row r="267" spans="1:20" x14ac:dyDescent="0.3">
      <c r="A267">
        <f t="shared" si="87"/>
        <v>0</v>
      </c>
      <c r="B267">
        <f t="shared" si="88"/>
        <v>1</v>
      </c>
      <c r="C267">
        <f t="shared" si="89"/>
        <v>0</v>
      </c>
      <c r="D267">
        <f t="shared" si="90"/>
        <v>0</v>
      </c>
      <c r="E267">
        <f t="shared" si="91"/>
        <v>0</v>
      </c>
      <c r="F267">
        <f t="shared" si="92"/>
        <v>0</v>
      </c>
      <c r="G267">
        <f t="shared" si="93"/>
        <v>1</v>
      </c>
      <c r="H267">
        <f t="shared" si="94"/>
        <v>0</v>
      </c>
      <c r="I267">
        <f t="shared" si="95"/>
        <v>1</v>
      </c>
      <c r="J267">
        <f t="shared" si="96"/>
        <v>1</v>
      </c>
      <c r="K267" s="45">
        <f t="shared" si="97"/>
        <v>0</v>
      </c>
      <c r="L267" s="45">
        <f t="shared" si="98"/>
        <v>0.25</v>
      </c>
      <c r="M267" s="45">
        <f t="shared" si="99"/>
        <v>0</v>
      </c>
      <c r="N267" s="45">
        <f t="shared" si="100"/>
        <v>0</v>
      </c>
      <c r="O267" s="45">
        <f t="shared" si="101"/>
        <v>0</v>
      </c>
      <c r="P267" s="45">
        <f t="shared" si="102"/>
        <v>0</v>
      </c>
      <c r="Q267" s="45">
        <f t="shared" si="103"/>
        <v>0.25</v>
      </c>
      <c r="R267" s="45">
        <f t="shared" si="104"/>
        <v>0</v>
      </c>
      <c r="S267" s="45">
        <f t="shared" si="105"/>
        <v>0.25</v>
      </c>
      <c r="T267" s="45">
        <f t="shared" si="106"/>
        <v>0.25</v>
      </c>
    </row>
    <row r="268" spans="1:20" x14ac:dyDescent="0.3">
      <c r="A268">
        <f t="shared" si="87"/>
        <v>0</v>
      </c>
      <c r="B268">
        <f t="shared" si="88"/>
        <v>1</v>
      </c>
      <c r="C268">
        <f t="shared" si="89"/>
        <v>0</v>
      </c>
      <c r="D268">
        <f t="shared" si="90"/>
        <v>0</v>
      </c>
      <c r="E268">
        <f t="shared" si="91"/>
        <v>0</v>
      </c>
      <c r="F268">
        <f t="shared" si="92"/>
        <v>0</v>
      </c>
      <c r="G268">
        <f t="shared" si="93"/>
        <v>1</v>
      </c>
      <c r="H268">
        <f t="shared" si="94"/>
        <v>1</v>
      </c>
      <c r="I268">
        <f t="shared" si="95"/>
        <v>0</v>
      </c>
      <c r="J268">
        <f t="shared" si="96"/>
        <v>0</v>
      </c>
      <c r="K268" s="45">
        <f t="shared" si="97"/>
        <v>0</v>
      </c>
      <c r="L268" s="45">
        <f t="shared" si="98"/>
        <v>0.33333333333333331</v>
      </c>
      <c r="M268" s="45">
        <f t="shared" si="99"/>
        <v>0</v>
      </c>
      <c r="N268" s="45">
        <f t="shared" si="100"/>
        <v>0</v>
      </c>
      <c r="O268" s="45">
        <f t="shared" si="101"/>
        <v>0</v>
      </c>
      <c r="P268" s="45">
        <f t="shared" si="102"/>
        <v>0</v>
      </c>
      <c r="Q268" s="45">
        <f t="shared" si="103"/>
        <v>0.33333333333333331</v>
      </c>
      <c r="R268" s="45">
        <f t="shared" si="104"/>
        <v>0.33333333333333331</v>
      </c>
      <c r="S268" s="45">
        <f t="shared" si="105"/>
        <v>0</v>
      </c>
      <c r="T268" s="45">
        <f t="shared" si="106"/>
        <v>0</v>
      </c>
    </row>
    <row r="269" spans="1:20" x14ac:dyDescent="0.3">
      <c r="A269">
        <f t="shared" si="87"/>
        <v>0</v>
      </c>
      <c r="B269">
        <f t="shared" si="88"/>
        <v>1</v>
      </c>
      <c r="C269">
        <f t="shared" si="89"/>
        <v>0</v>
      </c>
      <c r="D269">
        <f t="shared" si="90"/>
        <v>0</v>
      </c>
      <c r="E269">
        <f t="shared" si="91"/>
        <v>0</v>
      </c>
      <c r="F269">
        <f t="shared" si="92"/>
        <v>0</v>
      </c>
      <c r="G269">
        <f t="shared" si="93"/>
        <v>1</v>
      </c>
      <c r="H269">
        <f t="shared" si="94"/>
        <v>1</v>
      </c>
      <c r="I269">
        <f t="shared" si="95"/>
        <v>0</v>
      </c>
      <c r="J269">
        <f t="shared" si="96"/>
        <v>1</v>
      </c>
      <c r="K269" s="45">
        <f t="shared" si="97"/>
        <v>0</v>
      </c>
      <c r="L269" s="45">
        <f t="shared" si="98"/>
        <v>0.25</v>
      </c>
      <c r="M269" s="45">
        <f t="shared" si="99"/>
        <v>0</v>
      </c>
      <c r="N269" s="45">
        <f t="shared" si="100"/>
        <v>0</v>
      </c>
      <c r="O269" s="45">
        <f t="shared" si="101"/>
        <v>0</v>
      </c>
      <c r="P269" s="45">
        <f t="shared" si="102"/>
        <v>0</v>
      </c>
      <c r="Q269" s="45">
        <f t="shared" si="103"/>
        <v>0.25</v>
      </c>
      <c r="R269" s="45">
        <f t="shared" si="104"/>
        <v>0.25</v>
      </c>
      <c r="S269" s="45">
        <f t="shared" si="105"/>
        <v>0</v>
      </c>
      <c r="T269" s="45">
        <f t="shared" si="106"/>
        <v>0.25</v>
      </c>
    </row>
    <row r="270" spans="1:20" x14ac:dyDescent="0.3">
      <c r="A270">
        <f t="shared" si="87"/>
        <v>0</v>
      </c>
      <c r="B270">
        <f t="shared" si="88"/>
        <v>1</v>
      </c>
      <c r="C270">
        <f t="shared" si="89"/>
        <v>0</v>
      </c>
      <c r="D270">
        <f t="shared" si="90"/>
        <v>0</v>
      </c>
      <c r="E270">
        <f t="shared" si="91"/>
        <v>0</v>
      </c>
      <c r="F270">
        <f t="shared" si="92"/>
        <v>0</v>
      </c>
      <c r="G270">
        <f t="shared" si="93"/>
        <v>1</v>
      </c>
      <c r="H270">
        <f t="shared" si="94"/>
        <v>1</v>
      </c>
      <c r="I270">
        <f t="shared" si="95"/>
        <v>1</v>
      </c>
      <c r="J270">
        <f t="shared" si="96"/>
        <v>0</v>
      </c>
      <c r="K270" s="45">
        <f t="shared" si="97"/>
        <v>0</v>
      </c>
      <c r="L270" s="45">
        <f t="shared" si="98"/>
        <v>0.25</v>
      </c>
      <c r="M270" s="45">
        <f t="shared" si="99"/>
        <v>0</v>
      </c>
      <c r="N270" s="45">
        <f t="shared" si="100"/>
        <v>0</v>
      </c>
      <c r="O270" s="45">
        <f t="shared" si="101"/>
        <v>0</v>
      </c>
      <c r="P270" s="45">
        <f t="shared" si="102"/>
        <v>0</v>
      </c>
      <c r="Q270" s="45">
        <f t="shared" si="103"/>
        <v>0.25</v>
      </c>
      <c r="R270" s="45">
        <f t="shared" si="104"/>
        <v>0.25</v>
      </c>
      <c r="S270" s="45">
        <f t="shared" si="105"/>
        <v>0.25</v>
      </c>
      <c r="T270" s="45">
        <f t="shared" si="106"/>
        <v>0</v>
      </c>
    </row>
    <row r="271" spans="1:20" x14ac:dyDescent="0.3">
      <c r="A271">
        <f t="shared" si="87"/>
        <v>0</v>
      </c>
      <c r="B271">
        <f t="shared" si="88"/>
        <v>1</v>
      </c>
      <c r="C271">
        <f t="shared" si="89"/>
        <v>0</v>
      </c>
      <c r="D271">
        <f t="shared" si="90"/>
        <v>0</v>
      </c>
      <c r="E271">
        <f t="shared" si="91"/>
        <v>0</v>
      </c>
      <c r="F271">
        <f t="shared" si="92"/>
        <v>0</v>
      </c>
      <c r="G271">
        <f t="shared" si="93"/>
        <v>1</v>
      </c>
      <c r="H271">
        <f t="shared" si="94"/>
        <v>1</v>
      </c>
      <c r="I271">
        <f t="shared" si="95"/>
        <v>1</v>
      </c>
      <c r="J271">
        <f t="shared" si="96"/>
        <v>1</v>
      </c>
      <c r="K271" s="45">
        <f t="shared" si="97"/>
        <v>0</v>
      </c>
      <c r="L271" s="45">
        <f t="shared" si="98"/>
        <v>0.2</v>
      </c>
      <c r="M271" s="45">
        <f t="shared" si="99"/>
        <v>0</v>
      </c>
      <c r="N271" s="45">
        <f t="shared" si="100"/>
        <v>0</v>
      </c>
      <c r="O271" s="45">
        <f t="shared" si="101"/>
        <v>0</v>
      </c>
      <c r="P271" s="45">
        <f t="shared" si="102"/>
        <v>0</v>
      </c>
      <c r="Q271" s="45">
        <f t="shared" si="103"/>
        <v>0.2</v>
      </c>
      <c r="R271" s="45">
        <f t="shared" si="104"/>
        <v>0.2</v>
      </c>
      <c r="S271" s="45">
        <f t="shared" si="105"/>
        <v>0.2</v>
      </c>
      <c r="T271" s="45">
        <f t="shared" si="106"/>
        <v>0.2</v>
      </c>
    </row>
    <row r="272" spans="1:20" x14ac:dyDescent="0.3">
      <c r="A272">
        <f t="shared" si="87"/>
        <v>0</v>
      </c>
      <c r="B272">
        <f t="shared" si="88"/>
        <v>1</v>
      </c>
      <c r="C272">
        <f t="shared" si="89"/>
        <v>0</v>
      </c>
      <c r="D272">
        <f t="shared" si="90"/>
        <v>0</v>
      </c>
      <c r="E272">
        <f t="shared" si="91"/>
        <v>0</v>
      </c>
      <c r="F272">
        <f t="shared" si="92"/>
        <v>1</v>
      </c>
      <c r="G272">
        <f t="shared" si="93"/>
        <v>0</v>
      </c>
      <c r="H272">
        <f t="shared" si="94"/>
        <v>0</v>
      </c>
      <c r="I272">
        <f t="shared" si="95"/>
        <v>0</v>
      </c>
      <c r="J272">
        <f t="shared" si="96"/>
        <v>0</v>
      </c>
      <c r="K272" s="45">
        <f t="shared" si="97"/>
        <v>0</v>
      </c>
      <c r="L272" s="45">
        <f t="shared" si="98"/>
        <v>0.5</v>
      </c>
      <c r="M272" s="45">
        <f t="shared" si="99"/>
        <v>0</v>
      </c>
      <c r="N272" s="45">
        <f t="shared" si="100"/>
        <v>0</v>
      </c>
      <c r="O272" s="45">
        <f t="shared" si="101"/>
        <v>0</v>
      </c>
      <c r="P272" s="45">
        <f t="shared" si="102"/>
        <v>0.5</v>
      </c>
      <c r="Q272" s="45">
        <f t="shared" si="103"/>
        <v>0</v>
      </c>
      <c r="R272" s="45">
        <f t="shared" si="104"/>
        <v>0</v>
      </c>
      <c r="S272" s="45">
        <f t="shared" si="105"/>
        <v>0</v>
      </c>
      <c r="T272" s="45">
        <f t="shared" si="106"/>
        <v>0</v>
      </c>
    </row>
    <row r="273" spans="1:20" x14ac:dyDescent="0.3">
      <c r="A273">
        <f t="shared" si="87"/>
        <v>0</v>
      </c>
      <c r="B273">
        <f t="shared" si="88"/>
        <v>1</v>
      </c>
      <c r="C273">
        <f t="shared" si="89"/>
        <v>0</v>
      </c>
      <c r="D273">
        <f t="shared" si="90"/>
        <v>0</v>
      </c>
      <c r="E273">
        <f t="shared" si="91"/>
        <v>0</v>
      </c>
      <c r="F273">
        <f t="shared" si="92"/>
        <v>1</v>
      </c>
      <c r="G273">
        <f t="shared" si="93"/>
        <v>0</v>
      </c>
      <c r="H273">
        <f t="shared" si="94"/>
        <v>0</v>
      </c>
      <c r="I273">
        <f t="shared" si="95"/>
        <v>0</v>
      </c>
      <c r="J273">
        <f t="shared" si="96"/>
        <v>1</v>
      </c>
      <c r="K273" s="45">
        <f t="shared" si="97"/>
        <v>0</v>
      </c>
      <c r="L273" s="45">
        <f t="shared" si="98"/>
        <v>0.33333333333333331</v>
      </c>
      <c r="M273" s="45">
        <f t="shared" si="99"/>
        <v>0</v>
      </c>
      <c r="N273" s="45">
        <f t="shared" si="100"/>
        <v>0</v>
      </c>
      <c r="O273" s="45">
        <f t="shared" si="101"/>
        <v>0</v>
      </c>
      <c r="P273" s="45">
        <f t="shared" si="102"/>
        <v>0.33333333333333331</v>
      </c>
      <c r="Q273" s="45">
        <f t="shared" si="103"/>
        <v>0</v>
      </c>
      <c r="R273" s="45">
        <f t="shared" si="104"/>
        <v>0</v>
      </c>
      <c r="S273" s="45">
        <f t="shared" si="105"/>
        <v>0</v>
      </c>
      <c r="T273" s="45">
        <f t="shared" si="106"/>
        <v>0.33333333333333331</v>
      </c>
    </row>
    <row r="274" spans="1:20" x14ac:dyDescent="0.3">
      <c r="A274">
        <f t="shared" si="87"/>
        <v>0</v>
      </c>
      <c r="B274">
        <f t="shared" si="88"/>
        <v>1</v>
      </c>
      <c r="C274">
        <f t="shared" si="89"/>
        <v>0</v>
      </c>
      <c r="D274">
        <f t="shared" si="90"/>
        <v>0</v>
      </c>
      <c r="E274">
        <f t="shared" si="91"/>
        <v>0</v>
      </c>
      <c r="F274">
        <f t="shared" si="92"/>
        <v>1</v>
      </c>
      <c r="G274">
        <f t="shared" si="93"/>
        <v>0</v>
      </c>
      <c r="H274">
        <f t="shared" si="94"/>
        <v>0</v>
      </c>
      <c r="I274">
        <f t="shared" si="95"/>
        <v>1</v>
      </c>
      <c r="J274">
        <f t="shared" si="96"/>
        <v>0</v>
      </c>
      <c r="K274" s="45">
        <f t="shared" si="97"/>
        <v>0</v>
      </c>
      <c r="L274" s="45">
        <f t="shared" si="98"/>
        <v>0.33333333333333331</v>
      </c>
      <c r="M274" s="45">
        <f t="shared" si="99"/>
        <v>0</v>
      </c>
      <c r="N274" s="45">
        <f t="shared" si="100"/>
        <v>0</v>
      </c>
      <c r="O274" s="45">
        <f t="shared" si="101"/>
        <v>0</v>
      </c>
      <c r="P274" s="45">
        <f t="shared" si="102"/>
        <v>0.33333333333333331</v>
      </c>
      <c r="Q274" s="45">
        <f t="shared" si="103"/>
        <v>0</v>
      </c>
      <c r="R274" s="45">
        <f t="shared" si="104"/>
        <v>0</v>
      </c>
      <c r="S274" s="45">
        <f t="shared" si="105"/>
        <v>0.33333333333333331</v>
      </c>
      <c r="T274" s="45">
        <f t="shared" si="106"/>
        <v>0</v>
      </c>
    </row>
    <row r="275" spans="1:20" x14ac:dyDescent="0.3">
      <c r="A275">
        <f t="shared" si="87"/>
        <v>0</v>
      </c>
      <c r="B275">
        <f t="shared" si="88"/>
        <v>1</v>
      </c>
      <c r="C275">
        <f t="shared" si="89"/>
        <v>0</v>
      </c>
      <c r="D275">
        <f t="shared" si="90"/>
        <v>0</v>
      </c>
      <c r="E275">
        <f t="shared" si="91"/>
        <v>0</v>
      </c>
      <c r="F275">
        <f t="shared" si="92"/>
        <v>1</v>
      </c>
      <c r="G275">
        <f t="shared" si="93"/>
        <v>0</v>
      </c>
      <c r="H275">
        <f t="shared" si="94"/>
        <v>0</v>
      </c>
      <c r="I275">
        <f t="shared" si="95"/>
        <v>1</v>
      </c>
      <c r="J275">
        <f t="shared" si="96"/>
        <v>1</v>
      </c>
      <c r="K275" s="45">
        <f t="shared" si="97"/>
        <v>0</v>
      </c>
      <c r="L275" s="45">
        <f t="shared" si="98"/>
        <v>0.25</v>
      </c>
      <c r="M275" s="45">
        <f t="shared" si="99"/>
        <v>0</v>
      </c>
      <c r="N275" s="45">
        <f t="shared" si="100"/>
        <v>0</v>
      </c>
      <c r="O275" s="45">
        <f t="shared" si="101"/>
        <v>0</v>
      </c>
      <c r="P275" s="45">
        <f t="shared" si="102"/>
        <v>0.25</v>
      </c>
      <c r="Q275" s="45">
        <f t="shared" si="103"/>
        <v>0</v>
      </c>
      <c r="R275" s="45">
        <f t="shared" si="104"/>
        <v>0</v>
      </c>
      <c r="S275" s="45">
        <f t="shared" si="105"/>
        <v>0.25</v>
      </c>
      <c r="T275" s="45">
        <f t="shared" si="106"/>
        <v>0.25</v>
      </c>
    </row>
    <row r="276" spans="1:20" x14ac:dyDescent="0.3">
      <c r="A276">
        <f t="shared" si="87"/>
        <v>0</v>
      </c>
      <c r="B276">
        <f t="shared" si="88"/>
        <v>1</v>
      </c>
      <c r="C276">
        <f t="shared" si="89"/>
        <v>0</v>
      </c>
      <c r="D276">
        <f t="shared" si="90"/>
        <v>0</v>
      </c>
      <c r="E276">
        <f t="shared" si="91"/>
        <v>0</v>
      </c>
      <c r="F276">
        <f t="shared" si="92"/>
        <v>1</v>
      </c>
      <c r="G276">
        <f t="shared" si="93"/>
        <v>0</v>
      </c>
      <c r="H276">
        <f t="shared" si="94"/>
        <v>1</v>
      </c>
      <c r="I276">
        <f t="shared" si="95"/>
        <v>0</v>
      </c>
      <c r="J276">
        <f t="shared" si="96"/>
        <v>0</v>
      </c>
      <c r="K276" s="45">
        <f t="shared" si="97"/>
        <v>0</v>
      </c>
      <c r="L276" s="45">
        <f t="shared" si="98"/>
        <v>0.33333333333333331</v>
      </c>
      <c r="M276" s="45">
        <f t="shared" si="99"/>
        <v>0</v>
      </c>
      <c r="N276" s="45">
        <f t="shared" si="100"/>
        <v>0</v>
      </c>
      <c r="O276" s="45">
        <f t="shared" si="101"/>
        <v>0</v>
      </c>
      <c r="P276" s="45">
        <f t="shared" si="102"/>
        <v>0.33333333333333331</v>
      </c>
      <c r="Q276" s="45">
        <f t="shared" si="103"/>
        <v>0</v>
      </c>
      <c r="R276" s="45">
        <f t="shared" si="104"/>
        <v>0.33333333333333331</v>
      </c>
      <c r="S276" s="45">
        <f t="shared" si="105"/>
        <v>0</v>
      </c>
      <c r="T276" s="45">
        <f t="shared" si="106"/>
        <v>0</v>
      </c>
    </row>
    <row r="277" spans="1:20" x14ac:dyDescent="0.3">
      <c r="A277">
        <f t="shared" si="87"/>
        <v>0</v>
      </c>
      <c r="B277">
        <f t="shared" si="88"/>
        <v>1</v>
      </c>
      <c r="C277">
        <f t="shared" si="89"/>
        <v>0</v>
      </c>
      <c r="D277">
        <f t="shared" si="90"/>
        <v>0</v>
      </c>
      <c r="E277">
        <f t="shared" si="91"/>
        <v>0</v>
      </c>
      <c r="F277">
        <f t="shared" si="92"/>
        <v>1</v>
      </c>
      <c r="G277">
        <f t="shared" si="93"/>
        <v>0</v>
      </c>
      <c r="H277">
        <f t="shared" si="94"/>
        <v>1</v>
      </c>
      <c r="I277">
        <f t="shared" si="95"/>
        <v>0</v>
      </c>
      <c r="J277">
        <f t="shared" si="96"/>
        <v>1</v>
      </c>
      <c r="K277" s="45">
        <f t="shared" si="97"/>
        <v>0</v>
      </c>
      <c r="L277" s="45">
        <f t="shared" si="98"/>
        <v>0.25</v>
      </c>
      <c r="M277" s="45">
        <f t="shared" si="99"/>
        <v>0</v>
      </c>
      <c r="N277" s="45">
        <f t="shared" si="100"/>
        <v>0</v>
      </c>
      <c r="O277" s="45">
        <f t="shared" si="101"/>
        <v>0</v>
      </c>
      <c r="P277" s="45">
        <f t="shared" si="102"/>
        <v>0.25</v>
      </c>
      <c r="Q277" s="45">
        <f t="shared" si="103"/>
        <v>0</v>
      </c>
      <c r="R277" s="45">
        <f t="shared" si="104"/>
        <v>0.25</v>
      </c>
      <c r="S277" s="45">
        <f t="shared" si="105"/>
        <v>0</v>
      </c>
      <c r="T277" s="45">
        <f t="shared" si="106"/>
        <v>0.25</v>
      </c>
    </row>
    <row r="278" spans="1:20" x14ac:dyDescent="0.3">
      <c r="A278">
        <f t="shared" si="87"/>
        <v>0</v>
      </c>
      <c r="B278">
        <f t="shared" si="88"/>
        <v>1</v>
      </c>
      <c r="C278">
        <f t="shared" si="89"/>
        <v>0</v>
      </c>
      <c r="D278">
        <f t="shared" si="90"/>
        <v>0</v>
      </c>
      <c r="E278">
        <f t="shared" si="91"/>
        <v>0</v>
      </c>
      <c r="F278">
        <f t="shared" si="92"/>
        <v>1</v>
      </c>
      <c r="G278">
        <f t="shared" si="93"/>
        <v>0</v>
      </c>
      <c r="H278">
        <f t="shared" si="94"/>
        <v>1</v>
      </c>
      <c r="I278">
        <f t="shared" si="95"/>
        <v>1</v>
      </c>
      <c r="J278">
        <f t="shared" si="96"/>
        <v>0</v>
      </c>
      <c r="K278" s="45">
        <f t="shared" si="97"/>
        <v>0</v>
      </c>
      <c r="L278" s="45">
        <f t="shared" si="98"/>
        <v>0.25</v>
      </c>
      <c r="M278" s="45">
        <f t="shared" si="99"/>
        <v>0</v>
      </c>
      <c r="N278" s="45">
        <f t="shared" si="100"/>
        <v>0</v>
      </c>
      <c r="O278" s="45">
        <f t="shared" si="101"/>
        <v>0</v>
      </c>
      <c r="P278" s="45">
        <f t="shared" si="102"/>
        <v>0.25</v>
      </c>
      <c r="Q278" s="45">
        <f t="shared" si="103"/>
        <v>0</v>
      </c>
      <c r="R278" s="45">
        <f t="shared" si="104"/>
        <v>0.25</v>
      </c>
      <c r="S278" s="45">
        <f t="shared" si="105"/>
        <v>0.25</v>
      </c>
      <c r="T278" s="45">
        <f t="shared" si="106"/>
        <v>0</v>
      </c>
    </row>
    <row r="279" spans="1:20" x14ac:dyDescent="0.3">
      <c r="A279">
        <f t="shared" si="87"/>
        <v>0</v>
      </c>
      <c r="B279">
        <f t="shared" si="88"/>
        <v>1</v>
      </c>
      <c r="C279">
        <f t="shared" si="89"/>
        <v>0</v>
      </c>
      <c r="D279">
        <f t="shared" si="90"/>
        <v>0</v>
      </c>
      <c r="E279">
        <f t="shared" si="91"/>
        <v>0</v>
      </c>
      <c r="F279">
        <f t="shared" si="92"/>
        <v>1</v>
      </c>
      <c r="G279">
        <f t="shared" si="93"/>
        <v>0</v>
      </c>
      <c r="H279">
        <f t="shared" si="94"/>
        <v>1</v>
      </c>
      <c r="I279">
        <f t="shared" si="95"/>
        <v>1</v>
      </c>
      <c r="J279">
        <f t="shared" si="96"/>
        <v>1</v>
      </c>
      <c r="K279" s="45">
        <f t="shared" si="97"/>
        <v>0</v>
      </c>
      <c r="L279" s="45">
        <f t="shared" si="98"/>
        <v>0.2</v>
      </c>
      <c r="M279" s="45">
        <f t="shared" si="99"/>
        <v>0</v>
      </c>
      <c r="N279" s="45">
        <f t="shared" si="100"/>
        <v>0</v>
      </c>
      <c r="O279" s="45">
        <f t="shared" si="101"/>
        <v>0</v>
      </c>
      <c r="P279" s="45">
        <f t="shared" si="102"/>
        <v>0.2</v>
      </c>
      <c r="Q279" s="45">
        <f t="shared" si="103"/>
        <v>0</v>
      </c>
      <c r="R279" s="45">
        <f t="shared" si="104"/>
        <v>0.2</v>
      </c>
      <c r="S279" s="45">
        <f t="shared" si="105"/>
        <v>0.2</v>
      </c>
      <c r="T279" s="45">
        <f t="shared" si="106"/>
        <v>0.2</v>
      </c>
    </row>
    <row r="280" spans="1:20" x14ac:dyDescent="0.3">
      <c r="A280">
        <f t="shared" si="87"/>
        <v>0</v>
      </c>
      <c r="B280">
        <f t="shared" si="88"/>
        <v>1</v>
      </c>
      <c r="C280">
        <f t="shared" si="89"/>
        <v>0</v>
      </c>
      <c r="D280">
        <f t="shared" si="90"/>
        <v>0</v>
      </c>
      <c r="E280">
        <f t="shared" si="91"/>
        <v>0</v>
      </c>
      <c r="F280">
        <f t="shared" si="92"/>
        <v>1</v>
      </c>
      <c r="G280">
        <f t="shared" si="93"/>
        <v>1</v>
      </c>
      <c r="H280">
        <f t="shared" si="94"/>
        <v>0</v>
      </c>
      <c r="I280">
        <f t="shared" si="95"/>
        <v>0</v>
      </c>
      <c r="J280">
        <f t="shared" si="96"/>
        <v>0</v>
      </c>
      <c r="K280" s="45">
        <f t="shared" si="97"/>
        <v>0</v>
      </c>
      <c r="L280" s="45">
        <f t="shared" si="98"/>
        <v>0.33333333333333331</v>
      </c>
      <c r="M280" s="45">
        <f t="shared" si="99"/>
        <v>0</v>
      </c>
      <c r="N280" s="45">
        <f t="shared" si="100"/>
        <v>0</v>
      </c>
      <c r="O280" s="45">
        <f t="shared" si="101"/>
        <v>0</v>
      </c>
      <c r="P280" s="45">
        <f t="shared" si="102"/>
        <v>0.33333333333333331</v>
      </c>
      <c r="Q280" s="45">
        <f t="shared" si="103"/>
        <v>0.33333333333333331</v>
      </c>
      <c r="R280" s="45">
        <f t="shared" si="104"/>
        <v>0</v>
      </c>
      <c r="S280" s="45">
        <f t="shared" si="105"/>
        <v>0</v>
      </c>
      <c r="T280" s="45">
        <f t="shared" si="106"/>
        <v>0</v>
      </c>
    </row>
    <row r="281" spans="1:20" x14ac:dyDescent="0.3">
      <c r="A281">
        <f t="shared" si="87"/>
        <v>0</v>
      </c>
      <c r="B281">
        <f t="shared" si="88"/>
        <v>1</v>
      </c>
      <c r="C281">
        <f t="shared" si="89"/>
        <v>0</v>
      </c>
      <c r="D281">
        <f t="shared" si="90"/>
        <v>0</v>
      </c>
      <c r="E281">
        <f t="shared" si="91"/>
        <v>0</v>
      </c>
      <c r="F281">
        <f t="shared" si="92"/>
        <v>1</v>
      </c>
      <c r="G281">
        <f t="shared" si="93"/>
        <v>1</v>
      </c>
      <c r="H281">
        <f t="shared" si="94"/>
        <v>0</v>
      </c>
      <c r="I281">
        <f t="shared" si="95"/>
        <v>0</v>
      </c>
      <c r="J281">
        <f t="shared" si="96"/>
        <v>1</v>
      </c>
      <c r="K281" s="45">
        <f t="shared" si="97"/>
        <v>0</v>
      </c>
      <c r="L281" s="45">
        <f t="shared" si="98"/>
        <v>0.25</v>
      </c>
      <c r="M281" s="45">
        <f t="shared" si="99"/>
        <v>0</v>
      </c>
      <c r="N281" s="45">
        <f t="shared" si="100"/>
        <v>0</v>
      </c>
      <c r="O281" s="45">
        <f t="shared" si="101"/>
        <v>0</v>
      </c>
      <c r="P281" s="45">
        <f t="shared" si="102"/>
        <v>0.25</v>
      </c>
      <c r="Q281" s="45">
        <f t="shared" si="103"/>
        <v>0.25</v>
      </c>
      <c r="R281" s="45">
        <f t="shared" si="104"/>
        <v>0</v>
      </c>
      <c r="S281" s="45">
        <f t="shared" si="105"/>
        <v>0</v>
      </c>
      <c r="T281" s="45">
        <f t="shared" si="106"/>
        <v>0.25</v>
      </c>
    </row>
    <row r="282" spans="1:20" x14ac:dyDescent="0.3">
      <c r="A282">
        <f t="shared" si="87"/>
        <v>0</v>
      </c>
      <c r="B282">
        <f t="shared" si="88"/>
        <v>1</v>
      </c>
      <c r="C282">
        <f t="shared" si="89"/>
        <v>0</v>
      </c>
      <c r="D282">
        <f t="shared" si="90"/>
        <v>0</v>
      </c>
      <c r="E282">
        <f t="shared" si="91"/>
        <v>0</v>
      </c>
      <c r="F282">
        <f t="shared" si="92"/>
        <v>1</v>
      </c>
      <c r="G282">
        <f t="shared" si="93"/>
        <v>1</v>
      </c>
      <c r="H282">
        <f t="shared" si="94"/>
        <v>0</v>
      </c>
      <c r="I282">
        <f t="shared" si="95"/>
        <v>1</v>
      </c>
      <c r="J282">
        <f t="shared" si="96"/>
        <v>0</v>
      </c>
      <c r="K282" s="45">
        <f t="shared" si="97"/>
        <v>0</v>
      </c>
      <c r="L282" s="45">
        <f t="shared" si="98"/>
        <v>0.25</v>
      </c>
      <c r="M282" s="45">
        <f t="shared" si="99"/>
        <v>0</v>
      </c>
      <c r="N282" s="45">
        <f t="shared" si="100"/>
        <v>0</v>
      </c>
      <c r="O282" s="45">
        <f t="shared" si="101"/>
        <v>0</v>
      </c>
      <c r="P282" s="45">
        <f t="shared" si="102"/>
        <v>0.25</v>
      </c>
      <c r="Q282" s="45">
        <f t="shared" si="103"/>
        <v>0.25</v>
      </c>
      <c r="R282" s="45">
        <f t="shared" si="104"/>
        <v>0</v>
      </c>
      <c r="S282" s="45">
        <f t="shared" si="105"/>
        <v>0.25</v>
      </c>
      <c r="T282" s="45">
        <f t="shared" si="106"/>
        <v>0</v>
      </c>
    </row>
    <row r="283" spans="1:20" x14ac:dyDescent="0.3">
      <c r="A283">
        <f t="shared" si="87"/>
        <v>0</v>
      </c>
      <c r="B283">
        <f t="shared" si="88"/>
        <v>1</v>
      </c>
      <c r="C283">
        <f t="shared" si="89"/>
        <v>0</v>
      </c>
      <c r="D283">
        <f t="shared" si="90"/>
        <v>0</v>
      </c>
      <c r="E283">
        <f t="shared" si="91"/>
        <v>0</v>
      </c>
      <c r="F283">
        <f t="shared" si="92"/>
        <v>1</v>
      </c>
      <c r="G283">
        <f t="shared" si="93"/>
        <v>1</v>
      </c>
      <c r="H283">
        <f t="shared" si="94"/>
        <v>0</v>
      </c>
      <c r="I283">
        <f t="shared" si="95"/>
        <v>1</v>
      </c>
      <c r="J283">
        <f t="shared" si="96"/>
        <v>1</v>
      </c>
      <c r="K283" s="45">
        <f t="shared" si="97"/>
        <v>0</v>
      </c>
      <c r="L283" s="45">
        <f t="shared" si="98"/>
        <v>0.2</v>
      </c>
      <c r="M283" s="45">
        <f t="shared" si="99"/>
        <v>0</v>
      </c>
      <c r="N283" s="45">
        <f t="shared" si="100"/>
        <v>0</v>
      </c>
      <c r="O283" s="45">
        <f t="shared" si="101"/>
        <v>0</v>
      </c>
      <c r="P283" s="45">
        <f t="shared" si="102"/>
        <v>0.2</v>
      </c>
      <c r="Q283" s="45">
        <f t="shared" si="103"/>
        <v>0.2</v>
      </c>
      <c r="R283" s="45">
        <f t="shared" si="104"/>
        <v>0</v>
      </c>
      <c r="S283" s="45">
        <f t="shared" si="105"/>
        <v>0.2</v>
      </c>
      <c r="T283" s="45">
        <f t="shared" si="106"/>
        <v>0.2</v>
      </c>
    </row>
    <row r="284" spans="1:20" x14ac:dyDescent="0.3">
      <c r="A284">
        <f t="shared" si="87"/>
        <v>0</v>
      </c>
      <c r="B284">
        <f t="shared" si="88"/>
        <v>1</v>
      </c>
      <c r="C284">
        <f t="shared" si="89"/>
        <v>0</v>
      </c>
      <c r="D284">
        <f t="shared" si="90"/>
        <v>0</v>
      </c>
      <c r="E284">
        <f t="shared" si="91"/>
        <v>0</v>
      </c>
      <c r="F284">
        <f t="shared" si="92"/>
        <v>1</v>
      </c>
      <c r="G284">
        <f t="shared" si="93"/>
        <v>1</v>
      </c>
      <c r="H284">
        <f t="shared" si="94"/>
        <v>1</v>
      </c>
      <c r="I284">
        <f t="shared" si="95"/>
        <v>0</v>
      </c>
      <c r="J284">
        <f t="shared" si="96"/>
        <v>0</v>
      </c>
      <c r="K284" s="45">
        <f t="shared" si="97"/>
        <v>0</v>
      </c>
      <c r="L284" s="45">
        <f t="shared" si="98"/>
        <v>0.25</v>
      </c>
      <c r="M284" s="45">
        <f t="shared" si="99"/>
        <v>0</v>
      </c>
      <c r="N284" s="45">
        <f t="shared" si="100"/>
        <v>0</v>
      </c>
      <c r="O284" s="45">
        <f t="shared" si="101"/>
        <v>0</v>
      </c>
      <c r="P284" s="45">
        <f t="shared" si="102"/>
        <v>0.25</v>
      </c>
      <c r="Q284" s="45">
        <f t="shared" si="103"/>
        <v>0.25</v>
      </c>
      <c r="R284" s="45">
        <f t="shared" si="104"/>
        <v>0.25</v>
      </c>
      <c r="S284" s="45">
        <f t="shared" si="105"/>
        <v>0</v>
      </c>
      <c r="T284" s="45">
        <f t="shared" si="106"/>
        <v>0</v>
      </c>
    </row>
    <row r="285" spans="1:20" x14ac:dyDescent="0.3">
      <c r="A285">
        <f t="shared" si="87"/>
        <v>0</v>
      </c>
      <c r="B285">
        <f t="shared" si="88"/>
        <v>1</v>
      </c>
      <c r="C285">
        <f t="shared" si="89"/>
        <v>0</v>
      </c>
      <c r="D285">
        <f t="shared" si="90"/>
        <v>0</v>
      </c>
      <c r="E285">
        <f t="shared" si="91"/>
        <v>0</v>
      </c>
      <c r="F285">
        <f t="shared" si="92"/>
        <v>1</v>
      </c>
      <c r="G285">
        <f t="shared" si="93"/>
        <v>1</v>
      </c>
      <c r="H285">
        <f t="shared" si="94"/>
        <v>1</v>
      </c>
      <c r="I285">
        <f t="shared" si="95"/>
        <v>0</v>
      </c>
      <c r="J285">
        <f t="shared" si="96"/>
        <v>1</v>
      </c>
      <c r="K285" s="45">
        <f t="shared" si="97"/>
        <v>0</v>
      </c>
      <c r="L285" s="45">
        <f t="shared" si="98"/>
        <v>0.2</v>
      </c>
      <c r="M285" s="45">
        <f t="shared" si="99"/>
        <v>0</v>
      </c>
      <c r="N285" s="45">
        <f t="shared" si="100"/>
        <v>0</v>
      </c>
      <c r="O285" s="45">
        <f t="shared" si="101"/>
        <v>0</v>
      </c>
      <c r="P285" s="45">
        <f t="shared" si="102"/>
        <v>0.2</v>
      </c>
      <c r="Q285" s="45">
        <f t="shared" si="103"/>
        <v>0.2</v>
      </c>
      <c r="R285" s="45">
        <f t="shared" si="104"/>
        <v>0.2</v>
      </c>
      <c r="S285" s="45">
        <f t="shared" si="105"/>
        <v>0</v>
      </c>
      <c r="T285" s="45">
        <f t="shared" si="106"/>
        <v>0.2</v>
      </c>
    </row>
    <row r="286" spans="1:20" x14ac:dyDescent="0.3">
      <c r="A286">
        <f t="shared" si="87"/>
        <v>0</v>
      </c>
      <c r="B286">
        <f t="shared" si="88"/>
        <v>1</v>
      </c>
      <c r="C286">
        <f t="shared" si="89"/>
        <v>0</v>
      </c>
      <c r="D286">
        <f t="shared" si="90"/>
        <v>0</v>
      </c>
      <c r="E286">
        <f t="shared" si="91"/>
        <v>0</v>
      </c>
      <c r="F286">
        <f t="shared" si="92"/>
        <v>1</v>
      </c>
      <c r="G286">
        <f t="shared" si="93"/>
        <v>1</v>
      </c>
      <c r="H286">
        <f t="shared" si="94"/>
        <v>1</v>
      </c>
      <c r="I286">
        <f t="shared" si="95"/>
        <v>1</v>
      </c>
      <c r="J286">
        <f t="shared" si="96"/>
        <v>0</v>
      </c>
      <c r="K286" s="45">
        <f t="shared" si="97"/>
        <v>0</v>
      </c>
      <c r="L286" s="45">
        <f t="shared" si="98"/>
        <v>0.2</v>
      </c>
      <c r="M286" s="45">
        <f t="shared" si="99"/>
        <v>0</v>
      </c>
      <c r="N286" s="45">
        <f t="shared" si="100"/>
        <v>0</v>
      </c>
      <c r="O286" s="45">
        <f t="shared" si="101"/>
        <v>0</v>
      </c>
      <c r="P286" s="45">
        <f t="shared" si="102"/>
        <v>0.2</v>
      </c>
      <c r="Q286" s="45">
        <f t="shared" si="103"/>
        <v>0.2</v>
      </c>
      <c r="R286" s="45">
        <f t="shared" si="104"/>
        <v>0.2</v>
      </c>
      <c r="S286" s="45">
        <f t="shared" si="105"/>
        <v>0.2</v>
      </c>
      <c r="T286" s="45">
        <f t="shared" si="106"/>
        <v>0</v>
      </c>
    </row>
    <row r="287" spans="1:20" x14ac:dyDescent="0.3">
      <c r="A287">
        <f t="shared" si="87"/>
        <v>0</v>
      </c>
      <c r="B287">
        <f t="shared" si="88"/>
        <v>1</v>
      </c>
      <c r="C287">
        <f t="shared" si="89"/>
        <v>0</v>
      </c>
      <c r="D287">
        <f t="shared" si="90"/>
        <v>0</v>
      </c>
      <c r="E287">
        <f t="shared" si="91"/>
        <v>0</v>
      </c>
      <c r="F287">
        <f t="shared" si="92"/>
        <v>1</v>
      </c>
      <c r="G287">
        <f t="shared" si="93"/>
        <v>1</v>
      </c>
      <c r="H287">
        <f t="shared" si="94"/>
        <v>1</v>
      </c>
      <c r="I287">
        <f t="shared" si="95"/>
        <v>1</v>
      </c>
      <c r="J287">
        <f t="shared" si="96"/>
        <v>1</v>
      </c>
      <c r="K287" s="45">
        <f t="shared" si="97"/>
        <v>0</v>
      </c>
      <c r="L287" s="45">
        <f t="shared" si="98"/>
        <v>0.16666666666666666</v>
      </c>
      <c r="M287" s="45">
        <f t="shared" si="99"/>
        <v>0</v>
      </c>
      <c r="N287" s="45">
        <f t="shared" si="100"/>
        <v>0</v>
      </c>
      <c r="O287" s="45">
        <f t="shared" si="101"/>
        <v>0</v>
      </c>
      <c r="P287" s="45">
        <f t="shared" si="102"/>
        <v>0.16666666666666666</v>
      </c>
      <c r="Q287" s="45">
        <f t="shared" si="103"/>
        <v>0.16666666666666666</v>
      </c>
      <c r="R287" s="45">
        <f t="shared" si="104"/>
        <v>0.16666666666666666</v>
      </c>
      <c r="S287" s="45">
        <f t="shared" si="105"/>
        <v>0.16666666666666666</v>
      </c>
      <c r="T287" s="45">
        <f t="shared" si="106"/>
        <v>0.16666666666666666</v>
      </c>
    </row>
    <row r="288" spans="1:20" x14ac:dyDescent="0.3">
      <c r="A288">
        <f t="shared" si="87"/>
        <v>0</v>
      </c>
      <c r="B288">
        <f t="shared" si="88"/>
        <v>1</v>
      </c>
      <c r="C288">
        <f t="shared" si="89"/>
        <v>0</v>
      </c>
      <c r="D288">
        <f t="shared" si="90"/>
        <v>0</v>
      </c>
      <c r="E288">
        <f t="shared" si="91"/>
        <v>1</v>
      </c>
      <c r="F288">
        <f t="shared" si="92"/>
        <v>0</v>
      </c>
      <c r="G288">
        <f t="shared" si="93"/>
        <v>0</v>
      </c>
      <c r="H288">
        <f t="shared" si="94"/>
        <v>0</v>
      </c>
      <c r="I288">
        <f t="shared" si="95"/>
        <v>0</v>
      </c>
      <c r="J288">
        <f t="shared" si="96"/>
        <v>0</v>
      </c>
      <c r="K288" s="45">
        <f t="shared" si="97"/>
        <v>0</v>
      </c>
      <c r="L288" s="45">
        <f t="shared" si="98"/>
        <v>0.5</v>
      </c>
      <c r="M288" s="45">
        <f t="shared" si="99"/>
        <v>0</v>
      </c>
      <c r="N288" s="45">
        <f t="shared" si="100"/>
        <v>0</v>
      </c>
      <c r="O288" s="45">
        <f t="shared" si="101"/>
        <v>0.5</v>
      </c>
      <c r="P288" s="45">
        <f t="shared" si="102"/>
        <v>0</v>
      </c>
      <c r="Q288" s="45">
        <f t="shared" si="103"/>
        <v>0</v>
      </c>
      <c r="R288" s="45">
        <f t="shared" si="104"/>
        <v>0</v>
      </c>
      <c r="S288" s="45">
        <f t="shared" si="105"/>
        <v>0</v>
      </c>
      <c r="T288" s="45">
        <f t="shared" si="106"/>
        <v>0</v>
      </c>
    </row>
    <row r="289" spans="1:20" x14ac:dyDescent="0.3">
      <c r="A289">
        <f t="shared" si="87"/>
        <v>0</v>
      </c>
      <c r="B289">
        <f t="shared" si="88"/>
        <v>1</v>
      </c>
      <c r="C289">
        <f t="shared" si="89"/>
        <v>0</v>
      </c>
      <c r="D289">
        <f t="shared" si="90"/>
        <v>0</v>
      </c>
      <c r="E289">
        <f t="shared" si="91"/>
        <v>1</v>
      </c>
      <c r="F289">
        <f t="shared" si="92"/>
        <v>0</v>
      </c>
      <c r="G289">
        <f t="shared" si="93"/>
        <v>0</v>
      </c>
      <c r="H289">
        <f t="shared" si="94"/>
        <v>0</v>
      </c>
      <c r="I289">
        <f t="shared" si="95"/>
        <v>0</v>
      </c>
      <c r="J289">
        <f t="shared" si="96"/>
        <v>1</v>
      </c>
      <c r="K289" s="45">
        <f t="shared" si="97"/>
        <v>0</v>
      </c>
      <c r="L289" s="45">
        <f t="shared" si="98"/>
        <v>0.33333333333333331</v>
      </c>
      <c r="M289" s="45">
        <f t="shared" si="99"/>
        <v>0</v>
      </c>
      <c r="N289" s="45">
        <f t="shared" si="100"/>
        <v>0</v>
      </c>
      <c r="O289" s="45">
        <f t="shared" si="101"/>
        <v>0.33333333333333331</v>
      </c>
      <c r="P289" s="45">
        <f t="shared" si="102"/>
        <v>0</v>
      </c>
      <c r="Q289" s="45">
        <f t="shared" si="103"/>
        <v>0</v>
      </c>
      <c r="R289" s="45">
        <f t="shared" si="104"/>
        <v>0</v>
      </c>
      <c r="S289" s="45">
        <f t="shared" si="105"/>
        <v>0</v>
      </c>
      <c r="T289" s="45">
        <f t="shared" si="106"/>
        <v>0.33333333333333331</v>
      </c>
    </row>
    <row r="290" spans="1:20" x14ac:dyDescent="0.3">
      <c r="A290">
        <f t="shared" si="87"/>
        <v>0</v>
      </c>
      <c r="B290">
        <f t="shared" si="88"/>
        <v>1</v>
      </c>
      <c r="C290">
        <f t="shared" si="89"/>
        <v>0</v>
      </c>
      <c r="D290">
        <f t="shared" si="90"/>
        <v>0</v>
      </c>
      <c r="E290">
        <f t="shared" si="91"/>
        <v>1</v>
      </c>
      <c r="F290">
        <f t="shared" si="92"/>
        <v>0</v>
      </c>
      <c r="G290">
        <f t="shared" si="93"/>
        <v>0</v>
      </c>
      <c r="H290">
        <f t="shared" si="94"/>
        <v>0</v>
      </c>
      <c r="I290">
        <f t="shared" si="95"/>
        <v>1</v>
      </c>
      <c r="J290">
        <f t="shared" si="96"/>
        <v>0</v>
      </c>
      <c r="K290" s="45">
        <f t="shared" si="97"/>
        <v>0</v>
      </c>
      <c r="L290" s="45">
        <f t="shared" si="98"/>
        <v>0.33333333333333331</v>
      </c>
      <c r="M290" s="45">
        <f t="shared" si="99"/>
        <v>0</v>
      </c>
      <c r="N290" s="45">
        <f t="shared" si="100"/>
        <v>0</v>
      </c>
      <c r="O290" s="45">
        <f t="shared" si="101"/>
        <v>0.33333333333333331</v>
      </c>
      <c r="P290" s="45">
        <f t="shared" si="102"/>
        <v>0</v>
      </c>
      <c r="Q290" s="45">
        <f t="shared" si="103"/>
        <v>0</v>
      </c>
      <c r="R290" s="45">
        <f t="shared" si="104"/>
        <v>0</v>
      </c>
      <c r="S290" s="45">
        <f t="shared" si="105"/>
        <v>0.33333333333333331</v>
      </c>
      <c r="T290" s="45">
        <f t="shared" si="106"/>
        <v>0</v>
      </c>
    </row>
    <row r="291" spans="1:20" x14ac:dyDescent="0.3">
      <c r="A291">
        <f t="shared" si="87"/>
        <v>0</v>
      </c>
      <c r="B291">
        <f t="shared" si="88"/>
        <v>1</v>
      </c>
      <c r="C291">
        <f t="shared" si="89"/>
        <v>0</v>
      </c>
      <c r="D291">
        <f t="shared" si="90"/>
        <v>0</v>
      </c>
      <c r="E291">
        <f t="shared" si="91"/>
        <v>1</v>
      </c>
      <c r="F291">
        <f t="shared" si="92"/>
        <v>0</v>
      </c>
      <c r="G291">
        <f t="shared" si="93"/>
        <v>0</v>
      </c>
      <c r="H291">
        <f t="shared" si="94"/>
        <v>0</v>
      </c>
      <c r="I291">
        <f t="shared" si="95"/>
        <v>1</v>
      </c>
      <c r="J291">
        <f t="shared" si="96"/>
        <v>1</v>
      </c>
      <c r="K291" s="45">
        <f t="shared" si="97"/>
        <v>0</v>
      </c>
      <c r="L291" s="45">
        <f t="shared" si="98"/>
        <v>0.25</v>
      </c>
      <c r="M291" s="45">
        <f t="shared" si="99"/>
        <v>0</v>
      </c>
      <c r="N291" s="45">
        <f t="shared" si="100"/>
        <v>0</v>
      </c>
      <c r="O291" s="45">
        <f t="shared" si="101"/>
        <v>0.25</v>
      </c>
      <c r="P291" s="45">
        <f t="shared" si="102"/>
        <v>0</v>
      </c>
      <c r="Q291" s="45">
        <f t="shared" si="103"/>
        <v>0</v>
      </c>
      <c r="R291" s="45">
        <f t="shared" si="104"/>
        <v>0</v>
      </c>
      <c r="S291" s="45">
        <f t="shared" si="105"/>
        <v>0.25</v>
      </c>
      <c r="T291" s="45">
        <f t="shared" si="106"/>
        <v>0.25</v>
      </c>
    </row>
    <row r="292" spans="1:20" x14ac:dyDescent="0.3">
      <c r="A292">
        <f t="shared" si="87"/>
        <v>0</v>
      </c>
      <c r="B292">
        <f t="shared" si="88"/>
        <v>1</v>
      </c>
      <c r="C292">
        <f t="shared" si="89"/>
        <v>0</v>
      </c>
      <c r="D292">
        <f t="shared" si="90"/>
        <v>0</v>
      </c>
      <c r="E292">
        <f t="shared" si="91"/>
        <v>1</v>
      </c>
      <c r="F292">
        <f t="shared" si="92"/>
        <v>0</v>
      </c>
      <c r="G292">
        <f t="shared" si="93"/>
        <v>0</v>
      </c>
      <c r="H292">
        <f t="shared" si="94"/>
        <v>1</v>
      </c>
      <c r="I292">
        <f t="shared" si="95"/>
        <v>0</v>
      </c>
      <c r="J292">
        <f t="shared" si="96"/>
        <v>0</v>
      </c>
      <c r="K292" s="45">
        <f t="shared" si="97"/>
        <v>0</v>
      </c>
      <c r="L292" s="45">
        <f t="shared" si="98"/>
        <v>0.33333333333333331</v>
      </c>
      <c r="M292" s="45">
        <f t="shared" si="99"/>
        <v>0</v>
      </c>
      <c r="N292" s="45">
        <f t="shared" si="100"/>
        <v>0</v>
      </c>
      <c r="O292" s="45">
        <f t="shared" si="101"/>
        <v>0.33333333333333331</v>
      </c>
      <c r="P292" s="45">
        <f t="shared" si="102"/>
        <v>0</v>
      </c>
      <c r="Q292" s="45">
        <f t="shared" si="103"/>
        <v>0</v>
      </c>
      <c r="R292" s="45">
        <f t="shared" si="104"/>
        <v>0.33333333333333331</v>
      </c>
      <c r="S292" s="45">
        <f t="shared" si="105"/>
        <v>0</v>
      </c>
      <c r="T292" s="45">
        <f t="shared" si="106"/>
        <v>0</v>
      </c>
    </row>
    <row r="293" spans="1:20" x14ac:dyDescent="0.3">
      <c r="A293">
        <f t="shared" si="87"/>
        <v>0</v>
      </c>
      <c r="B293">
        <f t="shared" si="88"/>
        <v>1</v>
      </c>
      <c r="C293">
        <f t="shared" si="89"/>
        <v>0</v>
      </c>
      <c r="D293">
        <f t="shared" si="90"/>
        <v>0</v>
      </c>
      <c r="E293">
        <f t="shared" si="91"/>
        <v>1</v>
      </c>
      <c r="F293">
        <f t="shared" si="92"/>
        <v>0</v>
      </c>
      <c r="G293">
        <f t="shared" si="93"/>
        <v>0</v>
      </c>
      <c r="H293">
        <f t="shared" si="94"/>
        <v>1</v>
      </c>
      <c r="I293">
        <f t="shared" si="95"/>
        <v>0</v>
      </c>
      <c r="J293">
        <f t="shared" si="96"/>
        <v>1</v>
      </c>
      <c r="K293" s="45">
        <f t="shared" si="97"/>
        <v>0</v>
      </c>
      <c r="L293" s="45">
        <f t="shared" si="98"/>
        <v>0.25</v>
      </c>
      <c r="M293" s="45">
        <f t="shared" si="99"/>
        <v>0</v>
      </c>
      <c r="N293" s="45">
        <f t="shared" si="100"/>
        <v>0</v>
      </c>
      <c r="O293" s="45">
        <f t="shared" si="101"/>
        <v>0.25</v>
      </c>
      <c r="P293" s="45">
        <f t="shared" si="102"/>
        <v>0</v>
      </c>
      <c r="Q293" s="45">
        <f t="shared" si="103"/>
        <v>0</v>
      </c>
      <c r="R293" s="45">
        <f t="shared" si="104"/>
        <v>0.25</v>
      </c>
      <c r="S293" s="45">
        <f t="shared" si="105"/>
        <v>0</v>
      </c>
      <c r="T293" s="45">
        <f t="shared" si="106"/>
        <v>0.25</v>
      </c>
    </row>
    <row r="294" spans="1:20" x14ac:dyDescent="0.3">
      <c r="A294">
        <f t="shared" si="87"/>
        <v>0</v>
      </c>
      <c r="B294">
        <f t="shared" si="88"/>
        <v>1</v>
      </c>
      <c r="C294">
        <f t="shared" si="89"/>
        <v>0</v>
      </c>
      <c r="D294">
        <f t="shared" si="90"/>
        <v>0</v>
      </c>
      <c r="E294">
        <f t="shared" si="91"/>
        <v>1</v>
      </c>
      <c r="F294">
        <f t="shared" si="92"/>
        <v>0</v>
      </c>
      <c r="G294">
        <f t="shared" si="93"/>
        <v>0</v>
      </c>
      <c r="H294">
        <f t="shared" si="94"/>
        <v>1</v>
      </c>
      <c r="I294">
        <f t="shared" si="95"/>
        <v>1</v>
      </c>
      <c r="J294">
        <f t="shared" si="96"/>
        <v>0</v>
      </c>
      <c r="K294" s="45">
        <f t="shared" si="97"/>
        <v>0</v>
      </c>
      <c r="L294" s="45">
        <f t="shared" si="98"/>
        <v>0.25</v>
      </c>
      <c r="M294" s="45">
        <f t="shared" si="99"/>
        <v>0</v>
      </c>
      <c r="N294" s="45">
        <f t="shared" si="100"/>
        <v>0</v>
      </c>
      <c r="O294" s="45">
        <f t="shared" si="101"/>
        <v>0.25</v>
      </c>
      <c r="P294" s="45">
        <f t="shared" si="102"/>
        <v>0</v>
      </c>
      <c r="Q294" s="45">
        <f t="shared" si="103"/>
        <v>0</v>
      </c>
      <c r="R294" s="45">
        <f t="shared" si="104"/>
        <v>0.25</v>
      </c>
      <c r="S294" s="45">
        <f t="shared" si="105"/>
        <v>0.25</v>
      </c>
      <c r="T294" s="45">
        <f t="shared" si="106"/>
        <v>0</v>
      </c>
    </row>
    <row r="295" spans="1:20" x14ac:dyDescent="0.3">
      <c r="A295">
        <f t="shared" si="87"/>
        <v>0</v>
      </c>
      <c r="B295">
        <f t="shared" si="88"/>
        <v>1</v>
      </c>
      <c r="C295">
        <f t="shared" si="89"/>
        <v>0</v>
      </c>
      <c r="D295">
        <f t="shared" si="90"/>
        <v>0</v>
      </c>
      <c r="E295">
        <f t="shared" si="91"/>
        <v>1</v>
      </c>
      <c r="F295">
        <f t="shared" si="92"/>
        <v>0</v>
      </c>
      <c r="G295">
        <f t="shared" si="93"/>
        <v>0</v>
      </c>
      <c r="H295">
        <f t="shared" si="94"/>
        <v>1</v>
      </c>
      <c r="I295">
        <f t="shared" si="95"/>
        <v>1</v>
      </c>
      <c r="J295">
        <f t="shared" si="96"/>
        <v>1</v>
      </c>
      <c r="K295" s="45">
        <f t="shared" si="97"/>
        <v>0</v>
      </c>
      <c r="L295" s="45">
        <f t="shared" si="98"/>
        <v>0.2</v>
      </c>
      <c r="M295" s="45">
        <f t="shared" si="99"/>
        <v>0</v>
      </c>
      <c r="N295" s="45">
        <f t="shared" si="100"/>
        <v>0</v>
      </c>
      <c r="O295" s="45">
        <f t="shared" si="101"/>
        <v>0.2</v>
      </c>
      <c r="P295" s="45">
        <f t="shared" si="102"/>
        <v>0</v>
      </c>
      <c r="Q295" s="45">
        <f t="shared" si="103"/>
        <v>0</v>
      </c>
      <c r="R295" s="45">
        <f t="shared" si="104"/>
        <v>0.2</v>
      </c>
      <c r="S295" s="45">
        <f t="shared" si="105"/>
        <v>0.2</v>
      </c>
      <c r="T295" s="45">
        <f t="shared" si="106"/>
        <v>0.2</v>
      </c>
    </row>
    <row r="296" spans="1:20" x14ac:dyDescent="0.3">
      <c r="A296">
        <f t="shared" si="87"/>
        <v>0</v>
      </c>
      <c r="B296">
        <f t="shared" si="88"/>
        <v>1</v>
      </c>
      <c r="C296">
        <f t="shared" si="89"/>
        <v>0</v>
      </c>
      <c r="D296">
        <f t="shared" si="90"/>
        <v>0</v>
      </c>
      <c r="E296">
        <f t="shared" si="91"/>
        <v>1</v>
      </c>
      <c r="F296">
        <f t="shared" si="92"/>
        <v>0</v>
      </c>
      <c r="G296">
        <f t="shared" si="93"/>
        <v>1</v>
      </c>
      <c r="H296">
        <f t="shared" si="94"/>
        <v>0</v>
      </c>
      <c r="I296">
        <f t="shared" si="95"/>
        <v>0</v>
      </c>
      <c r="J296">
        <f t="shared" si="96"/>
        <v>0</v>
      </c>
      <c r="K296" s="45">
        <f t="shared" si="97"/>
        <v>0</v>
      </c>
      <c r="L296" s="45">
        <f t="shared" si="98"/>
        <v>0.33333333333333331</v>
      </c>
      <c r="M296" s="45">
        <f t="shared" si="99"/>
        <v>0</v>
      </c>
      <c r="N296" s="45">
        <f t="shared" si="100"/>
        <v>0</v>
      </c>
      <c r="O296" s="45">
        <f t="shared" si="101"/>
        <v>0.33333333333333331</v>
      </c>
      <c r="P296" s="45">
        <f t="shared" si="102"/>
        <v>0</v>
      </c>
      <c r="Q296" s="45">
        <f t="shared" si="103"/>
        <v>0.33333333333333331</v>
      </c>
      <c r="R296" s="45">
        <f t="shared" si="104"/>
        <v>0</v>
      </c>
      <c r="S296" s="45">
        <f t="shared" si="105"/>
        <v>0</v>
      </c>
      <c r="T296" s="45">
        <f t="shared" si="106"/>
        <v>0</v>
      </c>
    </row>
    <row r="297" spans="1:20" x14ac:dyDescent="0.3">
      <c r="A297">
        <f t="shared" si="87"/>
        <v>0</v>
      </c>
      <c r="B297">
        <f t="shared" si="88"/>
        <v>1</v>
      </c>
      <c r="C297">
        <f t="shared" si="89"/>
        <v>0</v>
      </c>
      <c r="D297">
        <f t="shared" si="90"/>
        <v>0</v>
      </c>
      <c r="E297">
        <f t="shared" si="91"/>
        <v>1</v>
      </c>
      <c r="F297">
        <f t="shared" si="92"/>
        <v>0</v>
      </c>
      <c r="G297">
        <f t="shared" si="93"/>
        <v>1</v>
      </c>
      <c r="H297">
        <f t="shared" si="94"/>
        <v>0</v>
      </c>
      <c r="I297">
        <f t="shared" si="95"/>
        <v>0</v>
      </c>
      <c r="J297">
        <f t="shared" si="96"/>
        <v>1</v>
      </c>
      <c r="K297" s="45">
        <f t="shared" si="97"/>
        <v>0</v>
      </c>
      <c r="L297" s="45">
        <f t="shared" si="98"/>
        <v>0.25</v>
      </c>
      <c r="M297" s="45">
        <f t="shared" si="99"/>
        <v>0</v>
      </c>
      <c r="N297" s="45">
        <f t="shared" si="100"/>
        <v>0</v>
      </c>
      <c r="O297" s="45">
        <f t="shared" si="101"/>
        <v>0.25</v>
      </c>
      <c r="P297" s="45">
        <f t="shared" si="102"/>
        <v>0</v>
      </c>
      <c r="Q297" s="45">
        <f t="shared" si="103"/>
        <v>0.25</v>
      </c>
      <c r="R297" s="45">
        <f t="shared" si="104"/>
        <v>0</v>
      </c>
      <c r="S297" s="45">
        <f t="shared" si="105"/>
        <v>0</v>
      </c>
      <c r="T297" s="45">
        <f t="shared" si="106"/>
        <v>0.25</v>
      </c>
    </row>
    <row r="298" spans="1:20" x14ac:dyDescent="0.3">
      <c r="A298">
        <f t="shared" si="87"/>
        <v>0</v>
      </c>
      <c r="B298">
        <f t="shared" si="88"/>
        <v>1</v>
      </c>
      <c r="C298">
        <f t="shared" si="89"/>
        <v>0</v>
      </c>
      <c r="D298">
        <f t="shared" si="90"/>
        <v>0</v>
      </c>
      <c r="E298">
        <f t="shared" si="91"/>
        <v>1</v>
      </c>
      <c r="F298">
        <f t="shared" si="92"/>
        <v>0</v>
      </c>
      <c r="G298">
        <f t="shared" si="93"/>
        <v>1</v>
      </c>
      <c r="H298">
        <f t="shared" si="94"/>
        <v>0</v>
      </c>
      <c r="I298">
        <f t="shared" si="95"/>
        <v>1</v>
      </c>
      <c r="J298">
        <f t="shared" si="96"/>
        <v>0</v>
      </c>
      <c r="K298" s="45">
        <f t="shared" si="97"/>
        <v>0</v>
      </c>
      <c r="L298" s="45">
        <f t="shared" si="98"/>
        <v>0.25</v>
      </c>
      <c r="M298" s="45">
        <f t="shared" si="99"/>
        <v>0</v>
      </c>
      <c r="N298" s="45">
        <f t="shared" si="100"/>
        <v>0</v>
      </c>
      <c r="O298" s="45">
        <f t="shared" si="101"/>
        <v>0.25</v>
      </c>
      <c r="P298" s="45">
        <f t="shared" si="102"/>
        <v>0</v>
      </c>
      <c r="Q298" s="45">
        <f t="shared" si="103"/>
        <v>0.25</v>
      </c>
      <c r="R298" s="45">
        <f t="shared" si="104"/>
        <v>0</v>
      </c>
      <c r="S298" s="45">
        <f t="shared" si="105"/>
        <v>0.25</v>
      </c>
      <c r="T298" s="45">
        <f t="shared" si="106"/>
        <v>0</v>
      </c>
    </row>
    <row r="299" spans="1:20" x14ac:dyDescent="0.3">
      <c r="A299">
        <f t="shared" si="87"/>
        <v>0</v>
      </c>
      <c r="B299">
        <f t="shared" si="88"/>
        <v>1</v>
      </c>
      <c r="C299">
        <f t="shared" si="89"/>
        <v>0</v>
      </c>
      <c r="D299">
        <f t="shared" si="90"/>
        <v>0</v>
      </c>
      <c r="E299">
        <f t="shared" si="91"/>
        <v>1</v>
      </c>
      <c r="F299">
        <f t="shared" si="92"/>
        <v>0</v>
      </c>
      <c r="G299">
        <f t="shared" si="93"/>
        <v>1</v>
      </c>
      <c r="H299">
        <f t="shared" si="94"/>
        <v>0</v>
      </c>
      <c r="I299">
        <f t="shared" si="95"/>
        <v>1</v>
      </c>
      <c r="J299">
        <f t="shared" si="96"/>
        <v>1</v>
      </c>
      <c r="K299" s="45">
        <f t="shared" si="97"/>
        <v>0</v>
      </c>
      <c r="L299" s="45">
        <f t="shared" si="98"/>
        <v>0.2</v>
      </c>
      <c r="M299" s="45">
        <f t="shared" si="99"/>
        <v>0</v>
      </c>
      <c r="N299" s="45">
        <f t="shared" si="100"/>
        <v>0</v>
      </c>
      <c r="O299" s="45">
        <f t="shared" si="101"/>
        <v>0.2</v>
      </c>
      <c r="P299" s="45">
        <f t="shared" si="102"/>
        <v>0</v>
      </c>
      <c r="Q299" s="45">
        <f t="shared" si="103"/>
        <v>0.2</v>
      </c>
      <c r="R299" s="45">
        <f t="shared" si="104"/>
        <v>0</v>
      </c>
      <c r="S299" s="45">
        <f t="shared" si="105"/>
        <v>0.2</v>
      </c>
      <c r="T299" s="45">
        <f t="shared" si="106"/>
        <v>0.2</v>
      </c>
    </row>
    <row r="300" spans="1:20" x14ac:dyDescent="0.3">
      <c r="A300">
        <f t="shared" si="87"/>
        <v>0</v>
      </c>
      <c r="B300">
        <f t="shared" si="88"/>
        <v>1</v>
      </c>
      <c r="C300">
        <f t="shared" si="89"/>
        <v>0</v>
      </c>
      <c r="D300">
        <f t="shared" si="90"/>
        <v>0</v>
      </c>
      <c r="E300">
        <f t="shared" si="91"/>
        <v>1</v>
      </c>
      <c r="F300">
        <f t="shared" si="92"/>
        <v>0</v>
      </c>
      <c r="G300">
        <f t="shared" si="93"/>
        <v>1</v>
      </c>
      <c r="H300">
        <f t="shared" si="94"/>
        <v>1</v>
      </c>
      <c r="I300">
        <f t="shared" si="95"/>
        <v>0</v>
      </c>
      <c r="J300">
        <f t="shared" si="96"/>
        <v>0</v>
      </c>
      <c r="K300" s="45">
        <f t="shared" si="97"/>
        <v>0</v>
      </c>
      <c r="L300" s="45">
        <f t="shared" si="98"/>
        <v>0.25</v>
      </c>
      <c r="M300" s="45">
        <f t="shared" si="99"/>
        <v>0</v>
      </c>
      <c r="N300" s="45">
        <f t="shared" si="100"/>
        <v>0</v>
      </c>
      <c r="O300" s="45">
        <f t="shared" si="101"/>
        <v>0.25</v>
      </c>
      <c r="P300" s="45">
        <f t="shared" si="102"/>
        <v>0</v>
      </c>
      <c r="Q300" s="45">
        <f t="shared" si="103"/>
        <v>0.25</v>
      </c>
      <c r="R300" s="45">
        <f t="shared" si="104"/>
        <v>0.25</v>
      </c>
      <c r="S300" s="45">
        <f t="shared" si="105"/>
        <v>0</v>
      </c>
      <c r="T300" s="45">
        <f t="shared" si="106"/>
        <v>0</v>
      </c>
    </row>
    <row r="301" spans="1:20" x14ac:dyDescent="0.3">
      <c r="A301">
        <f t="shared" si="87"/>
        <v>0</v>
      </c>
      <c r="B301">
        <f t="shared" si="88"/>
        <v>1</v>
      </c>
      <c r="C301">
        <f t="shared" si="89"/>
        <v>0</v>
      </c>
      <c r="D301">
        <f t="shared" si="90"/>
        <v>0</v>
      </c>
      <c r="E301">
        <f t="shared" si="91"/>
        <v>1</v>
      </c>
      <c r="F301">
        <f t="shared" si="92"/>
        <v>0</v>
      </c>
      <c r="G301">
        <f t="shared" si="93"/>
        <v>1</v>
      </c>
      <c r="H301">
        <f t="shared" si="94"/>
        <v>1</v>
      </c>
      <c r="I301">
        <f t="shared" si="95"/>
        <v>0</v>
      </c>
      <c r="J301">
        <f t="shared" si="96"/>
        <v>1</v>
      </c>
      <c r="K301" s="45">
        <f t="shared" si="97"/>
        <v>0</v>
      </c>
      <c r="L301" s="45">
        <f t="shared" si="98"/>
        <v>0.2</v>
      </c>
      <c r="M301" s="45">
        <f t="shared" si="99"/>
        <v>0</v>
      </c>
      <c r="N301" s="45">
        <f t="shared" si="100"/>
        <v>0</v>
      </c>
      <c r="O301" s="45">
        <f t="shared" si="101"/>
        <v>0.2</v>
      </c>
      <c r="P301" s="45">
        <f t="shared" si="102"/>
        <v>0</v>
      </c>
      <c r="Q301" s="45">
        <f t="shared" si="103"/>
        <v>0.2</v>
      </c>
      <c r="R301" s="45">
        <f t="shared" si="104"/>
        <v>0.2</v>
      </c>
      <c r="S301" s="45">
        <f t="shared" si="105"/>
        <v>0</v>
      </c>
      <c r="T301" s="45">
        <f t="shared" si="106"/>
        <v>0.2</v>
      </c>
    </row>
    <row r="302" spans="1:20" x14ac:dyDescent="0.3">
      <c r="A302">
        <f t="shared" si="87"/>
        <v>0</v>
      </c>
      <c r="B302">
        <f t="shared" si="88"/>
        <v>1</v>
      </c>
      <c r="C302">
        <f t="shared" si="89"/>
        <v>0</v>
      </c>
      <c r="D302">
        <f t="shared" si="90"/>
        <v>0</v>
      </c>
      <c r="E302">
        <f t="shared" si="91"/>
        <v>1</v>
      </c>
      <c r="F302">
        <f t="shared" si="92"/>
        <v>0</v>
      </c>
      <c r="G302">
        <f t="shared" si="93"/>
        <v>1</v>
      </c>
      <c r="H302">
        <f t="shared" si="94"/>
        <v>1</v>
      </c>
      <c r="I302">
        <f t="shared" si="95"/>
        <v>1</v>
      </c>
      <c r="J302">
        <f t="shared" si="96"/>
        <v>0</v>
      </c>
      <c r="K302" s="45">
        <f t="shared" si="97"/>
        <v>0</v>
      </c>
      <c r="L302" s="45">
        <f t="shared" si="98"/>
        <v>0.2</v>
      </c>
      <c r="M302" s="45">
        <f t="shared" si="99"/>
        <v>0</v>
      </c>
      <c r="N302" s="45">
        <f t="shared" si="100"/>
        <v>0</v>
      </c>
      <c r="O302" s="45">
        <f t="shared" si="101"/>
        <v>0.2</v>
      </c>
      <c r="P302" s="45">
        <f t="shared" si="102"/>
        <v>0</v>
      </c>
      <c r="Q302" s="45">
        <f t="shared" si="103"/>
        <v>0.2</v>
      </c>
      <c r="R302" s="45">
        <f t="shared" si="104"/>
        <v>0.2</v>
      </c>
      <c r="S302" s="45">
        <f t="shared" si="105"/>
        <v>0.2</v>
      </c>
      <c r="T302" s="45">
        <f t="shared" si="106"/>
        <v>0</v>
      </c>
    </row>
    <row r="303" spans="1:20" x14ac:dyDescent="0.3">
      <c r="A303">
        <f t="shared" si="87"/>
        <v>0</v>
      </c>
      <c r="B303">
        <f t="shared" si="88"/>
        <v>1</v>
      </c>
      <c r="C303">
        <f t="shared" si="89"/>
        <v>0</v>
      </c>
      <c r="D303">
        <f t="shared" si="90"/>
        <v>0</v>
      </c>
      <c r="E303">
        <f t="shared" si="91"/>
        <v>1</v>
      </c>
      <c r="F303">
        <f t="shared" si="92"/>
        <v>0</v>
      </c>
      <c r="G303">
        <f t="shared" si="93"/>
        <v>1</v>
      </c>
      <c r="H303">
        <f t="shared" si="94"/>
        <v>1</v>
      </c>
      <c r="I303">
        <f t="shared" si="95"/>
        <v>1</v>
      </c>
      <c r="J303">
        <f t="shared" si="96"/>
        <v>1</v>
      </c>
      <c r="K303" s="45">
        <f t="shared" si="97"/>
        <v>0</v>
      </c>
      <c r="L303" s="45">
        <f t="shared" si="98"/>
        <v>0.16666666666666666</v>
      </c>
      <c r="M303" s="45">
        <f t="shared" si="99"/>
        <v>0</v>
      </c>
      <c r="N303" s="45">
        <f t="shared" si="100"/>
        <v>0</v>
      </c>
      <c r="O303" s="45">
        <f t="shared" si="101"/>
        <v>0.16666666666666666</v>
      </c>
      <c r="P303" s="45">
        <f t="shared" si="102"/>
        <v>0</v>
      </c>
      <c r="Q303" s="45">
        <f t="shared" si="103"/>
        <v>0.16666666666666666</v>
      </c>
      <c r="R303" s="45">
        <f t="shared" si="104"/>
        <v>0.16666666666666666</v>
      </c>
      <c r="S303" s="45">
        <f t="shared" si="105"/>
        <v>0.16666666666666666</v>
      </c>
      <c r="T303" s="45">
        <f t="shared" si="106"/>
        <v>0.16666666666666666</v>
      </c>
    </row>
    <row r="304" spans="1:20" x14ac:dyDescent="0.3">
      <c r="A304">
        <f t="shared" si="87"/>
        <v>0</v>
      </c>
      <c r="B304">
        <f t="shared" si="88"/>
        <v>1</v>
      </c>
      <c r="C304">
        <f t="shared" si="89"/>
        <v>0</v>
      </c>
      <c r="D304">
        <f t="shared" si="90"/>
        <v>0</v>
      </c>
      <c r="E304">
        <f t="shared" si="91"/>
        <v>1</v>
      </c>
      <c r="F304">
        <f t="shared" si="92"/>
        <v>1</v>
      </c>
      <c r="G304">
        <f t="shared" si="93"/>
        <v>0</v>
      </c>
      <c r="H304">
        <f t="shared" si="94"/>
        <v>0</v>
      </c>
      <c r="I304">
        <f t="shared" si="95"/>
        <v>0</v>
      </c>
      <c r="J304">
        <f t="shared" si="96"/>
        <v>0</v>
      </c>
      <c r="K304" s="45">
        <f t="shared" si="97"/>
        <v>0</v>
      </c>
      <c r="L304" s="45">
        <f t="shared" si="98"/>
        <v>0.33333333333333331</v>
      </c>
      <c r="M304" s="45">
        <f t="shared" si="99"/>
        <v>0</v>
      </c>
      <c r="N304" s="45">
        <f t="shared" si="100"/>
        <v>0</v>
      </c>
      <c r="O304" s="45">
        <f t="shared" si="101"/>
        <v>0.33333333333333331</v>
      </c>
      <c r="P304" s="45">
        <f t="shared" si="102"/>
        <v>0.33333333333333331</v>
      </c>
      <c r="Q304" s="45">
        <f t="shared" si="103"/>
        <v>0</v>
      </c>
      <c r="R304" s="45">
        <f t="shared" si="104"/>
        <v>0</v>
      </c>
      <c r="S304" s="45">
        <f t="shared" si="105"/>
        <v>0</v>
      </c>
      <c r="T304" s="45">
        <f t="shared" si="106"/>
        <v>0</v>
      </c>
    </row>
    <row r="305" spans="1:20" x14ac:dyDescent="0.3">
      <c r="A305">
        <f t="shared" si="87"/>
        <v>0</v>
      </c>
      <c r="B305">
        <f t="shared" si="88"/>
        <v>1</v>
      </c>
      <c r="C305">
        <f t="shared" si="89"/>
        <v>0</v>
      </c>
      <c r="D305">
        <f t="shared" si="90"/>
        <v>0</v>
      </c>
      <c r="E305">
        <f t="shared" si="91"/>
        <v>1</v>
      </c>
      <c r="F305">
        <f t="shared" si="92"/>
        <v>1</v>
      </c>
      <c r="G305">
        <f t="shared" si="93"/>
        <v>0</v>
      </c>
      <c r="H305">
        <f t="shared" si="94"/>
        <v>0</v>
      </c>
      <c r="I305">
        <f t="shared" si="95"/>
        <v>0</v>
      </c>
      <c r="J305">
        <f t="shared" si="96"/>
        <v>1</v>
      </c>
      <c r="K305" s="45">
        <f t="shared" si="97"/>
        <v>0</v>
      </c>
      <c r="L305" s="45">
        <f t="shared" si="98"/>
        <v>0.25</v>
      </c>
      <c r="M305" s="45">
        <f t="shared" si="99"/>
        <v>0</v>
      </c>
      <c r="N305" s="45">
        <f t="shared" si="100"/>
        <v>0</v>
      </c>
      <c r="O305" s="45">
        <f t="shared" si="101"/>
        <v>0.25</v>
      </c>
      <c r="P305" s="45">
        <f t="shared" si="102"/>
        <v>0.25</v>
      </c>
      <c r="Q305" s="45">
        <f t="shared" si="103"/>
        <v>0</v>
      </c>
      <c r="R305" s="45">
        <f t="shared" si="104"/>
        <v>0</v>
      </c>
      <c r="S305" s="45">
        <f t="shared" si="105"/>
        <v>0</v>
      </c>
      <c r="T305" s="45">
        <f t="shared" si="106"/>
        <v>0.25</v>
      </c>
    </row>
    <row r="306" spans="1:20" x14ac:dyDescent="0.3">
      <c r="A306">
        <f t="shared" si="87"/>
        <v>0</v>
      </c>
      <c r="B306">
        <f t="shared" si="88"/>
        <v>1</v>
      </c>
      <c r="C306">
        <f t="shared" si="89"/>
        <v>0</v>
      </c>
      <c r="D306">
        <f t="shared" si="90"/>
        <v>0</v>
      </c>
      <c r="E306">
        <f t="shared" si="91"/>
        <v>1</v>
      </c>
      <c r="F306">
        <f t="shared" si="92"/>
        <v>1</v>
      </c>
      <c r="G306">
        <f t="shared" si="93"/>
        <v>0</v>
      </c>
      <c r="H306">
        <f t="shared" si="94"/>
        <v>0</v>
      </c>
      <c r="I306">
        <f t="shared" si="95"/>
        <v>1</v>
      </c>
      <c r="J306">
        <f t="shared" si="96"/>
        <v>0</v>
      </c>
      <c r="K306" s="45">
        <f t="shared" si="97"/>
        <v>0</v>
      </c>
      <c r="L306" s="45">
        <f t="shared" si="98"/>
        <v>0.25</v>
      </c>
      <c r="M306" s="45">
        <f t="shared" si="99"/>
        <v>0</v>
      </c>
      <c r="N306" s="45">
        <f t="shared" si="100"/>
        <v>0</v>
      </c>
      <c r="O306" s="45">
        <f t="shared" si="101"/>
        <v>0.25</v>
      </c>
      <c r="P306" s="45">
        <f t="shared" si="102"/>
        <v>0.25</v>
      </c>
      <c r="Q306" s="45">
        <f t="shared" si="103"/>
        <v>0</v>
      </c>
      <c r="R306" s="45">
        <f t="shared" si="104"/>
        <v>0</v>
      </c>
      <c r="S306" s="45">
        <f t="shared" si="105"/>
        <v>0.25</v>
      </c>
      <c r="T306" s="45">
        <f t="shared" si="106"/>
        <v>0</v>
      </c>
    </row>
    <row r="307" spans="1:20" x14ac:dyDescent="0.3">
      <c r="A307">
        <f t="shared" si="87"/>
        <v>0</v>
      </c>
      <c r="B307">
        <f t="shared" si="88"/>
        <v>1</v>
      </c>
      <c r="C307">
        <f t="shared" si="89"/>
        <v>0</v>
      </c>
      <c r="D307">
        <f t="shared" si="90"/>
        <v>0</v>
      </c>
      <c r="E307">
        <f t="shared" si="91"/>
        <v>1</v>
      </c>
      <c r="F307">
        <f t="shared" si="92"/>
        <v>1</v>
      </c>
      <c r="G307">
        <f t="shared" si="93"/>
        <v>0</v>
      </c>
      <c r="H307">
        <f t="shared" si="94"/>
        <v>0</v>
      </c>
      <c r="I307">
        <f t="shared" si="95"/>
        <v>1</v>
      </c>
      <c r="J307">
        <f t="shared" si="96"/>
        <v>1</v>
      </c>
      <c r="K307" s="45">
        <f t="shared" si="97"/>
        <v>0</v>
      </c>
      <c r="L307" s="45">
        <f t="shared" si="98"/>
        <v>0.2</v>
      </c>
      <c r="M307" s="45">
        <f t="shared" si="99"/>
        <v>0</v>
      </c>
      <c r="N307" s="45">
        <f t="shared" si="100"/>
        <v>0</v>
      </c>
      <c r="O307" s="45">
        <f t="shared" si="101"/>
        <v>0.2</v>
      </c>
      <c r="P307" s="45">
        <f t="shared" si="102"/>
        <v>0.2</v>
      </c>
      <c r="Q307" s="45">
        <f t="shared" si="103"/>
        <v>0</v>
      </c>
      <c r="R307" s="45">
        <f t="shared" si="104"/>
        <v>0</v>
      </c>
      <c r="S307" s="45">
        <f t="shared" si="105"/>
        <v>0.2</v>
      </c>
      <c r="T307" s="45">
        <f t="shared" si="106"/>
        <v>0.2</v>
      </c>
    </row>
    <row r="308" spans="1:20" x14ac:dyDescent="0.3">
      <c r="A308">
        <f t="shared" si="87"/>
        <v>0</v>
      </c>
      <c r="B308">
        <f t="shared" si="88"/>
        <v>1</v>
      </c>
      <c r="C308">
        <f t="shared" si="89"/>
        <v>0</v>
      </c>
      <c r="D308">
        <f t="shared" si="90"/>
        <v>0</v>
      </c>
      <c r="E308">
        <f t="shared" si="91"/>
        <v>1</v>
      </c>
      <c r="F308">
        <f t="shared" si="92"/>
        <v>1</v>
      </c>
      <c r="G308">
        <f t="shared" si="93"/>
        <v>0</v>
      </c>
      <c r="H308">
        <f t="shared" si="94"/>
        <v>1</v>
      </c>
      <c r="I308">
        <f t="shared" si="95"/>
        <v>0</v>
      </c>
      <c r="J308">
        <f t="shared" si="96"/>
        <v>0</v>
      </c>
      <c r="K308" s="45">
        <f t="shared" si="97"/>
        <v>0</v>
      </c>
      <c r="L308" s="45">
        <f t="shared" si="98"/>
        <v>0.25</v>
      </c>
      <c r="M308" s="45">
        <f t="shared" si="99"/>
        <v>0</v>
      </c>
      <c r="N308" s="45">
        <f t="shared" si="100"/>
        <v>0</v>
      </c>
      <c r="O308" s="45">
        <f t="shared" si="101"/>
        <v>0.25</v>
      </c>
      <c r="P308" s="45">
        <f t="shared" si="102"/>
        <v>0.25</v>
      </c>
      <c r="Q308" s="45">
        <f t="shared" si="103"/>
        <v>0</v>
      </c>
      <c r="R308" s="45">
        <f t="shared" si="104"/>
        <v>0.25</v>
      </c>
      <c r="S308" s="45">
        <f t="shared" si="105"/>
        <v>0</v>
      </c>
      <c r="T308" s="45">
        <f t="shared" si="106"/>
        <v>0</v>
      </c>
    </row>
    <row r="309" spans="1:20" x14ac:dyDescent="0.3">
      <c r="A309">
        <f t="shared" si="87"/>
        <v>0</v>
      </c>
      <c r="B309">
        <f t="shared" si="88"/>
        <v>1</v>
      </c>
      <c r="C309">
        <f t="shared" si="89"/>
        <v>0</v>
      </c>
      <c r="D309">
        <f t="shared" si="90"/>
        <v>0</v>
      </c>
      <c r="E309">
        <f t="shared" si="91"/>
        <v>1</v>
      </c>
      <c r="F309">
        <f t="shared" si="92"/>
        <v>1</v>
      </c>
      <c r="G309">
        <f t="shared" si="93"/>
        <v>0</v>
      </c>
      <c r="H309">
        <f t="shared" si="94"/>
        <v>1</v>
      </c>
      <c r="I309">
        <f t="shared" si="95"/>
        <v>0</v>
      </c>
      <c r="J309">
        <f t="shared" si="96"/>
        <v>1</v>
      </c>
      <c r="K309" s="45">
        <f t="shared" si="97"/>
        <v>0</v>
      </c>
      <c r="L309" s="45">
        <f t="shared" si="98"/>
        <v>0.2</v>
      </c>
      <c r="M309" s="45">
        <f t="shared" si="99"/>
        <v>0</v>
      </c>
      <c r="N309" s="45">
        <f t="shared" si="100"/>
        <v>0</v>
      </c>
      <c r="O309" s="45">
        <f t="shared" si="101"/>
        <v>0.2</v>
      </c>
      <c r="P309" s="45">
        <f t="shared" si="102"/>
        <v>0.2</v>
      </c>
      <c r="Q309" s="45">
        <f t="shared" si="103"/>
        <v>0</v>
      </c>
      <c r="R309" s="45">
        <f t="shared" si="104"/>
        <v>0.2</v>
      </c>
      <c r="S309" s="45">
        <f t="shared" si="105"/>
        <v>0</v>
      </c>
      <c r="T309" s="45">
        <f t="shared" si="106"/>
        <v>0.2</v>
      </c>
    </row>
    <row r="310" spans="1:20" x14ac:dyDescent="0.3">
      <c r="A310">
        <f t="shared" si="87"/>
        <v>0</v>
      </c>
      <c r="B310">
        <f t="shared" si="88"/>
        <v>1</v>
      </c>
      <c r="C310">
        <f t="shared" si="89"/>
        <v>0</v>
      </c>
      <c r="D310">
        <f t="shared" si="90"/>
        <v>0</v>
      </c>
      <c r="E310">
        <f t="shared" si="91"/>
        <v>1</v>
      </c>
      <c r="F310">
        <f t="shared" si="92"/>
        <v>1</v>
      </c>
      <c r="G310">
        <f t="shared" si="93"/>
        <v>0</v>
      </c>
      <c r="H310">
        <f t="shared" si="94"/>
        <v>1</v>
      </c>
      <c r="I310">
        <f t="shared" si="95"/>
        <v>1</v>
      </c>
      <c r="J310">
        <f t="shared" si="96"/>
        <v>0</v>
      </c>
      <c r="K310" s="45">
        <f t="shared" si="97"/>
        <v>0</v>
      </c>
      <c r="L310" s="45">
        <f t="shared" si="98"/>
        <v>0.2</v>
      </c>
      <c r="M310" s="45">
        <f t="shared" si="99"/>
        <v>0</v>
      </c>
      <c r="N310" s="45">
        <f t="shared" si="100"/>
        <v>0</v>
      </c>
      <c r="O310" s="45">
        <f t="shared" si="101"/>
        <v>0.2</v>
      </c>
      <c r="P310" s="45">
        <f t="shared" si="102"/>
        <v>0.2</v>
      </c>
      <c r="Q310" s="45">
        <f t="shared" si="103"/>
        <v>0</v>
      </c>
      <c r="R310" s="45">
        <f t="shared" si="104"/>
        <v>0.2</v>
      </c>
      <c r="S310" s="45">
        <f t="shared" si="105"/>
        <v>0.2</v>
      </c>
      <c r="T310" s="45">
        <f t="shared" si="106"/>
        <v>0</v>
      </c>
    </row>
    <row r="311" spans="1:20" x14ac:dyDescent="0.3">
      <c r="A311">
        <f t="shared" si="87"/>
        <v>0</v>
      </c>
      <c r="B311">
        <f t="shared" si="88"/>
        <v>1</v>
      </c>
      <c r="C311">
        <f t="shared" si="89"/>
        <v>0</v>
      </c>
      <c r="D311">
        <f t="shared" si="90"/>
        <v>0</v>
      </c>
      <c r="E311">
        <f t="shared" si="91"/>
        <v>1</v>
      </c>
      <c r="F311">
        <f t="shared" si="92"/>
        <v>1</v>
      </c>
      <c r="G311">
        <f t="shared" si="93"/>
        <v>0</v>
      </c>
      <c r="H311">
        <f t="shared" si="94"/>
        <v>1</v>
      </c>
      <c r="I311">
        <f t="shared" si="95"/>
        <v>1</v>
      </c>
      <c r="J311">
        <f t="shared" si="96"/>
        <v>1</v>
      </c>
      <c r="K311" s="45">
        <f t="shared" si="97"/>
        <v>0</v>
      </c>
      <c r="L311" s="45">
        <f t="shared" si="98"/>
        <v>0.16666666666666666</v>
      </c>
      <c r="M311" s="45">
        <f t="shared" si="99"/>
        <v>0</v>
      </c>
      <c r="N311" s="45">
        <f t="shared" si="100"/>
        <v>0</v>
      </c>
      <c r="O311" s="45">
        <f t="shared" si="101"/>
        <v>0.16666666666666666</v>
      </c>
      <c r="P311" s="45">
        <f t="shared" si="102"/>
        <v>0.16666666666666666</v>
      </c>
      <c r="Q311" s="45">
        <f t="shared" si="103"/>
        <v>0</v>
      </c>
      <c r="R311" s="45">
        <f t="shared" si="104"/>
        <v>0.16666666666666666</v>
      </c>
      <c r="S311" s="45">
        <f t="shared" si="105"/>
        <v>0.16666666666666666</v>
      </c>
      <c r="T311" s="45">
        <f t="shared" si="106"/>
        <v>0.16666666666666666</v>
      </c>
    </row>
    <row r="312" spans="1:20" x14ac:dyDescent="0.3">
      <c r="A312">
        <f t="shared" si="87"/>
        <v>0</v>
      </c>
      <c r="B312">
        <f t="shared" si="88"/>
        <v>1</v>
      </c>
      <c r="C312">
        <f t="shared" si="89"/>
        <v>0</v>
      </c>
      <c r="D312">
        <f t="shared" si="90"/>
        <v>0</v>
      </c>
      <c r="E312">
        <f t="shared" si="91"/>
        <v>1</v>
      </c>
      <c r="F312">
        <f t="shared" si="92"/>
        <v>1</v>
      </c>
      <c r="G312">
        <f t="shared" si="93"/>
        <v>1</v>
      </c>
      <c r="H312">
        <f t="shared" si="94"/>
        <v>0</v>
      </c>
      <c r="I312">
        <f t="shared" si="95"/>
        <v>0</v>
      </c>
      <c r="J312">
        <f t="shared" si="96"/>
        <v>0</v>
      </c>
      <c r="K312" s="45">
        <f t="shared" si="97"/>
        <v>0</v>
      </c>
      <c r="L312" s="45">
        <f t="shared" si="98"/>
        <v>0.25</v>
      </c>
      <c r="M312" s="45">
        <f t="shared" si="99"/>
        <v>0</v>
      </c>
      <c r="N312" s="45">
        <f t="shared" si="100"/>
        <v>0</v>
      </c>
      <c r="O312" s="45">
        <f t="shared" si="101"/>
        <v>0.25</v>
      </c>
      <c r="P312" s="45">
        <f t="shared" si="102"/>
        <v>0.25</v>
      </c>
      <c r="Q312" s="45">
        <f t="shared" si="103"/>
        <v>0.25</v>
      </c>
      <c r="R312" s="45">
        <f t="shared" si="104"/>
        <v>0</v>
      </c>
      <c r="S312" s="45">
        <f t="shared" si="105"/>
        <v>0</v>
      </c>
      <c r="T312" s="45">
        <f t="shared" si="106"/>
        <v>0</v>
      </c>
    </row>
    <row r="313" spans="1:20" x14ac:dyDescent="0.3">
      <c r="A313">
        <f t="shared" si="87"/>
        <v>0</v>
      </c>
      <c r="B313">
        <f t="shared" si="88"/>
        <v>1</v>
      </c>
      <c r="C313">
        <f t="shared" si="89"/>
        <v>0</v>
      </c>
      <c r="D313">
        <f t="shared" si="90"/>
        <v>0</v>
      </c>
      <c r="E313">
        <f t="shared" si="91"/>
        <v>1</v>
      </c>
      <c r="F313">
        <f t="shared" si="92"/>
        <v>1</v>
      </c>
      <c r="G313">
        <f t="shared" si="93"/>
        <v>1</v>
      </c>
      <c r="H313">
        <f t="shared" si="94"/>
        <v>0</v>
      </c>
      <c r="I313">
        <f t="shared" si="95"/>
        <v>0</v>
      </c>
      <c r="J313">
        <f t="shared" si="96"/>
        <v>1</v>
      </c>
      <c r="K313" s="45">
        <f t="shared" si="97"/>
        <v>0</v>
      </c>
      <c r="L313" s="45">
        <f t="shared" si="98"/>
        <v>0.2</v>
      </c>
      <c r="M313" s="45">
        <f t="shared" si="99"/>
        <v>0</v>
      </c>
      <c r="N313" s="45">
        <f t="shared" si="100"/>
        <v>0</v>
      </c>
      <c r="O313" s="45">
        <f t="shared" si="101"/>
        <v>0.2</v>
      </c>
      <c r="P313" s="45">
        <f t="shared" si="102"/>
        <v>0.2</v>
      </c>
      <c r="Q313" s="45">
        <f t="shared" si="103"/>
        <v>0.2</v>
      </c>
      <c r="R313" s="45">
        <f t="shared" si="104"/>
        <v>0</v>
      </c>
      <c r="S313" s="45">
        <f t="shared" si="105"/>
        <v>0</v>
      </c>
      <c r="T313" s="45">
        <f t="shared" si="106"/>
        <v>0.2</v>
      </c>
    </row>
    <row r="314" spans="1:20" x14ac:dyDescent="0.3">
      <c r="A314">
        <f t="shared" si="87"/>
        <v>0</v>
      </c>
      <c r="B314">
        <f t="shared" si="88"/>
        <v>1</v>
      </c>
      <c r="C314">
        <f t="shared" si="89"/>
        <v>0</v>
      </c>
      <c r="D314">
        <f t="shared" si="90"/>
        <v>0</v>
      </c>
      <c r="E314">
        <f t="shared" si="91"/>
        <v>1</v>
      </c>
      <c r="F314">
        <f t="shared" si="92"/>
        <v>1</v>
      </c>
      <c r="G314">
        <f t="shared" si="93"/>
        <v>1</v>
      </c>
      <c r="H314">
        <f t="shared" si="94"/>
        <v>0</v>
      </c>
      <c r="I314">
        <f t="shared" si="95"/>
        <v>1</v>
      </c>
      <c r="J314">
        <f t="shared" si="96"/>
        <v>0</v>
      </c>
      <c r="K314" s="45">
        <f t="shared" si="97"/>
        <v>0</v>
      </c>
      <c r="L314" s="45">
        <f t="shared" si="98"/>
        <v>0.2</v>
      </c>
      <c r="M314" s="45">
        <f t="shared" si="99"/>
        <v>0</v>
      </c>
      <c r="N314" s="45">
        <f t="shared" si="100"/>
        <v>0</v>
      </c>
      <c r="O314" s="45">
        <f t="shared" si="101"/>
        <v>0.2</v>
      </c>
      <c r="P314" s="45">
        <f t="shared" si="102"/>
        <v>0.2</v>
      </c>
      <c r="Q314" s="45">
        <f t="shared" si="103"/>
        <v>0.2</v>
      </c>
      <c r="R314" s="45">
        <f t="shared" si="104"/>
        <v>0</v>
      </c>
      <c r="S314" s="45">
        <f t="shared" si="105"/>
        <v>0.2</v>
      </c>
      <c r="T314" s="45">
        <f t="shared" si="106"/>
        <v>0</v>
      </c>
    </row>
    <row r="315" spans="1:20" x14ac:dyDescent="0.3">
      <c r="A315">
        <f t="shared" si="87"/>
        <v>0</v>
      </c>
      <c r="B315">
        <f t="shared" si="88"/>
        <v>1</v>
      </c>
      <c r="C315">
        <f t="shared" si="89"/>
        <v>0</v>
      </c>
      <c r="D315">
        <f t="shared" si="90"/>
        <v>0</v>
      </c>
      <c r="E315">
        <f t="shared" si="91"/>
        <v>1</v>
      </c>
      <c r="F315">
        <f t="shared" si="92"/>
        <v>1</v>
      </c>
      <c r="G315">
        <f t="shared" si="93"/>
        <v>1</v>
      </c>
      <c r="H315">
        <f t="shared" si="94"/>
        <v>0</v>
      </c>
      <c r="I315">
        <f t="shared" si="95"/>
        <v>1</v>
      </c>
      <c r="J315">
        <f t="shared" si="96"/>
        <v>1</v>
      </c>
      <c r="K315" s="45">
        <f t="shared" si="97"/>
        <v>0</v>
      </c>
      <c r="L315" s="45">
        <f t="shared" si="98"/>
        <v>0.16666666666666666</v>
      </c>
      <c r="M315" s="45">
        <f t="shared" si="99"/>
        <v>0</v>
      </c>
      <c r="N315" s="45">
        <f t="shared" si="100"/>
        <v>0</v>
      </c>
      <c r="O315" s="45">
        <f t="shared" si="101"/>
        <v>0.16666666666666666</v>
      </c>
      <c r="P315" s="45">
        <f t="shared" si="102"/>
        <v>0.16666666666666666</v>
      </c>
      <c r="Q315" s="45">
        <f t="shared" si="103"/>
        <v>0.16666666666666666</v>
      </c>
      <c r="R315" s="45">
        <f t="shared" si="104"/>
        <v>0</v>
      </c>
      <c r="S315" s="45">
        <f t="shared" si="105"/>
        <v>0.16666666666666666</v>
      </c>
      <c r="T315" s="45">
        <f t="shared" si="106"/>
        <v>0.16666666666666666</v>
      </c>
    </row>
    <row r="316" spans="1:20" x14ac:dyDescent="0.3">
      <c r="A316">
        <f t="shared" si="87"/>
        <v>0</v>
      </c>
      <c r="B316">
        <f t="shared" si="88"/>
        <v>1</v>
      </c>
      <c r="C316">
        <f t="shared" si="89"/>
        <v>0</v>
      </c>
      <c r="D316">
        <f t="shared" si="90"/>
        <v>0</v>
      </c>
      <c r="E316">
        <f t="shared" si="91"/>
        <v>1</v>
      </c>
      <c r="F316">
        <f t="shared" si="92"/>
        <v>1</v>
      </c>
      <c r="G316">
        <f t="shared" si="93"/>
        <v>1</v>
      </c>
      <c r="H316">
        <f t="shared" si="94"/>
        <v>1</v>
      </c>
      <c r="I316">
        <f t="shared" si="95"/>
        <v>0</v>
      </c>
      <c r="J316">
        <f t="shared" si="96"/>
        <v>0</v>
      </c>
      <c r="K316" s="45">
        <f t="shared" si="97"/>
        <v>0</v>
      </c>
      <c r="L316" s="45">
        <f t="shared" si="98"/>
        <v>0.2</v>
      </c>
      <c r="M316" s="45">
        <f t="shared" si="99"/>
        <v>0</v>
      </c>
      <c r="N316" s="45">
        <f t="shared" si="100"/>
        <v>0</v>
      </c>
      <c r="O316" s="45">
        <f t="shared" si="101"/>
        <v>0.2</v>
      </c>
      <c r="P316" s="45">
        <f t="shared" si="102"/>
        <v>0.2</v>
      </c>
      <c r="Q316" s="45">
        <f t="shared" si="103"/>
        <v>0.2</v>
      </c>
      <c r="R316" s="45">
        <f t="shared" si="104"/>
        <v>0.2</v>
      </c>
      <c r="S316" s="45">
        <f t="shared" si="105"/>
        <v>0</v>
      </c>
      <c r="T316" s="45">
        <f t="shared" si="106"/>
        <v>0</v>
      </c>
    </row>
    <row r="317" spans="1:20" x14ac:dyDescent="0.3">
      <c r="A317">
        <f t="shared" si="87"/>
        <v>0</v>
      </c>
      <c r="B317">
        <f t="shared" si="88"/>
        <v>1</v>
      </c>
      <c r="C317">
        <f t="shared" si="89"/>
        <v>0</v>
      </c>
      <c r="D317">
        <f t="shared" si="90"/>
        <v>0</v>
      </c>
      <c r="E317">
        <f t="shared" si="91"/>
        <v>1</v>
      </c>
      <c r="F317">
        <f t="shared" si="92"/>
        <v>1</v>
      </c>
      <c r="G317">
        <f t="shared" si="93"/>
        <v>1</v>
      </c>
      <c r="H317">
        <f t="shared" si="94"/>
        <v>1</v>
      </c>
      <c r="I317">
        <f t="shared" si="95"/>
        <v>0</v>
      </c>
      <c r="J317">
        <f t="shared" si="96"/>
        <v>1</v>
      </c>
      <c r="K317" s="45">
        <f t="shared" si="97"/>
        <v>0</v>
      </c>
      <c r="L317" s="45">
        <f t="shared" si="98"/>
        <v>0.16666666666666666</v>
      </c>
      <c r="M317" s="45">
        <f t="shared" si="99"/>
        <v>0</v>
      </c>
      <c r="N317" s="45">
        <f t="shared" si="100"/>
        <v>0</v>
      </c>
      <c r="O317" s="45">
        <f t="shared" si="101"/>
        <v>0.16666666666666666</v>
      </c>
      <c r="P317" s="45">
        <f t="shared" si="102"/>
        <v>0.16666666666666666</v>
      </c>
      <c r="Q317" s="45">
        <f t="shared" si="103"/>
        <v>0.16666666666666666</v>
      </c>
      <c r="R317" s="45">
        <f t="shared" si="104"/>
        <v>0.16666666666666666</v>
      </c>
      <c r="S317" s="45">
        <f t="shared" si="105"/>
        <v>0</v>
      </c>
      <c r="T317" s="45">
        <f t="shared" si="106"/>
        <v>0.16666666666666666</v>
      </c>
    </row>
    <row r="318" spans="1:20" x14ac:dyDescent="0.3">
      <c r="A318">
        <f t="shared" si="87"/>
        <v>0</v>
      </c>
      <c r="B318">
        <f t="shared" si="88"/>
        <v>1</v>
      </c>
      <c r="C318">
        <f t="shared" si="89"/>
        <v>0</v>
      </c>
      <c r="D318">
        <f t="shared" si="90"/>
        <v>0</v>
      </c>
      <c r="E318">
        <f t="shared" si="91"/>
        <v>1</v>
      </c>
      <c r="F318">
        <f t="shared" si="92"/>
        <v>1</v>
      </c>
      <c r="G318">
        <f t="shared" si="93"/>
        <v>1</v>
      </c>
      <c r="H318">
        <f t="shared" si="94"/>
        <v>1</v>
      </c>
      <c r="I318">
        <f t="shared" si="95"/>
        <v>1</v>
      </c>
      <c r="J318">
        <f t="shared" si="96"/>
        <v>0</v>
      </c>
      <c r="K318" s="45">
        <f t="shared" si="97"/>
        <v>0</v>
      </c>
      <c r="L318" s="45">
        <f t="shared" si="98"/>
        <v>0.16666666666666666</v>
      </c>
      <c r="M318" s="45">
        <f t="shared" si="99"/>
        <v>0</v>
      </c>
      <c r="N318" s="45">
        <f t="shared" si="100"/>
        <v>0</v>
      </c>
      <c r="O318" s="45">
        <f t="shared" si="101"/>
        <v>0.16666666666666666</v>
      </c>
      <c r="P318" s="45">
        <f t="shared" si="102"/>
        <v>0.16666666666666666</v>
      </c>
      <c r="Q318" s="45">
        <f t="shared" si="103"/>
        <v>0.16666666666666666</v>
      </c>
      <c r="R318" s="45">
        <f t="shared" si="104"/>
        <v>0.16666666666666666</v>
      </c>
      <c r="S318" s="45">
        <f t="shared" si="105"/>
        <v>0.16666666666666666</v>
      </c>
      <c r="T318" s="45">
        <f t="shared" si="106"/>
        <v>0</v>
      </c>
    </row>
    <row r="319" spans="1:20" x14ac:dyDescent="0.3">
      <c r="A319">
        <f t="shared" si="87"/>
        <v>0</v>
      </c>
      <c r="B319">
        <f t="shared" si="88"/>
        <v>1</v>
      </c>
      <c r="C319">
        <f t="shared" si="89"/>
        <v>0</v>
      </c>
      <c r="D319">
        <f t="shared" si="90"/>
        <v>0</v>
      </c>
      <c r="E319">
        <f t="shared" si="91"/>
        <v>1</v>
      </c>
      <c r="F319">
        <f t="shared" si="92"/>
        <v>1</v>
      </c>
      <c r="G319">
        <f t="shared" si="93"/>
        <v>1</v>
      </c>
      <c r="H319">
        <f t="shared" si="94"/>
        <v>1</v>
      </c>
      <c r="I319">
        <f t="shared" si="95"/>
        <v>1</v>
      </c>
      <c r="J319">
        <f t="shared" si="96"/>
        <v>1</v>
      </c>
      <c r="K319" s="45">
        <f t="shared" si="97"/>
        <v>0</v>
      </c>
      <c r="L319" s="45">
        <f t="shared" si="98"/>
        <v>0.14285714285714285</v>
      </c>
      <c r="M319" s="45">
        <f t="shared" si="99"/>
        <v>0</v>
      </c>
      <c r="N319" s="45">
        <f t="shared" si="100"/>
        <v>0</v>
      </c>
      <c r="O319" s="45">
        <f t="shared" si="101"/>
        <v>0.14285714285714285</v>
      </c>
      <c r="P319" s="45">
        <f t="shared" si="102"/>
        <v>0.14285714285714285</v>
      </c>
      <c r="Q319" s="45">
        <f t="shared" si="103"/>
        <v>0.14285714285714285</v>
      </c>
      <c r="R319" s="45">
        <f t="shared" si="104"/>
        <v>0.14285714285714285</v>
      </c>
      <c r="S319" s="45">
        <f t="shared" si="105"/>
        <v>0.14285714285714285</v>
      </c>
      <c r="T319" s="45">
        <f t="shared" si="106"/>
        <v>0.14285714285714285</v>
      </c>
    </row>
    <row r="320" spans="1:20" x14ac:dyDescent="0.3">
      <c r="A320">
        <f t="shared" si="87"/>
        <v>0</v>
      </c>
      <c r="B320">
        <f t="shared" si="88"/>
        <v>1</v>
      </c>
      <c r="C320">
        <f t="shared" si="89"/>
        <v>0</v>
      </c>
      <c r="D320">
        <f t="shared" si="90"/>
        <v>1</v>
      </c>
      <c r="E320">
        <f t="shared" si="91"/>
        <v>0</v>
      </c>
      <c r="F320">
        <f t="shared" si="92"/>
        <v>0</v>
      </c>
      <c r="G320">
        <f t="shared" si="93"/>
        <v>0</v>
      </c>
      <c r="H320">
        <f t="shared" si="94"/>
        <v>0</v>
      </c>
      <c r="I320">
        <f t="shared" si="95"/>
        <v>0</v>
      </c>
      <c r="J320">
        <f t="shared" si="96"/>
        <v>0</v>
      </c>
      <c r="K320" s="45">
        <f t="shared" si="97"/>
        <v>0</v>
      </c>
      <c r="L320" s="45">
        <f t="shared" si="98"/>
        <v>0.5</v>
      </c>
      <c r="M320" s="45">
        <f t="shared" si="99"/>
        <v>0</v>
      </c>
      <c r="N320" s="45">
        <f t="shared" si="100"/>
        <v>0.5</v>
      </c>
      <c r="O320" s="45">
        <f t="shared" si="101"/>
        <v>0</v>
      </c>
      <c r="P320" s="45">
        <f t="shared" si="102"/>
        <v>0</v>
      </c>
      <c r="Q320" s="45">
        <f t="shared" si="103"/>
        <v>0</v>
      </c>
      <c r="R320" s="45">
        <f t="shared" si="104"/>
        <v>0</v>
      </c>
      <c r="S320" s="45">
        <f t="shared" si="105"/>
        <v>0</v>
      </c>
      <c r="T320" s="45">
        <f t="shared" si="106"/>
        <v>0</v>
      </c>
    </row>
    <row r="321" spans="1:20" x14ac:dyDescent="0.3">
      <c r="A321">
        <f t="shared" si="87"/>
        <v>0</v>
      </c>
      <c r="B321">
        <f t="shared" si="88"/>
        <v>1</v>
      </c>
      <c r="C321">
        <f t="shared" si="89"/>
        <v>0</v>
      </c>
      <c r="D321">
        <f t="shared" si="90"/>
        <v>1</v>
      </c>
      <c r="E321">
        <f t="shared" si="91"/>
        <v>0</v>
      </c>
      <c r="F321">
        <f t="shared" si="92"/>
        <v>0</v>
      </c>
      <c r="G321">
        <f t="shared" si="93"/>
        <v>0</v>
      </c>
      <c r="H321">
        <f t="shared" si="94"/>
        <v>0</v>
      </c>
      <c r="I321">
        <f t="shared" si="95"/>
        <v>0</v>
      </c>
      <c r="J321">
        <f t="shared" si="96"/>
        <v>1</v>
      </c>
      <c r="K321" s="45">
        <f t="shared" si="97"/>
        <v>0</v>
      </c>
      <c r="L321" s="45">
        <f t="shared" si="98"/>
        <v>0.33333333333333331</v>
      </c>
      <c r="M321" s="45">
        <f t="shared" si="99"/>
        <v>0</v>
      </c>
      <c r="N321" s="45">
        <f t="shared" si="100"/>
        <v>0.33333333333333331</v>
      </c>
      <c r="O321" s="45">
        <f t="shared" si="101"/>
        <v>0</v>
      </c>
      <c r="P321" s="45">
        <f t="shared" si="102"/>
        <v>0</v>
      </c>
      <c r="Q321" s="45">
        <f t="shared" si="103"/>
        <v>0</v>
      </c>
      <c r="R321" s="45">
        <f t="shared" si="104"/>
        <v>0</v>
      </c>
      <c r="S321" s="45">
        <f t="shared" si="105"/>
        <v>0</v>
      </c>
      <c r="T321" s="45">
        <f t="shared" si="106"/>
        <v>0.33333333333333331</v>
      </c>
    </row>
    <row r="322" spans="1:20" x14ac:dyDescent="0.3">
      <c r="A322">
        <f t="shared" ref="A322:A385" si="107">INT( MOD(ROW()+0,1024)/512)</f>
        <v>0</v>
      </c>
      <c r="B322">
        <f t="shared" ref="B322:B385" si="108">INT( MOD(ROW()+0,512)/256)</f>
        <v>1</v>
      </c>
      <c r="C322">
        <f t="shared" ref="C322:C385" si="109">INT( MOD(ROW()+0,256)/128)</f>
        <v>0</v>
      </c>
      <c r="D322">
        <f t="shared" ref="D322:D385" si="110">INT( MOD(ROW()+0,128)/64)</f>
        <v>1</v>
      </c>
      <c r="E322">
        <f t="shared" ref="E322:E385" si="111">INT( MOD(ROW()+0,64)/32)</f>
        <v>0</v>
      </c>
      <c r="F322">
        <f t="shared" ref="F322:F385" si="112">INT( MOD(ROW()+0,32)/16)</f>
        <v>0</v>
      </c>
      <c r="G322">
        <f t="shared" ref="G322:G385" si="113">INT( MOD(ROW()+0,16)/8)</f>
        <v>0</v>
      </c>
      <c r="H322">
        <f t="shared" ref="H322:H385" si="114">INT( MOD(ROW()+0,8)/4)</f>
        <v>0</v>
      </c>
      <c r="I322">
        <f t="shared" ref="I322:I385" si="115">INT( MOD(ROW()+0,4)/2)</f>
        <v>1</v>
      </c>
      <c r="J322">
        <f t="shared" ref="J322:J385" si="116">INT( MOD(ROW()+0,2)/1)</f>
        <v>0</v>
      </c>
      <c r="K322" s="45">
        <f t="shared" ref="K322:K385" si="117">A322/SUM($A322:$J322)</f>
        <v>0</v>
      </c>
      <c r="L322" s="45">
        <f t="shared" ref="L322:L385" si="118">B322/SUM($A322:$J322)</f>
        <v>0.33333333333333331</v>
      </c>
      <c r="M322" s="45">
        <f t="shared" ref="M322:M385" si="119">C322/SUM($A322:$J322)</f>
        <v>0</v>
      </c>
      <c r="N322" s="45">
        <f t="shared" ref="N322:N385" si="120">D322/SUM($A322:$J322)</f>
        <v>0.33333333333333331</v>
      </c>
      <c r="O322" s="45">
        <f t="shared" ref="O322:O385" si="121">E322/SUM($A322:$J322)</f>
        <v>0</v>
      </c>
      <c r="P322" s="45">
        <f t="shared" ref="P322:P385" si="122">F322/SUM($A322:$J322)</f>
        <v>0</v>
      </c>
      <c r="Q322" s="45">
        <f t="shared" ref="Q322:Q385" si="123">G322/SUM($A322:$J322)</f>
        <v>0</v>
      </c>
      <c r="R322" s="45">
        <f t="shared" ref="R322:R385" si="124">H322/SUM($A322:$J322)</f>
        <v>0</v>
      </c>
      <c r="S322" s="45">
        <f t="shared" ref="S322:S385" si="125">I322/SUM($A322:$J322)</f>
        <v>0.33333333333333331</v>
      </c>
      <c r="T322" s="45">
        <f t="shared" ref="T322:T385" si="126">J322/SUM($A322:$J322)</f>
        <v>0</v>
      </c>
    </row>
    <row r="323" spans="1:20" x14ac:dyDescent="0.3">
      <c r="A323">
        <f t="shared" si="107"/>
        <v>0</v>
      </c>
      <c r="B323">
        <f t="shared" si="108"/>
        <v>1</v>
      </c>
      <c r="C323">
        <f t="shared" si="109"/>
        <v>0</v>
      </c>
      <c r="D323">
        <f t="shared" si="110"/>
        <v>1</v>
      </c>
      <c r="E323">
        <f t="shared" si="111"/>
        <v>0</v>
      </c>
      <c r="F323">
        <f t="shared" si="112"/>
        <v>0</v>
      </c>
      <c r="G323">
        <f t="shared" si="113"/>
        <v>0</v>
      </c>
      <c r="H323">
        <f t="shared" si="114"/>
        <v>0</v>
      </c>
      <c r="I323">
        <f t="shared" si="115"/>
        <v>1</v>
      </c>
      <c r="J323">
        <f t="shared" si="116"/>
        <v>1</v>
      </c>
      <c r="K323" s="45">
        <f t="shared" si="117"/>
        <v>0</v>
      </c>
      <c r="L323" s="45">
        <f t="shared" si="118"/>
        <v>0.25</v>
      </c>
      <c r="M323" s="45">
        <f t="shared" si="119"/>
        <v>0</v>
      </c>
      <c r="N323" s="45">
        <f t="shared" si="120"/>
        <v>0.25</v>
      </c>
      <c r="O323" s="45">
        <f t="shared" si="121"/>
        <v>0</v>
      </c>
      <c r="P323" s="45">
        <f t="shared" si="122"/>
        <v>0</v>
      </c>
      <c r="Q323" s="45">
        <f t="shared" si="123"/>
        <v>0</v>
      </c>
      <c r="R323" s="45">
        <f t="shared" si="124"/>
        <v>0</v>
      </c>
      <c r="S323" s="45">
        <f t="shared" si="125"/>
        <v>0.25</v>
      </c>
      <c r="T323" s="45">
        <f t="shared" si="126"/>
        <v>0.25</v>
      </c>
    </row>
    <row r="324" spans="1:20" x14ac:dyDescent="0.3">
      <c r="A324">
        <f t="shared" si="107"/>
        <v>0</v>
      </c>
      <c r="B324">
        <f t="shared" si="108"/>
        <v>1</v>
      </c>
      <c r="C324">
        <f t="shared" si="109"/>
        <v>0</v>
      </c>
      <c r="D324">
        <f t="shared" si="110"/>
        <v>1</v>
      </c>
      <c r="E324">
        <f t="shared" si="111"/>
        <v>0</v>
      </c>
      <c r="F324">
        <f t="shared" si="112"/>
        <v>0</v>
      </c>
      <c r="G324">
        <f t="shared" si="113"/>
        <v>0</v>
      </c>
      <c r="H324">
        <f t="shared" si="114"/>
        <v>1</v>
      </c>
      <c r="I324">
        <f t="shared" si="115"/>
        <v>0</v>
      </c>
      <c r="J324">
        <f t="shared" si="116"/>
        <v>0</v>
      </c>
      <c r="K324" s="45">
        <f t="shared" si="117"/>
        <v>0</v>
      </c>
      <c r="L324" s="45">
        <f t="shared" si="118"/>
        <v>0.33333333333333331</v>
      </c>
      <c r="M324" s="45">
        <f t="shared" si="119"/>
        <v>0</v>
      </c>
      <c r="N324" s="45">
        <f t="shared" si="120"/>
        <v>0.33333333333333331</v>
      </c>
      <c r="O324" s="45">
        <f t="shared" si="121"/>
        <v>0</v>
      </c>
      <c r="P324" s="45">
        <f t="shared" si="122"/>
        <v>0</v>
      </c>
      <c r="Q324" s="45">
        <f t="shared" si="123"/>
        <v>0</v>
      </c>
      <c r="R324" s="45">
        <f t="shared" si="124"/>
        <v>0.33333333333333331</v>
      </c>
      <c r="S324" s="45">
        <f t="shared" si="125"/>
        <v>0</v>
      </c>
      <c r="T324" s="45">
        <f t="shared" si="126"/>
        <v>0</v>
      </c>
    </row>
    <row r="325" spans="1:20" x14ac:dyDescent="0.3">
      <c r="A325">
        <f t="shared" si="107"/>
        <v>0</v>
      </c>
      <c r="B325">
        <f t="shared" si="108"/>
        <v>1</v>
      </c>
      <c r="C325">
        <f t="shared" si="109"/>
        <v>0</v>
      </c>
      <c r="D325">
        <f t="shared" si="110"/>
        <v>1</v>
      </c>
      <c r="E325">
        <f t="shared" si="111"/>
        <v>0</v>
      </c>
      <c r="F325">
        <f t="shared" si="112"/>
        <v>0</v>
      </c>
      <c r="G325">
        <f t="shared" si="113"/>
        <v>0</v>
      </c>
      <c r="H325">
        <f t="shared" si="114"/>
        <v>1</v>
      </c>
      <c r="I325">
        <f t="shared" si="115"/>
        <v>0</v>
      </c>
      <c r="J325">
        <f t="shared" si="116"/>
        <v>1</v>
      </c>
      <c r="K325" s="45">
        <f t="shared" si="117"/>
        <v>0</v>
      </c>
      <c r="L325" s="45">
        <f t="shared" si="118"/>
        <v>0.25</v>
      </c>
      <c r="M325" s="45">
        <f t="shared" si="119"/>
        <v>0</v>
      </c>
      <c r="N325" s="45">
        <f t="shared" si="120"/>
        <v>0.25</v>
      </c>
      <c r="O325" s="45">
        <f t="shared" si="121"/>
        <v>0</v>
      </c>
      <c r="P325" s="45">
        <f t="shared" si="122"/>
        <v>0</v>
      </c>
      <c r="Q325" s="45">
        <f t="shared" si="123"/>
        <v>0</v>
      </c>
      <c r="R325" s="45">
        <f t="shared" si="124"/>
        <v>0.25</v>
      </c>
      <c r="S325" s="45">
        <f t="shared" si="125"/>
        <v>0</v>
      </c>
      <c r="T325" s="45">
        <f t="shared" si="126"/>
        <v>0.25</v>
      </c>
    </row>
    <row r="326" spans="1:20" x14ac:dyDescent="0.3">
      <c r="A326">
        <f t="shared" si="107"/>
        <v>0</v>
      </c>
      <c r="B326">
        <f t="shared" si="108"/>
        <v>1</v>
      </c>
      <c r="C326">
        <f t="shared" si="109"/>
        <v>0</v>
      </c>
      <c r="D326">
        <f t="shared" si="110"/>
        <v>1</v>
      </c>
      <c r="E326">
        <f t="shared" si="111"/>
        <v>0</v>
      </c>
      <c r="F326">
        <f t="shared" si="112"/>
        <v>0</v>
      </c>
      <c r="G326">
        <f t="shared" si="113"/>
        <v>0</v>
      </c>
      <c r="H326">
        <f t="shared" si="114"/>
        <v>1</v>
      </c>
      <c r="I326">
        <f t="shared" si="115"/>
        <v>1</v>
      </c>
      <c r="J326">
        <f t="shared" si="116"/>
        <v>0</v>
      </c>
      <c r="K326" s="45">
        <f t="shared" si="117"/>
        <v>0</v>
      </c>
      <c r="L326" s="45">
        <f t="shared" si="118"/>
        <v>0.25</v>
      </c>
      <c r="M326" s="45">
        <f t="shared" si="119"/>
        <v>0</v>
      </c>
      <c r="N326" s="45">
        <f t="shared" si="120"/>
        <v>0.25</v>
      </c>
      <c r="O326" s="45">
        <f t="shared" si="121"/>
        <v>0</v>
      </c>
      <c r="P326" s="45">
        <f t="shared" si="122"/>
        <v>0</v>
      </c>
      <c r="Q326" s="45">
        <f t="shared" si="123"/>
        <v>0</v>
      </c>
      <c r="R326" s="45">
        <f t="shared" si="124"/>
        <v>0.25</v>
      </c>
      <c r="S326" s="45">
        <f t="shared" si="125"/>
        <v>0.25</v>
      </c>
      <c r="T326" s="45">
        <f t="shared" si="126"/>
        <v>0</v>
      </c>
    </row>
    <row r="327" spans="1:20" x14ac:dyDescent="0.3">
      <c r="A327">
        <f t="shared" si="107"/>
        <v>0</v>
      </c>
      <c r="B327">
        <f t="shared" si="108"/>
        <v>1</v>
      </c>
      <c r="C327">
        <f t="shared" si="109"/>
        <v>0</v>
      </c>
      <c r="D327">
        <f t="shared" si="110"/>
        <v>1</v>
      </c>
      <c r="E327">
        <f t="shared" si="111"/>
        <v>0</v>
      </c>
      <c r="F327">
        <f t="shared" si="112"/>
        <v>0</v>
      </c>
      <c r="G327">
        <f t="shared" si="113"/>
        <v>0</v>
      </c>
      <c r="H327">
        <f t="shared" si="114"/>
        <v>1</v>
      </c>
      <c r="I327">
        <f t="shared" si="115"/>
        <v>1</v>
      </c>
      <c r="J327">
        <f t="shared" si="116"/>
        <v>1</v>
      </c>
      <c r="K327" s="45">
        <f t="shared" si="117"/>
        <v>0</v>
      </c>
      <c r="L327" s="45">
        <f t="shared" si="118"/>
        <v>0.2</v>
      </c>
      <c r="M327" s="45">
        <f t="shared" si="119"/>
        <v>0</v>
      </c>
      <c r="N327" s="45">
        <f t="shared" si="120"/>
        <v>0.2</v>
      </c>
      <c r="O327" s="45">
        <f t="shared" si="121"/>
        <v>0</v>
      </c>
      <c r="P327" s="45">
        <f t="shared" si="122"/>
        <v>0</v>
      </c>
      <c r="Q327" s="45">
        <f t="shared" si="123"/>
        <v>0</v>
      </c>
      <c r="R327" s="45">
        <f t="shared" si="124"/>
        <v>0.2</v>
      </c>
      <c r="S327" s="45">
        <f t="shared" si="125"/>
        <v>0.2</v>
      </c>
      <c r="T327" s="45">
        <f t="shared" si="126"/>
        <v>0.2</v>
      </c>
    </row>
    <row r="328" spans="1:20" x14ac:dyDescent="0.3">
      <c r="A328">
        <f t="shared" si="107"/>
        <v>0</v>
      </c>
      <c r="B328">
        <f t="shared" si="108"/>
        <v>1</v>
      </c>
      <c r="C328">
        <f t="shared" si="109"/>
        <v>0</v>
      </c>
      <c r="D328">
        <f t="shared" si="110"/>
        <v>1</v>
      </c>
      <c r="E328">
        <f t="shared" si="111"/>
        <v>0</v>
      </c>
      <c r="F328">
        <f t="shared" si="112"/>
        <v>0</v>
      </c>
      <c r="G328">
        <f t="shared" si="113"/>
        <v>1</v>
      </c>
      <c r="H328">
        <f t="shared" si="114"/>
        <v>0</v>
      </c>
      <c r="I328">
        <f t="shared" si="115"/>
        <v>0</v>
      </c>
      <c r="J328">
        <f t="shared" si="116"/>
        <v>0</v>
      </c>
      <c r="K328" s="45">
        <f t="shared" si="117"/>
        <v>0</v>
      </c>
      <c r="L328" s="45">
        <f t="shared" si="118"/>
        <v>0.33333333333333331</v>
      </c>
      <c r="M328" s="45">
        <f t="shared" si="119"/>
        <v>0</v>
      </c>
      <c r="N328" s="45">
        <f t="shared" si="120"/>
        <v>0.33333333333333331</v>
      </c>
      <c r="O328" s="45">
        <f t="shared" si="121"/>
        <v>0</v>
      </c>
      <c r="P328" s="45">
        <f t="shared" si="122"/>
        <v>0</v>
      </c>
      <c r="Q328" s="45">
        <f t="shared" si="123"/>
        <v>0.33333333333333331</v>
      </c>
      <c r="R328" s="45">
        <f t="shared" si="124"/>
        <v>0</v>
      </c>
      <c r="S328" s="45">
        <f t="shared" si="125"/>
        <v>0</v>
      </c>
      <c r="T328" s="45">
        <f t="shared" si="126"/>
        <v>0</v>
      </c>
    </row>
    <row r="329" spans="1:20" x14ac:dyDescent="0.3">
      <c r="A329">
        <f t="shared" si="107"/>
        <v>0</v>
      </c>
      <c r="B329">
        <f t="shared" si="108"/>
        <v>1</v>
      </c>
      <c r="C329">
        <f t="shared" si="109"/>
        <v>0</v>
      </c>
      <c r="D329">
        <f t="shared" si="110"/>
        <v>1</v>
      </c>
      <c r="E329">
        <f t="shared" si="111"/>
        <v>0</v>
      </c>
      <c r="F329">
        <f t="shared" si="112"/>
        <v>0</v>
      </c>
      <c r="G329">
        <f t="shared" si="113"/>
        <v>1</v>
      </c>
      <c r="H329">
        <f t="shared" si="114"/>
        <v>0</v>
      </c>
      <c r="I329">
        <f t="shared" si="115"/>
        <v>0</v>
      </c>
      <c r="J329">
        <f t="shared" si="116"/>
        <v>1</v>
      </c>
      <c r="K329" s="45">
        <f t="shared" si="117"/>
        <v>0</v>
      </c>
      <c r="L329" s="45">
        <f t="shared" si="118"/>
        <v>0.25</v>
      </c>
      <c r="M329" s="45">
        <f t="shared" si="119"/>
        <v>0</v>
      </c>
      <c r="N329" s="45">
        <f t="shared" si="120"/>
        <v>0.25</v>
      </c>
      <c r="O329" s="45">
        <f t="shared" si="121"/>
        <v>0</v>
      </c>
      <c r="P329" s="45">
        <f t="shared" si="122"/>
        <v>0</v>
      </c>
      <c r="Q329" s="45">
        <f t="shared" si="123"/>
        <v>0.25</v>
      </c>
      <c r="R329" s="45">
        <f t="shared" si="124"/>
        <v>0</v>
      </c>
      <c r="S329" s="45">
        <f t="shared" si="125"/>
        <v>0</v>
      </c>
      <c r="T329" s="45">
        <f t="shared" si="126"/>
        <v>0.25</v>
      </c>
    </row>
    <row r="330" spans="1:20" x14ac:dyDescent="0.3">
      <c r="A330">
        <f t="shared" si="107"/>
        <v>0</v>
      </c>
      <c r="B330">
        <f t="shared" si="108"/>
        <v>1</v>
      </c>
      <c r="C330">
        <f t="shared" si="109"/>
        <v>0</v>
      </c>
      <c r="D330">
        <f t="shared" si="110"/>
        <v>1</v>
      </c>
      <c r="E330">
        <f t="shared" si="111"/>
        <v>0</v>
      </c>
      <c r="F330">
        <f t="shared" si="112"/>
        <v>0</v>
      </c>
      <c r="G330">
        <f t="shared" si="113"/>
        <v>1</v>
      </c>
      <c r="H330">
        <f t="shared" si="114"/>
        <v>0</v>
      </c>
      <c r="I330">
        <f t="shared" si="115"/>
        <v>1</v>
      </c>
      <c r="J330">
        <f t="shared" si="116"/>
        <v>0</v>
      </c>
      <c r="K330" s="45">
        <f t="shared" si="117"/>
        <v>0</v>
      </c>
      <c r="L330" s="45">
        <f t="shared" si="118"/>
        <v>0.25</v>
      </c>
      <c r="M330" s="45">
        <f t="shared" si="119"/>
        <v>0</v>
      </c>
      <c r="N330" s="45">
        <f t="shared" si="120"/>
        <v>0.25</v>
      </c>
      <c r="O330" s="45">
        <f t="shared" si="121"/>
        <v>0</v>
      </c>
      <c r="P330" s="45">
        <f t="shared" si="122"/>
        <v>0</v>
      </c>
      <c r="Q330" s="45">
        <f t="shared" si="123"/>
        <v>0.25</v>
      </c>
      <c r="R330" s="45">
        <f t="shared" si="124"/>
        <v>0</v>
      </c>
      <c r="S330" s="45">
        <f t="shared" si="125"/>
        <v>0.25</v>
      </c>
      <c r="T330" s="45">
        <f t="shared" si="126"/>
        <v>0</v>
      </c>
    </row>
    <row r="331" spans="1:20" x14ac:dyDescent="0.3">
      <c r="A331">
        <f t="shared" si="107"/>
        <v>0</v>
      </c>
      <c r="B331">
        <f t="shared" si="108"/>
        <v>1</v>
      </c>
      <c r="C331">
        <f t="shared" si="109"/>
        <v>0</v>
      </c>
      <c r="D331">
        <f t="shared" si="110"/>
        <v>1</v>
      </c>
      <c r="E331">
        <f t="shared" si="111"/>
        <v>0</v>
      </c>
      <c r="F331">
        <f t="shared" si="112"/>
        <v>0</v>
      </c>
      <c r="G331">
        <f t="shared" si="113"/>
        <v>1</v>
      </c>
      <c r="H331">
        <f t="shared" si="114"/>
        <v>0</v>
      </c>
      <c r="I331">
        <f t="shared" si="115"/>
        <v>1</v>
      </c>
      <c r="J331">
        <f t="shared" si="116"/>
        <v>1</v>
      </c>
      <c r="K331" s="45">
        <f t="shared" si="117"/>
        <v>0</v>
      </c>
      <c r="L331" s="45">
        <f t="shared" si="118"/>
        <v>0.2</v>
      </c>
      <c r="M331" s="45">
        <f t="shared" si="119"/>
        <v>0</v>
      </c>
      <c r="N331" s="45">
        <f t="shared" si="120"/>
        <v>0.2</v>
      </c>
      <c r="O331" s="45">
        <f t="shared" si="121"/>
        <v>0</v>
      </c>
      <c r="P331" s="45">
        <f t="shared" si="122"/>
        <v>0</v>
      </c>
      <c r="Q331" s="45">
        <f t="shared" si="123"/>
        <v>0.2</v>
      </c>
      <c r="R331" s="45">
        <f t="shared" si="124"/>
        <v>0</v>
      </c>
      <c r="S331" s="45">
        <f t="shared" si="125"/>
        <v>0.2</v>
      </c>
      <c r="T331" s="45">
        <f t="shared" si="126"/>
        <v>0.2</v>
      </c>
    </row>
    <row r="332" spans="1:20" x14ac:dyDescent="0.3">
      <c r="A332">
        <f t="shared" si="107"/>
        <v>0</v>
      </c>
      <c r="B332">
        <f t="shared" si="108"/>
        <v>1</v>
      </c>
      <c r="C332">
        <f t="shared" si="109"/>
        <v>0</v>
      </c>
      <c r="D332">
        <f t="shared" si="110"/>
        <v>1</v>
      </c>
      <c r="E332">
        <f t="shared" si="111"/>
        <v>0</v>
      </c>
      <c r="F332">
        <f t="shared" si="112"/>
        <v>0</v>
      </c>
      <c r="G332">
        <f t="shared" si="113"/>
        <v>1</v>
      </c>
      <c r="H332">
        <f t="shared" si="114"/>
        <v>1</v>
      </c>
      <c r="I332">
        <f t="shared" si="115"/>
        <v>0</v>
      </c>
      <c r="J332">
        <f t="shared" si="116"/>
        <v>0</v>
      </c>
      <c r="K332" s="45">
        <f t="shared" si="117"/>
        <v>0</v>
      </c>
      <c r="L332" s="45">
        <f t="shared" si="118"/>
        <v>0.25</v>
      </c>
      <c r="M332" s="45">
        <f t="shared" si="119"/>
        <v>0</v>
      </c>
      <c r="N332" s="45">
        <f t="shared" si="120"/>
        <v>0.25</v>
      </c>
      <c r="O332" s="45">
        <f t="shared" si="121"/>
        <v>0</v>
      </c>
      <c r="P332" s="45">
        <f t="shared" si="122"/>
        <v>0</v>
      </c>
      <c r="Q332" s="45">
        <f t="shared" si="123"/>
        <v>0.25</v>
      </c>
      <c r="R332" s="45">
        <f t="shared" si="124"/>
        <v>0.25</v>
      </c>
      <c r="S332" s="45">
        <f t="shared" si="125"/>
        <v>0</v>
      </c>
      <c r="T332" s="45">
        <f t="shared" si="126"/>
        <v>0</v>
      </c>
    </row>
    <row r="333" spans="1:20" x14ac:dyDescent="0.3">
      <c r="A333">
        <f t="shared" si="107"/>
        <v>0</v>
      </c>
      <c r="B333">
        <f t="shared" si="108"/>
        <v>1</v>
      </c>
      <c r="C333">
        <f t="shared" si="109"/>
        <v>0</v>
      </c>
      <c r="D333">
        <f t="shared" si="110"/>
        <v>1</v>
      </c>
      <c r="E333">
        <f t="shared" si="111"/>
        <v>0</v>
      </c>
      <c r="F333">
        <f t="shared" si="112"/>
        <v>0</v>
      </c>
      <c r="G333">
        <f t="shared" si="113"/>
        <v>1</v>
      </c>
      <c r="H333">
        <f t="shared" si="114"/>
        <v>1</v>
      </c>
      <c r="I333">
        <f t="shared" si="115"/>
        <v>0</v>
      </c>
      <c r="J333">
        <f t="shared" si="116"/>
        <v>1</v>
      </c>
      <c r="K333" s="45">
        <f t="shared" si="117"/>
        <v>0</v>
      </c>
      <c r="L333" s="45">
        <f t="shared" si="118"/>
        <v>0.2</v>
      </c>
      <c r="M333" s="45">
        <f t="shared" si="119"/>
        <v>0</v>
      </c>
      <c r="N333" s="45">
        <f t="shared" si="120"/>
        <v>0.2</v>
      </c>
      <c r="O333" s="45">
        <f t="shared" si="121"/>
        <v>0</v>
      </c>
      <c r="P333" s="45">
        <f t="shared" si="122"/>
        <v>0</v>
      </c>
      <c r="Q333" s="45">
        <f t="shared" si="123"/>
        <v>0.2</v>
      </c>
      <c r="R333" s="45">
        <f t="shared" si="124"/>
        <v>0.2</v>
      </c>
      <c r="S333" s="45">
        <f t="shared" si="125"/>
        <v>0</v>
      </c>
      <c r="T333" s="45">
        <f t="shared" si="126"/>
        <v>0.2</v>
      </c>
    </row>
    <row r="334" spans="1:20" x14ac:dyDescent="0.3">
      <c r="A334">
        <f t="shared" si="107"/>
        <v>0</v>
      </c>
      <c r="B334">
        <f t="shared" si="108"/>
        <v>1</v>
      </c>
      <c r="C334">
        <f t="shared" si="109"/>
        <v>0</v>
      </c>
      <c r="D334">
        <f t="shared" si="110"/>
        <v>1</v>
      </c>
      <c r="E334">
        <f t="shared" si="111"/>
        <v>0</v>
      </c>
      <c r="F334">
        <f t="shared" si="112"/>
        <v>0</v>
      </c>
      <c r="G334">
        <f t="shared" si="113"/>
        <v>1</v>
      </c>
      <c r="H334">
        <f t="shared" si="114"/>
        <v>1</v>
      </c>
      <c r="I334">
        <f t="shared" si="115"/>
        <v>1</v>
      </c>
      <c r="J334">
        <f t="shared" si="116"/>
        <v>0</v>
      </c>
      <c r="K334" s="45">
        <f t="shared" si="117"/>
        <v>0</v>
      </c>
      <c r="L334" s="45">
        <f t="shared" si="118"/>
        <v>0.2</v>
      </c>
      <c r="M334" s="45">
        <f t="shared" si="119"/>
        <v>0</v>
      </c>
      <c r="N334" s="45">
        <f t="shared" si="120"/>
        <v>0.2</v>
      </c>
      <c r="O334" s="45">
        <f t="shared" si="121"/>
        <v>0</v>
      </c>
      <c r="P334" s="45">
        <f t="shared" si="122"/>
        <v>0</v>
      </c>
      <c r="Q334" s="45">
        <f t="shared" si="123"/>
        <v>0.2</v>
      </c>
      <c r="R334" s="45">
        <f t="shared" si="124"/>
        <v>0.2</v>
      </c>
      <c r="S334" s="45">
        <f t="shared" si="125"/>
        <v>0.2</v>
      </c>
      <c r="T334" s="45">
        <f t="shared" si="126"/>
        <v>0</v>
      </c>
    </row>
    <row r="335" spans="1:20" x14ac:dyDescent="0.3">
      <c r="A335">
        <f t="shared" si="107"/>
        <v>0</v>
      </c>
      <c r="B335">
        <f t="shared" si="108"/>
        <v>1</v>
      </c>
      <c r="C335">
        <f t="shared" si="109"/>
        <v>0</v>
      </c>
      <c r="D335">
        <f t="shared" si="110"/>
        <v>1</v>
      </c>
      <c r="E335">
        <f t="shared" si="111"/>
        <v>0</v>
      </c>
      <c r="F335">
        <f t="shared" si="112"/>
        <v>0</v>
      </c>
      <c r="G335">
        <f t="shared" si="113"/>
        <v>1</v>
      </c>
      <c r="H335">
        <f t="shared" si="114"/>
        <v>1</v>
      </c>
      <c r="I335">
        <f t="shared" si="115"/>
        <v>1</v>
      </c>
      <c r="J335">
        <f t="shared" si="116"/>
        <v>1</v>
      </c>
      <c r="K335" s="45">
        <f t="shared" si="117"/>
        <v>0</v>
      </c>
      <c r="L335" s="45">
        <f t="shared" si="118"/>
        <v>0.16666666666666666</v>
      </c>
      <c r="M335" s="45">
        <f t="shared" si="119"/>
        <v>0</v>
      </c>
      <c r="N335" s="45">
        <f t="shared" si="120"/>
        <v>0.16666666666666666</v>
      </c>
      <c r="O335" s="45">
        <f t="shared" si="121"/>
        <v>0</v>
      </c>
      <c r="P335" s="45">
        <f t="shared" si="122"/>
        <v>0</v>
      </c>
      <c r="Q335" s="45">
        <f t="shared" si="123"/>
        <v>0.16666666666666666</v>
      </c>
      <c r="R335" s="45">
        <f t="shared" si="124"/>
        <v>0.16666666666666666</v>
      </c>
      <c r="S335" s="45">
        <f t="shared" si="125"/>
        <v>0.16666666666666666</v>
      </c>
      <c r="T335" s="45">
        <f t="shared" si="126"/>
        <v>0.16666666666666666</v>
      </c>
    </row>
    <row r="336" spans="1:20" x14ac:dyDescent="0.3">
      <c r="A336">
        <f t="shared" si="107"/>
        <v>0</v>
      </c>
      <c r="B336">
        <f t="shared" si="108"/>
        <v>1</v>
      </c>
      <c r="C336">
        <f t="shared" si="109"/>
        <v>0</v>
      </c>
      <c r="D336">
        <f t="shared" si="110"/>
        <v>1</v>
      </c>
      <c r="E336">
        <f t="shared" si="111"/>
        <v>0</v>
      </c>
      <c r="F336">
        <f t="shared" si="112"/>
        <v>1</v>
      </c>
      <c r="G336">
        <f t="shared" si="113"/>
        <v>0</v>
      </c>
      <c r="H336">
        <f t="shared" si="114"/>
        <v>0</v>
      </c>
      <c r="I336">
        <f t="shared" si="115"/>
        <v>0</v>
      </c>
      <c r="J336">
        <f t="shared" si="116"/>
        <v>0</v>
      </c>
      <c r="K336" s="45">
        <f t="shared" si="117"/>
        <v>0</v>
      </c>
      <c r="L336" s="45">
        <f t="shared" si="118"/>
        <v>0.33333333333333331</v>
      </c>
      <c r="M336" s="45">
        <f t="shared" si="119"/>
        <v>0</v>
      </c>
      <c r="N336" s="45">
        <f t="shared" si="120"/>
        <v>0.33333333333333331</v>
      </c>
      <c r="O336" s="45">
        <f t="shared" si="121"/>
        <v>0</v>
      </c>
      <c r="P336" s="45">
        <f t="shared" si="122"/>
        <v>0.33333333333333331</v>
      </c>
      <c r="Q336" s="45">
        <f t="shared" si="123"/>
        <v>0</v>
      </c>
      <c r="R336" s="45">
        <f t="shared" si="124"/>
        <v>0</v>
      </c>
      <c r="S336" s="45">
        <f t="shared" si="125"/>
        <v>0</v>
      </c>
      <c r="T336" s="45">
        <f t="shared" si="126"/>
        <v>0</v>
      </c>
    </row>
    <row r="337" spans="1:20" x14ac:dyDescent="0.3">
      <c r="A337">
        <f t="shared" si="107"/>
        <v>0</v>
      </c>
      <c r="B337">
        <f t="shared" si="108"/>
        <v>1</v>
      </c>
      <c r="C337">
        <f t="shared" si="109"/>
        <v>0</v>
      </c>
      <c r="D337">
        <f t="shared" si="110"/>
        <v>1</v>
      </c>
      <c r="E337">
        <f t="shared" si="111"/>
        <v>0</v>
      </c>
      <c r="F337">
        <f t="shared" si="112"/>
        <v>1</v>
      </c>
      <c r="G337">
        <f t="shared" si="113"/>
        <v>0</v>
      </c>
      <c r="H337">
        <f t="shared" si="114"/>
        <v>0</v>
      </c>
      <c r="I337">
        <f t="shared" si="115"/>
        <v>0</v>
      </c>
      <c r="J337">
        <f t="shared" si="116"/>
        <v>1</v>
      </c>
      <c r="K337" s="45">
        <f t="shared" si="117"/>
        <v>0</v>
      </c>
      <c r="L337" s="45">
        <f t="shared" si="118"/>
        <v>0.25</v>
      </c>
      <c r="M337" s="45">
        <f t="shared" si="119"/>
        <v>0</v>
      </c>
      <c r="N337" s="45">
        <f t="shared" si="120"/>
        <v>0.25</v>
      </c>
      <c r="O337" s="45">
        <f t="shared" si="121"/>
        <v>0</v>
      </c>
      <c r="P337" s="45">
        <f t="shared" si="122"/>
        <v>0.25</v>
      </c>
      <c r="Q337" s="45">
        <f t="shared" si="123"/>
        <v>0</v>
      </c>
      <c r="R337" s="45">
        <f t="shared" si="124"/>
        <v>0</v>
      </c>
      <c r="S337" s="45">
        <f t="shared" si="125"/>
        <v>0</v>
      </c>
      <c r="T337" s="45">
        <f t="shared" si="126"/>
        <v>0.25</v>
      </c>
    </row>
    <row r="338" spans="1:20" x14ac:dyDescent="0.3">
      <c r="A338">
        <f t="shared" si="107"/>
        <v>0</v>
      </c>
      <c r="B338">
        <f t="shared" si="108"/>
        <v>1</v>
      </c>
      <c r="C338">
        <f t="shared" si="109"/>
        <v>0</v>
      </c>
      <c r="D338">
        <f t="shared" si="110"/>
        <v>1</v>
      </c>
      <c r="E338">
        <f t="shared" si="111"/>
        <v>0</v>
      </c>
      <c r="F338">
        <f t="shared" si="112"/>
        <v>1</v>
      </c>
      <c r="G338">
        <f t="shared" si="113"/>
        <v>0</v>
      </c>
      <c r="H338">
        <f t="shared" si="114"/>
        <v>0</v>
      </c>
      <c r="I338">
        <f t="shared" si="115"/>
        <v>1</v>
      </c>
      <c r="J338">
        <f t="shared" si="116"/>
        <v>0</v>
      </c>
      <c r="K338" s="45">
        <f t="shared" si="117"/>
        <v>0</v>
      </c>
      <c r="L338" s="45">
        <f t="shared" si="118"/>
        <v>0.25</v>
      </c>
      <c r="M338" s="45">
        <f t="shared" si="119"/>
        <v>0</v>
      </c>
      <c r="N338" s="45">
        <f t="shared" si="120"/>
        <v>0.25</v>
      </c>
      <c r="O338" s="45">
        <f t="shared" si="121"/>
        <v>0</v>
      </c>
      <c r="P338" s="45">
        <f t="shared" si="122"/>
        <v>0.25</v>
      </c>
      <c r="Q338" s="45">
        <f t="shared" si="123"/>
        <v>0</v>
      </c>
      <c r="R338" s="45">
        <f t="shared" si="124"/>
        <v>0</v>
      </c>
      <c r="S338" s="45">
        <f t="shared" si="125"/>
        <v>0.25</v>
      </c>
      <c r="T338" s="45">
        <f t="shared" si="126"/>
        <v>0</v>
      </c>
    </row>
    <row r="339" spans="1:20" x14ac:dyDescent="0.3">
      <c r="A339">
        <f t="shared" si="107"/>
        <v>0</v>
      </c>
      <c r="B339">
        <f t="shared" si="108"/>
        <v>1</v>
      </c>
      <c r="C339">
        <f t="shared" si="109"/>
        <v>0</v>
      </c>
      <c r="D339">
        <f t="shared" si="110"/>
        <v>1</v>
      </c>
      <c r="E339">
        <f t="shared" si="111"/>
        <v>0</v>
      </c>
      <c r="F339">
        <f t="shared" si="112"/>
        <v>1</v>
      </c>
      <c r="G339">
        <f t="shared" si="113"/>
        <v>0</v>
      </c>
      <c r="H339">
        <f t="shared" si="114"/>
        <v>0</v>
      </c>
      <c r="I339">
        <f t="shared" si="115"/>
        <v>1</v>
      </c>
      <c r="J339">
        <f t="shared" si="116"/>
        <v>1</v>
      </c>
      <c r="K339" s="45">
        <f t="shared" si="117"/>
        <v>0</v>
      </c>
      <c r="L339" s="45">
        <f t="shared" si="118"/>
        <v>0.2</v>
      </c>
      <c r="M339" s="45">
        <f t="shared" si="119"/>
        <v>0</v>
      </c>
      <c r="N339" s="45">
        <f t="shared" si="120"/>
        <v>0.2</v>
      </c>
      <c r="O339" s="45">
        <f t="shared" si="121"/>
        <v>0</v>
      </c>
      <c r="P339" s="45">
        <f t="shared" si="122"/>
        <v>0.2</v>
      </c>
      <c r="Q339" s="45">
        <f t="shared" si="123"/>
        <v>0</v>
      </c>
      <c r="R339" s="45">
        <f t="shared" si="124"/>
        <v>0</v>
      </c>
      <c r="S339" s="45">
        <f t="shared" si="125"/>
        <v>0.2</v>
      </c>
      <c r="T339" s="45">
        <f t="shared" si="126"/>
        <v>0.2</v>
      </c>
    </row>
    <row r="340" spans="1:20" x14ac:dyDescent="0.3">
      <c r="A340">
        <f t="shared" si="107"/>
        <v>0</v>
      </c>
      <c r="B340">
        <f t="shared" si="108"/>
        <v>1</v>
      </c>
      <c r="C340">
        <f t="shared" si="109"/>
        <v>0</v>
      </c>
      <c r="D340">
        <f t="shared" si="110"/>
        <v>1</v>
      </c>
      <c r="E340">
        <f t="shared" si="111"/>
        <v>0</v>
      </c>
      <c r="F340">
        <f t="shared" si="112"/>
        <v>1</v>
      </c>
      <c r="G340">
        <f t="shared" si="113"/>
        <v>0</v>
      </c>
      <c r="H340">
        <f t="shared" si="114"/>
        <v>1</v>
      </c>
      <c r="I340">
        <f t="shared" si="115"/>
        <v>0</v>
      </c>
      <c r="J340">
        <f t="shared" si="116"/>
        <v>0</v>
      </c>
      <c r="K340" s="45">
        <f t="shared" si="117"/>
        <v>0</v>
      </c>
      <c r="L340" s="45">
        <f t="shared" si="118"/>
        <v>0.25</v>
      </c>
      <c r="M340" s="45">
        <f t="shared" si="119"/>
        <v>0</v>
      </c>
      <c r="N340" s="45">
        <f t="shared" si="120"/>
        <v>0.25</v>
      </c>
      <c r="O340" s="45">
        <f t="shared" si="121"/>
        <v>0</v>
      </c>
      <c r="P340" s="45">
        <f t="shared" si="122"/>
        <v>0.25</v>
      </c>
      <c r="Q340" s="45">
        <f t="shared" si="123"/>
        <v>0</v>
      </c>
      <c r="R340" s="45">
        <f t="shared" si="124"/>
        <v>0.25</v>
      </c>
      <c r="S340" s="45">
        <f t="shared" si="125"/>
        <v>0</v>
      </c>
      <c r="T340" s="45">
        <f t="shared" si="126"/>
        <v>0</v>
      </c>
    </row>
    <row r="341" spans="1:20" x14ac:dyDescent="0.3">
      <c r="A341">
        <f t="shared" si="107"/>
        <v>0</v>
      </c>
      <c r="B341">
        <f t="shared" si="108"/>
        <v>1</v>
      </c>
      <c r="C341">
        <f t="shared" si="109"/>
        <v>0</v>
      </c>
      <c r="D341">
        <f t="shared" si="110"/>
        <v>1</v>
      </c>
      <c r="E341">
        <f t="shared" si="111"/>
        <v>0</v>
      </c>
      <c r="F341">
        <f t="shared" si="112"/>
        <v>1</v>
      </c>
      <c r="G341">
        <f t="shared" si="113"/>
        <v>0</v>
      </c>
      <c r="H341">
        <f t="shared" si="114"/>
        <v>1</v>
      </c>
      <c r="I341">
        <f t="shared" si="115"/>
        <v>0</v>
      </c>
      <c r="J341">
        <f t="shared" si="116"/>
        <v>1</v>
      </c>
      <c r="K341" s="45">
        <f t="shared" si="117"/>
        <v>0</v>
      </c>
      <c r="L341" s="45">
        <f t="shared" si="118"/>
        <v>0.2</v>
      </c>
      <c r="M341" s="45">
        <f t="shared" si="119"/>
        <v>0</v>
      </c>
      <c r="N341" s="45">
        <f t="shared" si="120"/>
        <v>0.2</v>
      </c>
      <c r="O341" s="45">
        <f t="shared" si="121"/>
        <v>0</v>
      </c>
      <c r="P341" s="45">
        <f t="shared" si="122"/>
        <v>0.2</v>
      </c>
      <c r="Q341" s="45">
        <f t="shared" si="123"/>
        <v>0</v>
      </c>
      <c r="R341" s="45">
        <f t="shared" si="124"/>
        <v>0.2</v>
      </c>
      <c r="S341" s="45">
        <f t="shared" si="125"/>
        <v>0</v>
      </c>
      <c r="T341" s="45">
        <f t="shared" si="126"/>
        <v>0.2</v>
      </c>
    </row>
    <row r="342" spans="1:20" x14ac:dyDescent="0.3">
      <c r="A342">
        <f t="shared" si="107"/>
        <v>0</v>
      </c>
      <c r="B342">
        <f t="shared" si="108"/>
        <v>1</v>
      </c>
      <c r="C342">
        <f t="shared" si="109"/>
        <v>0</v>
      </c>
      <c r="D342">
        <f t="shared" si="110"/>
        <v>1</v>
      </c>
      <c r="E342">
        <f t="shared" si="111"/>
        <v>0</v>
      </c>
      <c r="F342">
        <f t="shared" si="112"/>
        <v>1</v>
      </c>
      <c r="G342">
        <f t="shared" si="113"/>
        <v>0</v>
      </c>
      <c r="H342">
        <f t="shared" si="114"/>
        <v>1</v>
      </c>
      <c r="I342">
        <f t="shared" si="115"/>
        <v>1</v>
      </c>
      <c r="J342">
        <f t="shared" si="116"/>
        <v>0</v>
      </c>
      <c r="K342" s="45">
        <f t="shared" si="117"/>
        <v>0</v>
      </c>
      <c r="L342" s="45">
        <f t="shared" si="118"/>
        <v>0.2</v>
      </c>
      <c r="M342" s="45">
        <f t="shared" si="119"/>
        <v>0</v>
      </c>
      <c r="N342" s="45">
        <f t="shared" si="120"/>
        <v>0.2</v>
      </c>
      <c r="O342" s="45">
        <f t="shared" si="121"/>
        <v>0</v>
      </c>
      <c r="P342" s="45">
        <f t="shared" si="122"/>
        <v>0.2</v>
      </c>
      <c r="Q342" s="45">
        <f t="shared" si="123"/>
        <v>0</v>
      </c>
      <c r="R342" s="45">
        <f t="shared" si="124"/>
        <v>0.2</v>
      </c>
      <c r="S342" s="45">
        <f t="shared" si="125"/>
        <v>0.2</v>
      </c>
      <c r="T342" s="45">
        <f t="shared" si="126"/>
        <v>0</v>
      </c>
    </row>
    <row r="343" spans="1:20" x14ac:dyDescent="0.3">
      <c r="A343">
        <f t="shared" si="107"/>
        <v>0</v>
      </c>
      <c r="B343">
        <f t="shared" si="108"/>
        <v>1</v>
      </c>
      <c r="C343">
        <f t="shared" si="109"/>
        <v>0</v>
      </c>
      <c r="D343">
        <f t="shared" si="110"/>
        <v>1</v>
      </c>
      <c r="E343">
        <f t="shared" si="111"/>
        <v>0</v>
      </c>
      <c r="F343">
        <f t="shared" si="112"/>
        <v>1</v>
      </c>
      <c r="G343">
        <f t="shared" si="113"/>
        <v>0</v>
      </c>
      <c r="H343">
        <f t="shared" si="114"/>
        <v>1</v>
      </c>
      <c r="I343">
        <f t="shared" si="115"/>
        <v>1</v>
      </c>
      <c r="J343">
        <f t="shared" si="116"/>
        <v>1</v>
      </c>
      <c r="K343" s="45">
        <f t="shared" si="117"/>
        <v>0</v>
      </c>
      <c r="L343" s="45">
        <f t="shared" si="118"/>
        <v>0.16666666666666666</v>
      </c>
      <c r="M343" s="45">
        <f t="shared" si="119"/>
        <v>0</v>
      </c>
      <c r="N343" s="45">
        <f t="shared" si="120"/>
        <v>0.16666666666666666</v>
      </c>
      <c r="O343" s="45">
        <f t="shared" si="121"/>
        <v>0</v>
      </c>
      <c r="P343" s="45">
        <f t="shared" si="122"/>
        <v>0.16666666666666666</v>
      </c>
      <c r="Q343" s="45">
        <f t="shared" si="123"/>
        <v>0</v>
      </c>
      <c r="R343" s="45">
        <f t="shared" si="124"/>
        <v>0.16666666666666666</v>
      </c>
      <c r="S343" s="45">
        <f t="shared" si="125"/>
        <v>0.16666666666666666</v>
      </c>
      <c r="T343" s="45">
        <f t="shared" si="126"/>
        <v>0.16666666666666666</v>
      </c>
    </row>
    <row r="344" spans="1:20" x14ac:dyDescent="0.3">
      <c r="A344">
        <f t="shared" si="107"/>
        <v>0</v>
      </c>
      <c r="B344">
        <f t="shared" si="108"/>
        <v>1</v>
      </c>
      <c r="C344">
        <f t="shared" si="109"/>
        <v>0</v>
      </c>
      <c r="D344">
        <f t="shared" si="110"/>
        <v>1</v>
      </c>
      <c r="E344">
        <f t="shared" si="111"/>
        <v>0</v>
      </c>
      <c r="F344">
        <f t="shared" si="112"/>
        <v>1</v>
      </c>
      <c r="G344">
        <f t="shared" si="113"/>
        <v>1</v>
      </c>
      <c r="H344">
        <f t="shared" si="114"/>
        <v>0</v>
      </c>
      <c r="I344">
        <f t="shared" si="115"/>
        <v>0</v>
      </c>
      <c r="J344">
        <f t="shared" si="116"/>
        <v>0</v>
      </c>
      <c r="K344" s="45">
        <f t="shared" si="117"/>
        <v>0</v>
      </c>
      <c r="L344" s="45">
        <f t="shared" si="118"/>
        <v>0.25</v>
      </c>
      <c r="M344" s="45">
        <f t="shared" si="119"/>
        <v>0</v>
      </c>
      <c r="N344" s="45">
        <f t="shared" si="120"/>
        <v>0.25</v>
      </c>
      <c r="O344" s="45">
        <f t="shared" si="121"/>
        <v>0</v>
      </c>
      <c r="P344" s="45">
        <f t="shared" si="122"/>
        <v>0.25</v>
      </c>
      <c r="Q344" s="45">
        <f t="shared" si="123"/>
        <v>0.25</v>
      </c>
      <c r="R344" s="45">
        <f t="shared" si="124"/>
        <v>0</v>
      </c>
      <c r="S344" s="45">
        <f t="shared" si="125"/>
        <v>0</v>
      </c>
      <c r="T344" s="45">
        <f t="shared" si="126"/>
        <v>0</v>
      </c>
    </row>
    <row r="345" spans="1:20" x14ac:dyDescent="0.3">
      <c r="A345">
        <f t="shared" si="107"/>
        <v>0</v>
      </c>
      <c r="B345">
        <f t="shared" si="108"/>
        <v>1</v>
      </c>
      <c r="C345">
        <f t="shared" si="109"/>
        <v>0</v>
      </c>
      <c r="D345">
        <f t="shared" si="110"/>
        <v>1</v>
      </c>
      <c r="E345">
        <f t="shared" si="111"/>
        <v>0</v>
      </c>
      <c r="F345">
        <f t="shared" si="112"/>
        <v>1</v>
      </c>
      <c r="G345">
        <f t="shared" si="113"/>
        <v>1</v>
      </c>
      <c r="H345">
        <f t="shared" si="114"/>
        <v>0</v>
      </c>
      <c r="I345">
        <f t="shared" si="115"/>
        <v>0</v>
      </c>
      <c r="J345">
        <f t="shared" si="116"/>
        <v>1</v>
      </c>
      <c r="K345" s="45">
        <f t="shared" si="117"/>
        <v>0</v>
      </c>
      <c r="L345" s="45">
        <f t="shared" si="118"/>
        <v>0.2</v>
      </c>
      <c r="M345" s="45">
        <f t="shared" si="119"/>
        <v>0</v>
      </c>
      <c r="N345" s="45">
        <f t="shared" si="120"/>
        <v>0.2</v>
      </c>
      <c r="O345" s="45">
        <f t="shared" si="121"/>
        <v>0</v>
      </c>
      <c r="P345" s="45">
        <f t="shared" si="122"/>
        <v>0.2</v>
      </c>
      <c r="Q345" s="45">
        <f t="shared" si="123"/>
        <v>0.2</v>
      </c>
      <c r="R345" s="45">
        <f t="shared" si="124"/>
        <v>0</v>
      </c>
      <c r="S345" s="45">
        <f t="shared" si="125"/>
        <v>0</v>
      </c>
      <c r="T345" s="45">
        <f t="shared" si="126"/>
        <v>0.2</v>
      </c>
    </row>
    <row r="346" spans="1:20" x14ac:dyDescent="0.3">
      <c r="A346">
        <f t="shared" si="107"/>
        <v>0</v>
      </c>
      <c r="B346">
        <f t="shared" si="108"/>
        <v>1</v>
      </c>
      <c r="C346">
        <f t="shared" si="109"/>
        <v>0</v>
      </c>
      <c r="D346">
        <f t="shared" si="110"/>
        <v>1</v>
      </c>
      <c r="E346">
        <f t="shared" si="111"/>
        <v>0</v>
      </c>
      <c r="F346">
        <f t="shared" si="112"/>
        <v>1</v>
      </c>
      <c r="G346">
        <f t="shared" si="113"/>
        <v>1</v>
      </c>
      <c r="H346">
        <f t="shared" si="114"/>
        <v>0</v>
      </c>
      <c r="I346">
        <f t="shared" si="115"/>
        <v>1</v>
      </c>
      <c r="J346">
        <f t="shared" si="116"/>
        <v>0</v>
      </c>
      <c r="K346" s="45">
        <f t="shared" si="117"/>
        <v>0</v>
      </c>
      <c r="L346" s="45">
        <f t="shared" si="118"/>
        <v>0.2</v>
      </c>
      <c r="M346" s="45">
        <f t="shared" si="119"/>
        <v>0</v>
      </c>
      <c r="N346" s="45">
        <f t="shared" si="120"/>
        <v>0.2</v>
      </c>
      <c r="O346" s="45">
        <f t="shared" si="121"/>
        <v>0</v>
      </c>
      <c r="P346" s="45">
        <f t="shared" si="122"/>
        <v>0.2</v>
      </c>
      <c r="Q346" s="45">
        <f t="shared" si="123"/>
        <v>0.2</v>
      </c>
      <c r="R346" s="45">
        <f t="shared" si="124"/>
        <v>0</v>
      </c>
      <c r="S346" s="45">
        <f t="shared" si="125"/>
        <v>0.2</v>
      </c>
      <c r="T346" s="45">
        <f t="shared" si="126"/>
        <v>0</v>
      </c>
    </row>
    <row r="347" spans="1:20" x14ac:dyDescent="0.3">
      <c r="A347">
        <f t="shared" si="107"/>
        <v>0</v>
      </c>
      <c r="B347">
        <f t="shared" si="108"/>
        <v>1</v>
      </c>
      <c r="C347">
        <f t="shared" si="109"/>
        <v>0</v>
      </c>
      <c r="D347">
        <f t="shared" si="110"/>
        <v>1</v>
      </c>
      <c r="E347">
        <f t="shared" si="111"/>
        <v>0</v>
      </c>
      <c r="F347">
        <f t="shared" si="112"/>
        <v>1</v>
      </c>
      <c r="G347">
        <f t="shared" si="113"/>
        <v>1</v>
      </c>
      <c r="H347">
        <f t="shared" si="114"/>
        <v>0</v>
      </c>
      <c r="I347">
        <f t="shared" si="115"/>
        <v>1</v>
      </c>
      <c r="J347">
        <f t="shared" si="116"/>
        <v>1</v>
      </c>
      <c r="K347" s="45">
        <f t="shared" si="117"/>
        <v>0</v>
      </c>
      <c r="L347" s="45">
        <f t="shared" si="118"/>
        <v>0.16666666666666666</v>
      </c>
      <c r="M347" s="45">
        <f t="shared" si="119"/>
        <v>0</v>
      </c>
      <c r="N347" s="45">
        <f t="shared" si="120"/>
        <v>0.16666666666666666</v>
      </c>
      <c r="O347" s="45">
        <f t="shared" si="121"/>
        <v>0</v>
      </c>
      <c r="P347" s="45">
        <f t="shared" si="122"/>
        <v>0.16666666666666666</v>
      </c>
      <c r="Q347" s="45">
        <f t="shared" si="123"/>
        <v>0.16666666666666666</v>
      </c>
      <c r="R347" s="45">
        <f t="shared" si="124"/>
        <v>0</v>
      </c>
      <c r="S347" s="45">
        <f t="shared" si="125"/>
        <v>0.16666666666666666</v>
      </c>
      <c r="T347" s="45">
        <f t="shared" si="126"/>
        <v>0.16666666666666666</v>
      </c>
    </row>
    <row r="348" spans="1:20" x14ac:dyDescent="0.3">
      <c r="A348">
        <f t="shared" si="107"/>
        <v>0</v>
      </c>
      <c r="B348">
        <f t="shared" si="108"/>
        <v>1</v>
      </c>
      <c r="C348">
        <f t="shared" si="109"/>
        <v>0</v>
      </c>
      <c r="D348">
        <f t="shared" si="110"/>
        <v>1</v>
      </c>
      <c r="E348">
        <f t="shared" si="111"/>
        <v>0</v>
      </c>
      <c r="F348">
        <f t="shared" si="112"/>
        <v>1</v>
      </c>
      <c r="G348">
        <f t="shared" si="113"/>
        <v>1</v>
      </c>
      <c r="H348">
        <f t="shared" si="114"/>
        <v>1</v>
      </c>
      <c r="I348">
        <f t="shared" si="115"/>
        <v>0</v>
      </c>
      <c r="J348">
        <f t="shared" si="116"/>
        <v>0</v>
      </c>
      <c r="K348" s="45">
        <f t="shared" si="117"/>
        <v>0</v>
      </c>
      <c r="L348" s="45">
        <f t="shared" si="118"/>
        <v>0.2</v>
      </c>
      <c r="M348" s="45">
        <f t="shared" si="119"/>
        <v>0</v>
      </c>
      <c r="N348" s="45">
        <f t="shared" si="120"/>
        <v>0.2</v>
      </c>
      <c r="O348" s="45">
        <f t="shared" si="121"/>
        <v>0</v>
      </c>
      <c r="P348" s="45">
        <f t="shared" si="122"/>
        <v>0.2</v>
      </c>
      <c r="Q348" s="45">
        <f t="shared" si="123"/>
        <v>0.2</v>
      </c>
      <c r="R348" s="45">
        <f t="shared" si="124"/>
        <v>0.2</v>
      </c>
      <c r="S348" s="45">
        <f t="shared" si="125"/>
        <v>0</v>
      </c>
      <c r="T348" s="45">
        <f t="shared" si="126"/>
        <v>0</v>
      </c>
    </row>
    <row r="349" spans="1:20" x14ac:dyDescent="0.3">
      <c r="A349">
        <f t="shared" si="107"/>
        <v>0</v>
      </c>
      <c r="B349">
        <f t="shared" si="108"/>
        <v>1</v>
      </c>
      <c r="C349">
        <f t="shared" si="109"/>
        <v>0</v>
      </c>
      <c r="D349">
        <f t="shared" si="110"/>
        <v>1</v>
      </c>
      <c r="E349">
        <f t="shared" si="111"/>
        <v>0</v>
      </c>
      <c r="F349">
        <f t="shared" si="112"/>
        <v>1</v>
      </c>
      <c r="G349">
        <f t="shared" si="113"/>
        <v>1</v>
      </c>
      <c r="H349">
        <f t="shared" si="114"/>
        <v>1</v>
      </c>
      <c r="I349">
        <f t="shared" si="115"/>
        <v>0</v>
      </c>
      <c r="J349">
        <f t="shared" si="116"/>
        <v>1</v>
      </c>
      <c r="K349" s="45">
        <f t="shared" si="117"/>
        <v>0</v>
      </c>
      <c r="L349" s="45">
        <f t="shared" si="118"/>
        <v>0.16666666666666666</v>
      </c>
      <c r="M349" s="45">
        <f t="shared" si="119"/>
        <v>0</v>
      </c>
      <c r="N349" s="45">
        <f t="shared" si="120"/>
        <v>0.16666666666666666</v>
      </c>
      <c r="O349" s="45">
        <f t="shared" si="121"/>
        <v>0</v>
      </c>
      <c r="P349" s="45">
        <f t="shared" si="122"/>
        <v>0.16666666666666666</v>
      </c>
      <c r="Q349" s="45">
        <f t="shared" si="123"/>
        <v>0.16666666666666666</v>
      </c>
      <c r="R349" s="45">
        <f t="shared" si="124"/>
        <v>0.16666666666666666</v>
      </c>
      <c r="S349" s="45">
        <f t="shared" si="125"/>
        <v>0</v>
      </c>
      <c r="T349" s="45">
        <f t="shared" si="126"/>
        <v>0.16666666666666666</v>
      </c>
    </row>
    <row r="350" spans="1:20" x14ac:dyDescent="0.3">
      <c r="A350">
        <f t="shared" si="107"/>
        <v>0</v>
      </c>
      <c r="B350">
        <f t="shared" si="108"/>
        <v>1</v>
      </c>
      <c r="C350">
        <f t="shared" si="109"/>
        <v>0</v>
      </c>
      <c r="D350">
        <f t="shared" si="110"/>
        <v>1</v>
      </c>
      <c r="E350">
        <f t="shared" si="111"/>
        <v>0</v>
      </c>
      <c r="F350">
        <f t="shared" si="112"/>
        <v>1</v>
      </c>
      <c r="G350">
        <f t="shared" si="113"/>
        <v>1</v>
      </c>
      <c r="H350">
        <f t="shared" si="114"/>
        <v>1</v>
      </c>
      <c r="I350">
        <f t="shared" si="115"/>
        <v>1</v>
      </c>
      <c r="J350">
        <f t="shared" si="116"/>
        <v>0</v>
      </c>
      <c r="K350" s="45">
        <f t="shared" si="117"/>
        <v>0</v>
      </c>
      <c r="L350" s="45">
        <f t="shared" si="118"/>
        <v>0.16666666666666666</v>
      </c>
      <c r="M350" s="45">
        <f t="shared" si="119"/>
        <v>0</v>
      </c>
      <c r="N350" s="45">
        <f t="shared" si="120"/>
        <v>0.16666666666666666</v>
      </c>
      <c r="O350" s="45">
        <f t="shared" si="121"/>
        <v>0</v>
      </c>
      <c r="P350" s="45">
        <f t="shared" si="122"/>
        <v>0.16666666666666666</v>
      </c>
      <c r="Q350" s="45">
        <f t="shared" si="123"/>
        <v>0.16666666666666666</v>
      </c>
      <c r="R350" s="45">
        <f t="shared" si="124"/>
        <v>0.16666666666666666</v>
      </c>
      <c r="S350" s="45">
        <f t="shared" si="125"/>
        <v>0.16666666666666666</v>
      </c>
      <c r="T350" s="45">
        <f t="shared" si="126"/>
        <v>0</v>
      </c>
    </row>
    <row r="351" spans="1:20" x14ac:dyDescent="0.3">
      <c r="A351">
        <f t="shared" si="107"/>
        <v>0</v>
      </c>
      <c r="B351">
        <f t="shared" si="108"/>
        <v>1</v>
      </c>
      <c r="C351">
        <f t="shared" si="109"/>
        <v>0</v>
      </c>
      <c r="D351">
        <f t="shared" si="110"/>
        <v>1</v>
      </c>
      <c r="E351">
        <f t="shared" si="111"/>
        <v>0</v>
      </c>
      <c r="F351">
        <f t="shared" si="112"/>
        <v>1</v>
      </c>
      <c r="G351">
        <f t="shared" si="113"/>
        <v>1</v>
      </c>
      <c r="H351">
        <f t="shared" si="114"/>
        <v>1</v>
      </c>
      <c r="I351">
        <f t="shared" si="115"/>
        <v>1</v>
      </c>
      <c r="J351">
        <f t="shared" si="116"/>
        <v>1</v>
      </c>
      <c r="K351" s="45">
        <f t="shared" si="117"/>
        <v>0</v>
      </c>
      <c r="L351" s="45">
        <f t="shared" si="118"/>
        <v>0.14285714285714285</v>
      </c>
      <c r="M351" s="45">
        <f t="shared" si="119"/>
        <v>0</v>
      </c>
      <c r="N351" s="45">
        <f t="shared" si="120"/>
        <v>0.14285714285714285</v>
      </c>
      <c r="O351" s="45">
        <f t="shared" si="121"/>
        <v>0</v>
      </c>
      <c r="P351" s="45">
        <f t="shared" si="122"/>
        <v>0.14285714285714285</v>
      </c>
      <c r="Q351" s="45">
        <f t="shared" si="123"/>
        <v>0.14285714285714285</v>
      </c>
      <c r="R351" s="45">
        <f t="shared" si="124"/>
        <v>0.14285714285714285</v>
      </c>
      <c r="S351" s="45">
        <f t="shared" si="125"/>
        <v>0.14285714285714285</v>
      </c>
      <c r="T351" s="45">
        <f t="shared" si="126"/>
        <v>0.14285714285714285</v>
      </c>
    </row>
    <row r="352" spans="1:20" x14ac:dyDescent="0.3">
      <c r="A352">
        <f t="shared" si="107"/>
        <v>0</v>
      </c>
      <c r="B352">
        <f t="shared" si="108"/>
        <v>1</v>
      </c>
      <c r="C352">
        <f t="shared" si="109"/>
        <v>0</v>
      </c>
      <c r="D352">
        <f t="shared" si="110"/>
        <v>1</v>
      </c>
      <c r="E352">
        <f t="shared" si="111"/>
        <v>1</v>
      </c>
      <c r="F352">
        <f t="shared" si="112"/>
        <v>0</v>
      </c>
      <c r="G352">
        <f t="shared" si="113"/>
        <v>0</v>
      </c>
      <c r="H352">
        <f t="shared" si="114"/>
        <v>0</v>
      </c>
      <c r="I352">
        <f t="shared" si="115"/>
        <v>0</v>
      </c>
      <c r="J352">
        <f t="shared" si="116"/>
        <v>0</v>
      </c>
      <c r="K352" s="45">
        <f t="shared" si="117"/>
        <v>0</v>
      </c>
      <c r="L352" s="45">
        <f t="shared" si="118"/>
        <v>0.33333333333333331</v>
      </c>
      <c r="M352" s="45">
        <f t="shared" si="119"/>
        <v>0</v>
      </c>
      <c r="N352" s="45">
        <f t="shared" si="120"/>
        <v>0.33333333333333331</v>
      </c>
      <c r="O352" s="45">
        <f t="shared" si="121"/>
        <v>0.33333333333333331</v>
      </c>
      <c r="P352" s="45">
        <f t="shared" si="122"/>
        <v>0</v>
      </c>
      <c r="Q352" s="45">
        <f t="shared" si="123"/>
        <v>0</v>
      </c>
      <c r="R352" s="45">
        <f t="shared" si="124"/>
        <v>0</v>
      </c>
      <c r="S352" s="45">
        <f t="shared" si="125"/>
        <v>0</v>
      </c>
      <c r="T352" s="45">
        <f t="shared" si="126"/>
        <v>0</v>
      </c>
    </row>
    <row r="353" spans="1:20" x14ac:dyDescent="0.3">
      <c r="A353">
        <f t="shared" si="107"/>
        <v>0</v>
      </c>
      <c r="B353">
        <f t="shared" si="108"/>
        <v>1</v>
      </c>
      <c r="C353">
        <f t="shared" si="109"/>
        <v>0</v>
      </c>
      <c r="D353">
        <f t="shared" si="110"/>
        <v>1</v>
      </c>
      <c r="E353">
        <f t="shared" si="111"/>
        <v>1</v>
      </c>
      <c r="F353">
        <f t="shared" si="112"/>
        <v>0</v>
      </c>
      <c r="G353">
        <f t="shared" si="113"/>
        <v>0</v>
      </c>
      <c r="H353">
        <f t="shared" si="114"/>
        <v>0</v>
      </c>
      <c r="I353">
        <f t="shared" si="115"/>
        <v>0</v>
      </c>
      <c r="J353">
        <f t="shared" si="116"/>
        <v>1</v>
      </c>
      <c r="K353" s="45">
        <f t="shared" si="117"/>
        <v>0</v>
      </c>
      <c r="L353" s="45">
        <f t="shared" si="118"/>
        <v>0.25</v>
      </c>
      <c r="M353" s="45">
        <f t="shared" si="119"/>
        <v>0</v>
      </c>
      <c r="N353" s="45">
        <f t="shared" si="120"/>
        <v>0.25</v>
      </c>
      <c r="O353" s="45">
        <f t="shared" si="121"/>
        <v>0.25</v>
      </c>
      <c r="P353" s="45">
        <f t="shared" si="122"/>
        <v>0</v>
      </c>
      <c r="Q353" s="45">
        <f t="shared" si="123"/>
        <v>0</v>
      </c>
      <c r="R353" s="45">
        <f t="shared" si="124"/>
        <v>0</v>
      </c>
      <c r="S353" s="45">
        <f t="shared" si="125"/>
        <v>0</v>
      </c>
      <c r="T353" s="45">
        <f t="shared" si="126"/>
        <v>0.25</v>
      </c>
    </row>
    <row r="354" spans="1:20" x14ac:dyDescent="0.3">
      <c r="A354">
        <f t="shared" si="107"/>
        <v>0</v>
      </c>
      <c r="B354">
        <f t="shared" si="108"/>
        <v>1</v>
      </c>
      <c r="C354">
        <f t="shared" si="109"/>
        <v>0</v>
      </c>
      <c r="D354">
        <f t="shared" si="110"/>
        <v>1</v>
      </c>
      <c r="E354">
        <f t="shared" si="111"/>
        <v>1</v>
      </c>
      <c r="F354">
        <f t="shared" si="112"/>
        <v>0</v>
      </c>
      <c r="G354">
        <f t="shared" si="113"/>
        <v>0</v>
      </c>
      <c r="H354">
        <f t="shared" si="114"/>
        <v>0</v>
      </c>
      <c r="I354">
        <f t="shared" si="115"/>
        <v>1</v>
      </c>
      <c r="J354">
        <f t="shared" si="116"/>
        <v>0</v>
      </c>
      <c r="K354" s="45">
        <f t="shared" si="117"/>
        <v>0</v>
      </c>
      <c r="L354" s="45">
        <f t="shared" si="118"/>
        <v>0.25</v>
      </c>
      <c r="M354" s="45">
        <f t="shared" si="119"/>
        <v>0</v>
      </c>
      <c r="N354" s="45">
        <f t="shared" si="120"/>
        <v>0.25</v>
      </c>
      <c r="O354" s="45">
        <f t="shared" si="121"/>
        <v>0.25</v>
      </c>
      <c r="P354" s="45">
        <f t="shared" si="122"/>
        <v>0</v>
      </c>
      <c r="Q354" s="45">
        <f t="shared" si="123"/>
        <v>0</v>
      </c>
      <c r="R354" s="45">
        <f t="shared" si="124"/>
        <v>0</v>
      </c>
      <c r="S354" s="45">
        <f t="shared" si="125"/>
        <v>0.25</v>
      </c>
      <c r="T354" s="45">
        <f t="shared" si="126"/>
        <v>0</v>
      </c>
    </row>
    <row r="355" spans="1:20" x14ac:dyDescent="0.3">
      <c r="A355">
        <f t="shared" si="107"/>
        <v>0</v>
      </c>
      <c r="B355">
        <f t="shared" si="108"/>
        <v>1</v>
      </c>
      <c r="C355">
        <f t="shared" si="109"/>
        <v>0</v>
      </c>
      <c r="D355">
        <f t="shared" si="110"/>
        <v>1</v>
      </c>
      <c r="E355">
        <f t="shared" si="111"/>
        <v>1</v>
      </c>
      <c r="F355">
        <f t="shared" si="112"/>
        <v>0</v>
      </c>
      <c r="G355">
        <f t="shared" si="113"/>
        <v>0</v>
      </c>
      <c r="H355">
        <f t="shared" si="114"/>
        <v>0</v>
      </c>
      <c r="I355">
        <f t="shared" si="115"/>
        <v>1</v>
      </c>
      <c r="J355">
        <f t="shared" si="116"/>
        <v>1</v>
      </c>
      <c r="K355" s="45">
        <f t="shared" si="117"/>
        <v>0</v>
      </c>
      <c r="L355" s="45">
        <f t="shared" si="118"/>
        <v>0.2</v>
      </c>
      <c r="M355" s="45">
        <f t="shared" si="119"/>
        <v>0</v>
      </c>
      <c r="N355" s="45">
        <f t="shared" si="120"/>
        <v>0.2</v>
      </c>
      <c r="O355" s="45">
        <f t="shared" si="121"/>
        <v>0.2</v>
      </c>
      <c r="P355" s="45">
        <f t="shared" si="122"/>
        <v>0</v>
      </c>
      <c r="Q355" s="45">
        <f t="shared" si="123"/>
        <v>0</v>
      </c>
      <c r="R355" s="45">
        <f t="shared" si="124"/>
        <v>0</v>
      </c>
      <c r="S355" s="45">
        <f t="shared" si="125"/>
        <v>0.2</v>
      </c>
      <c r="T355" s="45">
        <f t="shared" si="126"/>
        <v>0.2</v>
      </c>
    </row>
    <row r="356" spans="1:20" x14ac:dyDescent="0.3">
      <c r="A356">
        <f t="shared" si="107"/>
        <v>0</v>
      </c>
      <c r="B356">
        <f t="shared" si="108"/>
        <v>1</v>
      </c>
      <c r="C356">
        <f t="shared" si="109"/>
        <v>0</v>
      </c>
      <c r="D356">
        <f t="shared" si="110"/>
        <v>1</v>
      </c>
      <c r="E356">
        <f t="shared" si="111"/>
        <v>1</v>
      </c>
      <c r="F356">
        <f t="shared" si="112"/>
        <v>0</v>
      </c>
      <c r="G356">
        <f t="shared" si="113"/>
        <v>0</v>
      </c>
      <c r="H356">
        <f t="shared" si="114"/>
        <v>1</v>
      </c>
      <c r="I356">
        <f t="shared" si="115"/>
        <v>0</v>
      </c>
      <c r="J356">
        <f t="shared" si="116"/>
        <v>0</v>
      </c>
      <c r="K356" s="45">
        <f t="shared" si="117"/>
        <v>0</v>
      </c>
      <c r="L356" s="45">
        <f t="shared" si="118"/>
        <v>0.25</v>
      </c>
      <c r="M356" s="45">
        <f t="shared" si="119"/>
        <v>0</v>
      </c>
      <c r="N356" s="45">
        <f t="shared" si="120"/>
        <v>0.25</v>
      </c>
      <c r="O356" s="45">
        <f t="shared" si="121"/>
        <v>0.25</v>
      </c>
      <c r="P356" s="45">
        <f t="shared" si="122"/>
        <v>0</v>
      </c>
      <c r="Q356" s="45">
        <f t="shared" si="123"/>
        <v>0</v>
      </c>
      <c r="R356" s="45">
        <f t="shared" si="124"/>
        <v>0.25</v>
      </c>
      <c r="S356" s="45">
        <f t="shared" si="125"/>
        <v>0</v>
      </c>
      <c r="T356" s="45">
        <f t="shared" si="126"/>
        <v>0</v>
      </c>
    </row>
    <row r="357" spans="1:20" x14ac:dyDescent="0.3">
      <c r="A357">
        <f t="shared" si="107"/>
        <v>0</v>
      </c>
      <c r="B357">
        <f t="shared" si="108"/>
        <v>1</v>
      </c>
      <c r="C357">
        <f t="shared" si="109"/>
        <v>0</v>
      </c>
      <c r="D357">
        <f t="shared" si="110"/>
        <v>1</v>
      </c>
      <c r="E357">
        <f t="shared" si="111"/>
        <v>1</v>
      </c>
      <c r="F357">
        <f t="shared" si="112"/>
        <v>0</v>
      </c>
      <c r="G357">
        <f t="shared" si="113"/>
        <v>0</v>
      </c>
      <c r="H357">
        <f t="shared" si="114"/>
        <v>1</v>
      </c>
      <c r="I357">
        <f t="shared" si="115"/>
        <v>0</v>
      </c>
      <c r="J357">
        <f t="shared" si="116"/>
        <v>1</v>
      </c>
      <c r="K357" s="45">
        <f t="shared" si="117"/>
        <v>0</v>
      </c>
      <c r="L357" s="45">
        <f t="shared" si="118"/>
        <v>0.2</v>
      </c>
      <c r="M357" s="45">
        <f t="shared" si="119"/>
        <v>0</v>
      </c>
      <c r="N357" s="45">
        <f t="shared" si="120"/>
        <v>0.2</v>
      </c>
      <c r="O357" s="45">
        <f t="shared" si="121"/>
        <v>0.2</v>
      </c>
      <c r="P357" s="45">
        <f t="shared" si="122"/>
        <v>0</v>
      </c>
      <c r="Q357" s="45">
        <f t="shared" si="123"/>
        <v>0</v>
      </c>
      <c r="R357" s="45">
        <f t="shared" si="124"/>
        <v>0.2</v>
      </c>
      <c r="S357" s="45">
        <f t="shared" si="125"/>
        <v>0</v>
      </c>
      <c r="T357" s="45">
        <f t="shared" si="126"/>
        <v>0.2</v>
      </c>
    </row>
    <row r="358" spans="1:20" x14ac:dyDescent="0.3">
      <c r="A358">
        <f t="shared" si="107"/>
        <v>0</v>
      </c>
      <c r="B358">
        <f t="shared" si="108"/>
        <v>1</v>
      </c>
      <c r="C358">
        <f t="shared" si="109"/>
        <v>0</v>
      </c>
      <c r="D358">
        <f t="shared" si="110"/>
        <v>1</v>
      </c>
      <c r="E358">
        <f t="shared" si="111"/>
        <v>1</v>
      </c>
      <c r="F358">
        <f t="shared" si="112"/>
        <v>0</v>
      </c>
      <c r="G358">
        <f t="shared" si="113"/>
        <v>0</v>
      </c>
      <c r="H358">
        <f t="shared" si="114"/>
        <v>1</v>
      </c>
      <c r="I358">
        <f t="shared" si="115"/>
        <v>1</v>
      </c>
      <c r="J358">
        <f t="shared" si="116"/>
        <v>0</v>
      </c>
      <c r="K358" s="45">
        <f t="shared" si="117"/>
        <v>0</v>
      </c>
      <c r="L358" s="45">
        <f t="shared" si="118"/>
        <v>0.2</v>
      </c>
      <c r="M358" s="45">
        <f t="shared" si="119"/>
        <v>0</v>
      </c>
      <c r="N358" s="45">
        <f t="shared" si="120"/>
        <v>0.2</v>
      </c>
      <c r="O358" s="45">
        <f t="shared" si="121"/>
        <v>0.2</v>
      </c>
      <c r="P358" s="45">
        <f t="shared" si="122"/>
        <v>0</v>
      </c>
      <c r="Q358" s="45">
        <f t="shared" si="123"/>
        <v>0</v>
      </c>
      <c r="R358" s="45">
        <f t="shared" si="124"/>
        <v>0.2</v>
      </c>
      <c r="S358" s="45">
        <f t="shared" si="125"/>
        <v>0.2</v>
      </c>
      <c r="T358" s="45">
        <f t="shared" si="126"/>
        <v>0</v>
      </c>
    </row>
    <row r="359" spans="1:20" x14ac:dyDescent="0.3">
      <c r="A359">
        <f t="shared" si="107"/>
        <v>0</v>
      </c>
      <c r="B359">
        <f t="shared" si="108"/>
        <v>1</v>
      </c>
      <c r="C359">
        <f t="shared" si="109"/>
        <v>0</v>
      </c>
      <c r="D359">
        <f t="shared" si="110"/>
        <v>1</v>
      </c>
      <c r="E359">
        <f t="shared" si="111"/>
        <v>1</v>
      </c>
      <c r="F359">
        <f t="shared" si="112"/>
        <v>0</v>
      </c>
      <c r="G359">
        <f t="shared" si="113"/>
        <v>0</v>
      </c>
      <c r="H359">
        <f t="shared" si="114"/>
        <v>1</v>
      </c>
      <c r="I359">
        <f t="shared" si="115"/>
        <v>1</v>
      </c>
      <c r="J359">
        <f t="shared" si="116"/>
        <v>1</v>
      </c>
      <c r="K359" s="45">
        <f t="shared" si="117"/>
        <v>0</v>
      </c>
      <c r="L359" s="45">
        <f t="shared" si="118"/>
        <v>0.16666666666666666</v>
      </c>
      <c r="M359" s="45">
        <f t="shared" si="119"/>
        <v>0</v>
      </c>
      <c r="N359" s="45">
        <f t="shared" si="120"/>
        <v>0.16666666666666666</v>
      </c>
      <c r="O359" s="45">
        <f t="shared" si="121"/>
        <v>0.16666666666666666</v>
      </c>
      <c r="P359" s="45">
        <f t="shared" si="122"/>
        <v>0</v>
      </c>
      <c r="Q359" s="45">
        <f t="shared" si="123"/>
        <v>0</v>
      </c>
      <c r="R359" s="45">
        <f t="shared" si="124"/>
        <v>0.16666666666666666</v>
      </c>
      <c r="S359" s="45">
        <f t="shared" si="125"/>
        <v>0.16666666666666666</v>
      </c>
      <c r="T359" s="45">
        <f t="shared" si="126"/>
        <v>0.16666666666666666</v>
      </c>
    </row>
    <row r="360" spans="1:20" x14ac:dyDescent="0.3">
      <c r="A360">
        <f t="shared" si="107"/>
        <v>0</v>
      </c>
      <c r="B360">
        <f t="shared" si="108"/>
        <v>1</v>
      </c>
      <c r="C360">
        <f t="shared" si="109"/>
        <v>0</v>
      </c>
      <c r="D360">
        <f t="shared" si="110"/>
        <v>1</v>
      </c>
      <c r="E360">
        <f t="shared" si="111"/>
        <v>1</v>
      </c>
      <c r="F360">
        <f t="shared" si="112"/>
        <v>0</v>
      </c>
      <c r="G360">
        <f t="shared" si="113"/>
        <v>1</v>
      </c>
      <c r="H360">
        <f t="shared" si="114"/>
        <v>0</v>
      </c>
      <c r="I360">
        <f t="shared" si="115"/>
        <v>0</v>
      </c>
      <c r="J360">
        <f t="shared" si="116"/>
        <v>0</v>
      </c>
      <c r="K360" s="45">
        <f t="shared" si="117"/>
        <v>0</v>
      </c>
      <c r="L360" s="45">
        <f t="shared" si="118"/>
        <v>0.25</v>
      </c>
      <c r="M360" s="45">
        <f t="shared" si="119"/>
        <v>0</v>
      </c>
      <c r="N360" s="45">
        <f t="shared" si="120"/>
        <v>0.25</v>
      </c>
      <c r="O360" s="45">
        <f t="shared" si="121"/>
        <v>0.25</v>
      </c>
      <c r="P360" s="45">
        <f t="shared" si="122"/>
        <v>0</v>
      </c>
      <c r="Q360" s="45">
        <f t="shared" si="123"/>
        <v>0.25</v>
      </c>
      <c r="R360" s="45">
        <f t="shared" si="124"/>
        <v>0</v>
      </c>
      <c r="S360" s="45">
        <f t="shared" si="125"/>
        <v>0</v>
      </c>
      <c r="T360" s="45">
        <f t="shared" si="126"/>
        <v>0</v>
      </c>
    </row>
    <row r="361" spans="1:20" x14ac:dyDescent="0.3">
      <c r="A361">
        <f t="shared" si="107"/>
        <v>0</v>
      </c>
      <c r="B361">
        <f t="shared" si="108"/>
        <v>1</v>
      </c>
      <c r="C361">
        <f t="shared" si="109"/>
        <v>0</v>
      </c>
      <c r="D361">
        <f t="shared" si="110"/>
        <v>1</v>
      </c>
      <c r="E361">
        <f t="shared" si="111"/>
        <v>1</v>
      </c>
      <c r="F361">
        <f t="shared" si="112"/>
        <v>0</v>
      </c>
      <c r="G361">
        <f t="shared" si="113"/>
        <v>1</v>
      </c>
      <c r="H361">
        <f t="shared" si="114"/>
        <v>0</v>
      </c>
      <c r="I361">
        <f t="shared" si="115"/>
        <v>0</v>
      </c>
      <c r="J361">
        <f t="shared" si="116"/>
        <v>1</v>
      </c>
      <c r="K361" s="45">
        <f t="shared" si="117"/>
        <v>0</v>
      </c>
      <c r="L361" s="45">
        <f t="shared" si="118"/>
        <v>0.2</v>
      </c>
      <c r="M361" s="45">
        <f t="shared" si="119"/>
        <v>0</v>
      </c>
      <c r="N361" s="45">
        <f t="shared" si="120"/>
        <v>0.2</v>
      </c>
      <c r="O361" s="45">
        <f t="shared" si="121"/>
        <v>0.2</v>
      </c>
      <c r="P361" s="45">
        <f t="shared" si="122"/>
        <v>0</v>
      </c>
      <c r="Q361" s="45">
        <f t="shared" si="123"/>
        <v>0.2</v>
      </c>
      <c r="R361" s="45">
        <f t="shared" si="124"/>
        <v>0</v>
      </c>
      <c r="S361" s="45">
        <f t="shared" si="125"/>
        <v>0</v>
      </c>
      <c r="T361" s="45">
        <f t="shared" si="126"/>
        <v>0.2</v>
      </c>
    </row>
    <row r="362" spans="1:20" x14ac:dyDescent="0.3">
      <c r="A362">
        <f t="shared" si="107"/>
        <v>0</v>
      </c>
      <c r="B362">
        <f t="shared" si="108"/>
        <v>1</v>
      </c>
      <c r="C362">
        <f t="shared" si="109"/>
        <v>0</v>
      </c>
      <c r="D362">
        <f t="shared" si="110"/>
        <v>1</v>
      </c>
      <c r="E362">
        <f t="shared" si="111"/>
        <v>1</v>
      </c>
      <c r="F362">
        <f t="shared" si="112"/>
        <v>0</v>
      </c>
      <c r="G362">
        <f t="shared" si="113"/>
        <v>1</v>
      </c>
      <c r="H362">
        <f t="shared" si="114"/>
        <v>0</v>
      </c>
      <c r="I362">
        <f t="shared" si="115"/>
        <v>1</v>
      </c>
      <c r="J362">
        <f t="shared" si="116"/>
        <v>0</v>
      </c>
      <c r="K362" s="45">
        <f t="shared" si="117"/>
        <v>0</v>
      </c>
      <c r="L362" s="45">
        <f t="shared" si="118"/>
        <v>0.2</v>
      </c>
      <c r="M362" s="45">
        <f t="shared" si="119"/>
        <v>0</v>
      </c>
      <c r="N362" s="45">
        <f t="shared" si="120"/>
        <v>0.2</v>
      </c>
      <c r="O362" s="45">
        <f t="shared" si="121"/>
        <v>0.2</v>
      </c>
      <c r="P362" s="45">
        <f t="shared" si="122"/>
        <v>0</v>
      </c>
      <c r="Q362" s="45">
        <f t="shared" si="123"/>
        <v>0.2</v>
      </c>
      <c r="R362" s="45">
        <f t="shared" si="124"/>
        <v>0</v>
      </c>
      <c r="S362" s="45">
        <f t="shared" si="125"/>
        <v>0.2</v>
      </c>
      <c r="T362" s="45">
        <f t="shared" si="126"/>
        <v>0</v>
      </c>
    </row>
    <row r="363" spans="1:20" x14ac:dyDescent="0.3">
      <c r="A363">
        <f t="shared" si="107"/>
        <v>0</v>
      </c>
      <c r="B363">
        <f t="shared" si="108"/>
        <v>1</v>
      </c>
      <c r="C363">
        <f t="shared" si="109"/>
        <v>0</v>
      </c>
      <c r="D363">
        <f t="shared" si="110"/>
        <v>1</v>
      </c>
      <c r="E363">
        <f t="shared" si="111"/>
        <v>1</v>
      </c>
      <c r="F363">
        <f t="shared" si="112"/>
        <v>0</v>
      </c>
      <c r="G363">
        <f t="shared" si="113"/>
        <v>1</v>
      </c>
      <c r="H363">
        <f t="shared" si="114"/>
        <v>0</v>
      </c>
      <c r="I363">
        <f t="shared" si="115"/>
        <v>1</v>
      </c>
      <c r="J363">
        <f t="shared" si="116"/>
        <v>1</v>
      </c>
      <c r="K363" s="45">
        <f t="shared" si="117"/>
        <v>0</v>
      </c>
      <c r="L363" s="45">
        <f t="shared" si="118"/>
        <v>0.16666666666666666</v>
      </c>
      <c r="M363" s="45">
        <f t="shared" si="119"/>
        <v>0</v>
      </c>
      <c r="N363" s="45">
        <f t="shared" si="120"/>
        <v>0.16666666666666666</v>
      </c>
      <c r="O363" s="45">
        <f t="shared" si="121"/>
        <v>0.16666666666666666</v>
      </c>
      <c r="P363" s="45">
        <f t="shared" si="122"/>
        <v>0</v>
      </c>
      <c r="Q363" s="45">
        <f t="shared" si="123"/>
        <v>0.16666666666666666</v>
      </c>
      <c r="R363" s="45">
        <f t="shared" si="124"/>
        <v>0</v>
      </c>
      <c r="S363" s="45">
        <f t="shared" si="125"/>
        <v>0.16666666666666666</v>
      </c>
      <c r="T363" s="45">
        <f t="shared" si="126"/>
        <v>0.16666666666666666</v>
      </c>
    </row>
    <row r="364" spans="1:20" x14ac:dyDescent="0.3">
      <c r="A364">
        <f t="shared" si="107"/>
        <v>0</v>
      </c>
      <c r="B364">
        <f t="shared" si="108"/>
        <v>1</v>
      </c>
      <c r="C364">
        <f t="shared" si="109"/>
        <v>0</v>
      </c>
      <c r="D364">
        <f t="shared" si="110"/>
        <v>1</v>
      </c>
      <c r="E364">
        <f t="shared" si="111"/>
        <v>1</v>
      </c>
      <c r="F364">
        <f t="shared" si="112"/>
        <v>0</v>
      </c>
      <c r="G364">
        <f t="shared" si="113"/>
        <v>1</v>
      </c>
      <c r="H364">
        <f t="shared" si="114"/>
        <v>1</v>
      </c>
      <c r="I364">
        <f t="shared" si="115"/>
        <v>0</v>
      </c>
      <c r="J364">
        <f t="shared" si="116"/>
        <v>0</v>
      </c>
      <c r="K364" s="45">
        <f t="shared" si="117"/>
        <v>0</v>
      </c>
      <c r="L364" s="45">
        <f t="shared" si="118"/>
        <v>0.2</v>
      </c>
      <c r="M364" s="45">
        <f t="shared" si="119"/>
        <v>0</v>
      </c>
      <c r="N364" s="45">
        <f t="shared" si="120"/>
        <v>0.2</v>
      </c>
      <c r="O364" s="45">
        <f t="shared" si="121"/>
        <v>0.2</v>
      </c>
      <c r="P364" s="45">
        <f t="shared" si="122"/>
        <v>0</v>
      </c>
      <c r="Q364" s="45">
        <f t="shared" si="123"/>
        <v>0.2</v>
      </c>
      <c r="R364" s="45">
        <f t="shared" si="124"/>
        <v>0.2</v>
      </c>
      <c r="S364" s="45">
        <f t="shared" si="125"/>
        <v>0</v>
      </c>
      <c r="T364" s="45">
        <f t="shared" si="126"/>
        <v>0</v>
      </c>
    </row>
    <row r="365" spans="1:20" x14ac:dyDescent="0.3">
      <c r="A365">
        <f t="shared" si="107"/>
        <v>0</v>
      </c>
      <c r="B365">
        <f t="shared" si="108"/>
        <v>1</v>
      </c>
      <c r="C365">
        <f t="shared" si="109"/>
        <v>0</v>
      </c>
      <c r="D365">
        <f t="shared" si="110"/>
        <v>1</v>
      </c>
      <c r="E365">
        <f t="shared" si="111"/>
        <v>1</v>
      </c>
      <c r="F365">
        <f t="shared" si="112"/>
        <v>0</v>
      </c>
      <c r="G365">
        <f t="shared" si="113"/>
        <v>1</v>
      </c>
      <c r="H365">
        <f t="shared" si="114"/>
        <v>1</v>
      </c>
      <c r="I365">
        <f t="shared" si="115"/>
        <v>0</v>
      </c>
      <c r="J365">
        <f t="shared" si="116"/>
        <v>1</v>
      </c>
      <c r="K365" s="45">
        <f t="shared" si="117"/>
        <v>0</v>
      </c>
      <c r="L365" s="45">
        <f t="shared" si="118"/>
        <v>0.16666666666666666</v>
      </c>
      <c r="M365" s="45">
        <f t="shared" si="119"/>
        <v>0</v>
      </c>
      <c r="N365" s="45">
        <f t="shared" si="120"/>
        <v>0.16666666666666666</v>
      </c>
      <c r="O365" s="45">
        <f t="shared" si="121"/>
        <v>0.16666666666666666</v>
      </c>
      <c r="P365" s="45">
        <f t="shared" si="122"/>
        <v>0</v>
      </c>
      <c r="Q365" s="45">
        <f t="shared" si="123"/>
        <v>0.16666666666666666</v>
      </c>
      <c r="R365" s="45">
        <f t="shared" si="124"/>
        <v>0.16666666666666666</v>
      </c>
      <c r="S365" s="45">
        <f t="shared" si="125"/>
        <v>0</v>
      </c>
      <c r="T365" s="45">
        <f t="shared" si="126"/>
        <v>0.16666666666666666</v>
      </c>
    </row>
    <row r="366" spans="1:20" x14ac:dyDescent="0.3">
      <c r="A366">
        <f t="shared" si="107"/>
        <v>0</v>
      </c>
      <c r="B366">
        <f t="shared" si="108"/>
        <v>1</v>
      </c>
      <c r="C366">
        <f t="shared" si="109"/>
        <v>0</v>
      </c>
      <c r="D366">
        <f t="shared" si="110"/>
        <v>1</v>
      </c>
      <c r="E366">
        <f t="shared" si="111"/>
        <v>1</v>
      </c>
      <c r="F366">
        <f t="shared" si="112"/>
        <v>0</v>
      </c>
      <c r="G366">
        <f t="shared" si="113"/>
        <v>1</v>
      </c>
      <c r="H366">
        <f t="shared" si="114"/>
        <v>1</v>
      </c>
      <c r="I366">
        <f t="shared" si="115"/>
        <v>1</v>
      </c>
      <c r="J366">
        <f t="shared" si="116"/>
        <v>0</v>
      </c>
      <c r="K366" s="45">
        <f t="shared" si="117"/>
        <v>0</v>
      </c>
      <c r="L366" s="45">
        <f t="shared" si="118"/>
        <v>0.16666666666666666</v>
      </c>
      <c r="M366" s="45">
        <f t="shared" si="119"/>
        <v>0</v>
      </c>
      <c r="N366" s="45">
        <f t="shared" si="120"/>
        <v>0.16666666666666666</v>
      </c>
      <c r="O366" s="45">
        <f t="shared" si="121"/>
        <v>0.16666666666666666</v>
      </c>
      <c r="P366" s="45">
        <f t="shared" si="122"/>
        <v>0</v>
      </c>
      <c r="Q366" s="45">
        <f t="shared" si="123"/>
        <v>0.16666666666666666</v>
      </c>
      <c r="R366" s="45">
        <f t="shared" si="124"/>
        <v>0.16666666666666666</v>
      </c>
      <c r="S366" s="45">
        <f t="shared" si="125"/>
        <v>0.16666666666666666</v>
      </c>
      <c r="T366" s="45">
        <f t="shared" si="126"/>
        <v>0</v>
      </c>
    </row>
    <row r="367" spans="1:20" x14ac:dyDescent="0.3">
      <c r="A367">
        <f t="shared" si="107"/>
        <v>0</v>
      </c>
      <c r="B367">
        <f t="shared" si="108"/>
        <v>1</v>
      </c>
      <c r="C367">
        <f t="shared" si="109"/>
        <v>0</v>
      </c>
      <c r="D367">
        <f t="shared" si="110"/>
        <v>1</v>
      </c>
      <c r="E367">
        <f t="shared" si="111"/>
        <v>1</v>
      </c>
      <c r="F367">
        <f t="shared" si="112"/>
        <v>0</v>
      </c>
      <c r="G367">
        <f t="shared" si="113"/>
        <v>1</v>
      </c>
      <c r="H367">
        <f t="shared" si="114"/>
        <v>1</v>
      </c>
      <c r="I367">
        <f t="shared" si="115"/>
        <v>1</v>
      </c>
      <c r="J367">
        <f t="shared" si="116"/>
        <v>1</v>
      </c>
      <c r="K367" s="45">
        <f t="shared" si="117"/>
        <v>0</v>
      </c>
      <c r="L367" s="45">
        <f t="shared" si="118"/>
        <v>0.14285714285714285</v>
      </c>
      <c r="M367" s="45">
        <f t="shared" si="119"/>
        <v>0</v>
      </c>
      <c r="N367" s="45">
        <f t="shared" si="120"/>
        <v>0.14285714285714285</v>
      </c>
      <c r="O367" s="45">
        <f t="shared" si="121"/>
        <v>0.14285714285714285</v>
      </c>
      <c r="P367" s="45">
        <f t="shared" si="122"/>
        <v>0</v>
      </c>
      <c r="Q367" s="45">
        <f t="shared" si="123"/>
        <v>0.14285714285714285</v>
      </c>
      <c r="R367" s="45">
        <f t="shared" si="124"/>
        <v>0.14285714285714285</v>
      </c>
      <c r="S367" s="45">
        <f t="shared" si="125"/>
        <v>0.14285714285714285</v>
      </c>
      <c r="T367" s="45">
        <f t="shared" si="126"/>
        <v>0.14285714285714285</v>
      </c>
    </row>
    <row r="368" spans="1:20" x14ac:dyDescent="0.3">
      <c r="A368">
        <f t="shared" si="107"/>
        <v>0</v>
      </c>
      <c r="B368">
        <f t="shared" si="108"/>
        <v>1</v>
      </c>
      <c r="C368">
        <f t="shared" si="109"/>
        <v>0</v>
      </c>
      <c r="D368">
        <f t="shared" si="110"/>
        <v>1</v>
      </c>
      <c r="E368">
        <f t="shared" si="111"/>
        <v>1</v>
      </c>
      <c r="F368">
        <f t="shared" si="112"/>
        <v>1</v>
      </c>
      <c r="G368">
        <f t="shared" si="113"/>
        <v>0</v>
      </c>
      <c r="H368">
        <f t="shared" si="114"/>
        <v>0</v>
      </c>
      <c r="I368">
        <f t="shared" si="115"/>
        <v>0</v>
      </c>
      <c r="J368">
        <f t="shared" si="116"/>
        <v>0</v>
      </c>
      <c r="K368" s="45">
        <f t="shared" si="117"/>
        <v>0</v>
      </c>
      <c r="L368" s="45">
        <f t="shared" si="118"/>
        <v>0.25</v>
      </c>
      <c r="M368" s="45">
        <f t="shared" si="119"/>
        <v>0</v>
      </c>
      <c r="N368" s="45">
        <f t="shared" si="120"/>
        <v>0.25</v>
      </c>
      <c r="O368" s="45">
        <f t="shared" si="121"/>
        <v>0.25</v>
      </c>
      <c r="P368" s="45">
        <f t="shared" si="122"/>
        <v>0.25</v>
      </c>
      <c r="Q368" s="45">
        <f t="shared" si="123"/>
        <v>0</v>
      </c>
      <c r="R368" s="45">
        <f t="shared" si="124"/>
        <v>0</v>
      </c>
      <c r="S368" s="45">
        <f t="shared" si="125"/>
        <v>0</v>
      </c>
      <c r="T368" s="45">
        <f t="shared" si="126"/>
        <v>0</v>
      </c>
    </row>
    <row r="369" spans="1:20" x14ac:dyDescent="0.3">
      <c r="A369">
        <f t="shared" si="107"/>
        <v>0</v>
      </c>
      <c r="B369">
        <f t="shared" si="108"/>
        <v>1</v>
      </c>
      <c r="C369">
        <f t="shared" si="109"/>
        <v>0</v>
      </c>
      <c r="D369">
        <f t="shared" si="110"/>
        <v>1</v>
      </c>
      <c r="E369">
        <f t="shared" si="111"/>
        <v>1</v>
      </c>
      <c r="F369">
        <f t="shared" si="112"/>
        <v>1</v>
      </c>
      <c r="G369">
        <f t="shared" si="113"/>
        <v>0</v>
      </c>
      <c r="H369">
        <f t="shared" si="114"/>
        <v>0</v>
      </c>
      <c r="I369">
        <f t="shared" si="115"/>
        <v>0</v>
      </c>
      <c r="J369">
        <f t="shared" si="116"/>
        <v>1</v>
      </c>
      <c r="K369" s="45">
        <f t="shared" si="117"/>
        <v>0</v>
      </c>
      <c r="L369" s="45">
        <f t="shared" si="118"/>
        <v>0.2</v>
      </c>
      <c r="M369" s="45">
        <f t="shared" si="119"/>
        <v>0</v>
      </c>
      <c r="N369" s="45">
        <f t="shared" si="120"/>
        <v>0.2</v>
      </c>
      <c r="O369" s="45">
        <f t="shared" si="121"/>
        <v>0.2</v>
      </c>
      <c r="P369" s="45">
        <f t="shared" si="122"/>
        <v>0.2</v>
      </c>
      <c r="Q369" s="45">
        <f t="shared" si="123"/>
        <v>0</v>
      </c>
      <c r="R369" s="45">
        <f t="shared" si="124"/>
        <v>0</v>
      </c>
      <c r="S369" s="45">
        <f t="shared" si="125"/>
        <v>0</v>
      </c>
      <c r="T369" s="45">
        <f t="shared" si="126"/>
        <v>0.2</v>
      </c>
    </row>
    <row r="370" spans="1:20" x14ac:dyDescent="0.3">
      <c r="A370">
        <f t="shared" si="107"/>
        <v>0</v>
      </c>
      <c r="B370">
        <f t="shared" si="108"/>
        <v>1</v>
      </c>
      <c r="C370">
        <f t="shared" si="109"/>
        <v>0</v>
      </c>
      <c r="D370">
        <f t="shared" si="110"/>
        <v>1</v>
      </c>
      <c r="E370">
        <f t="shared" si="111"/>
        <v>1</v>
      </c>
      <c r="F370">
        <f t="shared" si="112"/>
        <v>1</v>
      </c>
      <c r="G370">
        <f t="shared" si="113"/>
        <v>0</v>
      </c>
      <c r="H370">
        <f t="shared" si="114"/>
        <v>0</v>
      </c>
      <c r="I370">
        <f t="shared" si="115"/>
        <v>1</v>
      </c>
      <c r="J370">
        <f t="shared" si="116"/>
        <v>0</v>
      </c>
      <c r="K370" s="45">
        <f t="shared" si="117"/>
        <v>0</v>
      </c>
      <c r="L370" s="45">
        <f t="shared" si="118"/>
        <v>0.2</v>
      </c>
      <c r="M370" s="45">
        <f t="shared" si="119"/>
        <v>0</v>
      </c>
      <c r="N370" s="45">
        <f t="shared" si="120"/>
        <v>0.2</v>
      </c>
      <c r="O370" s="45">
        <f t="shared" si="121"/>
        <v>0.2</v>
      </c>
      <c r="P370" s="45">
        <f t="shared" si="122"/>
        <v>0.2</v>
      </c>
      <c r="Q370" s="45">
        <f t="shared" si="123"/>
        <v>0</v>
      </c>
      <c r="R370" s="45">
        <f t="shared" si="124"/>
        <v>0</v>
      </c>
      <c r="S370" s="45">
        <f t="shared" si="125"/>
        <v>0.2</v>
      </c>
      <c r="T370" s="45">
        <f t="shared" si="126"/>
        <v>0</v>
      </c>
    </row>
    <row r="371" spans="1:20" x14ac:dyDescent="0.3">
      <c r="A371">
        <f t="shared" si="107"/>
        <v>0</v>
      </c>
      <c r="B371">
        <f t="shared" si="108"/>
        <v>1</v>
      </c>
      <c r="C371">
        <f t="shared" si="109"/>
        <v>0</v>
      </c>
      <c r="D371">
        <f t="shared" si="110"/>
        <v>1</v>
      </c>
      <c r="E371">
        <f t="shared" si="111"/>
        <v>1</v>
      </c>
      <c r="F371">
        <f t="shared" si="112"/>
        <v>1</v>
      </c>
      <c r="G371">
        <f t="shared" si="113"/>
        <v>0</v>
      </c>
      <c r="H371">
        <f t="shared" si="114"/>
        <v>0</v>
      </c>
      <c r="I371">
        <f t="shared" si="115"/>
        <v>1</v>
      </c>
      <c r="J371">
        <f t="shared" si="116"/>
        <v>1</v>
      </c>
      <c r="K371" s="45">
        <f t="shared" si="117"/>
        <v>0</v>
      </c>
      <c r="L371" s="45">
        <f t="shared" si="118"/>
        <v>0.16666666666666666</v>
      </c>
      <c r="M371" s="45">
        <f t="shared" si="119"/>
        <v>0</v>
      </c>
      <c r="N371" s="45">
        <f t="shared" si="120"/>
        <v>0.16666666666666666</v>
      </c>
      <c r="O371" s="45">
        <f t="shared" si="121"/>
        <v>0.16666666666666666</v>
      </c>
      <c r="P371" s="45">
        <f t="shared" si="122"/>
        <v>0.16666666666666666</v>
      </c>
      <c r="Q371" s="45">
        <f t="shared" si="123"/>
        <v>0</v>
      </c>
      <c r="R371" s="45">
        <f t="shared" si="124"/>
        <v>0</v>
      </c>
      <c r="S371" s="45">
        <f t="shared" si="125"/>
        <v>0.16666666666666666</v>
      </c>
      <c r="T371" s="45">
        <f t="shared" si="126"/>
        <v>0.16666666666666666</v>
      </c>
    </row>
    <row r="372" spans="1:20" x14ac:dyDescent="0.3">
      <c r="A372">
        <f t="shared" si="107"/>
        <v>0</v>
      </c>
      <c r="B372">
        <f t="shared" si="108"/>
        <v>1</v>
      </c>
      <c r="C372">
        <f t="shared" si="109"/>
        <v>0</v>
      </c>
      <c r="D372">
        <f t="shared" si="110"/>
        <v>1</v>
      </c>
      <c r="E372">
        <f t="shared" si="111"/>
        <v>1</v>
      </c>
      <c r="F372">
        <f t="shared" si="112"/>
        <v>1</v>
      </c>
      <c r="G372">
        <f t="shared" si="113"/>
        <v>0</v>
      </c>
      <c r="H372">
        <f t="shared" si="114"/>
        <v>1</v>
      </c>
      <c r="I372">
        <f t="shared" si="115"/>
        <v>0</v>
      </c>
      <c r="J372">
        <f t="shared" si="116"/>
        <v>0</v>
      </c>
      <c r="K372" s="45">
        <f t="shared" si="117"/>
        <v>0</v>
      </c>
      <c r="L372" s="45">
        <f t="shared" si="118"/>
        <v>0.2</v>
      </c>
      <c r="M372" s="45">
        <f t="shared" si="119"/>
        <v>0</v>
      </c>
      <c r="N372" s="45">
        <f t="shared" si="120"/>
        <v>0.2</v>
      </c>
      <c r="O372" s="45">
        <f t="shared" si="121"/>
        <v>0.2</v>
      </c>
      <c r="P372" s="45">
        <f t="shared" si="122"/>
        <v>0.2</v>
      </c>
      <c r="Q372" s="45">
        <f t="shared" si="123"/>
        <v>0</v>
      </c>
      <c r="R372" s="45">
        <f t="shared" si="124"/>
        <v>0.2</v>
      </c>
      <c r="S372" s="45">
        <f t="shared" si="125"/>
        <v>0</v>
      </c>
      <c r="T372" s="45">
        <f t="shared" si="126"/>
        <v>0</v>
      </c>
    </row>
    <row r="373" spans="1:20" x14ac:dyDescent="0.3">
      <c r="A373">
        <f t="shared" si="107"/>
        <v>0</v>
      </c>
      <c r="B373">
        <f t="shared" si="108"/>
        <v>1</v>
      </c>
      <c r="C373">
        <f t="shared" si="109"/>
        <v>0</v>
      </c>
      <c r="D373">
        <f t="shared" si="110"/>
        <v>1</v>
      </c>
      <c r="E373">
        <f t="shared" si="111"/>
        <v>1</v>
      </c>
      <c r="F373">
        <f t="shared" si="112"/>
        <v>1</v>
      </c>
      <c r="G373">
        <f t="shared" si="113"/>
        <v>0</v>
      </c>
      <c r="H373">
        <f t="shared" si="114"/>
        <v>1</v>
      </c>
      <c r="I373">
        <f t="shared" si="115"/>
        <v>0</v>
      </c>
      <c r="J373">
        <f t="shared" si="116"/>
        <v>1</v>
      </c>
      <c r="K373" s="45">
        <f t="shared" si="117"/>
        <v>0</v>
      </c>
      <c r="L373" s="45">
        <f t="shared" si="118"/>
        <v>0.16666666666666666</v>
      </c>
      <c r="M373" s="45">
        <f t="shared" si="119"/>
        <v>0</v>
      </c>
      <c r="N373" s="45">
        <f t="shared" si="120"/>
        <v>0.16666666666666666</v>
      </c>
      <c r="O373" s="45">
        <f t="shared" si="121"/>
        <v>0.16666666666666666</v>
      </c>
      <c r="P373" s="45">
        <f t="shared" si="122"/>
        <v>0.16666666666666666</v>
      </c>
      <c r="Q373" s="45">
        <f t="shared" si="123"/>
        <v>0</v>
      </c>
      <c r="R373" s="45">
        <f t="shared" si="124"/>
        <v>0.16666666666666666</v>
      </c>
      <c r="S373" s="45">
        <f t="shared" si="125"/>
        <v>0</v>
      </c>
      <c r="T373" s="45">
        <f t="shared" si="126"/>
        <v>0.16666666666666666</v>
      </c>
    </row>
    <row r="374" spans="1:20" x14ac:dyDescent="0.3">
      <c r="A374">
        <f t="shared" si="107"/>
        <v>0</v>
      </c>
      <c r="B374">
        <f t="shared" si="108"/>
        <v>1</v>
      </c>
      <c r="C374">
        <f t="shared" si="109"/>
        <v>0</v>
      </c>
      <c r="D374">
        <f t="shared" si="110"/>
        <v>1</v>
      </c>
      <c r="E374">
        <f t="shared" si="111"/>
        <v>1</v>
      </c>
      <c r="F374">
        <f t="shared" si="112"/>
        <v>1</v>
      </c>
      <c r="G374">
        <f t="shared" si="113"/>
        <v>0</v>
      </c>
      <c r="H374">
        <f t="shared" si="114"/>
        <v>1</v>
      </c>
      <c r="I374">
        <f t="shared" si="115"/>
        <v>1</v>
      </c>
      <c r="J374">
        <f t="shared" si="116"/>
        <v>0</v>
      </c>
      <c r="K374" s="45">
        <f t="shared" si="117"/>
        <v>0</v>
      </c>
      <c r="L374" s="45">
        <f t="shared" si="118"/>
        <v>0.16666666666666666</v>
      </c>
      <c r="M374" s="45">
        <f t="shared" si="119"/>
        <v>0</v>
      </c>
      <c r="N374" s="45">
        <f t="shared" si="120"/>
        <v>0.16666666666666666</v>
      </c>
      <c r="O374" s="45">
        <f t="shared" si="121"/>
        <v>0.16666666666666666</v>
      </c>
      <c r="P374" s="45">
        <f t="shared" si="122"/>
        <v>0.16666666666666666</v>
      </c>
      <c r="Q374" s="45">
        <f t="shared" si="123"/>
        <v>0</v>
      </c>
      <c r="R374" s="45">
        <f t="shared" si="124"/>
        <v>0.16666666666666666</v>
      </c>
      <c r="S374" s="45">
        <f t="shared" si="125"/>
        <v>0.16666666666666666</v>
      </c>
      <c r="T374" s="45">
        <f t="shared" si="126"/>
        <v>0</v>
      </c>
    </row>
    <row r="375" spans="1:20" x14ac:dyDescent="0.3">
      <c r="A375">
        <f t="shared" si="107"/>
        <v>0</v>
      </c>
      <c r="B375">
        <f t="shared" si="108"/>
        <v>1</v>
      </c>
      <c r="C375">
        <f t="shared" si="109"/>
        <v>0</v>
      </c>
      <c r="D375">
        <f t="shared" si="110"/>
        <v>1</v>
      </c>
      <c r="E375">
        <f t="shared" si="111"/>
        <v>1</v>
      </c>
      <c r="F375">
        <f t="shared" si="112"/>
        <v>1</v>
      </c>
      <c r="G375">
        <f t="shared" si="113"/>
        <v>0</v>
      </c>
      <c r="H375">
        <f t="shared" si="114"/>
        <v>1</v>
      </c>
      <c r="I375">
        <f t="shared" si="115"/>
        <v>1</v>
      </c>
      <c r="J375">
        <f t="shared" si="116"/>
        <v>1</v>
      </c>
      <c r="K375" s="45">
        <f t="shared" si="117"/>
        <v>0</v>
      </c>
      <c r="L375" s="45">
        <f t="shared" si="118"/>
        <v>0.14285714285714285</v>
      </c>
      <c r="M375" s="45">
        <f t="shared" si="119"/>
        <v>0</v>
      </c>
      <c r="N375" s="45">
        <f t="shared" si="120"/>
        <v>0.14285714285714285</v>
      </c>
      <c r="O375" s="45">
        <f t="shared" si="121"/>
        <v>0.14285714285714285</v>
      </c>
      <c r="P375" s="45">
        <f t="shared" si="122"/>
        <v>0.14285714285714285</v>
      </c>
      <c r="Q375" s="45">
        <f t="shared" si="123"/>
        <v>0</v>
      </c>
      <c r="R375" s="45">
        <f t="shared" si="124"/>
        <v>0.14285714285714285</v>
      </c>
      <c r="S375" s="45">
        <f t="shared" si="125"/>
        <v>0.14285714285714285</v>
      </c>
      <c r="T375" s="45">
        <f t="shared" si="126"/>
        <v>0.14285714285714285</v>
      </c>
    </row>
    <row r="376" spans="1:20" x14ac:dyDescent="0.3">
      <c r="A376">
        <f t="shared" si="107"/>
        <v>0</v>
      </c>
      <c r="B376">
        <f t="shared" si="108"/>
        <v>1</v>
      </c>
      <c r="C376">
        <f t="shared" si="109"/>
        <v>0</v>
      </c>
      <c r="D376">
        <f t="shared" si="110"/>
        <v>1</v>
      </c>
      <c r="E376">
        <f t="shared" si="111"/>
        <v>1</v>
      </c>
      <c r="F376">
        <f t="shared" si="112"/>
        <v>1</v>
      </c>
      <c r="G376">
        <f t="shared" si="113"/>
        <v>1</v>
      </c>
      <c r="H376">
        <f t="shared" si="114"/>
        <v>0</v>
      </c>
      <c r="I376">
        <f t="shared" si="115"/>
        <v>0</v>
      </c>
      <c r="J376">
        <f t="shared" si="116"/>
        <v>0</v>
      </c>
      <c r="K376" s="45">
        <f t="shared" si="117"/>
        <v>0</v>
      </c>
      <c r="L376" s="45">
        <f t="shared" si="118"/>
        <v>0.2</v>
      </c>
      <c r="M376" s="45">
        <f t="shared" si="119"/>
        <v>0</v>
      </c>
      <c r="N376" s="45">
        <f t="shared" si="120"/>
        <v>0.2</v>
      </c>
      <c r="O376" s="45">
        <f t="shared" si="121"/>
        <v>0.2</v>
      </c>
      <c r="P376" s="45">
        <f t="shared" si="122"/>
        <v>0.2</v>
      </c>
      <c r="Q376" s="45">
        <f t="shared" si="123"/>
        <v>0.2</v>
      </c>
      <c r="R376" s="45">
        <f t="shared" si="124"/>
        <v>0</v>
      </c>
      <c r="S376" s="45">
        <f t="shared" si="125"/>
        <v>0</v>
      </c>
      <c r="T376" s="45">
        <f t="shared" si="126"/>
        <v>0</v>
      </c>
    </row>
    <row r="377" spans="1:20" x14ac:dyDescent="0.3">
      <c r="A377">
        <f t="shared" si="107"/>
        <v>0</v>
      </c>
      <c r="B377">
        <f t="shared" si="108"/>
        <v>1</v>
      </c>
      <c r="C377">
        <f t="shared" si="109"/>
        <v>0</v>
      </c>
      <c r="D377">
        <f t="shared" si="110"/>
        <v>1</v>
      </c>
      <c r="E377">
        <f t="shared" si="111"/>
        <v>1</v>
      </c>
      <c r="F377">
        <f t="shared" si="112"/>
        <v>1</v>
      </c>
      <c r="G377">
        <f t="shared" si="113"/>
        <v>1</v>
      </c>
      <c r="H377">
        <f t="shared" si="114"/>
        <v>0</v>
      </c>
      <c r="I377">
        <f t="shared" si="115"/>
        <v>0</v>
      </c>
      <c r="J377">
        <f t="shared" si="116"/>
        <v>1</v>
      </c>
      <c r="K377" s="45">
        <f t="shared" si="117"/>
        <v>0</v>
      </c>
      <c r="L377" s="45">
        <f t="shared" si="118"/>
        <v>0.16666666666666666</v>
      </c>
      <c r="M377" s="45">
        <f t="shared" si="119"/>
        <v>0</v>
      </c>
      <c r="N377" s="45">
        <f t="shared" si="120"/>
        <v>0.16666666666666666</v>
      </c>
      <c r="O377" s="45">
        <f t="shared" si="121"/>
        <v>0.16666666666666666</v>
      </c>
      <c r="P377" s="45">
        <f t="shared" si="122"/>
        <v>0.16666666666666666</v>
      </c>
      <c r="Q377" s="45">
        <f t="shared" si="123"/>
        <v>0.16666666666666666</v>
      </c>
      <c r="R377" s="45">
        <f t="shared" si="124"/>
        <v>0</v>
      </c>
      <c r="S377" s="45">
        <f t="shared" si="125"/>
        <v>0</v>
      </c>
      <c r="T377" s="45">
        <f t="shared" si="126"/>
        <v>0.16666666666666666</v>
      </c>
    </row>
    <row r="378" spans="1:20" x14ac:dyDescent="0.3">
      <c r="A378">
        <f t="shared" si="107"/>
        <v>0</v>
      </c>
      <c r="B378">
        <f t="shared" si="108"/>
        <v>1</v>
      </c>
      <c r="C378">
        <f t="shared" si="109"/>
        <v>0</v>
      </c>
      <c r="D378">
        <f t="shared" si="110"/>
        <v>1</v>
      </c>
      <c r="E378">
        <f t="shared" si="111"/>
        <v>1</v>
      </c>
      <c r="F378">
        <f t="shared" si="112"/>
        <v>1</v>
      </c>
      <c r="G378">
        <f t="shared" si="113"/>
        <v>1</v>
      </c>
      <c r="H378">
        <f t="shared" si="114"/>
        <v>0</v>
      </c>
      <c r="I378">
        <f t="shared" si="115"/>
        <v>1</v>
      </c>
      <c r="J378">
        <f t="shared" si="116"/>
        <v>0</v>
      </c>
      <c r="K378" s="45">
        <f t="shared" si="117"/>
        <v>0</v>
      </c>
      <c r="L378" s="45">
        <f t="shared" si="118"/>
        <v>0.16666666666666666</v>
      </c>
      <c r="M378" s="45">
        <f t="shared" si="119"/>
        <v>0</v>
      </c>
      <c r="N378" s="45">
        <f t="shared" si="120"/>
        <v>0.16666666666666666</v>
      </c>
      <c r="O378" s="45">
        <f t="shared" si="121"/>
        <v>0.16666666666666666</v>
      </c>
      <c r="P378" s="45">
        <f t="shared" si="122"/>
        <v>0.16666666666666666</v>
      </c>
      <c r="Q378" s="45">
        <f t="shared" si="123"/>
        <v>0.16666666666666666</v>
      </c>
      <c r="R378" s="45">
        <f t="shared" si="124"/>
        <v>0</v>
      </c>
      <c r="S378" s="45">
        <f t="shared" si="125"/>
        <v>0.16666666666666666</v>
      </c>
      <c r="T378" s="45">
        <f t="shared" si="126"/>
        <v>0</v>
      </c>
    </row>
    <row r="379" spans="1:20" x14ac:dyDescent="0.3">
      <c r="A379">
        <f t="shared" si="107"/>
        <v>0</v>
      </c>
      <c r="B379">
        <f t="shared" si="108"/>
        <v>1</v>
      </c>
      <c r="C379">
        <f t="shared" si="109"/>
        <v>0</v>
      </c>
      <c r="D379">
        <f t="shared" si="110"/>
        <v>1</v>
      </c>
      <c r="E379">
        <f t="shared" si="111"/>
        <v>1</v>
      </c>
      <c r="F379">
        <f t="shared" si="112"/>
        <v>1</v>
      </c>
      <c r="G379">
        <f t="shared" si="113"/>
        <v>1</v>
      </c>
      <c r="H379">
        <f t="shared" si="114"/>
        <v>0</v>
      </c>
      <c r="I379">
        <f t="shared" si="115"/>
        <v>1</v>
      </c>
      <c r="J379">
        <f t="shared" si="116"/>
        <v>1</v>
      </c>
      <c r="K379" s="45">
        <f t="shared" si="117"/>
        <v>0</v>
      </c>
      <c r="L379" s="45">
        <f t="shared" si="118"/>
        <v>0.14285714285714285</v>
      </c>
      <c r="M379" s="45">
        <f t="shared" si="119"/>
        <v>0</v>
      </c>
      <c r="N379" s="45">
        <f t="shared" si="120"/>
        <v>0.14285714285714285</v>
      </c>
      <c r="O379" s="45">
        <f t="shared" si="121"/>
        <v>0.14285714285714285</v>
      </c>
      <c r="P379" s="45">
        <f t="shared" si="122"/>
        <v>0.14285714285714285</v>
      </c>
      <c r="Q379" s="45">
        <f t="shared" si="123"/>
        <v>0.14285714285714285</v>
      </c>
      <c r="R379" s="45">
        <f t="shared" si="124"/>
        <v>0</v>
      </c>
      <c r="S379" s="45">
        <f t="shared" si="125"/>
        <v>0.14285714285714285</v>
      </c>
      <c r="T379" s="45">
        <f t="shared" si="126"/>
        <v>0.14285714285714285</v>
      </c>
    </row>
    <row r="380" spans="1:20" x14ac:dyDescent="0.3">
      <c r="A380">
        <f t="shared" si="107"/>
        <v>0</v>
      </c>
      <c r="B380">
        <f t="shared" si="108"/>
        <v>1</v>
      </c>
      <c r="C380">
        <f t="shared" si="109"/>
        <v>0</v>
      </c>
      <c r="D380">
        <f t="shared" si="110"/>
        <v>1</v>
      </c>
      <c r="E380">
        <f t="shared" si="111"/>
        <v>1</v>
      </c>
      <c r="F380">
        <f t="shared" si="112"/>
        <v>1</v>
      </c>
      <c r="G380">
        <f t="shared" si="113"/>
        <v>1</v>
      </c>
      <c r="H380">
        <f t="shared" si="114"/>
        <v>1</v>
      </c>
      <c r="I380">
        <f t="shared" si="115"/>
        <v>0</v>
      </c>
      <c r="J380">
        <f t="shared" si="116"/>
        <v>0</v>
      </c>
      <c r="K380" s="45">
        <f t="shared" si="117"/>
        <v>0</v>
      </c>
      <c r="L380" s="45">
        <f t="shared" si="118"/>
        <v>0.16666666666666666</v>
      </c>
      <c r="M380" s="45">
        <f t="shared" si="119"/>
        <v>0</v>
      </c>
      <c r="N380" s="45">
        <f t="shared" si="120"/>
        <v>0.16666666666666666</v>
      </c>
      <c r="O380" s="45">
        <f t="shared" si="121"/>
        <v>0.16666666666666666</v>
      </c>
      <c r="P380" s="45">
        <f t="shared" si="122"/>
        <v>0.16666666666666666</v>
      </c>
      <c r="Q380" s="45">
        <f t="shared" si="123"/>
        <v>0.16666666666666666</v>
      </c>
      <c r="R380" s="45">
        <f t="shared" si="124"/>
        <v>0.16666666666666666</v>
      </c>
      <c r="S380" s="45">
        <f t="shared" si="125"/>
        <v>0</v>
      </c>
      <c r="T380" s="45">
        <f t="shared" si="126"/>
        <v>0</v>
      </c>
    </row>
    <row r="381" spans="1:20" x14ac:dyDescent="0.3">
      <c r="A381">
        <f t="shared" si="107"/>
        <v>0</v>
      </c>
      <c r="B381">
        <f t="shared" si="108"/>
        <v>1</v>
      </c>
      <c r="C381">
        <f t="shared" si="109"/>
        <v>0</v>
      </c>
      <c r="D381">
        <f t="shared" si="110"/>
        <v>1</v>
      </c>
      <c r="E381">
        <f t="shared" si="111"/>
        <v>1</v>
      </c>
      <c r="F381">
        <f t="shared" si="112"/>
        <v>1</v>
      </c>
      <c r="G381">
        <f t="shared" si="113"/>
        <v>1</v>
      </c>
      <c r="H381">
        <f t="shared" si="114"/>
        <v>1</v>
      </c>
      <c r="I381">
        <f t="shared" si="115"/>
        <v>0</v>
      </c>
      <c r="J381">
        <f t="shared" si="116"/>
        <v>1</v>
      </c>
      <c r="K381" s="45">
        <f t="shared" si="117"/>
        <v>0</v>
      </c>
      <c r="L381" s="45">
        <f t="shared" si="118"/>
        <v>0.14285714285714285</v>
      </c>
      <c r="M381" s="45">
        <f t="shared" si="119"/>
        <v>0</v>
      </c>
      <c r="N381" s="45">
        <f t="shared" si="120"/>
        <v>0.14285714285714285</v>
      </c>
      <c r="O381" s="45">
        <f t="shared" si="121"/>
        <v>0.14285714285714285</v>
      </c>
      <c r="P381" s="45">
        <f t="shared" si="122"/>
        <v>0.14285714285714285</v>
      </c>
      <c r="Q381" s="45">
        <f t="shared" si="123"/>
        <v>0.14285714285714285</v>
      </c>
      <c r="R381" s="45">
        <f t="shared" si="124"/>
        <v>0.14285714285714285</v>
      </c>
      <c r="S381" s="45">
        <f t="shared" si="125"/>
        <v>0</v>
      </c>
      <c r="T381" s="45">
        <f t="shared" si="126"/>
        <v>0.14285714285714285</v>
      </c>
    </row>
    <row r="382" spans="1:20" x14ac:dyDescent="0.3">
      <c r="A382">
        <f t="shared" si="107"/>
        <v>0</v>
      </c>
      <c r="B382">
        <f t="shared" si="108"/>
        <v>1</v>
      </c>
      <c r="C382">
        <f t="shared" si="109"/>
        <v>0</v>
      </c>
      <c r="D382">
        <f t="shared" si="110"/>
        <v>1</v>
      </c>
      <c r="E382">
        <f t="shared" si="111"/>
        <v>1</v>
      </c>
      <c r="F382">
        <f t="shared" si="112"/>
        <v>1</v>
      </c>
      <c r="G382">
        <f t="shared" si="113"/>
        <v>1</v>
      </c>
      <c r="H382">
        <f t="shared" si="114"/>
        <v>1</v>
      </c>
      <c r="I382">
        <f t="shared" si="115"/>
        <v>1</v>
      </c>
      <c r="J382">
        <f t="shared" si="116"/>
        <v>0</v>
      </c>
      <c r="K382" s="45">
        <f t="shared" si="117"/>
        <v>0</v>
      </c>
      <c r="L382" s="45">
        <f t="shared" si="118"/>
        <v>0.14285714285714285</v>
      </c>
      <c r="M382" s="45">
        <f t="shared" si="119"/>
        <v>0</v>
      </c>
      <c r="N382" s="45">
        <f t="shared" si="120"/>
        <v>0.14285714285714285</v>
      </c>
      <c r="O382" s="45">
        <f t="shared" si="121"/>
        <v>0.14285714285714285</v>
      </c>
      <c r="P382" s="45">
        <f t="shared" si="122"/>
        <v>0.14285714285714285</v>
      </c>
      <c r="Q382" s="45">
        <f t="shared" si="123"/>
        <v>0.14285714285714285</v>
      </c>
      <c r="R382" s="45">
        <f t="shared" si="124"/>
        <v>0.14285714285714285</v>
      </c>
      <c r="S382" s="45">
        <f t="shared" si="125"/>
        <v>0.14285714285714285</v>
      </c>
      <c r="T382" s="45">
        <f t="shared" si="126"/>
        <v>0</v>
      </c>
    </row>
    <row r="383" spans="1:20" x14ac:dyDescent="0.3">
      <c r="A383">
        <f t="shared" si="107"/>
        <v>0</v>
      </c>
      <c r="B383">
        <f t="shared" si="108"/>
        <v>1</v>
      </c>
      <c r="C383">
        <f t="shared" si="109"/>
        <v>0</v>
      </c>
      <c r="D383">
        <f t="shared" si="110"/>
        <v>1</v>
      </c>
      <c r="E383">
        <f t="shared" si="111"/>
        <v>1</v>
      </c>
      <c r="F383">
        <f t="shared" si="112"/>
        <v>1</v>
      </c>
      <c r="G383">
        <f t="shared" si="113"/>
        <v>1</v>
      </c>
      <c r="H383">
        <f t="shared" si="114"/>
        <v>1</v>
      </c>
      <c r="I383">
        <f t="shared" si="115"/>
        <v>1</v>
      </c>
      <c r="J383">
        <f t="shared" si="116"/>
        <v>1</v>
      </c>
      <c r="K383" s="45">
        <f t="shared" si="117"/>
        <v>0</v>
      </c>
      <c r="L383" s="45">
        <f t="shared" si="118"/>
        <v>0.125</v>
      </c>
      <c r="M383" s="45">
        <f t="shared" si="119"/>
        <v>0</v>
      </c>
      <c r="N383" s="45">
        <f t="shared" si="120"/>
        <v>0.125</v>
      </c>
      <c r="O383" s="45">
        <f t="shared" si="121"/>
        <v>0.125</v>
      </c>
      <c r="P383" s="45">
        <f t="shared" si="122"/>
        <v>0.125</v>
      </c>
      <c r="Q383" s="45">
        <f t="shared" si="123"/>
        <v>0.125</v>
      </c>
      <c r="R383" s="45">
        <f t="shared" si="124"/>
        <v>0.125</v>
      </c>
      <c r="S383" s="45">
        <f t="shared" si="125"/>
        <v>0.125</v>
      </c>
      <c r="T383" s="45">
        <f t="shared" si="126"/>
        <v>0.125</v>
      </c>
    </row>
    <row r="384" spans="1:20" x14ac:dyDescent="0.3">
      <c r="A384">
        <f t="shared" si="107"/>
        <v>0</v>
      </c>
      <c r="B384">
        <f t="shared" si="108"/>
        <v>1</v>
      </c>
      <c r="C384">
        <f t="shared" si="109"/>
        <v>1</v>
      </c>
      <c r="D384">
        <f t="shared" si="110"/>
        <v>0</v>
      </c>
      <c r="E384">
        <f t="shared" si="111"/>
        <v>0</v>
      </c>
      <c r="F384">
        <f t="shared" si="112"/>
        <v>0</v>
      </c>
      <c r="G384">
        <f t="shared" si="113"/>
        <v>0</v>
      </c>
      <c r="H384">
        <f t="shared" si="114"/>
        <v>0</v>
      </c>
      <c r="I384">
        <f t="shared" si="115"/>
        <v>0</v>
      </c>
      <c r="J384">
        <f t="shared" si="116"/>
        <v>0</v>
      </c>
      <c r="K384" s="45">
        <f t="shared" si="117"/>
        <v>0</v>
      </c>
      <c r="L384" s="45">
        <f t="shared" si="118"/>
        <v>0.5</v>
      </c>
      <c r="M384" s="45">
        <f t="shared" si="119"/>
        <v>0.5</v>
      </c>
      <c r="N384" s="45">
        <f t="shared" si="120"/>
        <v>0</v>
      </c>
      <c r="O384" s="45">
        <f t="shared" si="121"/>
        <v>0</v>
      </c>
      <c r="P384" s="45">
        <f t="shared" si="122"/>
        <v>0</v>
      </c>
      <c r="Q384" s="45">
        <f t="shared" si="123"/>
        <v>0</v>
      </c>
      <c r="R384" s="45">
        <f t="shared" si="124"/>
        <v>0</v>
      </c>
      <c r="S384" s="45">
        <f t="shared" si="125"/>
        <v>0</v>
      </c>
      <c r="T384" s="45">
        <f t="shared" si="126"/>
        <v>0</v>
      </c>
    </row>
    <row r="385" spans="1:20" x14ac:dyDescent="0.3">
      <c r="A385">
        <f t="shared" si="107"/>
        <v>0</v>
      </c>
      <c r="B385">
        <f t="shared" si="108"/>
        <v>1</v>
      </c>
      <c r="C385">
        <f t="shared" si="109"/>
        <v>1</v>
      </c>
      <c r="D385">
        <f t="shared" si="110"/>
        <v>0</v>
      </c>
      <c r="E385">
        <f t="shared" si="111"/>
        <v>0</v>
      </c>
      <c r="F385">
        <f t="shared" si="112"/>
        <v>0</v>
      </c>
      <c r="G385">
        <f t="shared" si="113"/>
        <v>0</v>
      </c>
      <c r="H385">
        <f t="shared" si="114"/>
        <v>0</v>
      </c>
      <c r="I385">
        <f t="shared" si="115"/>
        <v>0</v>
      </c>
      <c r="J385">
        <f t="shared" si="116"/>
        <v>1</v>
      </c>
      <c r="K385" s="45">
        <f t="shared" si="117"/>
        <v>0</v>
      </c>
      <c r="L385" s="45">
        <f t="shared" si="118"/>
        <v>0.33333333333333331</v>
      </c>
      <c r="M385" s="45">
        <f t="shared" si="119"/>
        <v>0.33333333333333331</v>
      </c>
      <c r="N385" s="45">
        <f t="shared" si="120"/>
        <v>0</v>
      </c>
      <c r="O385" s="45">
        <f t="shared" si="121"/>
        <v>0</v>
      </c>
      <c r="P385" s="45">
        <f t="shared" si="122"/>
        <v>0</v>
      </c>
      <c r="Q385" s="45">
        <f t="shared" si="123"/>
        <v>0</v>
      </c>
      <c r="R385" s="45">
        <f t="shared" si="124"/>
        <v>0</v>
      </c>
      <c r="S385" s="45">
        <f t="shared" si="125"/>
        <v>0</v>
      </c>
      <c r="T385" s="45">
        <f t="shared" si="126"/>
        <v>0.33333333333333331</v>
      </c>
    </row>
    <row r="386" spans="1:20" x14ac:dyDescent="0.3">
      <c r="A386">
        <f t="shared" ref="A386:A449" si="127">INT( MOD(ROW()+0,1024)/512)</f>
        <v>0</v>
      </c>
      <c r="B386">
        <f t="shared" ref="B386:B449" si="128">INT( MOD(ROW()+0,512)/256)</f>
        <v>1</v>
      </c>
      <c r="C386">
        <f t="shared" ref="C386:C449" si="129">INT( MOD(ROW()+0,256)/128)</f>
        <v>1</v>
      </c>
      <c r="D386">
        <f t="shared" ref="D386:D449" si="130">INT( MOD(ROW()+0,128)/64)</f>
        <v>0</v>
      </c>
      <c r="E386">
        <f t="shared" ref="E386:E449" si="131">INT( MOD(ROW()+0,64)/32)</f>
        <v>0</v>
      </c>
      <c r="F386">
        <f t="shared" ref="F386:F449" si="132">INT( MOD(ROW()+0,32)/16)</f>
        <v>0</v>
      </c>
      <c r="G386">
        <f t="shared" ref="G386:G449" si="133">INT( MOD(ROW()+0,16)/8)</f>
        <v>0</v>
      </c>
      <c r="H386">
        <f t="shared" ref="H386:H449" si="134">INT( MOD(ROW()+0,8)/4)</f>
        <v>0</v>
      </c>
      <c r="I386">
        <f t="shared" ref="I386:I449" si="135">INT( MOD(ROW()+0,4)/2)</f>
        <v>1</v>
      </c>
      <c r="J386">
        <f t="shared" ref="J386:J449" si="136">INT( MOD(ROW()+0,2)/1)</f>
        <v>0</v>
      </c>
      <c r="K386" s="45">
        <f t="shared" ref="K386:K449" si="137">A386/SUM($A386:$J386)</f>
        <v>0</v>
      </c>
      <c r="L386" s="45">
        <f t="shared" ref="L386:L449" si="138">B386/SUM($A386:$J386)</f>
        <v>0.33333333333333331</v>
      </c>
      <c r="M386" s="45">
        <f t="shared" ref="M386:M449" si="139">C386/SUM($A386:$J386)</f>
        <v>0.33333333333333331</v>
      </c>
      <c r="N386" s="45">
        <f t="shared" ref="N386:N449" si="140">D386/SUM($A386:$J386)</f>
        <v>0</v>
      </c>
      <c r="O386" s="45">
        <f t="shared" ref="O386:O449" si="141">E386/SUM($A386:$J386)</f>
        <v>0</v>
      </c>
      <c r="P386" s="45">
        <f t="shared" ref="P386:P449" si="142">F386/SUM($A386:$J386)</f>
        <v>0</v>
      </c>
      <c r="Q386" s="45">
        <f t="shared" ref="Q386:Q449" si="143">G386/SUM($A386:$J386)</f>
        <v>0</v>
      </c>
      <c r="R386" s="45">
        <f t="shared" ref="R386:R449" si="144">H386/SUM($A386:$J386)</f>
        <v>0</v>
      </c>
      <c r="S386" s="45">
        <f t="shared" ref="S386:S449" si="145">I386/SUM($A386:$J386)</f>
        <v>0.33333333333333331</v>
      </c>
      <c r="T386" s="45">
        <f t="shared" ref="T386:T449" si="146">J386/SUM($A386:$J386)</f>
        <v>0</v>
      </c>
    </row>
    <row r="387" spans="1:20" x14ac:dyDescent="0.3">
      <c r="A387">
        <f t="shared" si="127"/>
        <v>0</v>
      </c>
      <c r="B387">
        <f t="shared" si="128"/>
        <v>1</v>
      </c>
      <c r="C387">
        <f t="shared" si="129"/>
        <v>1</v>
      </c>
      <c r="D387">
        <f t="shared" si="130"/>
        <v>0</v>
      </c>
      <c r="E387">
        <f t="shared" si="131"/>
        <v>0</v>
      </c>
      <c r="F387">
        <f t="shared" si="132"/>
        <v>0</v>
      </c>
      <c r="G387">
        <f t="shared" si="133"/>
        <v>0</v>
      </c>
      <c r="H387">
        <f t="shared" si="134"/>
        <v>0</v>
      </c>
      <c r="I387">
        <f t="shared" si="135"/>
        <v>1</v>
      </c>
      <c r="J387">
        <f t="shared" si="136"/>
        <v>1</v>
      </c>
      <c r="K387" s="45">
        <f t="shared" si="137"/>
        <v>0</v>
      </c>
      <c r="L387" s="45">
        <f t="shared" si="138"/>
        <v>0.25</v>
      </c>
      <c r="M387" s="45">
        <f t="shared" si="139"/>
        <v>0.25</v>
      </c>
      <c r="N387" s="45">
        <f t="shared" si="140"/>
        <v>0</v>
      </c>
      <c r="O387" s="45">
        <f t="shared" si="141"/>
        <v>0</v>
      </c>
      <c r="P387" s="45">
        <f t="shared" si="142"/>
        <v>0</v>
      </c>
      <c r="Q387" s="45">
        <f t="shared" si="143"/>
        <v>0</v>
      </c>
      <c r="R387" s="45">
        <f t="shared" si="144"/>
        <v>0</v>
      </c>
      <c r="S387" s="45">
        <f t="shared" si="145"/>
        <v>0.25</v>
      </c>
      <c r="T387" s="45">
        <f t="shared" si="146"/>
        <v>0.25</v>
      </c>
    </row>
    <row r="388" spans="1:20" x14ac:dyDescent="0.3">
      <c r="A388">
        <f t="shared" si="127"/>
        <v>0</v>
      </c>
      <c r="B388">
        <f t="shared" si="128"/>
        <v>1</v>
      </c>
      <c r="C388">
        <f t="shared" si="129"/>
        <v>1</v>
      </c>
      <c r="D388">
        <f t="shared" si="130"/>
        <v>0</v>
      </c>
      <c r="E388">
        <f t="shared" si="131"/>
        <v>0</v>
      </c>
      <c r="F388">
        <f t="shared" si="132"/>
        <v>0</v>
      </c>
      <c r="G388">
        <f t="shared" si="133"/>
        <v>0</v>
      </c>
      <c r="H388">
        <f t="shared" si="134"/>
        <v>1</v>
      </c>
      <c r="I388">
        <f t="shared" si="135"/>
        <v>0</v>
      </c>
      <c r="J388">
        <f t="shared" si="136"/>
        <v>0</v>
      </c>
      <c r="K388" s="45">
        <f t="shared" si="137"/>
        <v>0</v>
      </c>
      <c r="L388" s="45">
        <f t="shared" si="138"/>
        <v>0.33333333333333331</v>
      </c>
      <c r="M388" s="45">
        <f t="shared" si="139"/>
        <v>0.33333333333333331</v>
      </c>
      <c r="N388" s="45">
        <f t="shared" si="140"/>
        <v>0</v>
      </c>
      <c r="O388" s="45">
        <f t="shared" si="141"/>
        <v>0</v>
      </c>
      <c r="P388" s="45">
        <f t="shared" si="142"/>
        <v>0</v>
      </c>
      <c r="Q388" s="45">
        <f t="shared" si="143"/>
        <v>0</v>
      </c>
      <c r="R388" s="45">
        <f t="shared" si="144"/>
        <v>0.33333333333333331</v>
      </c>
      <c r="S388" s="45">
        <f t="shared" si="145"/>
        <v>0</v>
      </c>
      <c r="T388" s="45">
        <f t="shared" si="146"/>
        <v>0</v>
      </c>
    </row>
    <row r="389" spans="1:20" x14ac:dyDescent="0.3">
      <c r="A389">
        <f t="shared" si="127"/>
        <v>0</v>
      </c>
      <c r="B389">
        <f t="shared" si="128"/>
        <v>1</v>
      </c>
      <c r="C389">
        <f t="shared" si="129"/>
        <v>1</v>
      </c>
      <c r="D389">
        <f t="shared" si="130"/>
        <v>0</v>
      </c>
      <c r="E389">
        <f t="shared" si="131"/>
        <v>0</v>
      </c>
      <c r="F389">
        <f t="shared" si="132"/>
        <v>0</v>
      </c>
      <c r="G389">
        <f t="shared" si="133"/>
        <v>0</v>
      </c>
      <c r="H389">
        <f t="shared" si="134"/>
        <v>1</v>
      </c>
      <c r="I389">
        <f t="shared" si="135"/>
        <v>0</v>
      </c>
      <c r="J389">
        <f t="shared" si="136"/>
        <v>1</v>
      </c>
      <c r="K389" s="45">
        <f t="shared" si="137"/>
        <v>0</v>
      </c>
      <c r="L389" s="45">
        <f t="shared" si="138"/>
        <v>0.25</v>
      </c>
      <c r="M389" s="45">
        <f t="shared" si="139"/>
        <v>0.25</v>
      </c>
      <c r="N389" s="45">
        <f t="shared" si="140"/>
        <v>0</v>
      </c>
      <c r="O389" s="45">
        <f t="shared" si="141"/>
        <v>0</v>
      </c>
      <c r="P389" s="45">
        <f t="shared" si="142"/>
        <v>0</v>
      </c>
      <c r="Q389" s="45">
        <f t="shared" si="143"/>
        <v>0</v>
      </c>
      <c r="R389" s="45">
        <f t="shared" si="144"/>
        <v>0.25</v>
      </c>
      <c r="S389" s="45">
        <f t="shared" si="145"/>
        <v>0</v>
      </c>
      <c r="T389" s="45">
        <f t="shared" si="146"/>
        <v>0.25</v>
      </c>
    </row>
    <row r="390" spans="1:20" x14ac:dyDescent="0.3">
      <c r="A390">
        <f t="shared" si="127"/>
        <v>0</v>
      </c>
      <c r="B390">
        <f t="shared" si="128"/>
        <v>1</v>
      </c>
      <c r="C390">
        <f t="shared" si="129"/>
        <v>1</v>
      </c>
      <c r="D390">
        <f t="shared" si="130"/>
        <v>0</v>
      </c>
      <c r="E390">
        <f t="shared" si="131"/>
        <v>0</v>
      </c>
      <c r="F390">
        <f t="shared" si="132"/>
        <v>0</v>
      </c>
      <c r="G390">
        <f t="shared" si="133"/>
        <v>0</v>
      </c>
      <c r="H390">
        <f t="shared" si="134"/>
        <v>1</v>
      </c>
      <c r="I390">
        <f t="shared" si="135"/>
        <v>1</v>
      </c>
      <c r="J390">
        <f t="shared" si="136"/>
        <v>0</v>
      </c>
      <c r="K390" s="45">
        <f t="shared" si="137"/>
        <v>0</v>
      </c>
      <c r="L390" s="45">
        <f t="shared" si="138"/>
        <v>0.25</v>
      </c>
      <c r="M390" s="45">
        <f t="shared" si="139"/>
        <v>0.25</v>
      </c>
      <c r="N390" s="45">
        <f t="shared" si="140"/>
        <v>0</v>
      </c>
      <c r="O390" s="45">
        <f t="shared" si="141"/>
        <v>0</v>
      </c>
      <c r="P390" s="45">
        <f t="shared" si="142"/>
        <v>0</v>
      </c>
      <c r="Q390" s="45">
        <f t="shared" si="143"/>
        <v>0</v>
      </c>
      <c r="R390" s="45">
        <f t="shared" si="144"/>
        <v>0.25</v>
      </c>
      <c r="S390" s="45">
        <f t="shared" si="145"/>
        <v>0.25</v>
      </c>
      <c r="T390" s="45">
        <f t="shared" si="146"/>
        <v>0</v>
      </c>
    </row>
    <row r="391" spans="1:20" x14ac:dyDescent="0.3">
      <c r="A391">
        <f t="shared" si="127"/>
        <v>0</v>
      </c>
      <c r="B391">
        <f t="shared" si="128"/>
        <v>1</v>
      </c>
      <c r="C391">
        <f t="shared" si="129"/>
        <v>1</v>
      </c>
      <c r="D391">
        <f t="shared" si="130"/>
        <v>0</v>
      </c>
      <c r="E391">
        <f t="shared" si="131"/>
        <v>0</v>
      </c>
      <c r="F391">
        <f t="shared" si="132"/>
        <v>0</v>
      </c>
      <c r="G391">
        <f t="shared" si="133"/>
        <v>0</v>
      </c>
      <c r="H391">
        <f t="shared" si="134"/>
        <v>1</v>
      </c>
      <c r="I391">
        <f t="shared" si="135"/>
        <v>1</v>
      </c>
      <c r="J391">
        <f t="shared" si="136"/>
        <v>1</v>
      </c>
      <c r="K391" s="45">
        <f t="shared" si="137"/>
        <v>0</v>
      </c>
      <c r="L391" s="45">
        <f t="shared" si="138"/>
        <v>0.2</v>
      </c>
      <c r="M391" s="45">
        <f t="shared" si="139"/>
        <v>0.2</v>
      </c>
      <c r="N391" s="45">
        <f t="shared" si="140"/>
        <v>0</v>
      </c>
      <c r="O391" s="45">
        <f t="shared" si="141"/>
        <v>0</v>
      </c>
      <c r="P391" s="45">
        <f t="shared" si="142"/>
        <v>0</v>
      </c>
      <c r="Q391" s="45">
        <f t="shared" si="143"/>
        <v>0</v>
      </c>
      <c r="R391" s="45">
        <f t="shared" si="144"/>
        <v>0.2</v>
      </c>
      <c r="S391" s="45">
        <f t="shared" si="145"/>
        <v>0.2</v>
      </c>
      <c r="T391" s="45">
        <f t="shared" si="146"/>
        <v>0.2</v>
      </c>
    </row>
    <row r="392" spans="1:20" x14ac:dyDescent="0.3">
      <c r="A392">
        <f t="shared" si="127"/>
        <v>0</v>
      </c>
      <c r="B392">
        <f t="shared" si="128"/>
        <v>1</v>
      </c>
      <c r="C392">
        <f t="shared" si="129"/>
        <v>1</v>
      </c>
      <c r="D392">
        <f t="shared" si="130"/>
        <v>0</v>
      </c>
      <c r="E392">
        <f t="shared" si="131"/>
        <v>0</v>
      </c>
      <c r="F392">
        <f t="shared" si="132"/>
        <v>0</v>
      </c>
      <c r="G392">
        <f t="shared" si="133"/>
        <v>1</v>
      </c>
      <c r="H392">
        <f t="shared" si="134"/>
        <v>0</v>
      </c>
      <c r="I392">
        <f t="shared" si="135"/>
        <v>0</v>
      </c>
      <c r="J392">
        <f t="shared" si="136"/>
        <v>0</v>
      </c>
      <c r="K392" s="45">
        <f t="shared" si="137"/>
        <v>0</v>
      </c>
      <c r="L392" s="45">
        <f t="shared" si="138"/>
        <v>0.33333333333333331</v>
      </c>
      <c r="M392" s="45">
        <f t="shared" si="139"/>
        <v>0.33333333333333331</v>
      </c>
      <c r="N392" s="45">
        <f t="shared" si="140"/>
        <v>0</v>
      </c>
      <c r="O392" s="45">
        <f t="shared" si="141"/>
        <v>0</v>
      </c>
      <c r="P392" s="45">
        <f t="shared" si="142"/>
        <v>0</v>
      </c>
      <c r="Q392" s="45">
        <f t="shared" si="143"/>
        <v>0.33333333333333331</v>
      </c>
      <c r="R392" s="45">
        <f t="shared" si="144"/>
        <v>0</v>
      </c>
      <c r="S392" s="45">
        <f t="shared" si="145"/>
        <v>0</v>
      </c>
      <c r="T392" s="45">
        <f t="shared" si="146"/>
        <v>0</v>
      </c>
    </row>
    <row r="393" spans="1:20" x14ac:dyDescent="0.3">
      <c r="A393">
        <f t="shared" si="127"/>
        <v>0</v>
      </c>
      <c r="B393">
        <f t="shared" si="128"/>
        <v>1</v>
      </c>
      <c r="C393">
        <f t="shared" si="129"/>
        <v>1</v>
      </c>
      <c r="D393">
        <f t="shared" si="130"/>
        <v>0</v>
      </c>
      <c r="E393">
        <f t="shared" si="131"/>
        <v>0</v>
      </c>
      <c r="F393">
        <f t="shared" si="132"/>
        <v>0</v>
      </c>
      <c r="G393">
        <f t="shared" si="133"/>
        <v>1</v>
      </c>
      <c r="H393">
        <f t="shared" si="134"/>
        <v>0</v>
      </c>
      <c r="I393">
        <f t="shared" si="135"/>
        <v>0</v>
      </c>
      <c r="J393">
        <f t="shared" si="136"/>
        <v>1</v>
      </c>
      <c r="K393" s="45">
        <f t="shared" si="137"/>
        <v>0</v>
      </c>
      <c r="L393" s="45">
        <f t="shared" si="138"/>
        <v>0.25</v>
      </c>
      <c r="M393" s="45">
        <f t="shared" si="139"/>
        <v>0.25</v>
      </c>
      <c r="N393" s="45">
        <f t="shared" si="140"/>
        <v>0</v>
      </c>
      <c r="O393" s="45">
        <f t="shared" si="141"/>
        <v>0</v>
      </c>
      <c r="P393" s="45">
        <f t="shared" si="142"/>
        <v>0</v>
      </c>
      <c r="Q393" s="45">
        <f t="shared" si="143"/>
        <v>0.25</v>
      </c>
      <c r="R393" s="45">
        <f t="shared" si="144"/>
        <v>0</v>
      </c>
      <c r="S393" s="45">
        <f t="shared" si="145"/>
        <v>0</v>
      </c>
      <c r="T393" s="45">
        <f t="shared" si="146"/>
        <v>0.25</v>
      </c>
    </row>
    <row r="394" spans="1:20" x14ac:dyDescent="0.3">
      <c r="A394">
        <f t="shared" si="127"/>
        <v>0</v>
      </c>
      <c r="B394">
        <f t="shared" si="128"/>
        <v>1</v>
      </c>
      <c r="C394">
        <f t="shared" si="129"/>
        <v>1</v>
      </c>
      <c r="D394">
        <f t="shared" si="130"/>
        <v>0</v>
      </c>
      <c r="E394">
        <f t="shared" si="131"/>
        <v>0</v>
      </c>
      <c r="F394">
        <f t="shared" si="132"/>
        <v>0</v>
      </c>
      <c r="G394">
        <f t="shared" si="133"/>
        <v>1</v>
      </c>
      <c r="H394">
        <f t="shared" si="134"/>
        <v>0</v>
      </c>
      <c r="I394">
        <f t="shared" si="135"/>
        <v>1</v>
      </c>
      <c r="J394">
        <f t="shared" si="136"/>
        <v>0</v>
      </c>
      <c r="K394" s="45">
        <f t="shared" si="137"/>
        <v>0</v>
      </c>
      <c r="L394" s="45">
        <f t="shared" si="138"/>
        <v>0.25</v>
      </c>
      <c r="M394" s="45">
        <f t="shared" si="139"/>
        <v>0.25</v>
      </c>
      <c r="N394" s="45">
        <f t="shared" si="140"/>
        <v>0</v>
      </c>
      <c r="O394" s="45">
        <f t="shared" si="141"/>
        <v>0</v>
      </c>
      <c r="P394" s="45">
        <f t="shared" si="142"/>
        <v>0</v>
      </c>
      <c r="Q394" s="45">
        <f t="shared" si="143"/>
        <v>0.25</v>
      </c>
      <c r="R394" s="45">
        <f t="shared" si="144"/>
        <v>0</v>
      </c>
      <c r="S394" s="45">
        <f t="shared" si="145"/>
        <v>0.25</v>
      </c>
      <c r="T394" s="45">
        <f t="shared" si="146"/>
        <v>0</v>
      </c>
    </row>
    <row r="395" spans="1:20" x14ac:dyDescent="0.3">
      <c r="A395">
        <f t="shared" si="127"/>
        <v>0</v>
      </c>
      <c r="B395">
        <f t="shared" si="128"/>
        <v>1</v>
      </c>
      <c r="C395">
        <f t="shared" si="129"/>
        <v>1</v>
      </c>
      <c r="D395">
        <f t="shared" si="130"/>
        <v>0</v>
      </c>
      <c r="E395">
        <f t="shared" si="131"/>
        <v>0</v>
      </c>
      <c r="F395">
        <f t="shared" si="132"/>
        <v>0</v>
      </c>
      <c r="G395">
        <f t="shared" si="133"/>
        <v>1</v>
      </c>
      <c r="H395">
        <f t="shared" si="134"/>
        <v>0</v>
      </c>
      <c r="I395">
        <f t="shared" si="135"/>
        <v>1</v>
      </c>
      <c r="J395">
        <f t="shared" si="136"/>
        <v>1</v>
      </c>
      <c r="K395" s="45">
        <f t="shared" si="137"/>
        <v>0</v>
      </c>
      <c r="L395" s="45">
        <f t="shared" si="138"/>
        <v>0.2</v>
      </c>
      <c r="M395" s="45">
        <f t="shared" si="139"/>
        <v>0.2</v>
      </c>
      <c r="N395" s="45">
        <f t="shared" si="140"/>
        <v>0</v>
      </c>
      <c r="O395" s="45">
        <f t="shared" si="141"/>
        <v>0</v>
      </c>
      <c r="P395" s="45">
        <f t="shared" si="142"/>
        <v>0</v>
      </c>
      <c r="Q395" s="45">
        <f t="shared" si="143"/>
        <v>0.2</v>
      </c>
      <c r="R395" s="45">
        <f t="shared" si="144"/>
        <v>0</v>
      </c>
      <c r="S395" s="45">
        <f t="shared" si="145"/>
        <v>0.2</v>
      </c>
      <c r="T395" s="45">
        <f t="shared" si="146"/>
        <v>0.2</v>
      </c>
    </row>
    <row r="396" spans="1:20" x14ac:dyDescent="0.3">
      <c r="A396">
        <f t="shared" si="127"/>
        <v>0</v>
      </c>
      <c r="B396">
        <f t="shared" si="128"/>
        <v>1</v>
      </c>
      <c r="C396">
        <f t="shared" si="129"/>
        <v>1</v>
      </c>
      <c r="D396">
        <f t="shared" si="130"/>
        <v>0</v>
      </c>
      <c r="E396">
        <f t="shared" si="131"/>
        <v>0</v>
      </c>
      <c r="F396">
        <f t="shared" si="132"/>
        <v>0</v>
      </c>
      <c r="G396">
        <f t="shared" si="133"/>
        <v>1</v>
      </c>
      <c r="H396">
        <f t="shared" si="134"/>
        <v>1</v>
      </c>
      <c r="I396">
        <f t="shared" si="135"/>
        <v>0</v>
      </c>
      <c r="J396">
        <f t="shared" si="136"/>
        <v>0</v>
      </c>
      <c r="K396" s="45">
        <f t="shared" si="137"/>
        <v>0</v>
      </c>
      <c r="L396" s="45">
        <f t="shared" si="138"/>
        <v>0.25</v>
      </c>
      <c r="M396" s="45">
        <f t="shared" si="139"/>
        <v>0.25</v>
      </c>
      <c r="N396" s="45">
        <f t="shared" si="140"/>
        <v>0</v>
      </c>
      <c r="O396" s="45">
        <f t="shared" si="141"/>
        <v>0</v>
      </c>
      <c r="P396" s="45">
        <f t="shared" si="142"/>
        <v>0</v>
      </c>
      <c r="Q396" s="45">
        <f t="shared" si="143"/>
        <v>0.25</v>
      </c>
      <c r="R396" s="45">
        <f t="shared" si="144"/>
        <v>0.25</v>
      </c>
      <c r="S396" s="45">
        <f t="shared" si="145"/>
        <v>0</v>
      </c>
      <c r="T396" s="45">
        <f t="shared" si="146"/>
        <v>0</v>
      </c>
    </row>
    <row r="397" spans="1:20" x14ac:dyDescent="0.3">
      <c r="A397">
        <f t="shared" si="127"/>
        <v>0</v>
      </c>
      <c r="B397">
        <f t="shared" si="128"/>
        <v>1</v>
      </c>
      <c r="C397">
        <f t="shared" si="129"/>
        <v>1</v>
      </c>
      <c r="D397">
        <f t="shared" si="130"/>
        <v>0</v>
      </c>
      <c r="E397">
        <f t="shared" si="131"/>
        <v>0</v>
      </c>
      <c r="F397">
        <f t="shared" si="132"/>
        <v>0</v>
      </c>
      <c r="G397">
        <f t="shared" si="133"/>
        <v>1</v>
      </c>
      <c r="H397">
        <f t="shared" si="134"/>
        <v>1</v>
      </c>
      <c r="I397">
        <f t="shared" si="135"/>
        <v>0</v>
      </c>
      <c r="J397">
        <f t="shared" si="136"/>
        <v>1</v>
      </c>
      <c r="K397" s="45">
        <f t="shared" si="137"/>
        <v>0</v>
      </c>
      <c r="L397" s="45">
        <f t="shared" si="138"/>
        <v>0.2</v>
      </c>
      <c r="M397" s="45">
        <f t="shared" si="139"/>
        <v>0.2</v>
      </c>
      <c r="N397" s="45">
        <f t="shared" si="140"/>
        <v>0</v>
      </c>
      <c r="O397" s="45">
        <f t="shared" si="141"/>
        <v>0</v>
      </c>
      <c r="P397" s="45">
        <f t="shared" si="142"/>
        <v>0</v>
      </c>
      <c r="Q397" s="45">
        <f t="shared" si="143"/>
        <v>0.2</v>
      </c>
      <c r="R397" s="45">
        <f t="shared" si="144"/>
        <v>0.2</v>
      </c>
      <c r="S397" s="45">
        <f t="shared" si="145"/>
        <v>0</v>
      </c>
      <c r="T397" s="45">
        <f t="shared" si="146"/>
        <v>0.2</v>
      </c>
    </row>
    <row r="398" spans="1:20" x14ac:dyDescent="0.3">
      <c r="A398">
        <f t="shared" si="127"/>
        <v>0</v>
      </c>
      <c r="B398">
        <f t="shared" si="128"/>
        <v>1</v>
      </c>
      <c r="C398">
        <f t="shared" si="129"/>
        <v>1</v>
      </c>
      <c r="D398">
        <f t="shared" si="130"/>
        <v>0</v>
      </c>
      <c r="E398">
        <f t="shared" si="131"/>
        <v>0</v>
      </c>
      <c r="F398">
        <f t="shared" si="132"/>
        <v>0</v>
      </c>
      <c r="G398">
        <f t="shared" si="133"/>
        <v>1</v>
      </c>
      <c r="H398">
        <f t="shared" si="134"/>
        <v>1</v>
      </c>
      <c r="I398">
        <f t="shared" si="135"/>
        <v>1</v>
      </c>
      <c r="J398">
        <f t="shared" si="136"/>
        <v>0</v>
      </c>
      <c r="K398" s="45">
        <f t="shared" si="137"/>
        <v>0</v>
      </c>
      <c r="L398" s="45">
        <f t="shared" si="138"/>
        <v>0.2</v>
      </c>
      <c r="M398" s="45">
        <f t="shared" si="139"/>
        <v>0.2</v>
      </c>
      <c r="N398" s="45">
        <f t="shared" si="140"/>
        <v>0</v>
      </c>
      <c r="O398" s="45">
        <f t="shared" si="141"/>
        <v>0</v>
      </c>
      <c r="P398" s="45">
        <f t="shared" si="142"/>
        <v>0</v>
      </c>
      <c r="Q398" s="45">
        <f t="shared" si="143"/>
        <v>0.2</v>
      </c>
      <c r="R398" s="45">
        <f t="shared" si="144"/>
        <v>0.2</v>
      </c>
      <c r="S398" s="45">
        <f t="shared" si="145"/>
        <v>0.2</v>
      </c>
      <c r="T398" s="45">
        <f t="shared" si="146"/>
        <v>0</v>
      </c>
    </row>
    <row r="399" spans="1:20" x14ac:dyDescent="0.3">
      <c r="A399">
        <f t="shared" si="127"/>
        <v>0</v>
      </c>
      <c r="B399">
        <f t="shared" si="128"/>
        <v>1</v>
      </c>
      <c r="C399">
        <f t="shared" si="129"/>
        <v>1</v>
      </c>
      <c r="D399">
        <f t="shared" si="130"/>
        <v>0</v>
      </c>
      <c r="E399">
        <f t="shared" si="131"/>
        <v>0</v>
      </c>
      <c r="F399">
        <f t="shared" si="132"/>
        <v>0</v>
      </c>
      <c r="G399">
        <f t="shared" si="133"/>
        <v>1</v>
      </c>
      <c r="H399">
        <f t="shared" si="134"/>
        <v>1</v>
      </c>
      <c r="I399">
        <f t="shared" si="135"/>
        <v>1</v>
      </c>
      <c r="J399">
        <f t="shared" si="136"/>
        <v>1</v>
      </c>
      <c r="K399" s="45">
        <f t="shared" si="137"/>
        <v>0</v>
      </c>
      <c r="L399" s="45">
        <f t="shared" si="138"/>
        <v>0.16666666666666666</v>
      </c>
      <c r="M399" s="45">
        <f t="shared" si="139"/>
        <v>0.16666666666666666</v>
      </c>
      <c r="N399" s="45">
        <f t="shared" si="140"/>
        <v>0</v>
      </c>
      <c r="O399" s="45">
        <f t="shared" si="141"/>
        <v>0</v>
      </c>
      <c r="P399" s="45">
        <f t="shared" si="142"/>
        <v>0</v>
      </c>
      <c r="Q399" s="45">
        <f t="shared" si="143"/>
        <v>0.16666666666666666</v>
      </c>
      <c r="R399" s="45">
        <f t="shared" si="144"/>
        <v>0.16666666666666666</v>
      </c>
      <c r="S399" s="45">
        <f t="shared" si="145"/>
        <v>0.16666666666666666</v>
      </c>
      <c r="T399" s="45">
        <f t="shared" si="146"/>
        <v>0.16666666666666666</v>
      </c>
    </row>
    <row r="400" spans="1:20" x14ac:dyDescent="0.3">
      <c r="A400">
        <f t="shared" si="127"/>
        <v>0</v>
      </c>
      <c r="B400">
        <f t="shared" si="128"/>
        <v>1</v>
      </c>
      <c r="C400">
        <f t="shared" si="129"/>
        <v>1</v>
      </c>
      <c r="D400">
        <f t="shared" si="130"/>
        <v>0</v>
      </c>
      <c r="E400">
        <f t="shared" si="131"/>
        <v>0</v>
      </c>
      <c r="F400">
        <f t="shared" si="132"/>
        <v>1</v>
      </c>
      <c r="G400">
        <f t="shared" si="133"/>
        <v>0</v>
      </c>
      <c r="H400">
        <f t="shared" si="134"/>
        <v>0</v>
      </c>
      <c r="I400">
        <f t="shared" si="135"/>
        <v>0</v>
      </c>
      <c r="J400">
        <f t="shared" si="136"/>
        <v>0</v>
      </c>
      <c r="K400" s="45">
        <f t="shared" si="137"/>
        <v>0</v>
      </c>
      <c r="L400" s="45">
        <f t="shared" si="138"/>
        <v>0.33333333333333331</v>
      </c>
      <c r="M400" s="45">
        <f t="shared" si="139"/>
        <v>0.33333333333333331</v>
      </c>
      <c r="N400" s="45">
        <f t="shared" si="140"/>
        <v>0</v>
      </c>
      <c r="O400" s="45">
        <f t="shared" si="141"/>
        <v>0</v>
      </c>
      <c r="P400" s="45">
        <f t="shared" si="142"/>
        <v>0.33333333333333331</v>
      </c>
      <c r="Q400" s="45">
        <f t="shared" si="143"/>
        <v>0</v>
      </c>
      <c r="R400" s="45">
        <f t="shared" si="144"/>
        <v>0</v>
      </c>
      <c r="S400" s="45">
        <f t="shared" si="145"/>
        <v>0</v>
      </c>
      <c r="T400" s="45">
        <f t="shared" si="146"/>
        <v>0</v>
      </c>
    </row>
    <row r="401" spans="1:20" x14ac:dyDescent="0.3">
      <c r="A401">
        <f t="shared" si="127"/>
        <v>0</v>
      </c>
      <c r="B401">
        <f t="shared" si="128"/>
        <v>1</v>
      </c>
      <c r="C401">
        <f t="shared" si="129"/>
        <v>1</v>
      </c>
      <c r="D401">
        <f t="shared" si="130"/>
        <v>0</v>
      </c>
      <c r="E401">
        <f t="shared" si="131"/>
        <v>0</v>
      </c>
      <c r="F401">
        <f t="shared" si="132"/>
        <v>1</v>
      </c>
      <c r="G401">
        <f t="shared" si="133"/>
        <v>0</v>
      </c>
      <c r="H401">
        <f t="shared" si="134"/>
        <v>0</v>
      </c>
      <c r="I401">
        <f t="shared" si="135"/>
        <v>0</v>
      </c>
      <c r="J401">
        <f t="shared" si="136"/>
        <v>1</v>
      </c>
      <c r="K401" s="45">
        <f t="shared" si="137"/>
        <v>0</v>
      </c>
      <c r="L401" s="45">
        <f t="shared" si="138"/>
        <v>0.25</v>
      </c>
      <c r="M401" s="45">
        <f t="shared" si="139"/>
        <v>0.25</v>
      </c>
      <c r="N401" s="45">
        <f t="shared" si="140"/>
        <v>0</v>
      </c>
      <c r="O401" s="45">
        <f t="shared" si="141"/>
        <v>0</v>
      </c>
      <c r="P401" s="45">
        <f t="shared" si="142"/>
        <v>0.25</v>
      </c>
      <c r="Q401" s="45">
        <f t="shared" si="143"/>
        <v>0</v>
      </c>
      <c r="R401" s="45">
        <f t="shared" si="144"/>
        <v>0</v>
      </c>
      <c r="S401" s="45">
        <f t="shared" si="145"/>
        <v>0</v>
      </c>
      <c r="T401" s="45">
        <f t="shared" si="146"/>
        <v>0.25</v>
      </c>
    </row>
    <row r="402" spans="1:20" x14ac:dyDescent="0.3">
      <c r="A402">
        <f t="shared" si="127"/>
        <v>0</v>
      </c>
      <c r="B402">
        <f t="shared" si="128"/>
        <v>1</v>
      </c>
      <c r="C402">
        <f t="shared" si="129"/>
        <v>1</v>
      </c>
      <c r="D402">
        <f t="shared" si="130"/>
        <v>0</v>
      </c>
      <c r="E402">
        <f t="shared" si="131"/>
        <v>0</v>
      </c>
      <c r="F402">
        <f t="shared" si="132"/>
        <v>1</v>
      </c>
      <c r="G402">
        <f t="shared" si="133"/>
        <v>0</v>
      </c>
      <c r="H402">
        <f t="shared" si="134"/>
        <v>0</v>
      </c>
      <c r="I402">
        <f t="shared" si="135"/>
        <v>1</v>
      </c>
      <c r="J402">
        <f t="shared" si="136"/>
        <v>0</v>
      </c>
      <c r="K402" s="45">
        <f t="shared" si="137"/>
        <v>0</v>
      </c>
      <c r="L402" s="45">
        <f t="shared" si="138"/>
        <v>0.25</v>
      </c>
      <c r="M402" s="45">
        <f t="shared" si="139"/>
        <v>0.25</v>
      </c>
      <c r="N402" s="45">
        <f t="shared" si="140"/>
        <v>0</v>
      </c>
      <c r="O402" s="45">
        <f t="shared" si="141"/>
        <v>0</v>
      </c>
      <c r="P402" s="45">
        <f t="shared" si="142"/>
        <v>0.25</v>
      </c>
      <c r="Q402" s="45">
        <f t="shared" si="143"/>
        <v>0</v>
      </c>
      <c r="R402" s="45">
        <f t="shared" si="144"/>
        <v>0</v>
      </c>
      <c r="S402" s="45">
        <f t="shared" si="145"/>
        <v>0.25</v>
      </c>
      <c r="T402" s="45">
        <f t="shared" si="146"/>
        <v>0</v>
      </c>
    </row>
    <row r="403" spans="1:20" x14ac:dyDescent="0.3">
      <c r="A403">
        <f t="shared" si="127"/>
        <v>0</v>
      </c>
      <c r="B403">
        <f t="shared" si="128"/>
        <v>1</v>
      </c>
      <c r="C403">
        <f t="shared" si="129"/>
        <v>1</v>
      </c>
      <c r="D403">
        <f t="shared" si="130"/>
        <v>0</v>
      </c>
      <c r="E403">
        <f t="shared" si="131"/>
        <v>0</v>
      </c>
      <c r="F403">
        <f t="shared" si="132"/>
        <v>1</v>
      </c>
      <c r="G403">
        <f t="shared" si="133"/>
        <v>0</v>
      </c>
      <c r="H403">
        <f t="shared" si="134"/>
        <v>0</v>
      </c>
      <c r="I403">
        <f t="shared" si="135"/>
        <v>1</v>
      </c>
      <c r="J403">
        <f t="shared" si="136"/>
        <v>1</v>
      </c>
      <c r="K403" s="45">
        <f t="shared" si="137"/>
        <v>0</v>
      </c>
      <c r="L403" s="45">
        <f t="shared" si="138"/>
        <v>0.2</v>
      </c>
      <c r="M403" s="45">
        <f t="shared" si="139"/>
        <v>0.2</v>
      </c>
      <c r="N403" s="45">
        <f t="shared" si="140"/>
        <v>0</v>
      </c>
      <c r="O403" s="45">
        <f t="shared" si="141"/>
        <v>0</v>
      </c>
      <c r="P403" s="45">
        <f t="shared" si="142"/>
        <v>0.2</v>
      </c>
      <c r="Q403" s="45">
        <f t="shared" si="143"/>
        <v>0</v>
      </c>
      <c r="R403" s="45">
        <f t="shared" si="144"/>
        <v>0</v>
      </c>
      <c r="S403" s="45">
        <f t="shared" si="145"/>
        <v>0.2</v>
      </c>
      <c r="T403" s="45">
        <f t="shared" si="146"/>
        <v>0.2</v>
      </c>
    </row>
    <row r="404" spans="1:20" x14ac:dyDescent="0.3">
      <c r="A404">
        <f t="shared" si="127"/>
        <v>0</v>
      </c>
      <c r="B404">
        <f t="shared" si="128"/>
        <v>1</v>
      </c>
      <c r="C404">
        <f t="shared" si="129"/>
        <v>1</v>
      </c>
      <c r="D404">
        <f t="shared" si="130"/>
        <v>0</v>
      </c>
      <c r="E404">
        <f t="shared" si="131"/>
        <v>0</v>
      </c>
      <c r="F404">
        <f t="shared" si="132"/>
        <v>1</v>
      </c>
      <c r="G404">
        <f t="shared" si="133"/>
        <v>0</v>
      </c>
      <c r="H404">
        <f t="shared" si="134"/>
        <v>1</v>
      </c>
      <c r="I404">
        <f t="shared" si="135"/>
        <v>0</v>
      </c>
      <c r="J404">
        <f t="shared" si="136"/>
        <v>0</v>
      </c>
      <c r="K404" s="45">
        <f t="shared" si="137"/>
        <v>0</v>
      </c>
      <c r="L404" s="45">
        <f t="shared" si="138"/>
        <v>0.25</v>
      </c>
      <c r="M404" s="45">
        <f t="shared" si="139"/>
        <v>0.25</v>
      </c>
      <c r="N404" s="45">
        <f t="shared" si="140"/>
        <v>0</v>
      </c>
      <c r="O404" s="45">
        <f t="shared" si="141"/>
        <v>0</v>
      </c>
      <c r="P404" s="45">
        <f t="shared" si="142"/>
        <v>0.25</v>
      </c>
      <c r="Q404" s="45">
        <f t="shared" si="143"/>
        <v>0</v>
      </c>
      <c r="R404" s="45">
        <f t="shared" si="144"/>
        <v>0.25</v>
      </c>
      <c r="S404" s="45">
        <f t="shared" si="145"/>
        <v>0</v>
      </c>
      <c r="T404" s="45">
        <f t="shared" si="146"/>
        <v>0</v>
      </c>
    </row>
    <row r="405" spans="1:20" x14ac:dyDescent="0.3">
      <c r="A405">
        <f t="shared" si="127"/>
        <v>0</v>
      </c>
      <c r="B405">
        <f t="shared" si="128"/>
        <v>1</v>
      </c>
      <c r="C405">
        <f t="shared" si="129"/>
        <v>1</v>
      </c>
      <c r="D405">
        <f t="shared" si="130"/>
        <v>0</v>
      </c>
      <c r="E405">
        <f t="shared" si="131"/>
        <v>0</v>
      </c>
      <c r="F405">
        <f t="shared" si="132"/>
        <v>1</v>
      </c>
      <c r="G405">
        <f t="shared" si="133"/>
        <v>0</v>
      </c>
      <c r="H405">
        <f t="shared" si="134"/>
        <v>1</v>
      </c>
      <c r="I405">
        <f t="shared" si="135"/>
        <v>0</v>
      </c>
      <c r="J405">
        <f t="shared" si="136"/>
        <v>1</v>
      </c>
      <c r="K405" s="45">
        <f t="shared" si="137"/>
        <v>0</v>
      </c>
      <c r="L405" s="45">
        <f t="shared" si="138"/>
        <v>0.2</v>
      </c>
      <c r="M405" s="45">
        <f t="shared" si="139"/>
        <v>0.2</v>
      </c>
      <c r="N405" s="45">
        <f t="shared" si="140"/>
        <v>0</v>
      </c>
      <c r="O405" s="45">
        <f t="shared" si="141"/>
        <v>0</v>
      </c>
      <c r="P405" s="45">
        <f t="shared" si="142"/>
        <v>0.2</v>
      </c>
      <c r="Q405" s="45">
        <f t="shared" si="143"/>
        <v>0</v>
      </c>
      <c r="R405" s="45">
        <f t="shared" si="144"/>
        <v>0.2</v>
      </c>
      <c r="S405" s="45">
        <f t="shared" si="145"/>
        <v>0</v>
      </c>
      <c r="T405" s="45">
        <f t="shared" si="146"/>
        <v>0.2</v>
      </c>
    </row>
    <row r="406" spans="1:20" x14ac:dyDescent="0.3">
      <c r="A406">
        <f t="shared" si="127"/>
        <v>0</v>
      </c>
      <c r="B406">
        <f t="shared" si="128"/>
        <v>1</v>
      </c>
      <c r="C406">
        <f t="shared" si="129"/>
        <v>1</v>
      </c>
      <c r="D406">
        <f t="shared" si="130"/>
        <v>0</v>
      </c>
      <c r="E406">
        <f t="shared" si="131"/>
        <v>0</v>
      </c>
      <c r="F406">
        <f t="shared" si="132"/>
        <v>1</v>
      </c>
      <c r="G406">
        <f t="shared" si="133"/>
        <v>0</v>
      </c>
      <c r="H406">
        <f t="shared" si="134"/>
        <v>1</v>
      </c>
      <c r="I406">
        <f t="shared" si="135"/>
        <v>1</v>
      </c>
      <c r="J406">
        <f t="shared" si="136"/>
        <v>0</v>
      </c>
      <c r="K406" s="45">
        <f t="shared" si="137"/>
        <v>0</v>
      </c>
      <c r="L406" s="45">
        <f t="shared" si="138"/>
        <v>0.2</v>
      </c>
      <c r="M406" s="45">
        <f t="shared" si="139"/>
        <v>0.2</v>
      </c>
      <c r="N406" s="45">
        <f t="shared" si="140"/>
        <v>0</v>
      </c>
      <c r="O406" s="45">
        <f t="shared" si="141"/>
        <v>0</v>
      </c>
      <c r="P406" s="45">
        <f t="shared" si="142"/>
        <v>0.2</v>
      </c>
      <c r="Q406" s="45">
        <f t="shared" si="143"/>
        <v>0</v>
      </c>
      <c r="R406" s="45">
        <f t="shared" si="144"/>
        <v>0.2</v>
      </c>
      <c r="S406" s="45">
        <f t="shared" si="145"/>
        <v>0.2</v>
      </c>
      <c r="T406" s="45">
        <f t="shared" si="146"/>
        <v>0</v>
      </c>
    </row>
    <row r="407" spans="1:20" x14ac:dyDescent="0.3">
      <c r="A407">
        <f t="shared" si="127"/>
        <v>0</v>
      </c>
      <c r="B407">
        <f t="shared" si="128"/>
        <v>1</v>
      </c>
      <c r="C407">
        <f t="shared" si="129"/>
        <v>1</v>
      </c>
      <c r="D407">
        <f t="shared" si="130"/>
        <v>0</v>
      </c>
      <c r="E407">
        <f t="shared" si="131"/>
        <v>0</v>
      </c>
      <c r="F407">
        <f t="shared" si="132"/>
        <v>1</v>
      </c>
      <c r="G407">
        <f t="shared" si="133"/>
        <v>0</v>
      </c>
      <c r="H407">
        <f t="shared" si="134"/>
        <v>1</v>
      </c>
      <c r="I407">
        <f t="shared" si="135"/>
        <v>1</v>
      </c>
      <c r="J407">
        <f t="shared" si="136"/>
        <v>1</v>
      </c>
      <c r="K407" s="45">
        <f t="shared" si="137"/>
        <v>0</v>
      </c>
      <c r="L407" s="45">
        <f t="shared" si="138"/>
        <v>0.16666666666666666</v>
      </c>
      <c r="M407" s="45">
        <f t="shared" si="139"/>
        <v>0.16666666666666666</v>
      </c>
      <c r="N407" s="45">
        <f t="shared" si="140"/>
        <v>0</v>
      </c>
      <c r="O407" s="45">
        <f t="shared" si="141"/>
        <v>0</v>
      </c>
      <c r="P407" s="45">
        <f t="shared" si="142"/>
        <v>0.16666666666666666</v>
      </c>
      <c r="Q407" s="45">
        <f t="shared" si="143"/>
        <v>0</v>
      </c>
      <c r="R407" s="45">
        <f t="shared" si="144"/>
        <v>0.16666666666666666</v>
      </c>
      <c r="S407" s="45">
        <f t="shared" si="145"/>
        <v>0.16666666666666666</v>
      </c>
      <c r="T407" s="45">
        <f t="shared" si="146"/>
        <v>0.16666666666666666</v>
      </c>
    </row>
    <row r="408" spans="1:20" x14ac:dyDescent="0.3">
      <c r="A408">
        <f t="shared" si="127"/>
        <v>0</v>
      </c>
      <c r="B408">
        <f t="shared" si="128"/>
        <v>1</v>
      </c>
      <c r="C408">
        <f t="shared" si="129"/>
        <v>1</v>
      </c>
      <c r="D408">
        <f t="shared" si="130"/>
        <v>0</v>
      </c>
      <c r="E408">
        <f t="shared" si="131"/>
        <v>0</v>
      </c>
      <c r="F408">
        <f t="shared" si="132"/>
        <v>1</v>
      </c>
      <c r="G408">
        <f t="shared" si="133"/>
        <v>1</v>
      </c>
      <c r="H408">
        <f t="shared" si="134"/>
        <v>0</v>
      </c>
      <c r="I408">
        <f t="shared" si="135"/>
        <v>0</v>
      </c>
      <c r="J408">
        <f t="shared" si="136"/>
        <v>0</v>
      </c>
      <c r="K408" s="45">
        <f t="shared" si="137"/>
        <v>0</v>
      </c>
      <c r="L408" s="45">
        <f t="shared" si="138"/>
        <v>0.25</v>
      </c>
      <c r="M408" s="45">
        <f t="shared" si="139"/>
        <v>0.25</v>
      </c>
      <c r="N408" s="45">
        <f t="shared" si="140"/>
        <v>0</v>
      </c>
      <c r="O408" s="45">
        <f t="shared" si="141"/>
        <v>0</v>
      </c>
      <c r="P408" s="45">
        <f t="shared" si="142"/>
        <v>0.25</v>
      </c>
      <c r="Q408" s="45">
        <f t="shared" si="143"/>
        <v>0.25</v>
      </c>
      <c r="R408" s="45">
        <f t="shared" si="144"/>
        <v>0</v>
      </c>
      <c r="S408" s="45">
        <f t="shared" si="145"/>
        <v>0</v>
      </c>
      <c r="T408" s="45">
        <f t="shared" si="146"/>
        <v>0</v>
      </c>
    </row>
    <row r="409" spans="1:20" x14ac:dyDescent="0.3">
      <c r="A409">
        <f t="shared" si="127"/>
        <v>0</v>
      </c>
      <c r="B409">
        <f t="shared" si="128"/>
        <v>1</v>
      </c>
      <c r="C409">
        <f t="shared" si="129"/>
        <v>1</v>
      </c>
      <c r="D409">
        <f t="shared" si="130"/>
        <v>0</v>
      </c>
      <c r="E409">
        <f t="shared" si="131"/>
        <v>0</v>
      </c>
      <c r="F409">
        <f t="shared" si="132"/>
        <v>1</v>
      </c>
      <c r="G409">
        <f t="shared" si="133"/>
        <v>1</v>
      </c>
      <c r="H409">
        <f t="shared" si="134"/>
        <v>0</v>
      </c>
      <c r="I409">
        <f t="shared" si="135"/>
        <v>0</v>
      </c>
      <c r="J409">
        <f t="shared" si="136"/>
        <v>1</v>
      </c>
      <c r="K409" s="45">
        <f t="shared" si="137"/>
        <v>0</v>
      </c>
      <c r="L409" s="45">
        <f t="shared" si="138"/>
        <v>0.2</v>
      </c>
      <c r="M409" s="45">
        <f t="shared" si="139"/>
        <v>0.2</v>
      </c>
      <c r="N409" s="45">
        <f t="shared" si="140"/>
        <v>0</v>
      </c>
      <c r="O409" s="45">
        <f t="shared" si="141"/>
        <v>0</v>
      </c>
      <c r="P409" s="45">
        <f t="shared" si="142"/>
        <v>0.2</v>
      </c>
      <c r="Q409" s="45">
        <f t="shared" si="143"/>
        <v>0.2</v>
      </c>
      <c r="R409" s="45">
        <f t="shared" si="144"/>
        <v>0</v>
      </c>
      <c r="S409" s="45">
        <f t="shared" si="145"/>
        <v>0</v>
      </c>
      <c r="T409" s="45">
        <f t="shared" si="146"/>
        <v>0.2</v>
      </c>
    </row>
    <row r="410" spans="1:20" x14ac:dyDescent="0.3">
      <c r="A410">
        <f t="shared" si="127"/>
        <v>0</v>
      </c>
      <c r="B410">
        <f t="shared" si="128"/>
        <v>1</v>
      </c>
      <c r="C410">
        <f t="shared" si="129"/>
        <v>1</v>
      </c>
      <c r="D410">
        <f t="shared" si="130"/>
        <v>0</v>
      </c>
      <c r="E410">
        <f t="shared" si="131"/>
        <v>0</v>
      </c>
      <c r="F410">
        <f t="shared" si="132"/>
        <v>1</v>
      </c>
      <c r="G410">
        <f t="shared" si="133"/>
        <v>1</v>
      </c>
      <c r="H410">
        <f t="shared" si="134"/>
        <v>0</v>
      </c>
      <c r="I410">
        <f t="shared" si="135"/>
        <v>1</v>
      </c>
      <c r="J410">
        <f t="shared" si="136"/>
        <v>0</v>
      </c>
      <c r="K410" s="45">
        <f t="shared" si="137"/>
        <v>0</v>
      </c>
      <c r="L410" s="45">
        <f t="shared" si="138"/>
        <v>0.2</v>
      </c>
      <c r="M410" s="45">
        <f t="shared" si="139"/>
        <v>0.2</v>
      </c>
      <c r="N410" s="45">
        <f t="shared" si="140"/>
        <v>0</v>
      </c>
      <c r="O410" s="45">
        <f t="shared" si="141"/>
        <v>0</v>
      </c>
      <c r="P410" s="45">
        <f t="shared" si="142"/>
        <v>0.2</v>
      </c>
      <c r="Q410" s="45">
        <f t="shared" si="143"/>
        <v>0.2</v>
      </c>
      <c r="R410" s="45">
        <f t="shared" si="144"/>
        <v>0</v>
      </c>
      <c r="S410" s="45">
        <f t="shared" si="145"/>
        <v>0.2</v>
      </c>
      <c r="T410" s="45">
        <f t="shared" si="146"/>
        <v>0</v>
      </c>
    </row>
    <row r="411" spans="1:20" x14ac:dyDescent="0.3">
      <c r="A411">
        <f t="shared" si="127"/>
        <v>0</v>
      </c>
      <c r="B411">
        <f t="shared" si="128"/>
        <v>1</v>
      </c>
      <c r="C411">
        <f t="shared" si="129"/>
        <v>1</v>
      </c>
      <c r="D411">
        <f t="shared" si="130"/>
        <v>0</v>
      </c>
      <c r="E411">
        <f t="shared" si="131"/>
        <v>0</v>
      </c>
      <c r="F411">
        <f t="shared" si="132"/>
        <v>1</v>
      </c>
      <c r="G411">
        <f t="shared" si="133"/>
        <v>1</v>
      </c>
      <c r="H411">
        <f t="shared" si="134"/>
        <v>0</v>
      </c>
      <c r="I411">
        <f t="shared" si="135"/>
        <v>1</v>
      </c>
      <c r="J411">
        <f t="shared" si="136"/>
        <v>1</v>
      </c>
      <c r="K411" s="45">
        <f t="shared" si="137"/>
        <v>0</v>
      </c>
      <c r="L411" s="45">
        <f t="shared" si="138"/>
        <v>0.16666666666666666</v>
      </c>
      <c r="M411" s="45">
        <f t="shared" si="139"/>
        <v>0.16666666666666666</v>
      </c>
      <c r="N411" s="45">
        <f t="shared" si="140"/>
        <v>0</v>
      </c>
      <c r="O411" s="45">
        <f t="shared" si="141"/>
        <v>0</v>
      </c>
      <c r="P411" s="45">
        <f t="shared" si="142"/>
        <v>0.16666666666666666</v>
      </c>
      <c r="Q411" s="45">
        <f t="shared" si="143"/>
        <v>0.16666666666666666</v>
      </c>
      <c r="R411" s="45">
        <f t="shared" si="144"/>
        <v>0</v>
      </c>
      <c r="S411" s="45">
        <f t="shared" si="145"/>
        <v>0.16666666666666666</v>
      </c>
      <c r="T411" s="45">
        <f t="shared" si="146"/>
        <v>0.16666666666666666</v>
      </c>
    </row>
    <row r="412" spans="1:20" x14ac:dyDescent="0.3">
      <c r="A412">
        <f t="shared" si="127"/>
        <v>0</v>
      </c>
      <c r="B412">
        <f t="shared" si="128"/>
        <v>1</v>
      </c>
      <c r="C412">
        <f t="shared" si="129"/>
        <v>1</v>
      </c>
      <c r="D412">
        <f t="shared" si="130"/>
        <v>0</v>
      </c>
      <c r="E412">
        <f t="shared" si="131"/>
        <v>0</v>
      </c>
      <c r="F412">
        <f t="shared" si="132"/>
        <v>1</v>
      </c>
      <c r="G412">
        <f t="shared" si="133"/>
        <v>1</v>
      </c>
      <c r="H412">
        <f t="shared" si="134"/>
        <v>1</v>
      </c>
      <c r="I412">
        <f t="shared" si="135"/>
        <v>0</v>
      </c>
      <c r="J412">
        <f t="shared" si="136"/>
        <v>0</v>
      </c>
      <c r="K412" s="45">
        <f t="shared" si="137"/>
        <v>0</v>
      </c>
      <c r="L412" s="45">
        <f t="shared" si="138"/>
        <v>0.2</v>
      </c>
      <c r="M412" s="45">
        <f t="shared" si="139"/>
        <v>0.2</v>
      </c>
      <c r="N412" s="45">
        <f t="shared" si="140"/>
        <v>0</v>
      </c>
      <c r="O412" s="45">
        <f t="shared" si="141"/>
        <v>0</v>
      </c>
      <c r="P412" s="45">
        <f t="shared" si="142"/>
        <v>0.2</v>
      </c>
      <c r="Q412" s="45">
        <f t="shared" si="143"/>
        <v>0.2</v>
      </c>
      <c r="R412" s="45">
        <f t="shared" si="144"/>
        <v>0.2</v>
      </c>
      <c r="S412" s="45">
        <f t="shared" si="145"/>
        <v>0</v>
      </c>
      <c r="T412" s="45">
        <f t="shared" si="146"/>
        <v>0</v>
      </c>
    </row>
    <row r="413" spans="1:20" x14ac:dyDescent="0.3">
      <c r="A413">
        <f t="shared" si="127"/>
        <v>0</v>
      </c>
      <c r="B413">
        <f t="shared" si="128"/>
        <v>1</v>
      </c>
      <c r="C413">
        <f t="shared" si="129"/>
        <v>1</v>
      </c>
      <c r="D413">
        <f t="shared" si="130"/>
        <v>0</v>
      </c>
      <c r="E413">
        <f t="shared" si="131"/>
        <v>0</v>
      </c>
      <c r="F413">
        <f t="shared" si="132"/>
        <v>1</v>
      </c>
      <c r="G413">
        <f t="shared" si="133"/>
        <v>1</v>
      </c>
      <c r="H413">
        <f t="shared" si="134"/>
        <v>1</v>
      </c>
      <c r="I413">
        <f t="shared" si="135"/>
        <v>0</v>
      </c>
      <c r="J413">
        <f t="shared" si="136"/>
        <v>1</v>
      </c>
      <c r="K413" s="45">
        <f t="shared" si="137"/>
        <v>0</v>
      </c>
      <c r="L413" s="45">
        <f t="shared" si="138"/>
        <v>0.16666666666666666</v>
      </c>
      <c r="M413" s="45">
        <f t="shared" si="139"/>
        <v>0.16666666666666666</v>
      </c>
      <c r="N413" s="45">
        <f t="shared" si="140"/>
        <v>0</v>
      </c>
      <c r="O413" s="45">
        <f t="shared" si="141"/>
        <v>0</v>
      </c>
      <c r="P413" s="45">
        <f t="shared" si="142"/>
        <v>0.16666666666666666</v>
      </c>
      <c r="Q413" s="45">
        <f t="shared" si="143"/>
        <v>0.16666666666666666</v>
      </c>
      <c r="R413" s="45">
        <f t="shared" si="144"/>
        <v>0.16666666666666666</v>
      </c>
      <c r="S413" s="45">
        <f t="shared" si="145"/>
        <v>0</v>
      </c>
      <c r="T413" s="45">
        <f t="shared" si="146"/>
        <v>0.16666666666666666</v>
      </c>
    </row>
    <row r="414" spans="1:20" x14ac:dyDescent="0.3">
      <c r="A414">
        <f t="shared" si="127"/>
        <v>0</v>
      </c>
      <c r="B414">
        <f t="shared" si="128"/>
        <v>1</v>
      </c>
      <c r="C414">
        <f t="shared" si="129"/>
        <v>1</v>
      </c>
      <c r="D414">
        <f t="shared" si="130"/>
        <v>0</v>
      </c>
      <c r="E414">
        <f t="shared" si="131"/>
        <v>0</v>
      </c>
      <c r="F414">
        <f t="shared" si="132"/>
        <v>1</v>
      </c>
      <c r="G414">
        <f t="shared" si="133"/>
        <v>1</v>
      </c>
      <c r="H414">
        <f t="shared" si="134"/>
        <v>1</v>
      </c>
      <c r="I414">
        <f t="shared" si="135"/>
        <v>1</v>
      </c>
      <c r="J414">
        <f t="shared" si="136"/>
        <v>0</v>
      </c>
      <c r="K414" s="45">
        <f t="shared" si="137"/>
        <v>0</v>
      </c>
      <c r="L414" s="45">
        <f t="shared" si="138"/>
        <v>0.16666666666666666</v>
      </c>
      <c r="M414" s="45">
        <f t="shared" si="139"/>
        <v>0.16666666666666666</v>
      </c>
      <c r="N414" s="45">
        <f t="shared" si="140"/>
        <v>0</v>
      </c>
      <c r="O414" s="45">
        <f t="shared" si="141"/>
        <v>0</v>
      </c>
      <c r="P414" s="45">
        <f t="shared" si="142"/>
        <v>0.16666666666666666</v>
      </c>
      <c r="Q414" s="45">
        <f t="shared" si="143"/>
        <v>0.16666666666666666</v>
      </c>
      <c r="R414" s="45">
        <f t="shared" si="144"/>
        <v>0.16666666666666666</v>
      </c>
      <c r="S414" s="45">
        <f t="shared" si="145"/>
        <v>0.16666666666666666</v>
      </c>
      <c r="T414" s="45">
        <f t="shared" si="146"/>
        <v>0</v>
      </c>
    </row>
    <row r="415" spans="1:20" x14ac:dyDescent="0.3">
      <c r="A415">
        <f t="shared" si="127"/>
        <v>0</v>
      </c>
      <c r="B415">
        <f t="shared" si="128"/>
        <v>1</v>
      </c>
      <c r="C415">
        <f t="shared" si="129"/>
        <v>1</v>
      </c>
      <c r="D415">
        <f t="shared" si="130"/>
        <v>0</v>
      </c>
      <c r="E415">
        <f t="shared" si="131"/>
        <v>0</v>
      </c>
      <c r="F415">
        <f t="shared" si="132"/>
        <v>1</v>
      </c>
      <c r="G415">
        <f t="shared" si="133"/>
        <v>1</v>
      </c>
      <c r="H415">
        <f t="shared" si="134"/>
        <v>1</v>
      </c>
      <c r="I415">
        <f t="shared" si="135"/>
        <v>1</v>
      </c>
      <c r="J415">
        <f t="shared" si="136"/>
        <v>1</v>
      </c>
      <c r="K415" s="45">
        <f t="shared" si="137"/>
        <v>0</v>
      </c>
      <c r="L415" s="45">
        <f t="shared" si="138"/>
        <v>0.14285714285714285</v>
      </c>
      <c r="M415" s="45">
        <f t="shared" si="139"/>
        <v>0.14285714285714285</v>
      </c>
      <c r="N415" s="45">
        <f t="shared" si="140"/>
        <v>0</v>
      </c>
      <c r="O415" s="45">
        <f t="shared" si="141"/>
        <v>0</v>
      </c>
      <c r="P415" s="45">
        <f t="shared" si="142"/>
        <v>0.14285714285714285</v>
      </c>
      <c r="Q415" s="45">
        <f t="shared" si="143"/>
        <v>0.14285714285714285</v>
      </c>
      <c r="R415" s="45">
        <f t="shared" si="144"/>
        <v>0.14285714285714285</v>
      </c>
      <c r="S415" s="45">
        <f t="shared" si="145"/>
        <v>0.14285714285714285</v>
      </c>
      <c r="T415" s="45">
        <f t="shared" si="146"/>
        <v>0.14285714285714285</v>
      </c>
    </row>
    <row r="416" spans="1:20" x14ac:dyDescent="0.3">
      <c r="A416">
        <f t="shared" si="127"/>
        <v>0</v>
      </c>
      <c r="B416">
        <f t="shared" si="128"/>
        <v>1</v>
      </c>
      <c r="C416">
        <f t="shared" si="129"/>
        <v>1</v>
      </c>
      <c r="D416">
        <f t="shared" si="130"/>
        <v>0</v>
      </c>
      <c r="E416">
        <f t="shared" si="131"/>
        <v>1</v>
      </c>
      <c r="F416">
        <f t="shared" si="132"/>
        <v>0</v>
      </c>
      <c r="G416">
        <f t="shared" si="133"/>
        <v>0</v>
      </c>
      <c r="H416">
        <f t="shared" si="134"/>
        <v>0</v>
      </c>
      <c r="I416">
        <f t="shared" si="135"/>
        <v>0</v>
      </c>
      <c r="J416">
        <f t="shared" si="136"/>
        <v>0</v>
      </c>
      <c r="K416" s="45">
        <f t="shared" si="137"/>
        <v>0</v>
      </c>
      <c r="L416" s="45">
        <f t="shared" si="138"/>
        <v>0.33333333333333331</v>
      </c>
      <c r="M416" s="45">
        <f t="shared" si="139"/>
        <v>0.33333333333333331</v>
      </c>
      <c r="N416" s="45">
        <f t="shared" si="140"/>
        <v>0</v>
      </c>
      <c r="O416" s="45">
        <f t="shared" si="141"/>
        <v>0.33333333333333331</v>
      </c>
      <c r="P416" s="45">
        <f t="shared" si="142"/>
        <v>0</v>
      </c>
      <c r="Q416" s="45">
        <f t="shared" si="143"/>
        <v>0</v>
      </c>
      <c r="R416" s="45">
        <f t="shared" si="144"/>
        <v>0</v>
      </c>
      <c r="S416" s="45">
        <f t="shared" si="145"/>
        <v>0</v>
      </c>
      <c r="T416" s="45">
        <f t="shared" si="146"/>
        <v>0</v>
      </c>
    </row>
    <row r="417" spans="1:20" x14ac:dyDescent="0.3">
      <c r="A417">
        <f t="shared" si="127"/>
        <v>0</v>
      </c>
      <c r="B417">
        <f t="shared" si="128"/>
        <v>1</v>
      </c>
      <c r="C417">
        <f t="shared" si="129"/>
        <v>1</v>
      </c>
      <c r="D417">
        <f t="shared" si="130"/>
        <v>0</v>
      </c>
      <c r="E417">
        <f t="shared" si="131"/>
        <v>1</v>
      </c>
      <c r="F417">
        <f t="shared" si="132"/>
        <v>0</v>
      </c>
      <c r="G417">
        <f t="shared" si="133"/>
        <v>0</v>
      </c>
      <c r="H417">
        <f t="shared" si="134"/>
        <v>0</v>
      </c>
      <c r="I417">
        <f t="shared" si="135"/>
        <v>0</v>
      </c>
      <c r="J417">
        <f t="shared" si="136"/>
        <v>1</v>
      </c>
      <c r="K417" s="45">
        <f t="shared" si="137"/>
        <v>0</v>
      </c>
      <c r="L417" s="45">
        <f t="shared" si="138"/>
        <v>0.25</v>
      </c>
      <c r="M417" s="45">
        <f t="shared" si="139"/>
        <v>0.25</v>
      </c>
      <c r="N417" s="45">
        <f t="shared" si="140"/>
        <v>0</v>
      </c>
      <c r="O417" s="45">
        <f t="shared" si="141"/>
        <v>0.25</v>
      </c>
      <c r="P417" s="45">
        <f t="shared" si="142"/>
        <v>0</v>
      </c>
      <c r="Q417" s="45">
        <f t="shared" si="143"/>
        <v>0</v>
      </c>
      <c r="R417" s="45">
        <f t="shared" si="144"/>
        <v>0</v>
      </c>
      <c r="S417" s="45">
        <f t="shared" si="145"/>
        <v>0</v>
      </c>
      <c r="T417" s="45">
        <f t="shared" si="146"/>
        <v>0.25</v>
      </c>
    </row>
    <row r="418" spans="1:20" x14ac:dyDescent="0.3">
      <c r="A418">
        <f t="shared" si="127"/>
        <v>0</v>
      </c>
      <c r="B418">
        <f t="shared" si="128"/>
        <v>1</v>
      </c>
      <c r="C418">
        <f t="shared" si="129"/>
        <v>1</v>
      </c>
      <c r="D418">
        <f t="shared" si="130"/>
        <v>0</v>
      </c>
      <c r="E418">
        <f t="shared" si="131"/>
        <v>1</v>
      </c>
      <c r="F418">
        <f t="shared" si="132"/>
        <v>0</v>
      </c>
      <c r="G418">
        <f t="shared" si="133"/>
        <v>0</v>
      </c>
      <c r="H418">
        <f t="shared" si="134"/>
        <v>0</v>
      </c>
      <c r="I418">
        <f t="shared" si="135"/>
        <v>1</v>
      </c>
      <c r="J418">
        <f t="shared" si="136"/>
        <v>0</v>
      </c>
      <c r="K418" s="45">
        <f t="shared" si="137"/>
        <v>0</v>
      </c>
      <c r="L418" s="45">
        <f t="shared" si="138"/>
        <v>0.25</v>
      </c>
      <c r="M418" s="45">
        <f t="shared" si="139"/>
        <v>0.25</v>
      </c>
      <c r="N418" s="45">
        <f t="shared" si="140"/>
        <v>0</v>
      </c>
      <c r="O418" s="45">
        <f t="shared" si="141"/>
        <v>0.25</v>
      </c>
      <c r="P418" s="45">
        <f t="shared" si="142"/>
        <v>0</v>
      </c>
      <c r="Q418" s="45">
        <f t="shared" si="143"/>
        <v>0</v>
      </c>
      <c r="R418" s="45">
        <f t="shared" si="144"/>
        <v>0</v>
      </c>
      <c r="S418" s="45">
        <f t="shared" si="145"/>
        <v>0.25</v>
      </c>
      <c r="T418" s="45">
        <f t="shared" si="146"/>
        <v>0</v>
      </c>
    </row>
    <row r="419" spans="1:20" x14ac:dyDescent="0.3">
      <c r="A419">
        <f t="shared" si="127"/>
        <v>0</v>
      </c>
      <c r="B419">
        <f t="shared" si="128"/>
        <v>1</v>
      </c>
      <c r="C419">
        <f t="shared" si="129"/>
        <v>1</v>
      </c>
      <c r="D419">
        <f t="shared" si="130"/>
        <v>0</v>
      </c>
      <c r="E419">
        <f t="shared" si="131"/>
        <v>1</v>
      </c>
      <c r="F419">
        <f t="shared" si="132"/>
        <v>0</v>
      </c>
      <c r="G419">
        <f t="shared" si="133"/>
        <v>0</v>
      </c>
      <c r="H419">
        <f t="shared" si="134"/>
        <v>0</v>
      </c>
      <c r="I419">
        <f t="shared" si="135"/>
        <v>1</v>
      </c>
      <c r="J419">
        <f t="shared" si="136"/>
        <v>1</v>
      </c>
      <c r="K419" s="45">
        <f t="shared" si="137"/>
        <v>0</v>
      </c>
      <c r="L419" s="45">
        <f t="shared" si="138"/>
        <v>0.2</v>
      </c>
      <c r="M419" s="45">
        <f t="shared" si="139"/>
        <v>0.2</v>
      </c>
      <c r="N419" s="45">
        <f t="shared" si="140"/>
        <v>0</v>
      </c>
      <c r="O419" s="45">
        <f t="shared" si="141"/>
        <v>0.2</v>
      </c>
      <c r="P419" s="45">
        <f t="shared" si="142"/>
        <v>0</v>
      </c>
      <c r="Q419" s="45">
        <f t="shared" si="143"/>
        <v>0</v>
      </c>
      <c r="R419" s="45">
        <f t="shared" si="144"/>
        <v>0</v>
      </c>
      <c r="S419" s="45">
        <f t="shared" si="145"/>
        <v>0.2</v>
      </c>
      <c r="T419" s="45">
        <f t="shared" si="146"/>
        <v>0.2</v>
      </c>
    </row>
    <row r="420" spans="1:20" x14ac:dyDescent="0.3">
      <c r="A420">
        <f t="shared" si="127"/>
        <v>0</v>
      </c>
      <c r="B420">
        <f t="shared" si="128"/>
        <v>1</v>
      </c>
      <c r="C420">
        <f t="shared" si="129"/>
        <v>1</v>
      </c>
      <c r="D420">
        <f t="shared" si="130"/>
        <v>0</v>
      </c>
      <c r="E420">
        <f t="shared" si="131"/>
        <v>1</v>
      </c>
      <c r="F420">
        <f t="shared" si="132"/>
        <v>0</v>
      </c>
      <c r="G420">
        <f t="shared" si="133"/>
        <v>0</v>
      </c>
      <c r="H420">
        <f t="shared" si="134"/>
        <v>1</v>
      </c>
      <c r="I420">
        <f t="shared" si="135"/>
        <v>0</v>
      </c>
      <c r="J420">
        <f t="shared" si="136"/>
        <v>0</v>
      </c>
      <c r="K420" s="45">
        <f t="shared" si="137"/>
        <v>0</v>
      </c>
      <c r="L420" s="45">
        <f t="shared" si="138"/>
        <v>0.25</v>
      </c>
      <c r="M420" s="45">
        <f t="shared" si="139"/>
        <v>0.25</v>
      </c>
      <c r="N420" s="45">
        <f t="shared" si="140"/>
        <v>0</v>
      </c>
      <c r="O420" s="45">
        <f t="shared" si="141"/>
        <v>0.25</v>
      </c>
      <c r="P420" s="45">
        <f t="shared" si="142"/>
        <v>0</v>
      </c>
      <c r="Q420" s="45">
        <f t="shared" si="143"/>
        <v>0</v>
      </c>
      <c r="R420" s="45">
        <f t="shared" si="144"/>
        <v>0.25</v>
      </c>
      <c r="S420" s="45">
        <f t="shared" si="145"/>
        <v>0</v>
      </c>
      <c r="T420" s="45">
        <f t="shared" si="146"/>
        <v>0</v>
      </c>
    </row>
    <row r="421" spans="1:20" x14ac:dyDescent="0.3">
      <c r="A421">
        <f t="shared" si="127"/>
        <v>0</v>
      </c>
      <c r="B421">
        <f t="shared" si="128"/>
        <v>1</v>
      </c>
      <c r="C421">
        <f t="shared" si="129"/>
        <v>1</v>
      </c>
      <c r="D421">
        <f t="shared" si="130"/>
        <v>0</v>
      </c>
      <c r="E421">
        <f t="shared" si="131"/>
        <v>1</v>
      </c>
      <c r="F421">
        <f t="shared" si="132"/>
        <v>0</v>
      </c>
      <c r="G421">
        <f t="shared" si="133"/>
        <v>0</v>
      </c>
      <c r="H421">
        <f t="shared" si="134"/>
        <v>1</v>
      </c>
      <c r="I421">
        <f t="shared" si="135"/>
        <v>0</v>
      </c>
      <c r="J421">
        <f t="shared" si="136"/>
        <v>1</v>
      </c>
      <c r="K421" s="45">
        <f t="shared" si="137"/>
        <v>0</v>
      </c>
      <c r="L421" s="45">
        <f t="shared" si="138"/>
        <v>0.2</v>
      </c>
      <c r="M421" s="45">
        <f t="shared" si="139"/>
        <v>0.2</v>
      </c>
      <c r="N421" s="45">
        <f t="shared" si="140"/>
        <v>0</v>
      </c>
      <c r="O421" s="45">
        <f t="shared" si="141"/>
        <v>0.2</v>
      </c>
      <c r="P421" s="45">
        <f t="shared" si="142"/>
        <v>0</v>
      </c>
      <c r="Q421" s="45">
        <f t="shared" si="143"/>
        <v>0</v>
      </c>
      <c r="R421" s="45">
        <f t="shared" si="144"/>
        <v>0.2</v>
      </c>
      <c r="S421" s="45">
        <f t="shared" si="145"/>
        <v>0</v>
      </c>
      <c r="T421" s="45">
        <f t="shared" si="146"/>
        <v>0.2</v>
      </c>
    </row>
    <row r="422" spans="1:20" x14ac:dyDescent="0.3">
      <c r="A422">
        <f t="shared" si="127"/>
        <v>0</v>
      </c>
      <c r="B422">
        <f t="shared" si="128"/>
        <v>1</v>
      </c>
      <c r="C422">
        <f t="shared" si="129"/>
        <v>1</v>
      </c>
      <c r="D422">
        <f t="shared" si="130"/>
        <v>0</v>
      </c>
      <c r="E422">
        <f t="shared" si="131"/>
        <v>1</v>
      </c>
      <c r="F422">
        <f t="shared" si="132"/>
        <v>0</v>
      </c>
      <c r="G422">
        <f t="shared" si="133"/>
        <v>0</v>
      </c>
      <c r="H422">
        <f t="shared" si="134"/>
        <v>1</v>
      </c>
      <c r="I422">
        <f t="shared" si="135"/>
        <v>1</v>
      </c>
      <c r="J422">
        <f t="shared" si="136"/>
        <v>0</v>
      </c>
      <c r="K422" s="45">
        <f t="shared" si="137"/>
        <v>0</v>
      </c>
      <c r="L422" s="45">
        <f t="shared" si="138"/>
        <v>0.2</v>
      </c>
      <c r="M422" s="45">
        <f t="shared" si="139"/>
        <v>0.2</v>
      </c>
      <c r="N422" s="45">
        <f t="shared" si="140"/>
        <v>0</v>
      </c>
      <c r="O422" s="45">
        <f t="shared" si="141"/>
        <v>0.2</v>
      </c>
      <c r="P422" s="45">
        <f t="shared" si="142"/>
        <v>0</v>
      </c>
      <c r="Q422" s="45">
        <f t="shared" si="143"/>
        <v>0</v>
      </c>
      <c r="R422" s="45">
        <f t="shared" si="144"/>
        <v>0.2</v>
      </c>
      <c r="S422" s="45">
        <f t="shared" si="145"/>
        <v>0.2</v>
      </c>
      <c r="T422" s="45">
        <f t="shared" si="146"/>
        <v>0</v>
      </c>
    </row>
    <row r="423" spans="1:20" x14ac:dyDescent="0.3">
      <c r="A423">
        <f t="shared" si="127"/>
        <v>0</v>
      </c>
      <c r="B423">
        <f t="shared" si="128"/>
        <v>1</v>
      </c>
      <c r="C423">
        <f t="shared" si="129"/>
        <v>1</v>
      </c>
      <c r="D423">
        <f t="shared" si="130"/>
        <v>0</v>
      </c>
      <c r="E423">
        <f t="shared" si="131"/>
        <v>1</v>
      </c>
      <c r="F423">
        <f t="shared" si="132"/>
        <v>0</v>
      </c>
      <c r="G423">
        <f t="shared" si="133"/>
        <v>0</v>
      </c>
      <c r="H423">
        <f t="shared" si="134"/>
        <v>1</v>
      </c>
      <c r="I423">
        <f t="shared" si="135"/>
        <v>1</v>
      </c>
      <c r="J423">
        <f t="shared" si="136"/>
        <v>1</v>
      </c>
      <c r="K423" s="45">
        <f t="shared" si="137"/>
        <v>0</v>
      </c>
      <c r="L423" s="45">
        <f t="shared" si="138"/>
        <v>0.16666666666666666</v>
      </c>
      <c r="M423" s="45">
        <f t="shared" si="139"/>
        <v>0.16666666666666666</v>
      </c>
      <c r="N423" s="45">
        <f t="shared" si="140"/>
        <v>0</v>
      </c>
      <c r="O423" s="45">
        <f t="shared" si="141"/>
        <v>0.16666666666666666</v>
      </c>
      <c r="P423" s="45">
        <f t="shared" si="142"/>
        <v>0</v>
      </c>
      <c r="Q423" s="45">
        <f t="shared" si="143"/>
        <v>0</v>
      </c>
      <c r="R423" s="45">
        <f t="shared" si="144"/>
        <v>0.16666666666666666</v>
      </c>
      <c r="S423" s="45">
        <f t="shared" si="145"/>
        <v>0.16666666666666666</v>
      </c>
      <c r="T423" s="45">
        <f t="shared" si="146"/>
        <v>0.16666666666666666</v>
      </c>
    </row>
    <row r="424" spans="1:20" x14ac:dyDescent="0.3">
      <c r="A424">
        <f t="shared" si="127"/>
        <v>0</v>
      </c>
      <c r="B424">
        <f t="shared" si="128"/>
        <v>1</v>
      </c>
      <c r="C424">
        <f t="shared" si="129"/>
        <v>1</v>
      </c>
      <c r="D424">
        <f t="shared" si="130"/>
        <v>0</v>
      </c>
      <c r="E424">
        <f t="shared" si="131"/>
        <v>1</v>
      </c>
      <c r="F424">
        <f t="shared" si="132"/>
        <v>0</v>
      </c>
      <c r="G424">
        <f t="shared" si="133"/>
        <v>1</v>
      </c>
      <c r="H424">
        <f t="shared" si="134"/>
        <v>0</v>
      </c>
      <c r="I424">
        <f t="shared" si="135"/>
        <v>0</v>
      </c>
      <c r="J424">
        <f t="shared" si="136"/>
        <v>0</v>
      </c>
      <c r="K424" s="45">
        <f t="shared" si="137"/>
        <v>0</v>
      </c>
      <c r="L424" s="45">
        <f t="shared" si="138"/>
        <v>0.25</v>
      </c>
      <c r="M424" s="45">
        <f t="shared" si="139"/>
        <v>0.25</v>
      </c>
      <c r="N424" s="45">
        <f t="shared" si="140"/>
        <v>0</v>
      </c>
      <c r="O424" s="45">
        <f t="shared" si="141"/>
        <v>0.25</v>
      </c>
      <c r="P424" s="45">
        <f t="shared" si="142"/>
        <v>0</v>
      </c>
      <c r="Q424" s="45">
        <f t="shared" si="143"/>
        <v>0.25</v>
      </c>
      <c r="R424" s="45">
        <f t="shared" si="144"/>
        <v>0</v>
      </c>
      <c r="S424" s="45">
        <f t="shared" si="145"/>
        <v>0</v>
      </c>
      <c r="T424" s="45">
        <f t="shared" si="146"/>
        <v>0</v>
      </c>
    </row>
    <row r="425" spans="1:20" x14ac:dyDescent="0.3">
      <c r="A425">
        <f t="shared" si="127"/>
        <v>0</v>
      </c>
      <c r="B425">
        <f t="shared" si="128"/>
        <v>1</v>
      </c>
      <c r="C425">
        <f t="shared" si="129"/>
        <v>1</v>
      </c>
      <c r="D425">
        <f t="shared" si="130"/>
        <v>0</v>
      </c>
      <c r="E425">
        <f t="shared" si="131"/>
        <v>1</v>
      </c>
      <c r="F425">
        <f t="shared" si="132"/>
        <v>0</v>
      </c>
      <c r="G425">
        <f t="shared" si="133"/>
        <v>1</v>
      </c>
      <c r="H425">
        <f t="shared" si="134"/>
        <v>0</v>
      </c>
      <c r="I425">
        <f t="shared" si="135"/>
        <v>0</v>
      </c>
      <c r="J425">
        <f t="shared" si="136"/>
        <v>1</v>
      </c>
      <c r="K425" s="45">
        <f t="shared" si="137"/>
        <v>0</v>
      </c>
      <c r="L425" s="45">
        <f t="shared" si="138"/>
        <v>0.2</v>
      </c>
      <c r="M425" s="45">
        <f t="shared" si="139"/>
        <v>0.2</v>
      </c>
      <c r="N425" s="45">
        <f t="shared" si="140"/>
        <v>0</v>
      </c>
      <c r="O425" s="45">
        <f t="shared" si="141"/>
        <v>0.2</v>
      </c>
      <c r="P425" s="45">
        <f t="shared" si="142"/>
        <v>0</v>
      </c>
      <c r="Q425" s="45">
        <f t="shared" si="143"/>
        <v>0.2</v>
      </c>
      <c r="R425" s="45">
        <f t="shared" si="144"/>
        <v>0</v>
      </c>
      <c r="S425" s="45">
        <f t="shared" si="145"/>
        <v>0</v>
      </c>
      <c r="T425" s="45">
        <f t="shared" si="146"/>
        <v>0.2</v>
      </c>
    </row>
    <row r="426" spans="1:20" x14ac:dyDescent="0.3">
      <c r="A426">
        <f t="shared" si="127"/>
        <v>0</v>
      </c>
      <c r="B426">
        <f t="shared" si="128"/>
        <v>1</v>
      </c>
      <c r="C426">
        <f t="shared" si="129"/>
        <v>1</v>
      </c>
      <c r="D426">
        <f t="shared" si="130"/>
        <v>0</v>
      </c>
      <c r="E426">
        <f t="shared" si="131"/>
        <v>1</v>
      </c>
      <c r="F426">
        <f t="shared" si="132"/>
        <v>0</v>
      </c>
      <c r="G426">
        <f t="shared" si="133"/>
        <v>1</v>
      </c>
      <c r="H426">
        <f t="shared" si="134"/>
        <v>0</v>
      </c>
      <c r="I426">
        <f t="shared" si="135"/>
        <v>1</v>
      </c>
      <c r="J426">
        <f t="shared" si="136"/>
        <v>0</v>
      </c>
      <c r="K426" s="45">
        <f t="shared" si="137"/>
        <v>0</v>
      </c>
      <c r="L426" s="45">
        <f t="shared" si="138"/>
        <v>0.2</v>
      </c>
      <c r="M426" s="45">
        <f t="shared" si="139"/>
        <v>0.2</v>
      </c>
      <c r="N426" s="45">
        <f t="shared" si="140"/>
        <v>0</v>
      </c>
      <c r="O426" s="45">
        <f t="shared" si="141"/>
        <v>0.2</v>
      </c>
      <c r="P426" s="45">
        <f t="shared" si="142"/>
        <v>0</v>
      </c>
      <c r="Q426" s="45">
        <f t="shared" si="143"/>
        <v>0.2</v>
      </c>
      <c r="R426" s="45">
        <f t="shared" si="144"/>
        <v>0</v>
      </c>
      <c r="S426" s="45">
        <f t="shared" si="145"/>
        <v>0.2</v>
      </c>
      <c r="T426" s="45">
        <f t="shared" si="146"/>
        <v>0</v>
      </c>
    </row>
    <row r="427" spans="1:20" x14ac:dyDescent="0.3">
      <c r="A427">
        <f t="shared" si="127"/>
        <v>0</v>
      </c>
      <c r="B427">
        <f t="shared" si="128"/>
        <v>1</v>
      </c>
      <c r="C427">
        <f t="shared" si="129"/>
        <v>1</v>
      </c>
      <c r="D427">
        <f t="shared" si="130"/>
        <v>0</v>
      </c>
      <c r="E427">
        <f t="shared" si="131"/>
        <v>1</v>
      </c>
      <c r="F427">
        <f t="shared" si="132"/>
        <v>0</v>
      </c>
      <c r="G427">
        <f t="shared" si="133"/>
        <v>1</v>
      </c>
      <c r="H427">
        <f t="shared" si="134"/>
        <v>0</v>
      </c>
      <c r="I427">
        <f t="shared" si="135"/>
        <v>1</v>
      </c>
      <c r="J427">
        <f t="shared" si="136"/>
        <v>1</v>
      </c>
      <c r="K427" s="45">
        <f t="shared" si="137"/>
        <v>0</v>
      </c>
      <c r="L427" s="45">
        <f t="shared" si="138"/>
        <v>0.16666666666666666</v>
      </c>
      <c r="M427" s="45">
        <f t="shared" si="139"/>
        <v>0.16666666666666666</v>
      </c>
      <c r="N427" s="45">
        <f t="shared" si="140"/>
        <v>0</v>
      </c>
      <c r="O427" s="45">
        <f t="shared" si="141"/>
        <v>0.16666666666666666</v>
      </c>
      <c r="P427" s="45">
        <f t="shared" si="142"/>
        <v>0</v>
      </c>
      <c r="Q427" s="45">
        <f t="shared" si="143"/>
        <v>0.16666666666666666</v>
      </c>
      <c r="R427" s="45">
        <f t="shared" si="144"/>
        <v>0</v>
      </c>
      <c r="S427" s="45">
        <f t="shared" si="145"/>
        <v>0.16666666666666666</v>
      </c>
      <c r="T427" s="45">
        <f t="shared" si="146"/>
        <v>0.16666666666666666</v>
      </c>
    </row>
    <row r="428" spans="1:20" x14ac:dyDescent="0.3">
      <c r="A428">
        <f t="shared" si="127"/>
        <v>0</v>
      </c>
      <c r="B428">
        <f t="shared" si="128"/>
        <v>1</v>
      </c>
      <c r="C428">
        <f t="shared" si="129"/>
        <v>1</v>
      </c>
      <c r="D428">
        <f t="shared" si="130"/>
        <v>0</v>
      </c>
      <c r="E428">
        <f t="shared" si="131"/>
        <v>1</v>
      </c>
      <c r="F428">
        <f t="shared" si="132"/>
        <v>0</v>
      </c>
      <c r="G428">
        <f t="shared" si="133"/>
        <v>1</v>
      </c>
      <c r="H428">
        <f t="shared" si="134"/>
        <v>1</v>
      </c>
      <c r="I428">
        <f t="shared" si="135"/>
        <v>0</v>
      </c>
      <c r="J428">
        <f t="shared" si="136"/>
        <v>0</v>
      </c>
      <c r="K428" s="45">
        <f t="shared" si="137"/>
        <v>0</v>
      </c>
      <c r="L428" s="45">
        <f t="shared" si="138"/>
        <v>0.2</v>
      </c>
      <c r="M428" s="45">
        <f t="shared" si="139"/>
        <v>0.2</v>
      </c>
      <c r="N428" s="45">
        <f t="shared" si="140"/>
        <v>0</v>
      </c>
      <c r="O428" s="45">
        <f t="shared" si="141"/>
        <v>0.2</v>
      </c>
      <c r="P428" s="45">
        <f t="shared" si="142"/>
        <v>0</v>
      </c>
      <c r="Q428" s="45">
        <f t="shared" si="143"/>
        <v>0.2</v>
      </c>
      <c r="R428" s="45">
        <f t="shared" si="144"/>
        <v>0.2</v>
      </c>
      <c r="S428" s="45">
        <f t="shared" si="145"/>
        <v>0</v>
      </c>
      <c r="T428" s="45">
        <f t="shared" si="146"/>
        <v>0</v>
      </c>
    </row>
    <row r="429" spans="1:20" x14ac:dyDescent="0.3">
      <c r="A429">
        <f t="shared" si="127"/>
        <v>0</v>
      </c>
      <c r="B429">
        <f t="shared" si="128"/>
        <v>1</v>
      </c>
      <c r="C429">
        <f t="shared" si="129"/>
        <v>1</v>
      </c>
      <c r="D429">
        <f t="shared" si="130"/>
        <v>0</v>
      </c>
      <c r="E429">
        <f t="shared" si="131"/>
        <v>1</v>
      </c>
      <c r="F429">
        <f t="shared" si="132"/>
        <v>0</v>
      </c>
      <c r="G429">
        <f t="shared" si="133"/>
        <v>1</v>
      </c>
      <c r="H429">
        <f t="shared" si="134"/>
        <v>1</v>
      </c>
      <c r="I429">
        <f t="shared" si="135"/>
        <v>0</v>
      </c>
      <c r="J429">
        <f t="shared" si="136"/>
        <v>1</v>
      </c>
      <c r="K429" s="45">
        <f t="shared" si="137"/>
        <v>0</v>
      </c>
      <c r="L429" s="45">
        <f t="shared" si="138"/>
        <v>0.16666666666666666</v>
      </c>
      <c r="M429" s="45">
        <f t="shared" si="139"/>
        <v>0.16666666666666666</v>
      </c>
      <c r="N429" s="45">
        <f t="shared" si="140"/>
        <v>0</v>
      </c>
      <c r="O429" s="45">
        <f t="shared" si="141"/>
        <v>0.16666666666666666</v>
      </c>
      <c r="P429" s="45">
        <f t="shared" si="142"/>
        <v>0</v>
      </c>
      <c r="Q429" s="45">
        <f t="shared" si="143"/>
        <v>0.16666666666666666</v>
      </c>
      <c r="R429" s="45">
        <f t="shared" si="144"/>
        <v>0.16666666666666666</v>
      </c>
      <c r="S429" s="45">
        <f t="shared" si="145"/>
        <v>0</v>
      </c>
      <c r="T429" s="45">
        <f t="shared" si="146"/>
        <v>0.16666666666666666</v>
      </c>
    </row>
    <row r="430" spans="1:20" x14ac:dyDescent="0.3">
      <c r="A430">
        <f t="shared" si="127"/>
        <v>0</v>
      </c>
      <c r="B430">
        <f t="shared" si="128"/>
        <v>1</v>
      </c>
      <c r="C430">
        <f t="shared" si="129"/>
        <v>1</v>
      </c>
      <c r="D430">
        <f t="shared" si="130"/>
        <v>0</v>
      </c>
      <c r="E430">
        <f t="shared" si="131"/>
        <v>1</v>
      </c>
      <c r="F430">
        <f t="shared" si="132"/>
        <v>0</v>
      </c>
      <c r="G430">
        <f t="shared" si="133"/>
        <v>1</v>
      </c>
      <c r="H430">
        <f t="shared" si="134"/>
        <v>1</v>
      </c>
      <c r="I430">
        <f t="shared" si="135"/>
        <v>1</v>
      </c>
      <c r="J430">
        <f t="shared" si="136"/>
        <v>0</v>
      </c>
      <c r="K430" s="45">
        <f t="shared" si="137"/>
        <v>0</v>
      </c>
      <c r="L430" s="45">
        <f t="shared" si="138"/>
        <v>0.16666666666666666</v>
      </c>
      <c r="M430" s="45">
        <f t="shared" si="139"/>
        <v>0.16666666666666666</v>
      </c>
      <c r="N430" s="45">
        <f t="shared" si="140"/>
        <v>0</v>
      </c>
      <c r="O430" s="45">
        <f t="shared" si="141"/>
        <v>0.16666666666666666</v>
      </c>
      <c r="P430" s="45">
        <f t="shared" si="142"/>
        <v>0</v>
      </c>
      <c r="Q430" s="45">
        <f t="shared" si="143"/>
        <v>0.16666666666666666</v>
      </c>
      <c r="R430" s="45">
        <f t="shared" si="144"/>
        <v>0.16666666666666666</v>
      </c>
      <c r="S430" s="45">
        <f t="shared" si="145"/>
        <v>0.16666666666666666</v>
      </c>
      <c r="T430" s="45">
        <f t="shared" si="146"/>
        <v>0</v>
      </c>
    </row>
    <row r="431" spans="1:20" x14ac:dyDescent="0.3">
      <c r="A431">
        <f t="shared" si="127"/>
        <v>0</v>
      </c>
      <c r="B431">
        <f t="shared" si="128"/>
        <v>1</v>
      </c>
      <c r="C431">
        <f t="shared" si="129"/>
        <v>1</v>
      </c>
      <c r="D431">
        <f t="shared" si="130"/>
        <v>0</v>
      </c>
      <c r="E431">
        <f t="shared" si="131"/>
        <v>1</v>
      </c>
      <c r="F431">
        <f t="shared" si="132"/>
        <v>0</v>
      </c>
      <c r="G431">
        <f t="shared" si="133"/>
        <v>1</v>
      </c>
      <c r="H431">
        <f t="shared" si="134"/>
        <v>1</v>
      </c>
      <c r="I431">
        <f t="shared" si="135"/>
        <v>1</v>
      </c>
      <c r="J431">
        <f t="shared" si="136"/>
        <v>1</v>
      </c>
      <c r="K431" s="45">
        <f t="shared" si="137"/>
        <v>0</v>
      </c>
      <c r="L431" s="45">
        <f t="shared" si="138"/>
        <v>0.14285714285714285</v>
      </c>
      <c r="M431" s="45">
        <f t="shared" si="139"/>
        <v>0.14285714285714285</v>
      </c>
      <c r="N431" s="45">
        <f t="shared" si="140"/>
        <v>0</v>
      </c>
      <c r="O431" s="45">
        <f t="shared" si="141"/>
        <v>0.14285714285714285</v>
      </c>
      <c r="P431" s="45">
        <f t="shared" si="142"/>
        <v>0</v>
      </c>
      <c r="Q431" s="45">
        <f t="shared" si="143"/>
        <v>0.14285714285714285</v>
      </c>
      <c r="R431" s="45">
        <f t="shared" si="144"/>
        <v>0.14285714285714285</v>
      </c>
      <c r="S431" s="45">
        <f t="shared" si="145"/>
        <v>0.14285714285714285</v>
      </c>
      <c r="T431" s="45">
        <f t="shared" si="146"/>
        <v>0.14285714285714285</v>
      </c>
    </row>
    <row r="432" spans="1:20" x14ac:dyDescent="0.3">
      <c r="A432">
        <f t="shared" si="127"/>
        <v>0</v>
      </c>
      <c r="B432">
        <f t="shared" si="128"/>
        <v>1</v>
      </c>
      <c r="C432">
        <f t="shared" si="129"/>
        <v>1</v>
      </c>
      <c r="D432">
        <f t="shared" si="130"/>
        <v>0</v>
      </c>
      <c r="E432">
        <f t="shared" si="131"/>
        <v>1</v>
      </c>
      <c r="F432">
        <f t="shared" si="132"/>
        <v>1</v>
      </c>
      <c r="G432">
        <f t="shared" si="133"/>
        <v>0</v>
      </c>
      <c r="H432">
        <f t="shared" si="134"/>
        <v>0</v>
      </c>
      <c r="I432">
        <f t="shared" si="135"/>
        <v>0</v>
      </c>
      <c r="J432">
        <f t="shared" si="136"/>
        <v>0</v>
      </c>
      <c r="K432" s="45">
        <f t="shared" si="137"/>
        <v>0</v>
      </c>
      <c r="L432" s="45">
        <f t="shared" si="138"/>
        <v>0.25</v>
      </c>
      <c r="M432" s="45">
        <f t="shared" si="139"/>
        <v>0.25</v>
      </c>
      <c r="N432" s="45">
        <f t="shared" si="140"/>
        <v>0</v>
      </c>
      <c r="O432" s="45">
        <f t="shared" si="141"/>
        <v>0.25</v>
      </c>
      <c r="P432" s="45">
        <f t="shared" si="142"/>
        <v>0.25</v>
      </c>
      <c r="Q432" s="45">
        <f t="shared" si="143"/>
        <v>0</v>
      </c>
      <c r="R432" s="45">
        <f t="shared" si="144"/>
        <v>0</v>
      </c>
      <c r="S432" s="45">
        <f t="shared" si="145"/>
        <v>0</v>
      </c>
      <c r="T432" s="45">
        <f t="shared" si="146"/>
        <v>0</v>
      </c>
    </row>
    <row r="433" spans="1:20" x14ac:dyDescent="0.3">
      <c r="A433">
        <f t="shared" si="127"/>
        <v>0</v>
      </c>
      <c r="B433">
        <f t="shared" si="128"/>
        <v>1</v>
      </c>
      <c r="C433">
        <f t="shared" si="129"/>
        <v>1</v>
      </c>
      <c r="D433">
        <f t="shared" si="130"/>
        <v>0</v>
      </c>
      <c r="E433">
        <f t="shared" si="131"/>
        <v>1</v>
      </c>
      <c r="F433">
        <f t="shared" si="132"/>
        <v>1</v>
      </c>
      <c r="G433">
        <f t="shared" si="133"/>
        <v>0</v>
      </c>
      <c r="H433">
        <f t="shared" si="134"/>
        <v>0</v>
      </c>
      <c r="I433">
        <f t="shared" si="135"/>
        <v>0</v>
      </c>
      <c r="J433">
        <f t="shared" si="136"/>
        <v>1</v>
      </c>
      <c r="K433" s="45">
        <f t="shared" si="137"/>
        <v>0</v>
      </c>
      <c r="L433" s="45">
        <f t="shared" si="138"/>
        <v>0.2</v>
      </c>
      <c r="M433" s="45">
        <f t="shared" si="139"/>
        <v>0.2</v>
      </c>
      <c r="N433" s="45">
        <f t="shared" si="140"/>
        <v>0</v>
      </c>
      <c r="O433" s="45">
        <f t="shared" si="141"/>
        <v>0.2</v>
      </c>
      <c r="P433" s="45">
        <f t="shared" si="142"/>
        <v>0.2</v>
      </c>
      <c r="Q433" s="45">
        <f t="shared" si="143"/>
        <v>0</v>
      </c>
      <c r="R433" s="45">
        <f t="shared" si="144"/>
        <v>0</v>
      </c>
      <c r="S433" s="45">
        <f t="shared" si="145"/>
        <v>0</v>
      </c>
      <c r="T433" s="45">
        <f t="shared" si="146"/>
        <v>0.2</v>
      </c>
    </row>
    <row r="434" spans="1:20" x14ac:dyDescent="0.3">
      <c r="A434">
        <f t="shared" si="127"/>
        <v>0</v>
      </c>
      <c r="B434">
        <f t="shared" si="128"/>
        <v>1</v>
      </c>
      <c r="C434">
        <f t="shared" si="129"/>
        <v>1</v>
      </c>
      <c r="D434">
        <f t="shared" si="130"/>
        <v>0</v>
      </c>
      <c r="E434">
        <f t="shared" si="131"/>
        <v>1</v>
      </c>
      <c r="F434">
        <f t="shared" si="132"/>
        <v>1</v>
      </c>
      <c r="G434">
        <f t="shared" si="133"/>
        <v>0</v>
      </c>
      <c r="H434">
        <f t="shared" si="134"/>
        <v>0</v>
      </c>
      <c r="I434">
        <f t="shared" si="135"/>
        <v>1</v>
      </c>
      <c r="J434">
        <f t="shared" si="136"/>
        <v>0</v>
      </c>
      <c r="K434" s="45">
        <f t="shared" si="137"/>
        <v>0</v>
      </c>
      <c r="L434" s="45">
        <f t="shared" si="138"/>
        <v>0.2</v>
      </c>
      <c r="M434" s="45">
        <f t="shared" si="139"/>
        <v>0.2</v>
      </c>
      <c r="N434" s="45">
        <f t="shared" si="140"/>
        <v>0</v>
      </c>
      <c r="O434" s="45">
        <f t="shared" si="141"/>
        <v>0.2</v>
      </c>
      <c r="P434" s="45">
        <f t="shared" si="142"/>
        <v>0.2</v>
      </c>
      <c r="Q434" s="45">
        <f t="shared" si="143"/>
        <v>0</v>
      </c>
      <c r="R434" s="45">
        <f t="shared" si="144"/>
        <v>0</v>
      </c>
      <c r="S434" s="45">
        <f t="shared" si="145"/>
        <v>0.2</v>
      </c>
      <c r="T434" s="45">
        <f t="shared" si="146"/>
        <v>0</v>
      </c>
    </row>
    <row r="435" spans="1:20" x14ac:dyDescent="0.3">
      <c r="A435">
        <f t="shared" si="127"/>
        <v>0</v>
      </c>
      <c r="B435">
        <f t="shared" si="128"/>
        <v>1</v>
      </c>
      <c r="C435">
        <f t="shared" si="129"/>
        <v>1</v>
      </c>
      <c r="D435">
        <f t="shared" si="130"/>
        <v>0</v>
      </c>
      <c r="E435">
        <f t="shared" si="131"/>
        <v>1</v>
      </c>
      <c r="F435">
        <f t="shared" si="132"/>
        <v>1</v>
      </c>
      <c r="G435">
        <f t="shared" si="133"/>
        <v>0</v>
      </c>
      <c r="H435">
        <f t="shared" si="134"/>
        <v>0</v>
      </c>
      <c r="I435">
        <f t="shared" si="135"/>
        <v>1</v>
      </c>
      <c r="J435">
        <f t="shared" si="136"/>
        <v>1</v>
      </c>
      <c r="K435" s="45">
        <f t="shared" si="137"/>
        <v>0</v>
      </c>
      <c r="L435" s="45">
        <f t="shared" si="138"/>
        <v>0.16666666666666666</v>
      </c>
      <c r="M435" s="45">
        <f t="shared" si="139"/>
        <v>0.16666666666666666</v>
      </c>
      <c r="N435" s="45">
        <f t="shared" si="140"/>
        <v>0</v>
      </c>
      <c r="O435" s="45">
        <f t="shared" si="141"/>
        <v>0.16666666666666666</v>
      </c>
      <c r="P435" s="45">
        <f t="shared" si="142"/>
        <v>0.16666666666666666</v>
      </c>
      <c r="Q435" s="45">
        <f t="shared" si="143"/>
        <v>0</v>
      </c>
      <c r="R435" s="45">
        <f t="shared" si="144"/>
        <v>0</v>
      </c>
      <c r="S435" s="45">
        <f t="shared" si="145"/>
        <v>0.16666666666666666</v>
      </c>
      <c r="T435" s="45">
        <f t="shared" si="146"/>
        <v>0.16666666666666666</v>
      </c>
    </row>
    <row r="436" spans="1:20" x14ac:dyDescent="0.3">
      <c r="A436">
        <f t="shared" si="127"/>
        <v>0</v>
      </c>
      <c r="B436">
        <f t="shared" si="128"/>
        <v>1</v>
      </c>
      <c r="C436">
        <f t="shared" si="129"/>
        <v>1</v>
      </c>
      <c r="D436">
        <f t="shared" si="130"/>
        <v>0</v>
      </c>
      <c r="E436">
        <f t="shared" si="131"/>
        <v>1</v>
      </c>
      <c r="F436">
        <f t="shared" si="132"/>
        <v>1</v>
      </c>
      <c r="G436">
        <f t="shared" si="133"/>
        <v>0</v>
      </c>
      <c r="H436">
        <f t="shared" si="134"/>
        <v>1</v>
      </c>
      <c r="I436">
        <f t="shared" si="135"/>
        <v>0</v>
      </c>
      <c r="J436">
        <f t="shared" si="136"/>
        <v>0</v>
      </c>
      <c r="K436" s="45">
        <f t="shared" si="137"/>
        <v>0</v>
      </c>
      <c r="L436" s="45">
        <f t="shared" si="138"/>
        <v>0.2</v>
      </c>
      <c r="M436" s="45">
        <f t="shared" si="139"/>
        <v>0.2</v>
      </c>
      <c r="N436" s="45">
        <f t="shared" si="140"/>
        <v>0</v>
      </c>
      <c r="O436" s="45">
        <f t="shared" si="141"/>
        <v>0.2</v>
      </c>
      <c r="P436" s="45">
        <f t="shared" si="142"/>
        <v>0.2</v>
      </c>
      <c r="Q436" s="45">
        <f t="shared" si="143"/>
        <v>0</v>
      </c>
      <c r="R436" s="45">
        <f t="shared" si="144"/>
        <v>0.2</v>
      </c>
      <c r="S436" s="45">
        <f t="shared" si="145"/>
        <v>0</v>
      </c>
      <c r="T436" s="45">
        <f t="shared" si="146"/>
        <v>0</v>
      </c>
    </row>
    <row r="437" spans="1:20" x14ac:dyDescent="0.3">
      <c r="A437">
        <f t="shared" si="127"/>
        <v>0</v>
      </c>
      <c r="B437">
        <f t="shared" si="128"/>
        <v>1</v>
      </c>
      <c r="C437">
        <f t="shared" si="129"/>
        <v>1</v>
      </c>
      <c r="D437">
        <f t="shared" si="130"/>
        <v>0</v>
      </c>
      <c r="E437">
        <f t="shared" si="131"/>
        <v>1</v>
      </c>
      <c r="F437">
        <f t="shared" si="132"/>
        <v>1</v>
      </c>
      <c r="G437">
        <f t="shared" si="133"/>
        <v>0</v>
      </c>
      <c r="H437">
        <f t="shared" si="134"/>
        <v>1</v>
      </c>
      <c r="I437">
        <f t="shared" si="135"/>
        <v>0</v>
      </c>
      <c r="J437">
        <f t="shared" si="136"/>
        <v>1</v>
      </c>
      <c r="K437" s="45">
        <f t="shared" si="137"/>
        <v>0</v>
      </c>
      <c r="L437" s="45">
        <f t="shared" si="138"/>
        <v>0.16666666666666666</v>
      </c>
      <c r="M437" s="45">
        <f t="shared" si="139"/>
        <v>0.16666666666666666</v>
      </c>
      <c r="N437" s="45">
        <f t="shared" si="140"/>
        <v>0</v>
      </c>
      <c r="O437" s="45">
        <f t="shared" si="141"/>
        <v>0.16666666666666666</v>
      </c>
      <c r="P437" s="45">
        <f t="shared" si="142"/>
        <v>0.16666666666666666</v>
      </c>
      <c r="Q437" s="45">
        <f t="shared" si="143"/>
        <v>0</v>
      </c>
      <c r="R437" s="45">
        <f t="shared" si="144"/>
        <v>0.16666666666666666</v>
      </c>
      <c r="S437" s="45">
        <f t="shared" si="145"/>
        <v>0</v>
      </c>
      <c r="T437" s="45">
        <f t="shared" si="146"/>
        <v>0.16666666666666666</v>
      </c>
    </row>
    <row r="438" spans="1:20" x14ac:dyDescent="0.3">
      <c r="A438">
        <f t="shared" si="127"/>
        <v>0</v>
      </c>
      <c r="B438">
        <f t="shared" si="128"/>
        <v>1</v>
      </c>
      <c r="C438">
        <f t="shared" si="129"/>
        <v>1</v>
      </c>
      <c r="D438">
        <f t="shared" si="130"/>
        <v>0</v>
      </c>
      <c r="E438">
        <f t="shared" si="131"/>
        <v>1</v>
      </c>
      <c r="F438">
        <f t="shared" si="132"/>
        <v>1</v>
      </c>
      <c r="G438">
        <f t="shared" si="133"/>
        <v>0</v>
      </c>
      <c r="H438">
        <f t="shared" si="134"/>
        <v>1</v>
      </c>
      <c r="I438">
        <f t="shared" si="135"/>
        <v>1</v>
      </c>
      <c r="J438">
        <f t="shared" si="136"/>
        <v>0</v>
      </c>
      <c r="K438" s="45">
        <f t="shared" si="137"/>
        <v>0</v>
      </c>
      <c r="L438" s="45">
        <f t="shared" si="138"/>
        <v>0.16666666666666666</v>
      </c>
      <c r="M438" s="45">
        <f t="shared" si="139"/>
        <v>0.16666666666666666</v>
      </c>
      <c r="N438" s="45">
        <f t="shared" si="140"/>
        <v>0</v>
      </c>
      <c r="O438" s="45">
        <f t="shared" si="141"/>
        <v>0.16666666666666666</v>
      </c>
      <c r="P438" s="45">
        <f t="shared" si="142"/>
        <v>0.16666666666666666</v>
      </c>
      <c r="Q438" s="45">
        <f t="shared" si="143"/>
        <v>0</v>
      </c>
      <c r="R438" s="45">
        <f t="shared" si="144"/>
        <v>0.16666666666666666</v>
      </c>
      <c r="S438" s="45">
        <f t="shared" si="145"/>
        <v>0.16666666666666666</v>
      </c>
      <c r="T438" s="45">
        <f t="shared" si="146"/>
        <v>0</v>
      </c>
    </row>
    <row r="439" spans="1:20" x14ac:dyDescent="0.3">
      <c r="A439">
        <f t="shared" si="127"/>
        <v>0</v>
      </c>
      <c r="B439">
        <f t="shared" si="128"/>
        <v>1</v>
      </c>
      <c r="C439">
        <f t="shared" si="129"/>
        <v>1</v>
      </c>
      <c r="D439">
        <f t="shared" si="130"/>
        <v>0</v>
      </c>
      <c r="E439">
        <f t="shared" si="131"/>
        <v>1</v>
      </c>
      <c r="F439">
        <f t="shared" si="132"/>
        <v>1</v>
      </c>
      <c r="G439">
        <f t="shared" si="133"/>
        <v>0</v>
      </c>
      <c r="H439">
        <f t="shared" si="134"/>
        <v>1</v>
      </c>
      <c r="I439">
        <f t="shared" si="135"/>
        <v>1</v>
      </c>
      <c r="J439">
        <f t="shared" si="136"/>
        <v>1</v>
      </c>
      <c r="K439" s="45">
        <f t="shared" si="137"/>
        <v>0</v>
      </c>
      <c r="L439" s="45">
        <f t="shared" si="138"/>
        <v>0.14285714285714285</v>
      </c>
      <c r="M439" s="45">
        <f t="shared" si="139"/>
        <v>0.14285714285714285</v>
      </c>
      <c r="N439" s="45">
        <f t="shared" si="140"/>
        <v>0</v>
      </c>
      <c r="O439" s="45">
        <f t="shared" si="141"/>
        <v>0.14285714285714285</v>
      </c>
      <c r="P439" s="45">
        <f t="shared" si="142"/>
        <v>0.14285714285714285</v>
      </c>
      <c r="Q439" s="45">
        <f t="shared" si="143"/>
        <v>0</v>
      </c>
      <c r="R439" s="45">
        <f t="shared" si="144"/>
        <v>0.14285714285714285</v>
      </c>
      <c r="S439" s="45">
        <f t="shared" si="145"/>
        <v>0.14285714285714285</v>
      </c>
      <c r="T439" s="45">
        <f t="shared" si="146"/>
        <v>0.14285714285714285</v>
      </c>
    </row>
    <row r="440" spans="1:20" x14ac:dyDescent="0.3">
      <c r="A440">
        <f t="shared" si="127"/>
        <v>0</v>
      </c>
      <c r="B440">
        <f t="shared" si="128"/>
        <v>1</v>
      </c>
      <c r="C440">
        <f t="shared" si="129"/>
        <v>1</v>
      </c>
      <c r="D440">
        <f t="shared" si="130"/>
        <v>0</v>
      </c>
      <c r="E440">
        <f t="shared" si="131"/>
        <v>1</v>
      </c>
      <c r="F440">
        <f t="shared" si="132"/>
        <v>1</v>
      </c>
      <c r="G440">
        <f t="shared" si="133"/>
        <v>1</v>
      </c>
      <c r="H440">
        <f t="shared" si="134"/>
        <v>0</v>
      </c>
      <c r="I440">
        <f t="shared" si="135"/>
        <v>0</v>
      </c>
      <c r="J440">
        <f t="shared" si="136"/>
        <v>0</v>
      </c>
      <c r="K440" s="45">
        <f t="shared" si="137"/>
        <v>0</v>
      </c>
      <c r="L440" s="45">
        <f t="shared" si="138"/>
        <v>0.2</v>
      </c>
      <c r="M440" s="45">
        <f t="shared" si="139"/>
        <v>0.2</v>
      </c>
      <c r="N440" s="45">
        <f t="shared" si="140"/>
        <v>0</v>
      </c>
      <c r="O440" s="45">
        <f t="shared" si="141"/>
        <v>0.2</v>
      </c>
      <c r="P440" s="45">
        <f t="shared" si="142"/>
        <v>0.2</v>
      </c>
      <c r="Q440" s="45">
        <f t="shared" si="143"/>
        <v>0.2</v>
      </c>
      <c r="R440" s="45">
        <f t="shared" si="144"/>
        <v>0</v>
      </c>
      <c r="S440" s="45">
        <f t="shared" si="145"/>
        <v>0</v>
      </c>
      <c r="T440" s="45">
        <f t="shared" si="146"/>
        <v>0</v>
      </c>
    </row>
    <row r="441" spans="1:20" x14ac:dyDescent="0.3">
      <c r="A441">
        <f t="shared" si="127"/>
        <v>0</v>
      </c>
      <c r="B441">
        <f t="shared" si="128"/>
        <v>1</v>
      </c>
      <c r="C441">
        <f t="shared" si="129"/>
        <v>1</v>
      </c>
      <c r="D441">
        <f t="shared" si="130"/>
        <v>0</v>
      </c>
      <c r="E441">
        <f t="shared" si="131"/>
        <v>1</v>
      </c>
      <c r="F441">
        <f t="shared" si="132"/>
        <v>1</v>
      </c>
      <c r="G441">
        <f t="shared" si="133"/>
        <v>1</v>
      </c>
      <c r="H441">
        <f t="shared" si="134"/>
        <v>0</v>
      </c>
      <c r="I441">
        <f t="shared" si="135"/>
        <v>0</v>
      </c>
      <c r="J441">
        <f t="shared" si="136"/>
        <v>1</v>
      </c>
      <c r="K441" s="45">
        <f t="shared" si="137"/>
        <v>0</v>
      </c>
      <c r="L441" s="45">
        <f t="shared" si="138"/>
        <v>0.16666666666666666</v>
      </c>
      <c r="M441" s="45">
        <f t="shared" si="139"/>
        <v>0.16666666666666666</v>
      </c>
      <c r="N441" s="45">
        <f t="shared" si="140"/>
        <v>0</v>
      </c>
      <c r="O441" s="45">
        <f t="shared" si="141"/>
        <v>0.16666666666666666</v>
      </c>
      <c r="P441" s="45">
        <f t="shared" si="142"/>
        <v>0.16666666666666666</v>
      </c>
      <c r="Q441" s="45">
        <f t="shared" si="143"/>
        <v>0.16666666666666666</v>
      </c>
      <c r="R441" s="45">
        <f t="shared" si="144"/>
        <v>0</v>
      </c>
      <c r="S441" s="45">
        <f t="shared" si="145"/>
        <v>0</v>
      </c>
      <c r="T441" s="45">
        <f t="shared" si="146"/>
        <v>0.16666666666666666</v>
      </c>
    </row>
    <row r="442" spans="1:20" x14ac:dyDescent="0.3">
      <c r="A442">
        <f t="shared" si="127"/>
        <v>0</v>
      </c>
      <c r="B442">
        <f t="shared" si="128"/>
        <v>1</v>
      </c>
      <c r="C442">
        <f t="shared" si="129"/>
        <v>1</v>
      </c>
      <c r="D442">
        <f t="shared" si="130"/>
        <v>0</v>
      </c>
      <c r="E442">
        <f t="shared" si="131"/>
        <v>1</v>
      </c>
      <c r="F442">
        <f t="shared" si="132"/>
        <v>1</v>
      </c>
      <c r="G442">
        <f t="shared" si="133"/>
        <v>1</v>
      </c>
      <c r="H442">
        <f t="shared" si="134"/>
        <v>0</v>
      </c>
      <c r="I442">
        <f t="shared" si="135"/>
        <v>1</v>
      </c>
      <c r="J442">
        <f t="shared" si="136"/>
        <v>0</v>
      </c>
      <c r="K442" s="45">
        <f t="shared" si="137"/>
        <v>0</v>
      </c>
      <c r="L442" s="45">
        <f t="shared" si="138"/>
        <v>0.16666666666666666</v>
      </c>
      <c r="M442" s="45">
        <f t="shared" si="139"/>
        <v>0.16666666666666666</v>
      </c>
      <c r="N442" s="45">
        <f t="shared" si="140"/>
        <v>0</v>
      </c>
      <c r="O442" s="45">
        <f t="shared" si="141"/>
        <v>0.16666666666666666</v>
      </c>
      <c r="P442" s="45">
        <f t="shared" si="142"/>
        <v>0.16666666666666666</v>
      </c>
      <c r="Q442" s="45">
        <f t="shared" si="143"/>
        <v>0.16666666666666666</v>
      </c>
      <c r="R442" s="45">
        <f t="shared" si="144"/>
        <v>0</v>
      </c>
      <c r="S442" s="45">
        <f t="shared" si="145"/>
        <v>0.16666666666666666</v>
      </c>
      <c r="T442" s="45">
        <f t="shared" si="146"/>
        <v>0</v>
      </c>
    </row>
    <row r="443" spans="1:20" x14ac:dyDescent="0.3">
      <c r="A443">
        <f t="shared" si="127"/>
        <v>0</v>
      </c>
      <c r="B443">
        <f t="shared" si="128"/>
        <v>1</v>
      </c>
      <c r="C443">
        <f t="shared" si="129"/>
        <v>1</v>
      </c>
      <c r="D443">
        <f t="shared" si="130"/>
        <v>0</v>
      </c>
      <c r="E443">
        <f t="shared" si="131"/>
        <v>1</v>
      </c>
      <c r="F443">
        <f t="shared" si="132"/>
        <v>1</v>
      </c>
      <c r="G443">
        <f t="shared" si="133"/>
        <v>1</v>
      </c>
      <c r="H443">
        <f t="shared" si="134"/>
        <v>0</v>
      </c>
      <c r="I443">
        <f t="shared" si="135"/>
        <v>1</v>
      </c>
      <c r="J443">
        <f t="shared" si="136"/>
        <v>1</v>
      </c>
      <c r="K443" s="45">
        <f t="shared" si="137"/>
        <v>0</v>
      </c>
      <c r="L443" s="45">
        <f t="shared" si="138"/>
        <v>0.14285714285714285</v>
      </c>
      <c r="M443" s="45">
        <f t="shared" si="139"/>
        <v>0.14285714285714285</v>
      </c>
      <c r="N443" s="45">
        <f t="shared" si="140"/>
        <v>0</v>
      </c>
      <c r="O443" s="45">
        <f t="shared" si="141"/>
        <v>0.14285714285714285</v>
      </c>
      <c r="P443" s="45">
        <f t="shared" si="142"/>
        <v>0.14285714285714285</v>
      </c>
      <c r="Q443" s="45">
        <f t="shared" si="143"/>
        <v>0.14285714285714285</v>
      </c>
      <c r="R443" s="45">
        <f t="shared" si="144"/>
        <v>0</v>
      </c>
      <c r="S443" s="45">
        <f t="shared" si="145"/>
        <v>0.14285714285714285</v>
      </c>
      <c r="T443" s="45">
        <f t="shared" si="146"/>
        <v>0.14285714285714285</v>
      </c>
    </row>
    <row r="444" spans="1:20" x14ac:dyDescent="0.3">
      <c r="A444">
        <f t="shared" si="127"/>
        <v>0</v>
      </c>
      <c r="B444">
        <f t="shared" si="128"/>
        <v>1</v>
      </c>
      <c r="C444">
        <f t="shared" si="129"/>
        <v>1</v>
      </c>
      <c r="D444">
        <f t="shared" si="130"/>
        <v>0</v>
      </c>
      <c r="E444">
        <f t="shared" si="131"/>
        <v>1</v>
      </c>
      <c r="F444">
        <f t="shared" si="132"/>
        <v>1</v>
      </c>
      <c r="G444">
        <f t="shared" si="133"/>
        <v>1</v>
      </c>
      <c r="H444">
        <f t="shared" si="134"/>
        <v>1</v>
      </c>
      <c r="I444">
        <f t="shared" si="135"/>
        <v>0</v>
      </c>
      <c r="J444">
        <f t="shared" si="136"/>
        <v>0</v>
      </c>
      <c r="K444" s="45">
        <f t="shared" si="137"/>
        <v>0</v>
      </c>
      <c r="L444" s="45">
        <f t="shared" si="138"/>
        <v>0.16666666666666666</v>
      </c>
      <c r="M444" s="45">
        <f t="shared" si="139"/>
        <v>0.16666666666666666</v>
      </c>
      <c r="N444" s="45">
        <f t="shared" si="140"/>
        <v>0</v>
      </c>
      <c r="O444" s="45">
        <f t="shared" si="141"/>
        <v>0.16666666666666666</v>
      </c>
      <c r="P444" s="45">
        <f t="shared" si="142"/>
        <v>0.16666666666666666</v>
      </c>
      <c r="Q444" s="45">
        <f t="shared" si="143"/>
        <v>0.16666666666666666</v>
      </c>
      <c r="R444" s="45">
        <f t="shared" si="144"/>
        <v>0.16666666666666666</v>
      </c>
      <c r="S444" s="45">
        <f t="shared" si="145"/>
        <v>0</v>
      </c>
      <c r="T444" s="45">
        <f t="shared" si="146"/>
        <v>0</v>
      </c>
    </row>
    <row r="445" spans="1:20" x14ac:dyDescent="0.3">
      <c r="A445">
        <f t="shared" si="127"/>
        <v>0</v>
      </c>
      <c r="B445">
        <f t="shared" si="128"/>
        <v>1</v>
      </c>
      <c r="C445">
        <f t="shared" si="129"/>
        <v>1</v>
      </c>
      <c r="D445">
        <f t="shared" si="130"/>
        <v>0</v>
      </c>
      <c r="E445">
        <f t="shared" si="131"/>
        <v>1</v>
      </c>
      <c r="F445">
        <f t="shared" si="132"/>
        <v>1</v>
      </c>
      <c r="G445">
        <f t="shared" si="133"/>
        <v>1</v>
      </c>
      <c r="H445">
        <f t="shared" si="134"/>
        <v>1</v>
      </c>
      <c r="I445">
        <f t="shared" si="135"/>
        <v>0</v>
      </c>
      <c r="J445">
        <f t="shared" si="136"/>
        <v>1</v>
      </c>
      <c r="K445" s="45">
        <f t="shared" si="137"/>
        <v>0</v>
      </c>
      <c r="L445" s="45">
        <f t="shared" si="138"/>
        <v>0.14285714285714285</v>
      </c>
      <c r="M445" s="45">
        <f t="shared" si="139"/>
        <v>0.14285714285714285</v>
      </c>
      <c r="N445" s="45">
        <f t="shared" si="140"/>
        <v>0</v>
      </c>
      <c r="O445" s="45">
        <f t="shared" si="141"/>
        <v>0.14285714285714285</v>
      </c>
      <c r="P445" s="45">
        <f t="shared" si="142"/>
        <v>0.14285714285714285</v>
      </c>
      <c r="Q445" s="45">
        <f t="shared" si="143"/>
        <v>0.14285714285714285</v>
      </c>
      <c r="R445" s="45">
        <f t="shared" si="144"/>
        <v>0.14285714285714285</v>
      </c>
      <c r="S445" s="45">
        <f t="shared" si="145"/>
        <v>0</v>
      </c>
      <c r="T445" s="45">
        <f t="shared" si="146"/>
        <v>0.14285714285714285</v>
      </c>
    </row>
    <row r="446" spans="1:20" x14ac:dyDescent="0.3">
      <c r="A446">
        <f t="shared" si="127"/>
        <v>0</v>
      </c>
      <c r="B446">
        <f t="shared" si="128"/>
        <v>1</v>
      </c>
      <c r="C446">
        <f t="shared" si="129"/>
        <v>1</v>
      </c>
      <c r="D446">
        <f t="shared" si="130"/>
        <v>0</v>
      </c>
      <c r="E446">
        <f t="shared" si="131"/>
        <v>1</v>
      </c>
      <c r="F446">
        <f t="shared" si="132"/>
        <v>1</v>
      </c>
      <c r="G446">
        <f t="shared" si="133"/>
        <v>1</v>
      </c>
      <c r="H446">
        <f t="shared" si="134"/>
        <v>1</v>
      </c>
      <c r="I446">
        <f t="shared" si="135"/>
        <v>1</v>
      </c>
      <c r="J446">
        <f t="shared" si="136"/>
        <v>0</v>
      </c>
      <c r="K446" s="45">
        <f t="shared" si="137"/>
        <v>0</v>
      </c>
      <c r="L446" s="45">
        <f t="shared" si="138"/>
        <v>0.14285714285714285</v>
      </c>
      <c r="M446" s="45">
        <f t="shared" si="139"/>
        <v>0.14285714285714285</v>
      </c>
      <c r="N446" s="45">
        <f t="shared" si="140"/>
        <v>0</v>
      </c>
      <c r="O446" s="45">
        <f t="shared" si="141"/>
        <v>0.14285714285714285</v>
      </c>
      <c r="P446" s="45">
        <f t="shared" si="142"/>
        <v>0.14285714285714285</v>
      </c>
      <c r="Q446" s="45">
        <f t="shared" si="143"/>
        <v>0.14285714285714285</v>
      </c>
      <c r="R446" s="45">
        <f t="shared" si="144"/>
        <v>0.14285714285714285</v>
      </c>
      <c r="S446" s="45">
        <f t="shared" si="145"/>
        <v>0.14285714285714285</v>
      </c>
      <c r="T446" s="45">
        <f t="shared" si="146"/>
        <v>0</v>
      </c>
    </row>
    <row r="447" spans="1:20" x14ac:dyDescent="0.3">
      <c r="A447">
        <f t="shared" si="127"/>
        <v>0</v>
      </c>
      <c r="B447">
        <f t="shared" si="128"/>
        <v>1</v>
      </c>
      <c r="C447">
        <f t="shared" si="129"/>
        <v>1</v>
      </c>
      <c r="D447">
        <f t="shared" si="130"/>
        <v>0</v>
      </c>
      <c r="E447">
        <f t="shared" si="131"/>
        <v>1</v>
      </c>
      <c r="F447">
        <f t="shared" si="132"/>
        <v>1</v>
      </c>
      <c r="G447">
        <f t="shared" si="133"/>
        <v>1</v>
      </c>
      <c r="H447">
        <f t="shared" si="134"/>
        <v>1</v>
      </c>
      <c r="I447">
        <f t="shared" si="135"/>
        <v>1</v>
      </c>
      <c r="J447">
        <f t="shared" si="136"/>
        <v>1</v>
      </c>
      <c r="K447" s="45">
        <f t="shared" si="137"/>
        <v>0</v>
      </c>
      <c r="L447" s="45">
        <f t="shared" si="138"/>
        <v>0.125</v>
      </c>
      <c r="M447" s="45">
        <f t="shared" si="139"/>
        <v>0.125</v>
      </c>
      <c r="N447" s="45">
        <f t="shared" si="140"/>
        <v>0</v>
      </c>
      <c r="O447" s="45">
        <f t="shared" si="141"/>
        <v>0.125</v>
      </c>
      <c r="P447" s="45">
        <f t="shared" si="142"/>
        <v>0.125</v>
      </c>
      <c r="Q447" s="45">
        <f t="shared" si="143"/>
        <v>0.125</v>
      </c>
      <c r="R447" s="45">
        <f t="shared" si="144"/>
        <v>0.125</v>
      </c>
      <c r="S447" s="45">
        <f t="shared" si="145"/>
        <v>0.125</v>
      </c>
      <c r="T447" s="45">
        <f t="shared" si="146"/>
        <v>0.125</v>
      </c>
    </row>
    <row r="448" spans="1:20" x14ac:dyDescent="0.3">
      <c r="A448">
        <f t="shared" si="127"/>
        <v>0</v>
      </c>
      <c r="B448">
        <f t="shared" si="128"/>
        <v>1</v>
      </c>
      <c r="C448">
        <f t="shared" si="129"/>
        <v>1</v>
      </c>
      <c r="D448">
        <f t="shared" si="130"/>
        <v>1</v>
      </c>
      <c r="E448">
        <f t="shared" si="131"/>
        <v>0</v>
      </c>
      <c r="F448">
        <f t="shared" si="132"/>
        <v>0</v>
      </c>
      <c r="G448">
        <f t="shared" si="133"/>
        <v>0</v>
      </c>
      <c r="H448">
        <f t="shared" si="134"/>
        <v>0</v>
      </c>
      <c r="I448">
        <f t="shared" si="135"/>
        <v>0</v>
      </c>
      <c r="J448">
        <f t="shared" si="136"/>
        <v>0</v>
      </c>
      <c r="K448" s="45">
        <f t="shared" si="137"/>
        <v>0</v>
      </c>
      <c r="L448" s="45">
        <f t="shared" si="138"/>
        <v>0.33333333333333331</v>
      </c>
      <c r="M448" s="45">
        <f t="shared" si="139"/>
        <v>0.33333333333333331</v>
      </c>
      <c r="N448" s="45">
        <f t="shared" si="140"/>
        <v>0.33333333333333331</v>
      </c>
      <c r="O448" s="45">
        <f t="shared" si="141"/>
        <v>0</v>
      </c>
      <c r="P448" s="45">
        <f t="shared" si="142"/>
        <v>0</v>
      </c>
      <c r="Q448" s="45">
        <f t="shared" si="143"/>
        <v>0</v>
      </c>
      <c r="R448" s="45">
        <f t="shared" si="144"/>
        <v>0</v>
      </c>
      <c r="S448" s="45">
        <f t="shared" si="145"/>
        <v>0</v>
      </c>
      <c r="T448" s="45">
        <f t="shared" si="146"/>
        <v>0</v>
      </c>
    </row>
    <row r="449" spans="1:20" x14ac:dyDescent="0.3">
      <c r="A449">
        <f t="shared" si="127"/>
        <v>0</v>
      </c>
      <c r="B449">
        <f t="shared" si="128"/>
        <v>1</v>
      </c>
      <c r="C449">
        <f t="shared" si="129"/>
        <v>1</v>
      </c>
      <c r="D449">
        <f t="shared" si="130"/>
        <v>1</v>
      </c>
      <c r="E449">
        <f t="shared" si="131"/>
        <v>0</v>
      </c>
      <c r="F449">
        <f t="shared" si="132"/>
        <v>0</v>
      </c>
      <c r="G449">
        <f t="shared" si="133"/>
        <v>0</v>
      </c>
      <c r="H449">
        <f t="shared" si="134"/>
        <v>0</v>
      </c>
      <c r="I449">
        <f t="shared" si="135"/>
        <v>0</v>
      </c>
      <c r="J449">
        <f t="shared" si="136"/>
        <v>1</v>
      </c>
      <c r="K449" s="45">
        <f t="shared" si="137"/>
        <v>0</v>
      </c>
      <c r="L449" s="45">
        <f t="shared" si="138"/>
        <v>0.25</v>
      </c>
      <c r="M449" s="45">
        <f t="shared" si="139"/>
        <v>0.25</v>
      </c>
      <c r="N449" s="45">
        <f t="shared" si="140"/>
        <v>0.25</v>
      </c>
      <c r="O449" s="45">
        <f t="shared" si="141"/>
        <v>0</v>
      </c>
      <c r="P449" s="45">
        <f t="shared" si="142"/>
        <v>0</v>
      </c>
      <c r="Q449" s="45">
        <f t="shared" si="143"/>
        <v>0</v>
      </c>
      <c r="R449" s="45">
        <f t="shared" si="144"/>
        <v>0</v>
      </c>
      <c r="S449" s="45">
        <f t="shared" si="145"/>
        <v>0</v>
      </c>
      <c r="T449" s="45">
        <f t="shared" si="146"/>
        <v>0.25</v>
      </c>
    </row>
    <row r="450" spans="1:20" x14ac:dyDescent="0.3">
      <c r="A450">
        <f t="shared" ref="A450:A513" si="147">INT( MOD(ROW()+0,1024)/512)</f>
        <v>0</v>
      </c>
      <c r="B450">
        <f t="shared" ref="B450:B513" si="148">INT( MOD(ROW()+0,512)/256)</f>
        <v>1</v>
      </c>
      <c r="C450">
        <f t="shared" ref="C450:C513" si="149">INT( MOD(ROW()+0,256)/128)</f>
        <v>1</v>
      </c>
      <c r="D450">
        <f t="shared" ref="D450:D513" si="150">INT( MOD(ROW()+0,128)/64)</f>
        <v>1</v>
      </c>
      <c r="E450">
        <f t="shared" ref="E450:E513" si="151">INT( MOD(ROW()+0,64)/32)</f>
        <v>0</v>
      </c>
      <c r="F450">
        <f t="shared" ref="F450:F513" si="152">INT( MOD(ROW()+0,32)/16)</f>
        <v>0</v>
      </c>
      <c r="G450">
        <f t="shared" ref="G450:G513" si="153">INT( MOD(ROW()+0,16)/8)</f>
        <v>0</v>
      </c>
      <c r="H450">
        <f t="shared" ref="H450:H513" si="154">INT( MOD(ROW()+0,8)/4)</f>
        <v>0</v>
      </c>
      <c r="I450">
        <f t="shared" ref="I450:I513" si="155">INT( MOD(ROW()+0,4)/2)</f>
        <v>1</v>
      </c>
      <c r="J450">
        <f t="shared" ref="J450:J513" si="156">INT( MOD(ROW()+0,2)/1)</f>
        <v>0</v>
      </c>
      <c r="K450" s="45">
        <f t="shared" ref="K450:K513" si="157">A450/SUM($A450:$J450)</f>
        <v>0</v>
      </c>
      <c r="L450" s="45">
        <f t="shared" ref="L450:L513" si="158">B450/SUM($A450:$J450)</f>
        <v>0.25</v>
      </c>
      <c r="M450" s="45">
        <f t="shared" ref="M450:M513" si="159">C450/SUM($A450:$J450)</f>
        <v>0.25</v>
      </c>
      <c r="N450" s="45">
        <f t="shared" ref="N450:N513" si="160">D450/SUM($A450:$J450)</f>
        <v>0.25</v>
      </c>
      <c r="O450" s="45">
        <f t="shared" ref="O450:O513" si="161">E450/SUM($A450:$J450)</f>
        <v>0</v>
      </c>
      <c r="P450" s="45">
        <f t="shared" ref="P450:P513" si="162">F450/SUM($A450:$J450)</f>
        <v>0</v>
      </c>
      <c r="Q450" s="45">
        <f t="shared" ref="Q450:Q513" si="163">G450/SUM($A450:$J450)</f>
        <v>0</v>
      </c>
      <c r="R450" s="45">
        <f t="shared" ref="R450:R513" si="164">H450/SUM($A450:$J450)</f>
        <v>0</v>
      </c>
      <c r="S450" s="45">
        <f t="shared" ref="S450:S513" si="165">I450/SUM($A450:$J450)</f>
        <v>0.25</v>
      </c>
      <c r="T450" s="45">
        <f t="shared" ref="T450:T513" si="166">J450/SUM($A450:$J450)</f>
        <v>0</v>
      </c>
    </row>
    <row r="451" spans="1:20" x14ac:dyDescent="0.3">
      <c r="A451">
        <f t="shared" si="147"/>
        <v>0</v>
      </c>
      <c r="B451">
        <f t="shared" si="148"/>
        <v>1</v>
      </c>
      <c r="C451">
        <f t="shared" si="149"/>
        <v>1</v>
      </c>
      <c r="D451">
        <f t="shared" si="150"/>
        <v>1</v>
      </c>
      <c r="E451">
        <f t="shared" si="151"/>
        <v>0</v>
      </c>
      <c r="F451">
        <f t="shared" si="152"/>
        <v>0</v>
      </c>
      <c r="G451">
        <f t="shared" si="153"/>
        <v>0</v>
      </c>
      <c r="H451">
        <f t="shared" si="154"/>
        <v>0</v>
      </c>
      <c r="I451">
        <f t="shared" si="155"/>
        <v>1</v>
      </c>
      <c r="J451">
        <f t="shared" si="156"/>
        <v>1</v>
      </c>
      <c r="K451" s="45">
        <f t="shared" si="157"/>
        <v>0</v>
      </c>
      <c r="L451" s="45">
        <f t="shared" si="158"/>
        <v>0.2</v>
      </c>
      <c r="M451" s="45">
        <f t="shared" si="159"/>
        <v>0.2</v>
      </c>
      <c r="N451" s="45">
        <f t="shared" si="160"/>
        <v>0.2</v>
      </c>
      <c r="O451" s="45">
        <f t="shared" si="161"/>
        <v>0</v>
      </c>
      <c r="P451" s="45">
        <f t="shared" si="162"/>
        <v>0</v>
      </c>
      <c r="Q451" s="45">
        <f t="shared" si="163"/>
        <v>0</v>
      </c>
      <c r="R451" s="45">
        <f t="shared" si="164"/>
        <v>0</v>
      </c>
      <c r="S451" s="45">
        <f t="shared" si="165"/>
        <v>0.2</v>
      </c>
      <c r="T451" s="45">
        <f t="shared" si="166"/>
        <v>0.2</v>
      </c>
    </row>
    <row r="452" spans="1:20" x14ac:dyDescent="0.3">
      <c r="A452">
        <f t="shared" si="147"/>
        <v>0</v>
      </c>
      <c r="B452">
        <f t="shared" si="148"/>
        <v>1</v>
      </c>
      <c r="C452">
        <f t="shared" si="149"/>
        <v>1</v>
      </c>
      <c r="D452">
        <f t="shared" si="150"/>
        <v>1</v>
      </c>
      <c r="E452">
        <f t="shared" si="151"/>
        <v>0</v>
      </c>
      <c r="F452">
        <f t="shared" si="152"/>
        <v>0</v>
      </c>
      <c r="G452">
        <f t="shared" si="153"/>
        <v>0</v>
      </c>
      <c r="H452">
        <f t="shared" si="154"/>
        <v>1</v>
      </c>
      <c r="I452">
        <f t="shared" si="155"/>
        <v>0</v>
      </c>
      <c r="J452">
        <f t="shared" si="156"/>
        <v>0</v>
      </c>
      <c r="K452" s="45">
        <f t="shared" si="157"/>
        <v>0</v>
      </c>
      <c r="L452" s="45">
        <f t="shared" si="158"/>
        <v>0.25</v>
      </c>
      <c r="M452" s="45">
        <f t="shared" si="159"/>
        <v>0.25</v>
      </c>
      <c r="N452" s="45">
        <f t="shared" si="160"/>
        <v>0.25</v>
      </c>
      <c r="O452" s="45">
        <f t="shared" si="161"/>
        <v>0</v>
      </c>
      <c r="P452" s="45">
        <f t="shared" si="162"/>
        <v>0</v>
      </c>
      <c r="Q452" s="45">
        <f t="shared" si="163"/>
        <v>0</v>
      </c>
      <c r="R452" s="45">
        <f t="shared" si="164"/>
        <v>0.25</v>
      </c>
      <c r="S452" s="45">
        <f t="shared" si="165"/>
        <v>0</v>
      </c>
      <c r="T452" s="45">
        <f t="shared" si="166"/>
        <v>0</v>
      </c>
    </row>
    <row r="453" spans="1:20" x14ac:dyDescent="0.3">
      <c r="A453">
        <f t="shared" si="147"/>
        <v>0</v>
      </c>
      <c r="B453">
        <f t="shared" si="148"/>
        <v>1</v>
      </c>
      <c r="C453">
        <f t="shared" si="149"/>
        <v>1</v>
      </c>
      <c r="D453">
        <f t="shared" si="150"/>
        <v>1</v>
      </c>
      <c r="E453">
        <f t="shared" si="151"/>
        <v>0</v>
      </c>
      <c r="F453">
        <f t="shared" si="152"/>
        <v>0</v>
      </c>
      <c r="G453">
        <f t="shared" si="153"/>
        <v>0</v>
      </c>
      <c r="H453">
        <f t="shared" si="154"/>
        <v>1</v>
      </c>
      <c r="I453">
        <f t="shared" si="155"/>
        <v>0</v>
      </c>
      <c r="J453">
        <f t="shared" si="156"/>
        <v>1</v>
      </c>
      <c r="K453" s="45">
        <f t="shared" si="157"/>
        <v>0</v>
      </c>
      <c r="L453" s="45">
        <f t="shared" si="158"/>
        <v>0.2</v>
      </c>
      <c r="M453" s="45">
        <f t="shared" si="159"/>
        <v>0.2</v>
      </c>
      <c r="N453" s="45">
        <f t="shared" si="160"/>
        <v>0.2</v>
      </c>
      <c r="O453" s="45">
        <f t="shared" si="161"/>
        <v>0</v>
      </c>
      <c r="P453" s="45">
        <f t="shared" si="162"/>
        <v>0</v>
      </c>
      <c r="Q453" s="45">
        <f t="shared" si="163"/>
        <v>0</v>
      </c>
      <c r="R453" s="45">
        <f t="shared" si="164"/>
        <v>0.2</v>
      </c>
      <c r="S453" s="45">
        <f t="shared" si="165"/>
        <v>0</v>
      </c>
      <c r="T453" s="45">
        <f t="shared" si="166"/>
        <v>0.2</v>
      </c>
    </row>
    <row r="454" spans="1:20" x14ac:dyDescent="0.3">
      <c r="A454">
        <f t="shared" si="147"/>
        <v>0</v>
      </c>
      <c r="B454">
        <f t="shared" si="148"/>
        <v>1</v>
      </c>
      <c r="C454">
        <f t="shared" si="149"/>
        <v>1</v>
      </c>
      <c r="D454">
        <f t="shared" si="150"/>
        <v>1</v>
      </c>
      <c r="E454">
        <f t="shared" si="151"/>
        <v>0</v>
      </c>
      <c r="F454">
        <f t="shared" si="152"/>
        <v>0</v>
      </c>
      <c r="G454">
        <f t="shared" si="153"/>
        <v>0</v>
      </c>
      <c r="H454">
        <f t="shared" si="154"/>
        <v>1</v>
      </c>
      <c r="I454">
        <f t="shared" si="155"/>
        <v>1</v>
      </c>
      <c r="J454">
        <f t="shared" si="156"/>
        <v>0</v>
      </c>
      <c r="K454" s="45">
        <f t="shared" si="157"/>
        <v>0</v>
      </c>
      <c r="L454" s="45">
        <f t="shared" si="158"/>
        <v>0.2</v>
      </c>
      <c r="M454" s="45">
        <f t="shared" si="159"/>
        <v>0.2</v>
      </c>
      <c r="N454" s="45">
        <f t="shared" si="160"/>
        <v>0.2</v>
      </c>
      <c r="O454" s="45">
        <f t="shared" si="161"/>
        <v>0</v>
      </c>
      <c r="P454" s="45">
        <f t="shared" si="162"/>
        <v>0</v>
      </c>
      <c r="Q454" s="45">
        <f t="shared" si="163"/>
        <v>0</v>
      </c>
      <c r="R454" s="45">
        <f t="shared" si="164"/>
        <v>0.2</v>
      </c>
      <c r="S454" s="45">
        <f t="shared" si="165"/>
        <v>0.2</v>
      </c>
      <c r="T454" s="45">
        <f t="shared" si="166"/>
        <v>0</v>
      </c>
    </row>
    <row r="455" spans="1:20" x14ac:dyDescent="0.3">
      <c r="A455">
        <f t="shared" si="147"/>
        <v>0</v>
      </c>
      <c r="B455">
        <f t="shared" si="148"/>
        <v>1</v>
      </c>
      <c r="C455">
        <f t="shared" si="149"/>
        <v>1</v>
      </c>
      <c r="D455">
        <f t="shared" si="150"/>
        <v>1</v>
      </c>
      <c r="E455">
        <f t="shared" si="151"/>
        <v>0</v>
      </c>
      <c r="F455">
        <f t="shared" si="152"/>
        <v>0</v>
      </c>
      <c r="G455">
        <f t="shared" si="153"/>
        <v>0</v>
      </c>
      <c r="H455">
        <f t="shared" si="154"/>
        <v>1</v>
      </c>
      <c r="I455">
        <f t="shared" si="155"/>
        <v>1</v>
      </c>
      <c r="J455">
        <f t="shared" si="156"/>
        <v>1</v>
      </c>
      <c r="K455" s="45">
        <f t="shared" si="157"/>
        <v>0</v>
      </c>
      <c r="L455" s="45">
        <f t="shared" si="158"/>
        <v>0.16666666666666666</v>
      </c>
      <c r="M455" s="45">
        <f t="shared" si="159"/>
        <v>0.16666666666666666</v>
      </c>
      <c r="N455" s="45">
        <f t="shared" si="160"/>
        <v>0.16666666666666666</v>
      </c>
      <c r="O455" s="45">
        <f t="shared" si="161"/>
        <v>0</v>
      </c>
      <c r="P455" s="45">
        <f t="shared" si="162"/>
        <v>0</v>
      </c>
      <c r="Q455" s="45">
        <f t="shared" si="163"/>
        <v>0</v>
      </c>
      <c r="R455" s="45">
        <f t="shared" si="164"/>
        <v>0.16666666666666666</v>
      </c>
      <c r="S455" s="45">
        <f t="shared" si="165"/>
        <v>0.16666666666666666</v>
      </c>
      <c r="T455" s="45">
        <f t="shared" si="166"/>
        <v>0.16666666666666666</v>
      </c>
    </row>
    <row r="456" spans="1:20" x14ac:dyDescent="0.3">
      <c r="A456">
        <f t="shared" si="147"/>
        <v>0</v>
      </c>
      <c r="B456">
        <f t="shared" si="148"/>
        <v>1</v>
      </c>
      <c r="C456">
        <f t="shared" si="149"/>
        <v>1</v>
      </c>
      <c r="D456">
        <f t="shared" si="150"/>
        <v>1</v>
      </c>
      <c r="E456">
        <f t="shared" si="151"/>
        <v>0</v>
      </c>
      <c r="F456">
        <f t="shared" si="152"/>
        <v>0</v>
      </c>
      <c r="G456">
        <f t="shared" si="153"/>
        <v>1</v>
      </c>
      <c r="H456">
        <f t="shared" si="154"/>
        <v>0</v>
      </c>
      <c r="I456">
        <f t="shared" si="155"/>
        <v>0</v>
      </c>
      <c r="J456">
        <f t="shared" si="156"/>
        <v>0</v>
      </c>
      <c r="K456" s="45">
        <f t="shared" si="157"/>
        <v>0</v>
      </c>
      <c r="L456" s="45">
        <f t="shared" si="158"/>
        <v>0.25</v>
      </c>
      <c r="M456" s="45">
        <f t="shared" si="159"/>
        <v>0.25</v>
      </c>
      <c r="N456" s="45">
        <f t="shared" si="160"/>
        <v>0.25</v>
      </c>
      <c r="O456" s="45">
        <f t="shared" si="161"/>
        <v>0</v>
      </c>
      <c r="P456" s="45">
        <f t="shared" si="162"/>
        <v>0</v>
      </c>
      <c r="Q456" s="45">
        <f t="shared" si="163"/>
        <v>0.25</v>
      </c>
      <c r="R456" s="45">
        <f t="shared" si="164"/>
        <v>0</v>
      </c>
      <c r="S456" s="45">
        <f t="shared" si="165"/>
        <v>0</v>
      </c>
      <c r="T456" s="45">
        <f t="shared" si="166"/>
        <v>0</v>
      </c>
    </row>
    <row r="457" spans="1:20" x14ac:dyDescent="0.3">
      <c r="A457">
        <f t="shared" si="147"/>
        <v>0</v>
      </c>
      <c r="B457">
        <f t="shared" si="148"/>
        <v>1</v>
      </c>
      <c r="C457">
        <f t="shared" si="149"/>
        <v>1</v>
      </c>
      <c r="D457">
        <f t="shared" si="150"/>
        <v>1</v>
      </c>
      <c r="E457">
        <f t="shared" si="151"/>
        <v>0</v>
      </c>
      <c r="F457">
        <f t="shared" si="152"/>
        <v>0</v>
      </c>
      <c r="G457">
        <f t="shared" si="153"/>
        <v>1</v>
      </c>
      <c r="H457">
        <f t="shared" si="154"/>
        <v>0</v>
      </c>
      <c r="I457">
        <f t="shared" si="155"/>
        <v>0</v>
      </c>
      <c r="J457">
        <f t="shared" si="156"/>
        <v>1</v>
      </c>
      <c r="K457" s="45">
        <f t="shared" si="157"/>
        <v>0</v>
      </c>
      <c r="L457" s="45">
        <f t="shared" si="158"/>
        <v>0.2</v>
      </c>
      <c r="M457" s="45">
        <f t="shared" si="159"/>
        <v>0.2</v>
      </c>
      <c r="N457" s="45">
        <f t="shared" si="160"/>
        <v>0.2</v>
      </c>
      <c r="O457" s="45">
        <f t="shared" si="161"/>
        <v>0</v>
      </c>
      <c r="P457" s="45">
        <f t="shared" si="162"/>
        <v>0</v>
      </c>
      <c r="Q457" s="45">
        <f t="shared" si="163"/>
        <v>0.2</v>
      </c>
      <c r="R457" s="45">
        <f t="shared" si="164"/>
        <v>0</v>
      </c>
      <c r="S457" s="45">
        <f t="shared" si="165"/>
        <v>0</v>
      </c>
      <c r="T457" s="45">
        <f t="shared" si="166"/>
        <v>0.2</v>
      </c>
    </row>
    <row r="458" spans="1:20" x14ac:dyDescent="0.3">
      <c r="A458">
        <f t="shared" si="147"/>
        <v>0</v>
      </c>
      <c r="B458">
        <f t="shared" si="148"/>
        <v>1</v>
      </c>
      <c r="C458">
        <f t="shared" si="149"/>
        <v>1</v>
      </c>
      <c r="D458">
        <f t="shared" si="150"/>
        <v>1</v>
      </c>
      <c r="E458">
        <f t="shared" si="151"/>
        <v>0</v>
      </c>
      <c r="F458">
        <f t="shared" si="152"/>
        <v>0</v>
      </c>
      <c r="G458">
        <f t="shared" si="153"/>
        <v>1</v>
      </c>
      <c r="H458">
        <f t="shared" si="154"/>
        <v>0</v>
      </c>
      <c r="I458">
        <f t="shared" si="155"/>
        <v>1</v>
      </c>
      <c r="J458">
        <f t="shared" si="156"/>
        <v>0</v>
      </c>
      <c r="K458" s="45">
        <f t="shared" si="157"/>
        <v>0</v>
      </c>
      <c r="L458" s="45">
        <f t="shared" si="158"/>
        <v>0.2</v>
      </c>
      <c r="M458" s="45">
        <f t="shared" si="159"/>
        <v>0.2</v>
      </c>
      <c r="N458" s="45">
        <f t="shared" si="160"/>
        <v>0.2</v>
      </c>
      <c r="O458" s="45">
        <f t="shared" si="161"/>
        <v>0</v>
      </c>
      <c r="P458" s="45">
        <f t="shared" si="162"/>
        <v>0</v>
      </c>
      <c r="Q458" s="45">
        <f t="shared" si="163"/>
        <v>0.2</v>
      </c>
      <c r="R458" s="45">
        <f t="shared" si="164"/>
        <v>0</v>
      </c>
      <c r="S458" s="45">
        <f t="shared" si="165"/>
        <v>0.2</v>
      </c>
      <c r="T458" s="45">
        <f t="shared" si="166"/>
        <v>0</v>
      </c>
    </row>
    <row r="459" spans="1:20" x14ac:dyDescent="0.3">
      <c r="A459">
        <f t="shared" si="147"/>
        <v>0</v>
      </c>
      <c r="B459">
        <f t="shared" si="148"/>
        <v>1</v>
      </c>
      <c r="C459">
        <f t="shared" si="149"/>
        <v>1</v>
      </c>
      <c r="D459">
        <f t="shared" si="150"/>
        <v>1</v>
      </c>
      <c r="E459">
        <f t="shared" si="151"/>
        <v>0</v>
      </c>
      <c r="F459">
        <f t="shared" si="152"/>
        <v>0</v>
      </c>
      <c r="G459">
        <f t="shared" si="153"/>
        <v>1</v>
      </c>
      <c r="H459">
        <f t="shared" si="154"/>
        <v>0</v>
      </c>
      <c r="I459">
        <f t="shared" si="155"/>
        <v>1</v>
      </c>
      <c r="J459">
        <f t="shared" si="156"/>
        <v>1</v>
      </c>
      <c r="K459" s="45">
        <f t="shared" si="157"/>
        <v>0</v>
      </c>
      <c r="L459" s="45">
        <f t="shared" si="158"/>
        <v>0.16666666666666666</v>
      </c>
      <c r="M459" s="45">
        <f t="shared" si="159"/>
        <v>0.16666666666666666</v>
      </c>
      <c r="N459" s="45">
        <f t="shared" si="160"/>
        <v>0.16666666666666666</v>
      </c>
      <c r="O459" s="45">
        <f t="shared" si="161"/>
        <v>0</v>
      </c>
      <c r="P459" s="45">
        <f t="shared" si="162"/>
        <v>0</v>
      </c>
      <c r="Q459" s="45">
        <f t="shared" si="163"/>
        <v>0.16666666666666666</v>
      </c>
      <c r="R459" s="45">
        <f t="shared" si="164"/>
        <v>0</v>
      </c>
      <c r="S459" s="45">
        <f t="shared" si="165"/>
        <v>0.16666666666666666</v>
      </c>
      <c r="T459" s="45">
        <f t="shared" si="166"/>
        <v>0.16666666666666666</v>
      </c>
    </row>
    <row r="460" spans="1:20" x14ac:dyDescent="0.3">
      <c r="A460">
        <f t="shared" si="147"/>
        <v>0</v>
      </c>
      <c r="B460">
        <f t="shared" si="148"/>
        <v>1</v>
      </c>
      <c r="C460">
        <f t="shared" si="149"/>
        <v>1</v>
      </c>
      <c r="D460">
        <f t="shared" si="150"/>
        <v>1</v>
      </c>
      <c r="E460">
        <f t="shared" si="151"/>
        <v>0</v>
      </c>
      <c r="F460">
        <f t="shared" si="152"/>
        <v>0</v>
      </c>
      <c r="G460">
        <f t="shared" si="153"/>
        <v>1</v>
      </c>
      <c r="H460">
        <f t="shared" si="154"/>
        <v>1</v>
      </c>
      <c r="I460">
        <f t="shared" si="155"/>
        <v>0</v>
      </c>
      <c r="J460">
        <f t="shared" si="156"/>
        <v>0</v>
      </c>
      <c r="K460" s="45">
        <f t="shared" si="157"/>
        <v>0</v>
      </c>
      <c r="L460" s="45">
        <f t="shared" si="158"/>
        <v>0.2</v>
      </c>
      <c r="M460" s="45">
        <f t="shared" si="159"/>
        <v>0.2</v>
      </c>
      <c r="N460" s="45">
        <f t="shared" si="160"/>
        <v>0.2</v>
      </c>
      <c r="O460" s="45">
        <f t="shared" si="161"/>
        <v>0</v>
      </c>
      <c r="P460" s="45">
        <f t="shared" si="162"/>
        <v>0</v>
      </c>
      <c r="Q460" s="45">
        <f t="shared" si="163"/>
        <v>0.2</v>
      </c>
      <c r="R460" s="45">
        <f t="shared" si="164"/>
        <v>0.2</v>
      </c>
      <c r="S460" s="45">
        <f t="shared" si="165"/>
        <v>0</v>
      </c>
      <c r="T460" s="45">
        <f t="shared" si="166"/>
        <v>0</v>
      </c>
    </row>
    <row r="461" spans="1:20" x14ac:dyDescent="0.3">
      <c r="A461">
        <f t="shared" si="147"/>
        <v>0</v>
      </c>
      <c r="B461">
        <f t="shared" si="148"/>
        <v>1</v>
      </c>
      <c r="C461">
        <f t="shared" si="149"/>
        <v>1</v>
      </c>
      <c r="D461">
        <f t="shared" si="150"/>
        <v>1</v>
      </c>
      <c r="E461">
        <f t="shared" si="151"/>
        <v>0</v>
      </c>
      <c r="F461">
        <f t="shared" si="152"/>
        <v>0</v>
      </c>
      <c r="G461">
        <f t="shared" si="153"/>
        <v>1</v>
      </c>
      <c r="H461">
        <f t="shared" si="154"/>
        <v>1</v>
      </c>
      <c r="I461">
        <f t="shared" si="155"/>
        <v>0</v>
      </c>
      <c r="J461">
        <f t="shared" si="156"/>
        <v>1</v>
      </c>
      <c r="K461" s="45">
        <f t="shared" si="157"/>
        <v>0</v>
      </c>
      <c r="L461" s="45">
        <f t="shared" si="158"/>
        <v>0.16666666666666666</v>
      </c>
      <c r="M461" s="45">
        <f t="shared" si="159"/>
        <v>0.16666666666666666</v>
      </c>
      <c r="N461" s="45">
        <f t="shared" si="160"/>
        <v>0.16666666666666666</v>
      </c>
      <c r="O461" s="45">
        <f t="shared" si="161"/>
        <v>0</v>
      </c>
      <c r="P461" s="45">
        <f t="shared" si="162"/>
        <v>0</v>
      </c>
      <c r="Q461" s="45">
        <f t="shared" si="163"/>
        <v>0.16666666666666666</v>
      </c>
      <c r="R461" s="45">
        <f t="shared" si="164"/>
        <v>0.16666666666666666</v>
      </c>
      <c r="S461" s="45">
        <f t="shared" si="165"/>
        <v>0</v>
      </c>
      <c r="T461" s="45">
        <f t="shared" si="166"/>
        <v>0.16666666666666666</v>
      </c>
    </row>
    <row r="462" spans="1:20" x14ac:dyDescent="0.3">
      <c r="A462">
        <f t="shared" si="147"/>
        <v>0</v>
      </c>
      <c r="B462">
        <f t="shared" si="148"/>
        <v>1</v>
      </c>
      <c r="C462">
        <f t="shared" si="149"/>
        <v>1</v>
      </c>
      <c r="D462">
        <f t="shared" si="150"/>
        <v>1</v>
      </c>
      <c r="E462">
        <f t="shared" si="151"/>
        <v>0</v>
      </c>
      <c r="F462">
        <f t="shared" si="152"/>
        <v>0</v>
      </c>
      <c r="G462">
        <f t="shared" si="153"/>
        <v>1</v>
      </c>
      <c r="H462">
        <f t="shared" si="154"/>
        <v>1</v>
      </c>
      <c r="I462">
        <f t="shared" si="155"/>
        <v>1</v>
      </c>
      <c r="J462">
        <f t="shared" si="156"/>
        <v>0</v>
      </c>
      <c r="K462" s="45">
        <f t="shared" si="157"/>
        <v>0</v>
      </c>
      <c r="L462" s="45">
        <f t="shared" si="158"/>
        <v>0.16666666666666666</v>
      </c>
      <c r="M462" s="45">
        <f t="shared" si="159"/>
        <v>0.16666666666666666</v>
      </c>
      <c r="N462" s="45">
        <f t="shared" si="160"/>
        <v>0.16666666666666666</v>
      </c>
      <c r="O462" s="45">
        <f t="shared" si="161"/>
        <v>0</v>
      </c>
      <c r="P462" s="45">
        <f t="shared" si="162"/>
        <v>0</v>
      </c>
      <c r="Q462" s="45">
        <f t="shared" si="163"/>
        <v>0.16666666666666666</v>
      </c>
      <c r="R462" s="45">
        <f t="shared" si="164"/>
        <v>0.16666666666666666</v>
      </c>
      <c r="S462" s="45">
        <f t="shared" si="165"/>
        <v>0.16666666666666666</v>
      </c>
      <c r="T462" s="45">
        <f t="shared" si="166"/>
        <v>0</v>
      </c>
    </row>
    <row r="463" spans="1:20" x14ac:dyDescent="0.3">
      <c r="A463">
        <f t="shared" si="147"/>
        <v>0</v>
      </c>
      <c r="B463">
        <f t="shared" si="148"/>
        <v>1</v>
      </c>
      <c r="C463">
        <f t="shared" si="149"/>
        <v>1</v>
      </c>
      <c r="D463">
        <f t="shared" si="150"/>
        <v>1</v>
      </c>
      <c r="E463">
        <f t="shared" si="151"/>
        <v>0</v>
      </c>
      <c r="F463">
        <f t="shared" si="152"/>
        <v>0</v>
      </c>
      <c r="G463">
        <f t="shared" si="153"/>
        <v>1</v>
      </c>
      <c r="H463">
        <f t="shared" si="154"/>
        <v>1</v>
      </c>
      <c r="I463">
        <f t="shared" si="155"/>
        <v>1</v>
      </c>
      <c r="J463">
        <f t="shared" si="156"/>
        <v>1</v>
      </c>
      <c r="K463" s="45">
        <f t="shared" si="157"/>
        <v>0</v>
      </c>
      <c r="L463" s="45">
        <f t="shared" si="158"/>
        <v>0.14285714285714285</v>
      </c>
      <c r="M463" s="45">
        <f t="shared" si="159"/>
        <v>0.14285714285714285</v>
      </c>
      <c r="N463" s="45">
        <f t="shared" si="160"/>
        <v>0.14285714285714285</v>
      </c>
      <c r="O463" s="45">
        <f t="shared" si="161"/>
        <v>0</v>
      </c>
      <c r="P463" s="45">
        <f t="shared" si="162"/>
        <v>0</v>
      </c>
      <c r="Q463" s="45">
        <f t="shared" si="163"/>
        <v>0.14285714285714285</v>
      </c>
      <c r="R463" s="45">
        <f t="shared" si="164"/>
        <v>0.14285714285714285</v>
      </c>
      <c r="S463" s="45">
        <f t="shared" si="165"/>
        <v>0.14285714285714285</v>
      </c>
      <c r="T463" s="45">
        <f t="shared" si="166"/>
        <v>0.14285714285714285</v>
      </c>
    </row>
    <row r="464" spans="1:20" x14ac:dyDescent="0.3">
      <c r="A464">
        <f t="shared" si="147"/>
        <v>0</v>
      </c>
      <c r="B464">
        <f t="shared" si="148"/>
        <v>1</v>
      </c>
      <c r="C464">
        <f t="shared" si="149"/>
        <v>1</v>
      </c>
      <c r="D464">
        <f t="shared" si="150"/>
        <v>1</v>
      </c>
      <c r="E464">
        <f t="shared" si="151"/>
        <v>0</v>
      </c>
      <c r="F464">
        <f t="shared" si="152"/>
        <v>1</v>
      </c>
      <c r="G464">
        <f t="shared" si="153"/>
        <v>0</v>
      </c>
      <c r="H464">
        <f t="shared" si="154"/>
        <v>0</v>
      </c>
      <c r="I464">
        <f t="shared" si="155"/>
        <v>0</v>
      </c>
      <c r="J464">
        <f t="shared" si="156"/>
        <v>0</v>
      </c>
      <c r="K464" s="45">
        <f t="shared" si="157"/>
        <v>0</v>
      </c>
      <c r="L464" s="45">
        <f t="shared" si="158"/>
        <v>0.25</v>
      </c>
      <c r="M464" s="45">
        <f t="shared" si="159"/>
        <v>0.25</v>
      </c>
      <c r="N464" s="45">
        <f t="shared" si="160"/>
        <v>0.25</v>
      </c>
      <c r="O464" s="45">
        <f t="shared" si="161"/>
        <v>0</v>
      </c>
      <c r="P464" s="45">
        <f t="shared" si="162"/>
        <v>0.25</v>
      </c>
      <c r="Q464" s="45">
        <f t="shared" si="163"/>
        <v>0</v>
      </c>
      <c r="R464" s="45">
        <f t="shared" si="164"/>
        <v>0</v>
      </c>
      <c r="S464" s="45">
        <f t="shared" si="165"/>
        <v>0</v>
      </c>
      <c r="T464" s="45">
        <f t="shared" si="166"/>
        <v>0</v>
      </c>
    </row>
    <row r="465" spans="1:20" x14ac:dyDescent="0.3">
      <c r="A465">
        <f t="shared" si="147"/>
        <v>0</v>
      </c>
      <c r="B465">
        <f t="shared" si="148"/>
        <v>1</v>
      </c>
      <c r="C465">
        <f t="shared" si="149"/>
        <v>1</v>
      </c>
      <c r="D465">
        <f t="shared" si="150"/>
        <v>1</v>
      </c>
      <c r="E465">
        <f t="shared" si="151"/>
        <v>0</v>
      </c>
      <c r="F465">
        <f t="shared" si="152"/>
        <v>1</v>
      </c>
      <c r="G465">
        <f t="shared" si="153"/>
        <v>0</v>
      </c>
      <c r="H465">
        <f t="shared" si="154"/>
        <v>0</v>
      </c>
      <c r="I465">
        <f t="shared" si="155"/>
        <v>0</v>
      </c>
      <c r="J465">
        <f t="shared" si="156"/>
        <v>1</v>
      </c>
      <c r="K465" s="45">
        <f t="shared" si="157"/>
        <v>0</v>
      </c>
      <c r="L465" s="45">
        <f t="shared" si="158"/>
        <v>0.2</v>
      </c>
      <c r="M465" s="45">
        <f t="shared" si="159"/>
        <v>0.2</v>
      </c>
      <c r="N465" s="45">
        <f t="shared" si="160"/>
        <v>0.2</v>
      </c>
      <c r="O465" s="45">
        <f t="shared" si="161"/>
        <v>0</v>
      </c>
      <c r="P465" s="45">
        <f t="shared" si="162"/>
        <v>0.2</v>
      </c>
      <c r="Q465" s="45">
        <f t="shared" si="163"/>
        <v>0</v>
      </c>
      <c r="R465" s="45">
        <f t="shared" si="164"/>
        <v>0</v>
      </c>
      <c r="S465" s="45">
        <f t="shared" si="165"/>
        <v>0</v>
      </c>
      <c r="T465" s="45">
        <f t="shared" si="166"/>
        <v>0.2</v>
      </c>
    </row>
    <row r="466" spans="1:20" x14ac:dyDescent="0.3">
      <c r="A466">
        <f t="shared" si="147"/>
        <v>0</v>
      </c>
      <c r="B466">
        <f t="shared" si="148"/>
        <v>1</v>
      </c>
      <c r="C466">
        <f t="shared" si="149"/>
        <v>1</v>
      </c>
      <c r="D466">
        <f t="shared" si="150"/>
        <v>1</v>
      </c>
      <c r="E466">
        <f t="shared" si="151"/>
        <v>0</v>
      </c>
      <c r="F466">
        <f t="shared" si="152"/>
        <v>1</v>
      </c>
      <c r="G466">
        <f t="shared" si="153"/>
        <v>0</v>
      </c>
      <c r="H466">
        <f t="shared" si="154"/>
        <v>0</v>
      </c>
      <c r="I466">
        <f t="shared" si="155"/>
        <v>1</v>
      </c>
      <c r="J466">
        <f t="shared" si="156"/>
        <v>0</v>
      </c>
      <c r="K466" s="45">
        <f t="shared" si="157"/>
        <v>0</v>
      </c>
      <c r="L466" s="45">
        <f t="shared" si="158"/>
        <v>0.2</v>
      </c>
      <c r="M466" s="45">
        <f t="shared" si="159"/>
        <v>0.2</v>
      </c>
      <c r="N466" s="45">
        <f t="shared" si="160"/>
        <v>0.2</v>
      </c>
      <c r="O466" s="45">
        <f t="shared" si="161"/>
        <v>0</v>
      </c>
      <c r="P466" s="45">
        <f t="shared" si="162"/>
        <v>0.2</v>
      </c>
      <c r="Q466" s="45">
        <f t="shared" si="163"/>
        <v>0</v>
      </c>
      <c r="R466" s="45">
        <f t="shared" si="164"/>
        <v>0</v>
      </c>
      <c r="S466" s="45">
        <f t="shared" si="165"/>
        <v>0.2</v>
      </c>
      <c r="T466" s="45">
        <f t="shared" si="166"/>
        <v>0</v>
      </c>
    </row>
    <row r="467" spans="1:20" x14ac:dyDescent="0.3">
      <c r="A467">
        <f t="shared" si="147"/>
        <v>0</v>
      </c>
      <c r="B467">
        <f t="shared" si="148"/>
        <v>1</v>
      </c>
      <c r="C467">
        <f t="shared" si="149"/>
        <v>1</v>
      </c>
      <c r="D467">
        <f t="shared" si="150"/>
        <v>1</v>
      </c>
      <c r="E467">
        <f t="shared" si="151"/>
        <v>0</v>
      </c>
      <c r="F467">
        <f t="shared" si="152"/>
        <v>1</v>
      </c>
      <c r="G467">
        <f t="shared" si="153"/>
        <v>0</v>
      </c>
      <c r="H467">
        <f t="shared" si="154"/>
        <v>0</v>
      </c>
      <c r="I467">
        <f t="shared" si="155"/>
        <v>1</v>
      </c>
      <c r="J467">
        <f t="shared" si="156"/>
        <v>1</v>
      </c>
      <c r="K467" s="45">
        <f t="shared" si="157"/>
        <v>0</v>
      </c>
      <c r="L467" s="45">
        <f t="shared" si="158"/>
        <v>0.16666666666666666</v>
      </c>
      <c r="M467" s="45">
        <f t="shared" si="159"/>
        <v>0.16666666666666666</v>
      </c>
      <c r="N467" s="45">
        <f t="shared" si="160"/>
        <v>0.16666666666666666</v>
      </c>
      <c r="O467" s="45">
        <f t="shared" si="161"/>
        <v>0</v>
      </c>
      <c r="P467" s="45">
        <f t="shared" si="162"/>
        <v>0.16666666666666666</v>
      </c>
      <c r="Q467" s="45">
        <f t="shared" si="163"/>
        <v>0</v>
      </c>
      <c r="R467" s="45">
        <f t="shared" si="164"/>
        <v>0</v>
      </c>
      <c r="S467" s="45">
        <f t="shared" si="165"/>
        <v>0.16666666666666666</v>
      </c>
      <c r="T467" s="45">
        <f t="shared" si="166"/>
        <v>0.16666666666666666</v>
      </c>
    </row>
    <row r="468" spans="1:20" x14ac:dyDescent="0.3">
      <c r="A468">
        <f t="shared" si="147"/>
        <v>0</v>
      </c>
      <c r="B468">
        <f t="shared" si="148"/>
        <v>1</v>
      </c>
      <c r="C468">
        <f t="shared" si="149"/>
        <v>1</v>
      </c>
      <c r="D468">
        <f t="shared" si="150"/>
        <v>1</v>
      </c>
      <c r="E468">
        <f t="shared" si="151"/>
        <v>0</v>
      </c>
      <c r="F468">
        <f t="shared" si="152"/>
        <v>1</v>
      </c>
      <c r="G468">
        <f t="shared" si="153"/>
        <v>0</v>
      </c>
      <c r="H468">
        <f t="shared" si="154"/>
        <v>1</v>
      </c>
      <c r="I468">
        <f t="shared" si="155"/>
        <v>0</v>
      </c>
      <c r="J468">
        <f t="shared" si="156"/>
        <v>0</v>
      </c>
      <c r="K468" s="45">
        <f t="shared" si="157"/>
        <v>0</v>
      </c>
      <c r="L468" s="45">
        <f t="shared" si="158"/>
        <v>0.2</v>
      </c>
      <c r="M468" s="45">
        <f t="shared" si="159"/>
        <v>0.2</v>
      </c>
      <c r="N468" s="45">
        <f t="shared" si="160"/>
        <v>0.2</v>
      </c>
      <c r="O468" s="45">
        <f t="shared" si="161"/>
        <v>0</v>
      </c>
      <c r="P468" s="45">
        <f t="shared" si="162"/>
        <v>0.2</v>
      </c>
      <c r="Q468" s="45">
        <f t="shared" si="163"/>
        <v>0</v>
      </c>
      <c r="R468" s="45">
        <f t="shared" si="164"/>
        <v>0.2</v>
      </c>
      <c r="S468" s="45">
        <f t="shared" si="165"/>
        <v>0</v>
      </c>
      <c r="T468" s="45">
        <f t="shared" si="166"/>
        <v>0</v>
      </c>
    </row>
    <row r="469" spans="1:20" x14ac:dyDescent="0.3">
      <c r="A469">
        <f t="shared" si="147"/>
        <v>0</v>
      </c>
      <c r="B469">
        <f t="shared" si="148"/>
        <v>1</v>
      </c>
      <c r="C469">
        <f t="shared" si="149"/>
        <v>1</v>
      </c>
      <c r="D469">
        <f t="shared" si="150"/>
        <v>1</v>
      </c>
      <c r="E469">
        <f t="shared" si="151"/>
        <v>0</v>
      </c>
      <c r="F469">
        <f t="shared" si="152"/>
        <v>1</v>
      </c>
      <c r="G469">
        <f t="shared" si="153"/>
        <v>0</v>
      </c>
      <c r="H469">
        <f t="shared" si="154"/>
        <v>1</v>
      </c>
      <c r="I469">
        <f t="shared" si="155"/>
        <v>0</v>
      </c>
      <c r="J469">
        <f t="shared" si="156"/>
        <v>1</v>
      </c>
      <c r="K469" s="45">
        <f t="shared" si="157"/>
        <v>0</v>
      </c>
      <c r="L469" s="45">
        <f t="shared" si="158"/>
        <v>0.16666666666666666</v>
      </c>
      <c r="M469" s="45">
        <f t="shared" si="159"/>
        <v>0.16666666666666666</v>
      </c>
      <c r="N469" s="45">
        <f t="shared" si="160"/>
        <v>0.16666666666666666</v>
      </c>
      <c r="O469" s="45">
        <f t="shared" si="161"/>
        <v>0</v>
      </c>
      <c r="P469" s="45">
        <f t="shared" si="162"/>
        <v>0.16666666666666666</v>
      </c>
      <c r="Q469" s="45">
        <f t="shared" si="163"/>
        <v>0</v>
      </c>
      <c r="R469" s="45">
        <f t="shared" si="164"/>
        <v>0.16666666666666666</v>
      </c>
      <c r="S469" s="45">
        <f t="shared" si="165"/>
        <v>0</v>
      </c>
      <c r="T469" s="45">
        <f t="shared" si="166"/>
        <v>0.16666666666666666</v>
      </c>
    </row>
    <row r="470" spans="1:20" x14ac:dyDescent="0.3">
      <c r="A470">
        <f t="shared" si="147"/>
        <v>0</v>
      </c>
      <c r="B470">
        <f t="shared" si="148"/>
        <v>1</v>
      </c>
      <c r="C470">
        <f t="shared" si="149"/>
        <v>1</v>
      </c>
      <c r="D470">
        <f t="shared" si="150"/>
        <v>1</v>
      </c>
      <c r="E470">
        <f t="shared" si="151"/>
        <v>0</v>
      </c>
      <c r="F470">
        <f t="shared" si="152"/>
        <v>1</v>
      </c>
      <c r="G470">
        <f t="shared" si="153"/>
        <v>0</v>
      </c>
      <c r="H470">
        <f t="shared" si="154"/>
        <v>1</v>
      </c>
      <c r="I470">
        <f t="shared" si="155"/>
        <v>1</v>
      </c>
      <c r="J470">
        <f t="shared" si="156"/>
        <v>0</v>
      </c>
      <c r="K470" s="45">
        <f t="shared" si="157"/>
        <v>0</v>
      </c>
      <c r="L470" s="45">
        <f t="shared" si="158"/>
        <v>0.16666666666666666</v>
      </c>
      <c r="M470" s="45">
        <f t="shared" si="159"/>
        <v>0.16666666666666666</v>
      </c>
      <c r="N470" s="45">
        <f t="shared" si="160"/>
        <v>0.16666666666666666</v>
      </c>
      <c r="O470" s="45">
        <f t="shared" si="161"/>
        <v>0</v>
      </c>
      <c r="P470" s="45">
        <f t="shared" si="162"/>
        <v>0.16666666666666666</v>
      </c>
      <c r="Q470" s="45">
        <f t="shared" si="163"/>
        <v>0</v>
      </c>
      <c r="R470" s="45">
        <f t="shared" si="164"/>
        <v>0.16666666666666666</v>
      </c>
      <c r="S470" s="45">
        <f t="shared" si="165"/>
        <v>0.16666666666666666</v>
      </c>
      <c r="T470" s="45">
        <f t="shared" si="166"/>
        <v>0</v>
      </c>
    </row>
    <row r="471" spans="1:20" x14ac:dyDescent="0.3">
      <c r="A471">
        <f t="shared" si="147"/>
        <v>0</v>
      </c>
      <c r="B471">
        <f t="shared" si="148"/>
        <v>1</v>
      </c>
      <c r="C471">
        <f t="shared" si="149"/>
        <v>1</v>
      </c>
      <c r="D471">
        <f t="shared" si="150"/>
        <v>1</v>
      </c>
      <c r="E471">
        <f t="shared" si="151"/>
        <v>0</v>
      </c>
      <c r="F471">
        <f t="shared" si="152"/>
        <v>1</v>
      </c>
      <c r="G471">
        <f t="shared" si="153"/>
        <v>0</v>
      </c>
      <c r="H471">
        <f t="shared" si="154"/>
        <v>1</v>
      </c>
      <c r="I471">
        <f t="shared" si="155"/>
        <v>1</v>
      </c>
      <c r="J471">
        <f t="shared" si="156"/>
        <v>1</v>
      </c>
      <c r="K471" s="45">
        <f t="shared" si="157"/>
        <v>0</v>
      </c>
      <c r="L471" s="45">
        <f t="shared" si="158"/>
        <v>0.14285714285714285</v>
      </c>
      <c r="M471" s="45">
        <f t="shared" si="159"/>
        <v>0.14285714285714285</v>
      </c>
      <c r="N471" s="45">
        <f t="shared" si="160"/>
        <v>0.14285714285714285</v>
      </c>
      <c r="O471" s="45">
        <f t="shared" si="161"/>
        <v>0</v>
      </c>
      <c r="P471" s="45">
        <f t="shared" si="162"/>
        <v>0.14285714285714285</v>
      </c>
      <c r="Q471" s="45">
        <f t="shared" si="163"/>
        <v>0</v>
      </c>
      <c r="R471" s="45">
        <f t="shared" si="164"/>
        <v>0.14285714285714285</v>
      </c>
      <c r="S471" s="45">
        <f t="shared" si="165"/>
        <v>0.14285714285714285</v>
      </c>
      <c r="T471" s="45">
        <f t="shared" si="166"/>
        <v>0.14285714285714285</v>
      </c>
    </row>
    <row r="472" spans="1:20" x14ac:dyDescent="0.3">
      <c r="A472">
        <f t="shared" si="147"/>
        <v>0</v>
      </c>
      <c r="B472">
        <f t="shared" si="148"/>
        <v>1</v>
      </c>
      <c r="C472">
        <f t="shared" si="149"/>
        <v>1</v>
      </c>
      <c r="D472">
        <f t="shared" si="150"/>
        <v>1</v>
      </c>
      <c r="E472">
        <f t="shared" si="151"/>
        <v>0</v>
      </c>
      <c r="F472">
        <f t="shared" si="152"/>
        <v>1</v>
      </c>
      <c r="G472">
        <f t="shared" si="153"/>
        <v>1</v>
      </c>
      <c r="H472">
        <f t="shared" si="154"/>
        <v>0</v>
      </c>
      <c r="I472">
        <f t="shared" si="155"/>
        <v>0</v>
      </c>
      <c r="J472">
        <f t="shared" si="156"/>
        <v>0</v>
      </c>
      <c r="K472" s="45">
        <f t="shared" si="157"/>
        <v>0</v>
      </c>
      <c r="L472" s="45">
        <f t="shared" si="158"/>
        <v>0.2</v>
      </c>
      <c r="M472" s="45">
        <f t="shared" si="159"/>
        <v>0.2</v>
      </c>
      <c r="N472" s="45">
        <f t="shared" si="160"/>
        <v>0.2</v>
      </c>
      <c r="O472" s="45">
        <f t="shared" si="161"/>
        <v>0</v>
      </c>
      <c r="P472" s="45">
        <f t="shared" si="162"/>
        <v>0.2</v>
      </c>
      <c r="Q472" s="45">
        <f t="shared" si="163"/>
        <v>0.2</v>
      </c>
      <c r="R472" s="45">
        <f t="shared" si="164"/>
        <v>0</v>
      </c>
      <c r="S472" s="45">
        <f t="shared" si="165"/>
        <v>0</v>
      </c>
      <c r="T472" s="45">
        <f t="shared" si="166"/>
        <v>0</v>
      </c>
    </row>
    <row r="473" spans="1:20" x14ac:dyDescent="0.3">
      <c r="A473">
        <f t="shared" si="147"/>
        <v>0</v>
      </c>
      <c r="B473">
        <f t="shared" si="148"/>
        <v>1</v>
      </c>
      <c r="C473">
        <f t="shared" si="149"/>
        <v>1</v>
      </c>
      <c r="D473">
        <f t="shared" si="150"/>
        <v>1</v>
      </c>
      <c r="E473">
        <f t="shared" si="151"/>
        <v>0</v>
      </c>
      <c r="F473">
        <f t="shared" si="152"/>
        <v>1</v>
      </c>
      <c r="G473">
        <f t="shared" si="153"/>
        <v>1</v>
      </c>
      <c r="H473">
        <f t="shared" si="154"/>
        <v>0</v>
      </c>
      <c r="I473">
        <f t="shared" si="155"/>
        <v>0</v>
      </c>
      <c r="J473">
        <f t="shared" si="156"/>
        <v>1</v>
      </c>
      <c r="K473" s="45">
        <f t="shared" si="157"/>
        <v>0</v>
      </c>
      <c r="L473" s="45">
        <f t="shared" si="158"/>
        <v>0.16666666666666666</v>
      </c>
      <c r="M473" s="45">
        <f t="shared" si="159"/>
        <v>0.16666666666666666</v>
      </c>
      <c r="N473" s="45">
        <f t="shared" si="160"/>
        <v>0.16666666666666666</v>
      </c>
      <c r="O473" s="45">
        <f t="shared" si="161"/>
        <v>0</v>
      </c>
      <c r="P473" s="45">
        <f t="shared" si="162"/>
        <v>0.16666666666666666</v>
      </c>
      <c r="Q473" s="45">
        <f t="shared" si="163"/>
        <v>0.16666666666666666</v>
      </c>
      <c r="R473" s="45">
        <f t="shared" si="164"/>
        <v>0</v>
      </c>
      <c r="S473" s="45">
        <f t="shared" si="165"/>
        <v>0</v>
      </c>
      <c r="T473" s="45">
        <f t="shared" si="166"/>
        <v>0.16666666666666666</v>
      </c>
    </row>
    <row r="474" spans="1:20" x14ac:dyDescent="0.3">
      <c r="A474">
        <f t="shared" si="147"/>
        <v>0</v>
      </c>
      <c r="B474">
        <f t="shared" si="148"/>
        <v>1</v>
      </c>
      <c r="C474">
        <f t="shared" si="149"/>
        <v>1</v>
      </c>
      <c r="D474">
        <f t="shared" si="150"/>
        <v>1</v>
      </c>
      <c r="E474">
        <f t="shared" si="151"/>
        <v>0</v>
      </c>
      <c r="F474">
        <f t="shared" si="152"/>
        <v>1</v>
      </c>
      <c r="G474">
        <f t="shared" si="153"/>
        <v>1</v>
      </c>
      <c r="H474">
        <f t="shared" si="154"/>
        <v>0</v>
      </c>
      <c r="I474">
        <f t="shared" si="155"/>
        <v>1</v>
      </c>
      <c r="J474">
        <f t="shared" si="156"/>
        <v>0</v>
      </c>
      <c r="K474" s="45">
        <f t="shared" si="157"/>
        <v>0</v>
      </c>
      <c r="L474" s="45">
        <f t="shared" si="158"/>
        <v>0.16666666666666666</v>
      </c>
      <c r="M474" s="45">
        <f t="shared" si="159"/>
        <v>0.16666666666666666</v>
      </c>
      <c r="N474" s="45">
        <f t="shared" si="160"/>
        <v>0.16666666666666666</v>
      </c>
      <c r="O474" s="45">
        <f t="shared" si="161"/>
        <v>0</v>
      </c>
      <c r="P474" s="45">
        <f t="shared" si="162"/>
        <v>0.16666666666666666</v>
      </c>
      <c r="Q474" s="45">
        <f t="shared" si="163"/>
        <v>0.16666666666666666</v>
      </c>
      <c r="R474" s="45">
        <f t="shared" si="164"/>
        <v>0</v>
      </c>
      <c r="S474" s="45">
        <f t="shared" si="165"/>
        <v>0.16666666666666666</v>
      </c>
      <c r="T474" s="45">
        <f t="shared" si="166"/>
        <v>0</v>
      </c>
    </row>
    <row r="475" spans="1:20" x14ac:dyDescent="0.3">
      <c r="A475">
        <f t="shared" si="147"/>
        <v>0</v>
      </c>
      <c r="B475">
        <f t="shared" si="148"/>
        <v>1</v>
      </c>
      <c r="C475">
        <f t="shared" si="149"/>
        <v>1</v>
      </c>
      <c r="D475">
        <f t="shared" si="150"/>
        <v>1</v>
      </c>
      <c r="E475">
        <f t="shared" si="151"/>
        <v>0</v>
      </c>
      <c r="F475">
        <f t="shared" si="152"/>
        <v>1</v>
      </c>
      <c r="G475">
        <f t="shared" si="153"/>
        <v>1</v>
      </c>
      <c r="H475">
        <f t="shared" si="154"/>
        <v>0</v>
      </c>
      <c r="I475">
        <f t="shared" si="155"/>
        <v>1</v>
      </c>
      <c r="J475">
        <f t="shared" si="156"/>
        <v>1</v>
      </c>
      <c r="K475" s="45">
        <f t="shared" si="157"/>
        <v>0</v>
      </c>
      <c r="L475" s="45">
        <f t="shared" si="158"/>
        <v>0.14285714285714285</v>
      </c>
      <c r="M475" s="45">
        <f t="shared" si="159"/>
        <v>0.14285714285714285</v>
      </c>
      <c r="N475" s="45">
        <f t="shared" si="160"/>
        <v>0.14285714285714285</v>
      </c>
      <c r="O475" s="45">
        <f t="shared" si="161"/>
        <v>0</v>
      </c>
      <c r="P475" s="45">
        <f t="shared" si="162"/>
        <v>0.14285714285714285</v>
      </c>
      <c r="Q475" s="45">
        <f t="shared" si="163"/>
        <v>0.14285714285714285</v>
      </c>
      <c r="R475" s="45">
        <f t="shared" si="164"/>
        <v>0</v>
      </c>
      <c r="S475" s="45">
        <f t="shared" si="165"/>
        <v>0.14285714285714285</v>
      </c>
      <c r="T475" s="45">
        <f t="shared" si="166"/>
        <v>0.14285714285714285</v>
      </c>
    </row>
    <row r="476" spans="1:20" x14ac:dyDescent="0.3">
      <c r="A476">
        <f t="shared" si="147"/>
        <v>0</v>
      </c>
      <c r="B476">
        <f t="shared" si="148"/>
        <v>1</v>
      </c>
      <c r="C476">
        <f t="shared" si="149"/>
        <v>1</v>
      </c>
      <c r="D476">
        <f t="shared" si="150"/>
        <v>1</v>
      </c>
      <c r="E476">
        <f t="shared" si="151"/>
        <v>0</v>
      </c>
      <c r="F476">
        <f t="shared" si="152"/>
        <v>1</v>
      </c>
      <c r="G476">
        <f t="shared" si="153"/>
        <v>1</v>
      </c>
      <c r="H476">
        <f t="shared" si="154"/>
        <v>1</v>
      </c>
      <c r="I476">
        <f t="shared" si="155"/>
        <v>0</v>
      </c>
      <c r="J476">
        <f t="shared" si="156"/>
        <v>0</v>
      </c>
      <c r="K476" s="45">
        <f t="shared" si="157"/>
        <v>0</v>
      </c>
      <c r="L476" s="45">
        <f t="shared" si="158"/>
        <v>0.16666666666666666</v>
      </c>
      <c r="M476" s="45">
        <f t="shared" si="159"/>
        <v>0.16666666666666666</v>
      </c>
      <c r="N476" s="45">
        <f t="shared" si="160"/>
        <v>0.16666666666666666</v>
      </c>
      <c r="O476" s="45">
        <f t="shared" si="161"/>
        <v>0</v>
      </c>
      <c r="P476" s="45">
        <f t="shared" si="162"/>
        <v>0.16666666666666666</v>
      </c>
      <c r="Q476" s="45">
        <f t="shared" si="163"/>
        <v>0.16666666666666666</v>
      </c>
      <c r="R476" s="45">
        <f t="shared" si="164"/>
        <v>0.16666666666666666</v>
      </c>
      <c r="S476" s="45">
        <f t="shared" si="165"/>
        <v>0</v>
      </c>
      <c r="T476" s="45">
        <f t="shared" si="166"/>
        <v>0</v>
      </c>
    </row>
    <row r="477" spans="1:20" x14ac:dyDescent="0.3">
      <c r="A477">
        <f t="shared" si="147"/>
        <v>0</v>
      </c>
      <c r="B477">
        <f t="shared" si="148"/>
        <v>1</v>
      </c>
      <c r="C477">
        <f t="shared" si="149"/>
        <v>1</v>
      </c>
      <c r="D477">
        <f t="shared" si="150"/>
        <v>1</v>
      </c>
      <c r="E477">
        <f t="shared" si="151"/>
        <v>0</v>
      </c>
      <c r="F477">
        <f t="shared" si="152"/>
        <v>1</v>
      </c>
      <c r="G477">
        <f t="shared" si="153"/>
        <v>1</v>
      </c>
      <c r="H477">
        <f t="shared" si="154"/>
        <v>1</v>
      </c>
      <c r="I477">
        <f t="shared" si="155"/>
        <v>0</v>
      </c>
      <c r="J477">
        <f t="shared" si="156"/>
        <v>1</v>
      </c>
      <c r="K477" s="45">
        <f t="shared" si="157"/>
        <v>0</v>
      </c>
      <c r="L477" s="45">
        <f t="shared" si="158"/>
        <v>0.14285714285714285</v>
      </c>
      <c r="M477" s="45">
        <f t="shared" si="159"/>
        <v>0.14285714285714285</v>
      </c>
      <c r="N477" s="45">
        <f t="shared" si="160"/>
        <v>0.14285714285714285</v>
      </c>
      <c r="O477" s="45">
        <f t="shared" si="161"/>
        <v>0</v>
      </c>
      <c r="P477" s="45">
        <f t="shared" si="162"/>
        <v>0.14285714285714285</v>
      </c>
      <c r="Q477" s="45">
        <f t="shared" si="163"/>
        <v>0.14285714285714285</v>
      </c>
      <c r="R477" s="45">
        <f t="shared" si="164"/>
        <v>0.14285714285714285</v>
      </c>
      <c r="S477" s="45">
        <f t="shared" si="165"/>
        <v>0</v>
      </c>
      <c r="T477" s="45">
        <f t="shared" si="166"/>
        <v>0.14285714285714285</v>
      </c>
    </row>
    <row r="478" spans="1:20" x14ac:dyDescent="0.3">
      <c r="A478">
        <f t="shared" si="147"/>
        <v>0</v>
      </c>
      <c r="B478">
        <f t="shared" si="148"/>
        <v>1</v>
      </c>
      <c r="C478">
        <f t="shared" si="149"/>
        <v>1</v>
      </c>
      <c r="D478">
        <f t="shared" si="150"/>
        <v>1</v>
      </c>
      <c r="E478">
        <f t="shared" si="151"/>
        <v>0</v>
      </c>
      <c r="F478">
        <f t="shared" si="152"/>
        <v>1</v>
      </c>
      <c r="G478">
        <f t="shared" si="153"/>
        <v>1</v>
      </c>
      <c r="H478">
        <f t="shared" si="154"/>
        <v>1</v>
      </c>
      <c r="I478">
        <f t="shared" si="155"/>
        <v>1</v>
      </c>
      <c r="J478">
        <f t="shared" si="156"/>
        <v>0</v>
      </c>
      <c r="K478" s="45">
        <f t="shared" si="157"/>
        <v>0</v>
      </c>
      <c r="L478" s="45">
        <f t="shared" si="158"/>
        <v>0.14285714285714285</v>
      </c>
      <c r="M478" s="45">
        <f t="shared" si="159"/>
        <v>0.14285714285714285</v>
      </c>
      <c r="N478" s="45">
        <f t="shared" si="160"/>
        <v>0.14285714285714285</v>
      </c>
      <c r="O478" s="45">
        <f t="shared" si="161"/>
        <v>0</v>
      </c>
      <c r="P478" s="45">
        <f t="shared" si="162"/>
        <v>0.14285714285714285</v>
      </c>
      <c r="Q478" s="45">
        <f t="shared" si="163"/>
        <v>0.14285714285714285</v>
      </c>
      <c r="R478" s="45">
        <f t="shared" si="164"/>
        <v>0.14285714285714285</v>
      </c>
      <c r="S478" s="45">
        <f t="shared" si="165"/>
        <v>0.14285714285714285</v>
      </c>
      <c r="T478" s="45">
        <f t="shared" si="166"/>
        <v>0</v>
      </c>
    </row>
    <row r="479" spans="1:20" x14ac:dyDescent="0.3">
      <c r="A479">
        <f t="shared" si="147"/>
        <v>0</v>
      </c>
      <c r="B479">
        <f t="shared" si="148"/>
        <v>1</v>
      </c>
      <c r="C479">
        <f t="shared" si="149"/>
        <v>1</v>
      </c>
      <c r="D479">
        <f t="shared" si="150"/>
        <v>1</v>
      </c>
      <c r="E479">
        <f t="shared" si="151"/>
        <v>0</v>
      </c>
      <c r="F479">
        <f t="shared" si="152"/>
        <v>1</v>
      </c>
      <c r="G479">
        <f t="shared" si="153"/>
        <v>1</v>
      </c>
      <c r="H479">
        <f t="shared" si="154"/>
        <v>1</v>
      </c>
      <c r="I479">
        <f t="shared" si="155"/>
        <v>1</v>
      </c>
      <c r="J479">
        <f t="shared" si="156"/>
        <v>1</v>
      </c>
      <c r="K479" s="45">
        <f t="shared" si="157"/>
        <v>0</v>
      </c>
      <c r="L479" s="45">
        <f t="shared" si="158"/>
        <v>0.125</v>
      </c>
      <c r="M479" s="45">
        <f t="shared" si="159"/>
        <v>0.125</v>
      </c>
      <c r="N479" s="45">
        <f t="shared" si="160"/>
        <v>0.125</v>
      </c>
      <c r="O479" s="45">
        <f t="shared" si="161"/>
        <v>0</v>
      </c>
      <c r="P479" s="45">
        <f t="shared" si="162"/>
        <v>0.125</v>
      </c>
      <c r="Q479" s="45">
        <f t="shared" si="163"/>
        <v>0.125</v>
      </c>
      <c r="R479" s="45">
        <f t="shared" si="164"/>
        <v>0.125</v>
      </c>
      <c r="S479" s="45">
        <f t="shared" si="165"/>
        <v>0.125</v>
      </c>
      <c r="T479" s="45">
        <f t="shared" si="166"/>
        <v>0.125</v>
      </c>
    </row>
    <row r="480" spans="1:20" x14ac:dyDescent="0.3">
      <c r="A480">
        <f t="shared" si="147"/>
        <v>0</v>
      </c>
      <c r="B480">
        <f t="shared" si="148"/>
        <v>1</v>
      </c>
      <c r="C480">
        <f t="shared" si="149"/>
        <v>1</v>
      </c>
      <c r="D480">
        <f t="shared" si="150"/>
        <v>1</v>
      </c>
      <c r="E480">
        <f t="shared" si="151"/>
        <v>1</v>
      </c>
      <c r="F480">
        <f t="shared" si="152"/>
        <v>0</v>
      </c>
      <c r="G480">
        <f t="shared" si="153"/>
        <v>0</v>
      </c>
      <c r="H480">
        <f t="shared" si="154"/>
        <v>0</v>
      </c>
      <c r="I480">
        <f t="shared" si="155"/>
        <v>0</v>
      </c>
      <c r="J480">
        <f t="shared" si="156"/>
        <v>0</v>
      </c>
      <c r="K480" s="45">
        <f t="shared" si="157"/>
        <v>0</v>
      </c>
      <c r="L480" s="45">
        <f t="shared" si="158"/>
        <v>0.25</v>
      </c>
      <c r="M480" s="45">
        <f t="shared" si="159"/>
        <v>0.25</v>
      </c>
      <c r="N480" s="45">
        <f t="shared" si="160"/>
        <v>0.25</v>
      </c>
      <c r="O480" s="45">
        <f t="shared" si="161"/>
        <v>0.25</v>
      </c>
      <c r="P480" s="45">
        <f t="shared" si="162"/>
        <v>0</v>
      </c>
      <c r="Q480" s="45">
        <f t="shared" si="163"/>
        <v>0</v>
      </c>
      <c r="R480" s="45">
        <f t="shared" si="164"/>
        <v>0</v>
      </c>
      <c r="S480" s="45">
        <f t="shared" si="165"/>
        <v>0</v>
      </c>
      <c r="T480" s="45">
        <f t="shared" si="166"/>
        <v>0</v>
      </c>
    </row>
    <row r="481" spans="1:20" x14ac:dyDescent="0.3">
      <c r="A481">
        <f t="shared" si="147"/>
        <v>0</v>
      </c>
      <c r="B481">
        <f t="shared" si="148"/>
        <v>1</v>
      </c>
      <c r="C481">
        <f t="shared" si="149"/>
        <v>1</v>
      </c>
      <c r="D481">
        <f t="shared" si="150"/>
        <v>1</v>
      </c>
      <c r="E481">
        <f t="shared" si="151"/>
        <v>1</v>
      </c>
      <c r="F481">
        <f t="shared" si="152"/>
        <v>0</v>
      </c>
      <c r="G481">
        <f t="shared" si="153"/>
        <v>0</v>
      </c>
      <c r="H481">
        <f t="shared" si="154"/>
        <v>0</v>
      </c>
      <c r="I481">
        <f t="shared" si="155"/>
        <v>0</v>
      </c>
      <c r="J481">
        <f t="shared" si="156"/>
        <v>1</v>
      </c>
      <c r="K481" s="45">
        <f t="shared" si="157"/>
        <v>0</v>
      </c>
      <c r="L481" s="45">
        <f t="shared" si="158"/>
        <v>0.2</v>
      </c>
      <c r="M481" s="45">
        <f t="shared" si="159"/>
        <v>0.2</v>
      </c>
      <c r="N481" s="45">
        <f t="shared" si="160"/>
        <v>0.2</v>
      </c>
      <c r="O481" s="45">
        <f t="shared" si="161"/>
        <v>0.2</v>
      </c>
      <c r="P481" s="45">
        <f t="shared" si="162"/>
        <v>0</v>
      </c>
      <c r="Q481" s="45">
        <f t="shared" si="163"/>
        <v>0</v>
      </c>
      <c r="R481" s="45">
        <f t="shared" si="164"/>
        <v>0</v>
      </c>
      <c r="S481" s="45">
        <f t="shared" si="165"/>
        <v>0</v>
      </c>
      <c r="T481" s="45">
        <f t="shared" si="166"/>
        <v>0.2</v>
      </c>
    </row>
    <row r="482" spans="1:20" x14ac:dyDescent="0.3">
      <c r="A482">
        <f t="shared" si="147"/>
        <v>0</v>
      </c>
      <c r="B482">
        <f t="shared" si="148"/>
        <v>1</v>
      </c>
      <c r="C482">
        <f t="shared" si="149"/>
        <v>1</v>
      </c>
      <c r="D482">
        <f t="shared" si="150"/>
        <v>1</v>
      </c>
      <c r="E482">
        <f t="shared" si="151"/>
        <v>1</v>
      </c>
      <c r="F482">
        <f t="shared" si="152"/>
        <v>0</v>
      </c>
      <c r="G482">
        <f t="shared" si="153"/>
        <v>0</v>
      </c>
      <c r="H482">
        <f t="shared" si="154"/>
        <v>0</v>
      </c>
      <c r="I482">
        <f t="shared" si="155"/>
        <v>1</v>
      </c>
      <c r="J482">
        <f t="shared" si="156"/>
        <v>0</v>
      </c>
      <c r="K482" s="45">
        <f t="shared" si="157"/>
        <v>0</v>
      </c>
      <c r="L482" s="45">
        <f t="shared" si="158"/>
        <v>0.2</v>
      </c>
      <c r="M482" s="45">
        <f t="shared" si="159"/>
        <v>0.2</v>
      </c>
      <c r="N482" s="45">
        <f t="shared" si="160"/>
        <v>0.2</v>
      </c>
      <c r="O482" s="45">
        <f t="shared" si="161"/>
        <v>0.2</v>
      </c>
      <c r="P482" s="45">
        <f t="shared" si="162"/>
        <v>0</v>
      </c>
      <c r="Q482" s="45">
        <f t="shared" si="163"/>
        <v>0</v>
      </c>
      <c r="R482" s="45">
        <f t="shared" si="164"/>
        <v>0</v>
      </c>
      <c r="S482" s="45">
        <f t="shared" si="165"/>
        <v>0.2</v>
      </c>
      <c r="T482" s="45">
        <f t="shared" si="166"/>
        <v>0</v>
      </c>
    </row>
    <row r="483" spans="1:20" x14ac:dyDescent="0.3">
      <c r="A483">
        <f t="shared" si="147"/>
        <v>0</v>
      </c>
      <c r="B483">
        <f t="shared" si="148"/>
        <v>1</v>
      </c>
      <c r="C483">
        <f t="shared" si="149"/>
        <v>1</v>
      </c>
      <c r="D483">
        <f t="shared" si="150"/>
        <v>1</v>
      </c>
      <c r="E483">
        <f t="shared" si="151"/>
        <v>1</v>
      </c>
      <c r="F483">
        <f t="shared" si="152"/>
        <v>0</v>
      </c>
      <c r="G483">
        <f t="shared" si="153"/>
        <v>0</v>
      </c>
      <c r="H483">
        <f t="shared" si="154"/>
        <v>0</v>
      </c>
      <c r="I483">
        <f t="shared" si="155"/>
        <v>1</v>
      </c>
      <c r="J483">
        <f t="shared" si="156"/>
        <v>1</v>
      </c>
      <c r="K483" s="45">
        <f t="shared" si="157"/>
        <v>0</v>
      </c>
      <c r="L483" s="45">
        <f t="shared" si="158"/>
        <v>0.16666666666666666</v>
      </c>
      <c r="M483" s="45">
        <f t="shared" si="159"/>
        <v>0.16666666666666666</v>
      </c>
      <c r="N483" s="45">
        <f t="shared" si="160"/>
        <v>0.16666666666666666</v>
      </c>
      <c r="O483" s="45">
        <f t="shared" si="161"/>
        <v>0.16666666666666666</v>
      </c>
      <c r="P483" s="45">
        <f t="shared" si="162"/>
        <v>0</v>
      </c>
      <c r="Q483" s="45">
        <f t="shared" si="163"/>
        <v>0</v>
      </c>
      <c r="R483" s="45">
        <f t="shared" si="164"/>
        <v>0</v>
      </c>
      <c r="S483" s="45">
        <f t="shared" si="165"/>
        <v>0.16666666666666666</v>
      </c>
      <c r="T483" s="45">
        <f t="shared" si="166"/>
        <v>0.16666666666666666</v>
      </c>
    </row>
    <row r="484" spans="1:20" x14ac:dyDescent="0.3">
      <c r="A484">
        <f t="shared" si="147"/>
        <v>0</v>
      </c>
      <c r="B484">
        <f t="shared" si="148"/>
        <v>1</v>
      </c>
      <c r="C484">
        <f t="shared" si="149"/>
        <v>1</v>
      </c>
      <c r="D484">
        <f t="shared" si="150"/>
        <v>1</v>
      </c>
      <c r="E484">
        <f t="shared" si="151"/>
        <v>1</v>
      </c>
      <c r="F484">
        <f t="shared" si="152"/>
        <v>0</v>
      </c>
      <c r="G484">
        <f t="shared" si="153"/>
        <v>0</v>
      </c>
      <c r="H484">
        <f t="shared" si="154"/>
        <v>1</v>
      </c>
      <c r="I484">
        <f t="shared" si="155"/>
        <v>0</v>
      </c>
      <c r="J484">
        <f t="shared" si="156"/>
        <v>0</v>
      </c>
      <c r="K484" s="45">
        <f t="shared" si="157"/>
        <v>0</v>
      </c>
      <c r="L484" s="45">
        <f t="shared" si="158"/>
        <v>0.2</v>
      </c>
      <c r="M484" s="45">
        <f t="shared" si="159"/>
        <v>0.2</v>
      </c>
      <c r="N484" s="45">
        <f t="shared" si="160"/>
        <v>0.2</v>
      </c>
      <c r="O484" s="45">
        <f t="shared" si="161"/>
        <v>0.2</v>
      </c>
      <c r="P484" s="45">
        <f t="shared" si="162"/>
        <v>0</v>
      </c>
      <c r="Q484" s="45">
        <f t="shared" si="163"/>
        <v>0</v>
      </c>
      <c r="R484" s="45">
        <f t="shared" si="164"/>
        <v>0.2</v>
      </c>
      <c r="S484" s="45">
        <f t="shared" si="165"/>
        <v>0</v>
      </c>
      <c r="T484" s="45">
        <f t="shared" si="166"/>
        <v>0</v>
      </c>
    </row>
    <row r="485" spans="1:20" x14ac:dyDescent="0.3">
      <c r="A485">
        <f t="shared" si="147"/>
        <v>0</v>
      </c>
      <c r="B485">
        <f t="shared" si="148"/>
        <v>1</v>
      </c>
      <c r="C485">
        <f t="shared" si="149"/>
        <v>1</v>
      </c>
      <c r="D485">
        <f t="shared" si="150"/>
        <v>1</v>
      </c>
      <c r="E485">
        <f t="shared" si="151"/>
        <v>1</v>
      </c>
      <c r="F485">
        <f t="shared" si="152"/>
        <v>0</v>
      </c>
      <c r="G485">
        <f t="shared" si="153"/>
        <v>0</v>
      </c>
      <c r="H485">
        <f t="shared" si="154"/>
        <v>1</v>
      </c>
      <c r="I485">
        <f t="shared" si="155"/>
        <v>0</v>
      </c>
      <c r="J485">
        <f t="shared" si="156"/>
        <v>1</v>
      </c>
      <c r="K485" s="45">
        <f t="shared" si="157"/>
        <v>0</v>
      </c>
      <c r="L485" s="45">
        <f t="shared" si="158"/>
        <v>0.16666666666666666</v>
      </c>
      <c r="M485" s="45">
        <f t="shared" si="159"/>
        <v>0.16666666666666666</v>
      </c>
      <c r="N485" s="45">
        <f t="shared" si="160"/>
        <v>0.16666666666666666</v>
      </c>
      <c r="O485" s="45">
        <f t="shared" si="161"/>
        <v>0.16666666666666666</v>
      </c>
      <c r="P485" s="45">
        <f t="shared" si="162"/>
        <v>0</v>
      </c>
      <c r="Q485" s="45">
        <f t="shared" si="163"/>
        <v>0</v>
      </c>
      <c r="R485" s="45">
        <f t="shared" si="164"/>
        <v>0.16666666666666666</v>
      </c>
      <c r="S485" s="45">
        <f t="shared" si="165"/>
        <v>0</v>
      </c>
      <c r="T485" s="45">
        <f t="shared" si="166"/>
        <v>0.16666666666666666</v>
      </c>
    </row>
    <row r="486" spans="1:20" x14ac:dyDescent="0.3">
      <c r="A486">
        <f t="shared" si="147"/>
        <v>0</v>
      </c>
      <c r="B486">
        <f t="shared" si="148"/>
        <v>1</v>
      </c>
      <c r="C486">
        <f t="shared" si="149"/>
        <v>1</v>
      </c>
      <c r="D486">
        <f t="shared" si="150"/>
        <v>1</v>
      </c>
      <c r="E486">
        <f t="shared" si="151"/>
        <v>1</v>
      </c>
      <c r="F486">
        <f t="shared" si="152"/>
        <v>0</v>
      </c>
      <c r="G486">
        <f t="shared" si="153"/>
        <v>0</v>
      </c>
      <c r="H486">
        <f t="shared" si="154"/>
        <v>1</v>
      </c>
      <c r="I486">
        <f t="shared" si="155"/>
        <v>1</v>
      </c>
      <c r="J486">
        <f t="shared" si="156"/>
        <v>0</v>
      </c>
      <c r="K486" s="45">
        <f t="shared" si="157"/>
        <v>0</v>
      </c>
      <c r="L486" s="45">
        <f t="shared" si="158"/>
        <v>0.16666666666666666</v>
      </c>
      <c r="M486" s="45">
        <f t="shared" si="159"/>
        <v>0.16666666666666666</v>
      </c>
      <c r="N486" s="45">
        <f t="shared" si="160"/>
        <v>0.16666666666666666</v>
      </c>
      <c r="O486" s="45">
        <f t="shared" si="161"/>
        <v>0.16666666666666666</v>
      </c>
      <c r="P486" s="45">
        <f t="shared" si="162"/>
        <v>0</v>
      </c>
      <c r="Q486" s="45">
        <f t="shared" si="163"/>
        <v>0</v>
      </c>
      <c r="R486" s="45">
        <f t="shared" si="164"/>
        <v>0.16666666666666666</v>
      </c>
      <c r="S486" s="45">
        <f t="shared" si="165"/>
        <v>0.16666666666666666</v>
      </c>
      <c r="T486" s="45">
        <f t="shared" si="166"/>
        <v>0</v>
      </c>
    </row>
    <row r="487" spans="1:20" x14ac:dyDescent="0.3">
      <c r="A487">
        <f t="shared" si="147"/>
        <v>0</v>
      </c>
      <c r="B487">
        <f t="shared" si="148"/>
        <v>1</v>
      </c>
      <c r="C487">
        <f t="shared" si="149"/>
        <v>1</v>
      </c>
      <c r="D487">
        <f t="shared" si="150"/>
        <v>1</v>
      </c>
      <c r="E487">
        <f t="shared" si="151"/>
        <v>1</v>
      </c>
      <c r="F487">
        <f t="shared" si="152"/>
        <v>0</v>
      </c>
      <c r="G487">
        <f t="shared" si="153"/>
        <v>0</v>
      </c>
      <c r="H487">
        <f t="shared" si="154"/>
        <v>1</v>
      </c>
      <c r="I487">
        <f t="shared" si="155"/>
        <v>1</v>
      </c>
      <c r="J487">
        <f t="shared" si="156"/>
        <v>1</v>
      </c>
      <c r="K487" s="45">
        <f t="shared" si="157"/>
        <v>0</v>
      </c>
      <c r="L487" s="45">
        <f t="shared" si="158"/>
        <v>0.14285714285714285</v>
      </c>
      <c r="M487" s="45">
        <f t="shared" si="159"/>
        <v>0.14285714285714285</v>
      </c>
      <c r="N487" s="45">
        <f t="shared" si="160"/>
        <v>0.14285714285714285</v>
      </c>
      <c r="O487" s="45">
        <f t="shared" si="161"/>
        <v>0.14285714285714285</v>
      </c>
      <c r="P487" s="45">
        <f t="shared" si="162"/>
        <v>0</v>
      </c>
      <c r="Q487" s="45">
        <f t="shared" si="163"/>
        <v>0</v>
      </c>
      <c r="R487" s="45">
        <f t="shared" si="164"/>
        <v>0.14285714285714285</v>
      </c>
      <c r="S487" s="45">
        <f t="shared" si="165"/>
        <v>0.14285714285714285</v>
      </c>
      <c r="T487" s="45">
        <f t="shared" si="166"/>
        <v>0.14285714285714285</v>
      </c>
    </row>
    <row r="488" spans="1:20" x14ac:dyDescent="0.3">
      <c r="A488">
        <f t="shared" si="147"/>
        <v>0</v>
      </c>
      <c r="B488">
        <f t="shared" si="148"/>
        <v>1</v>
      </c>
      <c r="C488">
        <f t="shared" si="149"/>
        <v>1</v>
      </c>
      <c r="D488">
        <f t="shared" si="150"/>
        <v>1</v>
      </c>
      <c r="E488">
        <f t="shared" si="151"/>
        <v>1</v>
      </c>
      <c r="F488">
        <f t="shared" si="152"/>
        <v>0</v>
      </c>
      <c r="G488">
        <f t="shared" si="153"/>
        <v>1</v>
      </c>
      <c r="H488">
        <f t="shared" si="154"/>
        <v>0</v>
      </c>
      <c r="I488">
        <f t="shared" si="155"/>
        <v>0</v>
      </c>
      <c r="J488">
        <f t="shared" si="156"/>
        <v>0</v>
      </c>
      <c r="K488" s="45">
        <f t="shared" si="157"/>
        <v>0</v>
      </c>
      <c r="L488" s="45">
        <f t="shared" si="158"/>
        <v>0.2</v>
      </c>
      <c r="M488" s="45">
        <f t="shared" si="159"/>
        <v>0.2</v>
      </c>
      <c r="N488" s="45">
        <f t="shared" si="160"/>
        <v>0.2</v>
      </c>
      <c r="O488" s="45">
        <f t="shared" si="161"/>
        <v>0.2</v>
      </c>
      <c r="P488" s="45">
        <f t="shared" si="162"/>
        <v>0</v>
      </c>
      <c r="Q488" s="45">
        <f t="shared" si="163"/>
        <v>0.2</v>
      </c>
      <c r="R488" s="45">
        <f t="shared" si="164"/>
        <v>0</v>
      </c>
      <c r="S488" s="45">
        <f t="shared" si="165"/>
        <v>0</v>
      </c>
      <c r="T488" s="45">
        <f t="shared" si="166"/>
        <v>0</v>
      </c>
    </row>
    <row r="489" spans="1:20" x14ac:dyDescent="0.3">
      <c r="A489">
        <f t="shared" si="147"/>
        <v>0</v>
      </c>
      <c r="B489">
        <f t="shared" si="148"/>
        <v>1</v>
      </c>
      <c r="C489">
        <f t="shared" si="149"/>
        <v>1</v>
      </c>
      <c r="D489">
        <f t="shared" si="150"/>
        <v>1</v>
      </c>
      <c r="E489">
        <f t="shared" si="151"/>
        <v>1</v>
      </c>
      <c r="F489">
        <f t="shared" si="152"/>
        <v>0</v>
      </c>
      <c r="G489">
        <f t="shared" si="153"/>
        <v>1</v>
      </c>
      <c r="H489">
        <f t="shared" si="154"/>
        <v>0</v>
      </c>
      <c r="I489">
        <f t="shared" si="155"/>
        <v>0</v>
      </c>
      <c r="J489">
        <f t="shared" si="156"/>
        <v>1</v>
      </c>
      <c r="K489" s="45">
        <f t="shared" si="157"/>
        <v>0</v>
      </c>
      <c r="L489" s="45">
        <f t="shared" si="158"/>
        <v>0.16666666666666666</v>
      </c>
      <c r="M489" s="45">
        <f t="shared" si="159"/>
        <v>0.16666666666666666</v>
      </c>
      <c r="N489" s="45">
        <f t="shared" si="160"/>
        <v>0.16666666666666666</v>
      </c>
      <c r="O489" s="45">
        <f t="shared" si="161"/>
        <v>0.16666666666666666</v>
      </c>
      <c r="P489" s="45">
        <f t="shared" si="162"/>
        <v>0</v>
      </c>
      <c r="Q489" s="45">
        <f t="shared" si="163"/>
        <v>0.16666666666666666</v>
      </c>
      <c r="R489" s="45">
        <f t="shared" si="164"/>
        <v>0</v>
      </c>
      <c r="S489" s="45">
        <f t="shared" si="165"/>
        <v>0</v>
      </c>
      <c r="T489" s="45">
        <f t="shared" si="166"/>
        <v>0.16666666666666666</v>
      </c>
    </row>
    <row r="490" spans="1:20" x14ac:dyDescent="0.3">
      <c r="A490">
        <f t="shared" si="147"/>
        <v>0</v>
      </c>
      <c r="B490">
        <f t="shared" si="148"/>
        <v>1</v>
      </c>
      <c r="C490">
        <f t="shared" si="149"/>
        <v>1</v>
      </c>
      <c r="D490">
        <f t="shared" si="150"/>
        <v>1</v>
      </c>
      <c r="E490">
        <f t="shared" si="151"/>
        <v>1</v>
      </c>
      <c r="F490">
        <f t="shared" si="152"/>
        <v>0</v>
      </c>
      <c r="G490">
        <f t="shared" si="153"/>
        <v>1</v>
      </c>
      <c r="H490">
        <f t="shared" si="154"/>
        <v>0</v>
      </c>
      <c r="I490">
        <f t="shared" si="155"/>
        <v>1</v>
      </c>
      <c r="J490">
        <f t="shared" si="156"/>
        <v>0</v>
      </c>
      <c r="K490" s="45">
        <f t="shared" si="157"/>
        <v>0</v>
      </c>
      <c r="L490" s="45">
        <f t="shared" si="158"/>
        <v>0.16666666666666666</v>
      </c>
      <c r="M490" s="45">
        <f t="shared" si="159"/>
        <v>0.16666666666666666</v>
      </c>
      <c r="N490" s="45">
        <f t="shared" si="160"/>
        <v>0.16666666666666666</v>
      </c>
      <c r="O490" s="45">
        <f t="shared" si="161"/>
        <v>0.16666666666666666</v>
      </c>
      <c r="P490" s="45">
        <f t="shared" si="162"/>
        <v>0</v>
      </c>
      <c r="Q490" s="45">
        <f t="shared" si="163"/>
        <v>0.16666666666666666</v>
      </c>
      <c r="R490" s="45">
        <f t="shared" si="164"/>
        <v>0</v>
      </c>
      <c r="S490" s="45">
        <f t="shared" si="165"/>
        <v>0.16666666666666666</v>
      </c>
      <c r="T490" s="45">
        <f t="shared" si="166"/>
        <v>0</v>
      </c>
    </row>
    <row r="491" spans="1:20" x14ac:dyDescent="0.3">
      <c r="A491">
        <f t="shared" si="147"/>
        <v>0</v>
      </c>
      <c r="B491">
        <f t="shared" si="148"/>
        <v>1</v>
      </c>
      <c r="C491">
        <f t="shared" si="149"/>
        <v>1</v>
      </c>
      <c r="D491">
        <f t="shared" si="150"/>
        <v>1</v>
      </c>
      <c r="E491">
        <f t="shared" si="151"/>
        <v>1</v>
      </c>
      <c r="F491">
        <f t="shared" si="152"/>
        <v>0</v>
      </c>
      <c r="G491">
        <f t="shared" si="153"/>
        <v>1</v>
      </c>
      <c r="H491">
        <f t="shared" si="154"/>
        <v>0</v>
      </c>
      <c r="I491">
        <f t="shared" si="155"/>
        <v>1</v>
      </c>
      <c r="J491">
        <f t="shared" si="156"/>
        <v>1</v>
      </c>
      <c r="K491" s="45">
        <f t="shared" si="157"/>
        <v>0</v>
      </c>
      <c r="L491" s="45">
        <f t="shared" si="158"/>
        <v>0.14285714285714285</v>
      </c>
      <c r="M491" s="45">
        <f t="shared" si="159"/>
        <v>0.14285714285714285</v>
      </c>
      <c r="N491" s="45">
        <f t="shared" si="160"/>
        <v>0.14285714285714285</v>
      </c>
      <c r="O491" s="45">
        <f t="shared" si="161"/>
        <v>0.14285714285714285</v>
      </c>
      <c r="P491" s="45">
        <f t="shared" si="162"/>
        <v>0</v>
      </c>
      <c r="Q491" s="45">
        <f t="shared" si="163"/>
        <v>0.14285714285714285</v>
      </c>
      <c r="R491" s="45">
        <f t="shared" si="164"/>
        <v>0</v>
      </c>
      <c r="S491" s="45">
        <f t="shared" si="165"/>
        <v>0.14285714285714285</v>
      </c>
      <c r="T491" s="45">
        <f t="shared" si="166"/>
        <v>0.14285714285714285</v>
      </c>
    </row>
    <row r="492" spans="1:20" x14ac:dyDescent="0.3">
      <c r="A492">
        <f t="shared" si="147"/>
        <v>0</v>
      </c>
      <c r="B492">
        <f t="shared" si="148"/>
        <v>1</v>
      </c>
      <c r="C492">
        <f t="shared" si="149"/>
        <v>1</v>
      </c>
      <c r="D492">
        <f t="shared" si="150"/>
        <v>1</v>
      </c>
      <c r="E492">
        <f t="shared" si="151"/>
        <v>1</v>
      </c>
      <c r="F492">
        <f t="shared" si="152"/>
        <v>0</v>
      </c>
      <c r="G492">
        <f t="shared" si="153"/>
        <v>1</v>
      </c>
      <c r="H492">
        <f t="shared" si="154"/>
        <v>1</v>
      </c>
      <c r="I492">
        <f t="shared" si="155"/>
        <v>0</v>
      </c>
      <c r="J492">
        <f t="shared" si="156"/>
        <v>0</v>
      </c>
      <c r="K492" s="45">
        <f t="shared" si="157"/>
        <v>0</v>
      </c>
      <c r="L492" s="45">
        <f t="shared" si="158"/>
        <v>0.16666666666666666</v>
      </c>
      <c r="M492" s="45">
        <f t="shared" si="159"/>
        <v>0.16666666666666666</v>
      </c>
      <c r="N492" s="45">
        <f t="shared" si="160"/>
        <v>0.16666666666666666</v>
      </c>
      <c r="O492" s="45">
        <f t="shared" si="161"/>
        <v>0.16666666666666666</v>
      </c>
      <c r="P492" s="45">
        <f t="shared" si="162"/>
        <v>0</v>
      </c>
      <c r="Q492" s="45">
        <f t="shared" si="163"/>
        <v>0.16666666666666666</v>
      </c>
      <c r="R492" s="45">
        <f t="shared" si="164"/>
        <v>0.16666666666666666</v>
      </c>
      <c r="S492" s="45">
        <f t="shared" si="165"/>
        <v>0</v>
      </c>
      <c r="T492" s="45">
        <f t="shared" si="166"/>
        <v>0</v>
      </c>
    </row>
    <row r="493" spans="1:20" x14ac:dyDescent="0.3">
      <c r="A493">
        <f t="shared" si="147"/>
        <v>0</v>
      </c>
      <c r="B493">
        <f t="shared" si="148"/>
        <v>1</v>
      </c>
      <c r="C493">
        <f t="shared" si="149"/>
        <v>1</v>
      </c>
      <c r="D493">
        <f t="shared" si="150"/>
        <v>1</v>
      </c>
      <c r="E493">
        <f t="shared" si="151"/>
        <v>1</v>
      </c>
      <c r="F493">
        <f t="shared" si="152"/>
        <v>0</v>
      </c>
      <c r="G493">
        <f t="shared" si="153"/>
        <v>1</v>
      </c>
      <c r="H493">
        <f t="shared" si="154"/>
        <v>1</v>
      </c>
      <c r="I493">
        <f t="shared" si="155"/>
        <v>0</v>
      </c>
      <c r="J493">
        <f t="shared" si="156"/>
        <v>1</v>
      </c>
      <c r="K493" s="45">
        <f t="shared" si="157"/>
        <v>0</v>
      </c>
      <c r="L493" s="45">
        <f t="shared" si="158"/>
        <v>0.14285714285714285</v>
      </c>
      <c r="M493" s="45">
        <f t="shared" si="159"/>
        <v>0.14285714285714285</v>
      </c>
      <c r="N493" s="45">
        <f t="shared" si="160"/>
        <v>0.14285714285714285</v>
      </c>
      <c r="O493" s="45">
        <f t="shared" si="161"/>
        <v>0.14285714285714285</v>
      </c>
      <c r="P493" s="45">
        <f t="shared" si="162"/>
        <v>0</v>
      </c>
      <c r="Q493" s="45">
        <f t="shared" si="163"/>
        <v>0.14285714285714285</v>
      </c>
      <c r="R493" s="45">
        <f t="shared" si="164"/>
        <v>0.14285714285714285</v>
      </c>
      <c r="S493" s="45">
        <f t="shared" si="165"/>
        <v>0</v>
      </c>
      <c r="T493" s="45">
        <f t="shared" si="166"/>
        <v>0.14285714285714285</v>
      </c>
    </row>
    <row r="494" spans="1:20" x14ac:dyDescent="0.3">
      <c r="A494">
        <f t="shared" si="147"/>
        <v>0</v>
      </c>
      <c r="B494">
        <f t="shared" si="148"/>
        <v>1</v>
      </c>
      <c r="C494">
        <f t="shared" si="149"/>
        <v>1</v>
      </c>
      <c r="D494">
        <f t="shared" si="150"/>
        <v>1</v>
      </c>
      <c r="E494">
        <f t="shared" si="151"/>
        <v>1</v>
      </c>
      <c r="F494">
        <f t="shared" si="152"/>
        <v>0</v>
      </c>
      <c r="G494">
        <f t="shared" si="153"/>
        <v>1</v>
      </c>
      <c r="H494">
        <f t="shared" si="154"/>
        <v>1</v>
      </c>
      <c r="I494">
        <f t="shared" si="155"/>
        <v>1</v>
      </c>
      <c r="J494">
        <f t="shared" si="156"/>
        <v>0</v>
      </c>
      <c r="K494" s="45">
        <f t="shared" si="157"/>
        <v>0</v>
      </c>
      <c r="L494" s="45">
        <f t="shared" si="158"/>
        <v>0.14285714285714285</v>
      </c>
      <c r="M494" s="45">
        <f t="shared" si="159"/>
        <v>0.14285714285714285</v>
      </c>
      <c r="N494" s="45">
        <f t="shared" si="160"/>
        <v>0.14285714285714285</v>
      </c>
      <c r="O494" s="45">
        <f t="shared" si="161"/>
        <v>0.14285714285714285</v>
      </c>
      <c r="P494" s="45">
        <f t="shared" si="162"/>
        <v>0</v>
      </c>
      <c r="Q494" s="45">
        <f t="shared" si="163"/>
        <v>0.14285714285714285</v>
      </c>
      <c r="R494" s="45">
        <f t="shared" si="164"/>
        <v>0.14285714285714285</v>
      </c>
      <c r="S494" s="45">
        <f t="shared" si="165"/>
        <v>0.14285714285714285</v>
      </c>
      <c r="T494" s="45">
        <f t="shared" si="166"/>
        <v>0</v>
      </c>
    </row>
    <row r="495" spans="1:20" x14ac:dyDescent="0.3">
      <c r="A495">
        <f t="shared" si="147"/>
        <v>0</v>
      </c>
      <c r="B495">
        <f t="shared" si="148"/>
        <v>1</v>
      </c>
      <c r="C495">
        <f t="shared" si="149"/>
        <v>1</v>
      </c>
      <c r="D495">
        <f t="shared" si="150"/>
        <v>1</v>
      </c>
      <c r="E495">
        <f t="shared" si="151"/>
        <v>1</v>
      </c>
      <c r="F495">
        <f t="shared" si="152"/>
        <v>0</v>
      </c>
      <c r="G495">
        <f t="shared" si="153"/>
        <v>1</v>
      </c>
      <c r="H495">
        <f t="shared" si="154"/>
        <v>1</v>
      </c>
      <c r="I495">
        <f t="shared" si="155"/>
        <v>1</v>
      </c>
      <c r="J495">
        <f t="shared" si="156"/>
        <v>1</v>
      </c>
      <c r="K495" s="45">
        <f t="shared" si="157"/>
        <v>0</v>
      </c>
      <c r="L495" s="45">
        <f t="shared" si="158"/>
        <v>0.125</v>
      </c>
      <c r="M495" s="45">
        <f t="shared" si="159"/>
        <v>0.125</v>
      </c>
      <c r="N495" s="45">
        <f t="shared" si="160"/>
        <v>0.125</v>
      </c>
      <c r="O495" s="45">
        <f t="shared" si="161"/>
        <v>0.125</v>
      </c>
      <c r="P495" s="45">
        <f t="shared" si="162"/>
        <v>0</v>
      </c>
      <c r="Q495" s="45">
        <f t="shared" si="163"/>
        <v>0.125</v>
      </c>
      <c r="R495" s="45">
        <f t="shared" si="164"/>
        <v>0.125</v>
      </c>
      <c r="S495" s="45">
        <f t="shared" si="165"/>
        <v>0.125</v>
      </c>
      <c r="T495" s="45">
        <f t="shared" si="166"/>
        <v>0.125</v>
      </c>
    </row>
    <row r="496" spans="1:20" x14ac:dyDescent="0.3">
      <c r="A496">
        <f t="shared" si="147"/>
        <v>0</v>
      </c>
      <c r="B496">
        <f t="shared" si="148"/>
        <v>1</v>
      </c>
      <c r="C496">
        <f t="shared" si="149"/>
        <v>1</v>
      </c>
      <c r="D496">
        <f t="shared" si="150"/>
        <v>1</v>
      </c>
      <c r="E496">
        <f t="shared" si="151"/>
        <v>1</v>
      </c>
      <c r="F496">
        <f t="shared" si="152"/>
        <v>1</v>
      </c>
      <c r="G496">
        <f t="shared" si="153"/>
        <v>0</v>
      </c>
      <c r="H496">
        <f t="shared" si="154"/>
        <v>0</v>
      </c>
      <c r="I496">
        <f t="shared" si="155"/>
        <v>0</v>
      </c>
      <c r="J496">
        <f t="shared" si="156"/>
        <v>0</v>
      </c>
      <c r="K496" s="45">
        <f t="shared" si="157"/>
        <v>0</v>
      </c>
      <c r="L496" s="45">
        <f t="shared" si="158"/>
        <v>0.2</v>
      </c>
      <c r="M496" s="45">
        <f t="shared" si="159"/>
        <v>0.2</v>
      </c>
      <c r="N496" s="45">
        <f t="shared" si="160"/>
        <v>0.2</v>
      </c>
      <c r="O496" s="45">
        <f t="shared" si="161"/>
        <v>0.2</v>
      </c>
      <c r="P496" s="45">
        <f t="shared" si="162"/>
        <v>0.2</v>
      </c>
      <c r="Q496" s="45">
        <f t="shared" si="163"/>
        <v>0</v>
      </c>
      <c r="R496" s="45">
        <f t="shared" si="164"/>
        <v>0</v>
      </c>
      <c r="S496" s="45">
        <f t="shared" si="165"/>
        <v>0</v>
      </c>
      <c r="T496" s="45">
        <f t="shared" si="166"/>
        <v>0</v>
      </c>
    </row>
    <row r="497" spans="1:20" x14ac:dyDescent="0.3">
      <c r="A497">
        <f t="shared" si="147"/>
        <v>0</v>
      </c>
      <c r="B497">
        <f t="shared" si="148"/>
        <v>1</v>
      </c>
      <c r="C497">
        <f t="shared" si="149"/>
        <v>1</v>
      </c>
      <c r="D497">
        <f t="shared" si="150"/>
        <v>1</v>
      </c>
      <c r="E497">
        <f t="shared" si="151"/>
        <v>1</v>
      </c>
      <c r="F497">
        <f t="shared" si="152"/>
        <v>1</v>
      </c>
      <c r="G497">
        <f t="shared" si="153"/>
        <v>0</v>
      </c>
      <c r="H497">
        <f t="shared" si="154"/>
        <v>0</v>
      </c>
      <c r="I497">
        <f t="shared" si="155"/>
        <v>0</v>
      </c>
      <c r="J497">
        <f t="shared" si="156"/>
        <v>1</v>
      </c>
      <c r="K497" s="45">
        <f t="shared" si="157"/>
        <v>0</v>
      </c>
      <c r="L497" s="45">
        <f t="shared" si="158"/>
        <v>0.16666666666666666</v>
      </c>
      <c r="M497" s="45">
        <f t="shared" si="159"/>
        <v>0.16666666666666666</v>
      </c>
      <c r="N497" s="45">
        <f t="shared" si="160"/>
        <v>0.16666666666666666</v>
      </c>
      <c r="O497" s="45">
        <f t="shared" si="161"/>
        <v>0.16666666666666666</v>
      </c>
      <c r="P497" s="45">
        <f t="shared" si="162"/>
        <v>0.16666666666666666</v>
      </c>
      <c r="Q497" s="45">
        <f t="shared" si="163"/>
        <v>0</v>
      </c>
      <c r="R497" s="45">
        <f t="shared" si="164"/>
        <v>0</v>
      </c>
      <c r="S497" s="45">
        <f t="shared" si="165"/>
        <v>0</v>
      </c>
      <c r="T497" s="45">
        <f t="shared" si="166"/>
        <v>0.16666666666666666</v>
      </c>
    </row>
    <row r="498" spans="1:20" x14ac:dyDescent="0.3">
      <c r="A498">
        <f t="shared" si="147"/>
        <v>0</v>
      </c>
      <c r="B498">
        <f t="shared" si="148"/>
        <v>1</v>
      </c>
      <c r="C498">
        <f t="shared" si="149"/>
        <v>1</v>
      </c>
      <c r="D498">
        <f t="shared" si="150"/>
        <v>1</v>
      </c>
      <c r="E498">
        <f t="shared" si="151"/>
        <v>1</v>
      </c>
      <c r="F498">
        <f t="shared" si="152"/>
        <v>1</v>
      </c>
      <c r="G498">
        <f t="shared" si="153"/>
        <v>0</v>
      </c>
      <c r="H498">
        <f t="shared" si="154"/>
        <v>0</v>
      </c>
      <c r="I498">
        <f t="shared" si="155"/>
        <v>1</v>
      </c>
      <c r="J498">
        <f t="shared" si="156"/>
        <v>0</v>
      </c>
      <c r="K498" s="45">
        <f t="shared" si="157"/>
        <v>0</v>
      </c>
      <c r="L498" s="45">
        <f t="shared" si="158"/>
        <v>0.16666666666666666</v>
      </c>
      <c r="M498" s="45">
        <f t="shared" si="159"/>
        <v>0.16666666666666666</v>
      </c>
      <c r="N498" s="45">
        <f t="shared" si="160"/>
        <v>0.16666666666666666</v>
      </c>
      <c r="O498" s="45">
        <f t="shared" si="161"/>
        <v>0.16666666666666666</v>
      </c>
      <c r="P498" s="45">
        <f t="shared" si="162"/>
        <v>0.16666666666666666</v>
      </c>
      <c r="Q498" s="45">
        <f t="shared" si="163"/>
        <v>0</v>
      </c>
      <c r="R498" s="45">
        <f t="shared" si="164"/>
        <v>0</v>
      </c>
      <c r="S498" s="45">
        <f t="shared" si="165"/>
        <v>0.16666666666666666</v>
      </c>
      <c r="T498" s="45">
        <f t="shared" si="166"/>
        <v>0</v>
      </c>
    </row>
    <row r="499" spans="1:20" x14ac:dyDescent="0.3">
      <c r="A499">
        <f t="shared" si="147"/>
        <v>0</v>
      </c>
      <c r="B499">
        <f t="shared" si="148"/>
        <v>1</v>
      </c>
      <c r="C499">
        <f t="shared" si="149"/>
        <v>1</v>
      </c>
      <c r="D499">
        <f t="shared" si="150"/>
        <v>1</v>
      </c>
      <c r="E499">
        <f t="shared" si="151"/>
        <v>1</v>
      </c>
      <c r="F499">
        <f t="shared" si="152"/>
        <v>1</v>
      </c>
      <c r="G499">
        <f t="shared" si="153"/>
        <v>0</v>
      </c>
      <c r="H499">
        <f t="shared" si="154"/>
        <v>0</v>
      </c>
      <c r="I499">
        <f t="shared" si="155"/>
        <v>1</v>
      </c>
      <c r="J499">
        <f t="shared" si="156"/>
        <v>1</v>
      </c>
      <c r="K499" s="45">
        <f t="shared" si="157"/>
        <v>0</v>
      </c>
      <c r="L499" s="45">
        <f t="shared" si="158"/>
        <v>0.14285714285714285</v>
      </c>
      <c r="M499" s="45">
        <f t="shared" si="159"/>
        <v>0.14285714285714285</v>
      </c>
      <c r="N499" s="45">
        <f t="shared" si="160"/>
        <v>0.14285714285714285</v>
      </c>
      <c r="O499" s="45">
        <f t="shared" si="161"/>
        <v>0.14285714285714285</v>
      </c>
      <c r="P499" s="45">
        <f t="shared" si="162"/>
        <v>0.14285714285714285</v>
      </c>
      <c r="Q499" s="45">
        <f t="shared" si="163"/>
        <v>0</v>
      </c>
      <c r="R499" s="45">
        <f t="shared" si="164"/>
        <v>0</v>
      </c>
      <c r="S499" s="45">
        <f t="shared" si="165"/>
        <v>0.14285714285714285</v>
      </c>
      <c r="T499" s="45">
        <f t="shared" si="166"/>
        <v>0.14285714285714285</v>
      </c>
    </row>
    <row r="500" spans="1:20" x14ac:dyDescent="0.3">
      <c r="A500">
        <f t="shared" si="147"/>
        <v>0</v>
      </c>
      <c r="B500">
        <f t="shared" si="148"/>
        <v>1</v>
      </c>
      <c r="C500">
        <f t="shared" si="149"/>
        <v>1</v>
      </c>
      <c r="D500">
        <f t="shared" si="150"/>
        <v>1</v>
      </c>
      <c r="E500">
        <f t="shared" si="151"/>
        <v>1</v>
      </c>
      <c r="F500">
        <f t="shared" si="152"/>
        <v>1</v>
      </c>
      <c r="G500">
        <f t="shared" si="153"/>
        <v>0</v>
      </c>
      <c r="H500">
        <f t="shared" si="154"/>
        <v>1</v>
      </c>
      <c r="I500">
        <f t="shared" si="155"/>
        <v>0</v>
      </c>
      <c r="J500">
        <f t="shared" si="156"/>
        <v>0</v>
      </c>
      <c r="K500" s="45">
        <f t="shared" si="157"/>
        <v>0</v>
      </c>
      <c r="L500" s="45">
        <f t="shared" si="158"/>
        <v>0.16666666666666666</v>
      </c>
      <c r="M500" s="45">
        <f t="shared" si="159"/>
        <v>0.16666666666666666</v>
      </c>
      <c r="N500" s="45">
        <f t="shared" si="160"/>
        <v>0.16666666666666666</v>
      </c>
      <c r="O500" s="45">
        <f t="shared" si="161"/>
        <v>0.16666666666666666</v>
      </c>
      <c r="P500" s="45">
        <f t="shared" si="162"/>
        <v>0.16666666666666666</v>
      </c>
      <c r="Q500" s="45">
        <f t="shared" si="163"/>
        <v>0</v>
      </c>
      <c r="R500" s="45">
        <f t="shared" si="164"/>
        <v>0.16666666666666666</v>
      </c>
      <c r="S500" s="45">
        <f t="shared" si="165"/>
        <v>0</v>
      </c>
      <c r="T500" s="45">
        <f t="shared" si="166"/>
        <v>0</v>
      </c>
    </row>
    <row r="501" spans="1:20" x14ac:dyDescent="0.3">
      <c r="A501">
        <f t="shared" si="147"/>
        <v>0</v>
      </c>
      <c r="B501">
        <f t="shared" si="148"/>
        <v>1</v>
      </c>
      <c r="C501">
        <f t="shared" si="149"/>
        <v>1</v>
      </c>
      <c r="D501">
        <f t="shared" si="150"/>
        <v>1</v>
      </c>
      <c r="E501">
        <f t="shared" si="151"/>
        <v>1</v>
      </c>
      <c r="F501">
        <f t="shared" si="152"/>
        <v>1</v>
      </c>
      <c r="G501">
        <f t="shared" si="153"/>
        <v>0</v>
      </c>
      <c r="H501">
        <f t="shared" si="154"/>
        <v>1</v>
      </c>
      <c r="I501">
        <f t="shared" si="155"/>
        <v>0</v>
      </c>
      <c r="J501">
        <f t="shared" si="156"/>
        <v>1</v>
      </c>
      <c r="K501" s="45">
        <f t="shared" si="157"/>
        <v>0</v>
      </c>
      <c r="L501" s="45">
        <f t="shared" si="158"/>
        <v>0.14285714285714285</v>
      </c>
      <c r="M501" s="45">
        <f t="shared" si="159"/>
        <v>0.14285714285714285</v>
      </c>
      <c r="N501" s="45">
        <f t="shared" si="160"/>
        <v>0.14285714285714285</v>
      </c>
      <c r="O501" s="45">
        <f t="shared" si="161"/>
        <v>0.14285714285714285</v>
      </c>
      <c r="P501" s="45">
        <f t="shared" si="162"/>
        <v>0.14285714285714285</v>
      </c>
      <c r="Q501" s="45">
        <f t="shared" si="163"/>
        <v>0</v>
      </c>
      <c r="R501" s="45">
        <f t="shared" si="164"/>
        <v>0.14285714285714285</v>
      </c>
      <c r="S501" s="45">
        <f t="shared" si="165"/>
        <v>0</v>
      </c>
      <c r="T501" s="45">
        <f t="shared" si="166"/>
        <v>0.14285714285714285</v>
      </c>
    </row>
    <row r="502" spans="1:20" x14ac:dyDescent="0.3">
      <c r="A502">
        <f t="shared" si="147"/>
        <v>0</v>
      </c>
      <c r="B502">
        <f t="shared" si="148"/>
        <v>1</v>
      </c>
      <c r="C502">
        <f t="shared" si="149"/>
        <v>1</v>
      </c>
      <c r="D502">
        <f t="shared" si="150"/>
        <v>1</v>
      </c>
      <c r="E502">
        <f t="shared" si="151"/>
        <v>1</v>
      </c>
      <c r="F502">
        <f t="shared" si="152"/>
        <v>1</v>
      </c>
      <c r="G502">
        <f t="shared" si="153"/>
        <v>0</v>
      </c>
      <c r="H502">
        <f t="shared" si="154"/>
        <v>1</v>
      </c>
      <c r="I502">
        <f t="shared" si="155"/>
        <v>1</v>
      </c>
      <c r="J502">
        <f t="shared" si="156"/>
        <v>0</v>
      </c>
      <c r="K502" s="45">
        <f t="shared" si="157"/>
        <v>0</v>
      </c>
      <c r="L502" s="45">
        <f t="shared" si="158"/>
        <v>0.14285714285714285</v>
      </c>
      <c r="M502" s="45">
        <f t="shared" si="159"/>
        <v>0.14285714285714285</v>
      </c>
      <c r="N502" s="45">
        <f t="shared" si="160"/>
        <v>0.14285714285714285</v>
      </c>
      <c r="O502" s="45">
        <f t="shared" si="161"/>
        <v>0.14285714285714285</v>
      </c>
      <c r="P502" s="45">
        <f t="shared" si="162"/>
        <v>0.14285714285714285</v>
      </c>
      <c r="Q502" s="45">
        <f t="shared" si="163"/>
        <v>0</v>
      </c>
      <c r="R502" s="45">
        <f t="shared" si="164"/>
        <v>0.14285714285714285</v>
      </c>
      <c r="S502" s="45">
        <f t="shared" si="165"/>
        <v>0.14285714285714285</v>
      </c>
      <c r="T502" s="45">
        <f t="shared" si="166"/>
        <v>0</v>
      </c>
    </row>
    <row r="503" spans="1:20" x14ac:dyDescent="0.3">
      <c r="A503">
        <f t="shared" si="147"/>
        <v>0</v>
      </c>
      <c r="B503">
        <f t="shared" si="148"/>
        <v>1</v>
      </c>
      <c r="C503">
        <f t="shared" si="149"/>
        <v>1</v>
      </c>
      <c r="D503">
        <f t="shared" si="150"/>
        <v>1</v>
      </c>
      <c r="E503">
        <f t="shared" si="151"/>
        <v>1</v>
      </c>
      <c r="F503">
        <f t="shared" si="152"/>
        <v>1</v>
      </c>
      <c r="G503">
        <f t="shared" si="153"/>
        <v>0</v>
      </c>
      <c r="H503">
        <f t="shared" si="154"/>
        <v>1</v>
      </c>
      <c r="I503">
        <f t="shared" si="155"/>
        <v>1</v>
      </c>
      <c r="J503">
        <f t="shared" si="156"/>
        <v>1</v>
      </c>
      <c r="K503" s="45">
        <f t="shared" si="157"/>
        <v>0</v>
      </c>
      <c r="L503" s="45">
        <f t="shared" si="158"/>
        <v>0.125</v>
      </c>
      <c r="M503" s="45">
        <f t="shared" si="159"/>
        <v>0.125</v>
      </c>
      <c r="N503" s="45">
        <f t="shared" si="160"/>
        <v>0.125</v>
      </c>
      <c r="O503" s="45">
        <f t="shared" si="161"/>
        <v>0.125</v>
      </c>
      <c r="P503" s="45">
        <f t="shared" si="162"/>
        <v>0.125</v>
      </c>
      <c r="Q503" s="45">
        <f t="shared" si="163"/>
        <v>0</v>
      </c>
      <c r="R503" s="45">
        <f t="shared" si="164"/>
        <v>0.125</v>
      </c>
      <c r="S503" s="45">
        <f t="shared" si="165"/>
        <v>0.125</v>
      </c>
      <c r="T503" s="45">
        <f t="shared" si="166"/>
        <v>0.125</v>
      </c>
    </row>
    <row r="504" spans="1:20" x14ac:dyDescent="0.3">
      <c r="A504">
        <f t="shared" si="147"/>
        <v>0</v>
      </c>
      <c r="B504">
        <f t="shared" si="148"/>
        <v>1</v>
      </c>
      <c r="C504">
        <f t="shared" si="149"/>
        <v>1</v>
      </c>
      <c r="D504">
        <f t="shared" si="150"/>
        <v>1</v>
      </c>
      <c r="E504">
        <f t="shared" si="151"/>
        <v>1</v>
      </c>
      <c r="F504">
        <f t="shared" si="152"/>
        <v>1</v>
      </c>
      <c r="G504">
        <f t="shared" si="153"/>
        <v>1</v>
      </c>
      <c r="H504">
        <f t="shared" si="154"/>
        <v>0</v>
      </c>
      <c r="I504">
        <f t="shared" si="155"/>
        <v>0</v>
      </c>
      <c r="J504">
        <f t="shared" si="156"/>
        <v>0</v>
      </c>
      <c r="K504" s="45">
        <f t="shared" si="157"/>
        <v>0</v>
      </c>
      <c r="L504" s="45">
        <f t="shared" si="158"/>
        <v>0.16666666666666666</v>
      </c>
      <c r="M504" s="45">
        <f t="shared" si="159"/>
        <v>0.16666666666666666</v>
      </c>
      <c r="N504" s="45">
        <f t="shared" si="160"/>
        <v>0.16666666666666666</v>
      </c>
      <c r="O504" s="45">
        <f t="shared" si="161"/>
        <v>0.16666666666666666</v>
      </c>
      <c r="P504" s="45">
        <f t="shared" si="162"/>
        <v>0.16666666666666666</v>
      </c>
      <c r="Q504" s="45">
        <f t="shared" si="163"/>
        <v>0.16666666666666666</v>
      </c>
      <c r="R504" s="45">
        <f t="shared" si="164"/>
        <v>0</v>
      </c>
      <c r="S504" s="45">
        <f t="shared" si="165"/>
        <v>0</v>
      </c>
      <c r="T504" s="45">
        <f t="shared" si="166"/>
        <v>0</v>
      </c>
    </row>
    <row r="505" spans="1:20" x14ac:dyDescent="0.3">
      <c r="A505">
        <f t="shared" si="147"/>
        <v>0</v>
      </c>
      <c r="B505">
        <f t="shared" si="148"/>
        <v>1</v>
      </c>
      <c r="C505">
        <f t="shared" si="149"/>
        <v>1</v>
      </c>
      <c r="D505">
        <f t="shared" si="150"/>
        <v>1</v>
      </c>
      <c r="E505">
        <f t="shared" si="151"/>
        <v>1</v>
      </c>
      <c r="F505">
        <f t="shared" si="152"/>
        <v>1</v>
      </c>
      <c r="G505">
        <f t="shared" si="153"/>
        <v>1</v>
      </c>
      <c r="H505">
        <f t="shared" si="154"/>
        <v>0</v>
      </c>
      <c r="I505">
        <f t="shared" si="155"/>
        <v>0</v>
      </c>
      <c r="J505">
        <f t="shared" si="156"/>
        <v>1</v>
      </c>
      <c r="K505" s="45">
        <f t="shared" si="157"/>
        <v>0</v>
      </c>
      <c r="L505" s="45">
        <f t="shared" si="158"/>
        <v>0.14285714285714285</v>
      </c>
      <c r="M505" s="45">
        <f t="shared" si="159"/>
        <v>0.14285714285714285</v>
      </c>
      <c r="N505" s="45">
        <f t="shared" si="160"/>
        <v>0.14285714285714285</v>
      </c>
      <c r="O505" s="45">
        <f t="shared" si="161"/>
        <v>0.14285714285714285</v>
      </c>
      <c r="P505" s="45">
        <f t="shared" si="162"/>
        <v>0.14285714285714285</v>
      </c>
      <c r="Q505" s="45">
        <f t="shared" si="163"/>
        <v>0.14285714285714285</v>
      </c>
      <c r="R505" s="45">
        <f t="shared" si="164"/>
        <v>0</v>
      </c>
      <c r="S505" s="45">
        <f t="shared" si="165"/>
        <v>0</v>
      </c>
      <c r="T505" s="45">
        <f t="shared" si="166"/>
        <v>0.14285714285714285</v>
      </c>
    </row>
    <row r="506" spans="1:20" x14ac:dyDescent="0.3">
      <c r="A506">
        <f t="shared" si="147"/>
        <v>0</v>
      </c>
      <c r="B506">
        <f t="shared" si="148"/>
        <v>1</v>
      </c>
      <c r="C506">
        <f t="shared" si="149"/>
        <v>1</v>
      </c>
      <c r="D506">
        <f t="shared" si="150"/>
        <v>1</v>
      </c>
      <c r="E506">
        <f t="shared" si="151"/>
        <v>1</v>
      </c>
      <c r="F506">
        <f t="shared" si="152"/>
        <v>1</v>
      </c>
      <c r="G506">
        <f t="shared" si="153"/>
        <v>1</v>
      </c>
      <c r="H506">
        <f t="shared" si="154"/>
        <v>0</v>
      </c>
      <c r="I506">
        <f t="shared" si="155"/>
        <v>1</v>
      </c>
      <c r="J506">
        <f t="shared" si="156"/>
        <v>0</v>
      </c>
      <c r="K506" s="45">
        <f t="shared" si="157"/>
        <v>0</v>
      </c>
      <c r="L506" s="45">
        <f t="shared" si="158"/>
        <v>0.14285714285714285</v>
      </c>
      <c r="M506" s="45">
        <f t="shared" si="159"/>
        <v>0.14285714285714285</v>
      </c>
      <c r="N506" s="45">
        <f t="shared" si="160"/>
        <v>0.14285714285714285</v>
      </c>
      <c r="O506" s="45">
        <f t="shared" si="161"/>
        <v>0.14285714285714285</v>
      </c>
      <c r="P506" s="45">
        <f t="shared" si="162"/>
        <v>0.14285714285714285</v>
      </c>
      <c r="Q506" s="45">
        <f t="shared" si="163"/>
        <v>0.14285714285714285</v>
      </c>
      <c r="R506" s="45">
        <f t="shared" si="164"/>
        <v>0</v>
      </c>
      <c r="S506" s="45">
        <f t="shared" si="165"/>
        <v>0.14285714285714285</v>
      </c>
      <c r="T506" s="45">
        <f t="shared" si="166"/>
        <v>0</v>
      </c>
    </row>
    <row r="507" spans="1:20" x14ac:dyDescent="0.3">
      <c r="A507">
        <f t="shared" si="147"/>
        <v>0</v>
      </c>
      <c r="B507">
        <f t="shared" si="148"/>
        <v>1</v>
      </c>
      <c r="C507">
        <f t="shared" si="149"/>
        <v>1</v>
      </c>
      <c r="D507">
        <f t="shared" si="150"/>
        <v>1</v>
      </c>
      <c r="E507">
        <f t="shared" si="151"/>
        <v>1</v>
      </c>
      <c r="F507">
        <f t="shared" si="152"/>
        <v>1</v>
      </c>
      <c r="G507">
        <f t="shared" si="153"/>
        <v>1</v>
      </c>
      <c r="H507">
        <f t="shared" si="154"/>
        <v>0</v>
      </c>
      <c r="I507">
        <f t="shared" si="155"/>
        <v>1</v>
      </c>
      <c r="J507">
        <f t="shared" si="156"/>
        <v>1</v>
      </c>
      <c r="K507" s="45">
        <f t="shared" si="157"/>
        <v>0</v>
      </c>
      <c r="L507" s="45">
        <f t="shared" si="158"/>
        <v>0.125</v>
      </c>
      <c r="M507" s="45">
        <f t="shared" si="159"/>
        <v>0.125</v>
      </c>
      <c r="N507" s="45">
        <f t="shared" si="160"/>
        <v>0.125</v>
      </c>
      <c r="O507" s="45">
        <f t="shared" si="161"/>
        <v>0.125</v>
      </c>
      <c r="P507" s="45">
        <f t="shared" si="162"/>
        <v>0.125</v>
      </c>
      <c r="Q507" s="45">
        <f t="shared" si="163"/>
        <v>0.125</v>
      </c>
      <c r="R507" s="45">
        <f t="shared" si="164"/>
        <v>0</v>
      </c>
      <c r="S507" s="45">
        <f t="shared" si="165"/>
        <v>0.125</v>
      </c>
      <c r="T507" s="45">
        <f t="shared" si="166"/>
        <v>0.125</v>
      </c>
    </row>
    <row r="508" spans="1:20" x14ac:dyDescent="0.3">
      <c r="A508">
        <f t="shared" si="147"/>
        <v>0</v>
      </c>
      <c r="B508">
        <f t="shared" si="148"/>
        <v>1</v>
      </c>
      <c r="C508">
        <f t="shared" si="149"/>
        <v>1</v>
      </c>
      <c r="D508">
        <f t="shared" si="150"/>
        <v>1</v>
      </c>
      <c r="E508">
        <f t="shared" si="151"/>
        <v>1</v>
      </c>
      <c r="F508">
        <f t="shared" si="152"/>
        <v>1</v>
      </c>
      <c r="G508">
        <f t="shared" si="153"/>
        <v>1</v>
      </c>
      <c r="H508">
        <f t="shared" si="154"/>
        <v>1</v>
      </c>
      <c r="I508">
        <f t="shared" si="155"/>
        <v>0</v>
      </c>
      <c r="J508">
        <f t="shared" si="156"/>
        <v>0</v>
      </c>
      <c r="K508" s="45">
        <f t="shared" si="157"/>
        <v>0</v>
      </c>
      <c r="L508" s="45">
        <f t="shared" si="158"/>
        <v>0.14285714285714285</v>
      </c>
      <c r="M508" s="45">
        <f t="shared" si="159"/>
        <v>0.14285714285714285</v>
      </c>
      <c r="N508" s="45">
        <f t="shared" si="160"/>
        <v>0.14285714285714285</v>
      </c>
      <c r="O508" s="45">
        <f t="shared" si="161"/>
        <v>0.14285714285714285</v>
      </c>
      <c r="P508" s="45">
        <f t="shared" si="162"/>
        <v>0.14285714285714285</v>
      </c>
      <c r="Q508" s="45">
        <f t="shared" si="163"/>
        <v>0.14285714285714285</v>
      </c>
      <c r="R508" s="45">
        <f t="shared" si="164"/>
        <v>0.14285714285714285</v>
      </c>
      <c r="S508" s="45">
        <f t="shared" si="165"/>
        <v>0</v>
      </c>
      <c r="T508" s="45">
        <f t="shared" si="166"/>
        <v>0</v>
      </c>
    </row>
    <row r="509" spans="1:20" x14ac:dyDescent="0.3">
      <c r="A509">
        <f t="shared" si="147"/>
        <v>0</v>
      </c>
      <c r="B509">
        <f t="shared" si="148"/>
        <v>1</v>
      </c>
      <c r="C509">
        <f t="shared" si="149"/>
        <v>1</v>
      </c>
      <c r="D509">
        <f t="shared" si="150"/>
        <v>1</v>
      </c>
      <c r="E509">
        <f t="shared" si="151"/>
        <v>1</v>
      </c>
      <c r="F509">
        <f t="shared" si="152"/>
        <v>1</v>
      </c>
      <c r="G509">
        <f t="shared" si="153"/>
        <v>1</v>
      </c>
      <c r="H509">
        <f t="shared" si="154"/>
        <v>1</v>
      </c>
      <c r="I509">
        <f t="shared" si="155"/>
        <v>0</v>
      </c>
      <c r="J509">
        <f t="shared" si="156"/>
        <v>1</v>
      </c>
      <c r="K509" s="45">
        <f t="shared" si="157"/>
        <v>0</v>
      </c>
      <c r="L509" s="45">
        <f t="shared" si="158"/>
        <v>0.125</v>
      </c>
      <c r="M509" s="45">
        <f t="shared" si="159"/>
        <v>0.125</v>
      </c>
      <c r="N509" s="45">
        <f t="shared" si="160"/>
        <v>0.125</v>
      </c>
      <c r="O509" s="45">
        <f t="shared" si="161"/>
        <v>0.125</v>
      </c>
      <c r="P509" s="45">
        <f t="shared" si="162"/>
        <v>0.125</v>
      </c>
      <c r="Q509" s="45">
        <f t="shared" si="163"/>
        <v>0.125</v>
      </c>
      <c r="R509" s="45">
        <f t="shared" si="164"/>
        <v>0.125</v>
      </c>
      <c r="S509" s="45">
        <f t="shared" si="165"/>
        <v>0</v>
      </c>
      <c r="T509" s="45">
        <f t="shared" si="166"/>
        <v>0.125</v>
      </c>
    </row>
    <row r="510" spans="1:20" x14ac:dyDescent="0.3">
      <c r="A510">
        <f t="shared" si="147"/>
        <v>0</v>
      </c>
      <c r="B510">
        <f t="shared" si="148"/>
        <v>1</v>
      </c>
      <c r="C510">
        <f t="shared" si="149"/>
        <v>1</v>
      </c>
      <c r="D510">
        <f t="shared" si="150"/>
        <v>1</v>
      </c>
      <c r="E510">
        <f t="shared" si="151"/>
        <v>1</v>
      </c>
      <c r="F510">
        <f t="shared" si="152"/>
        <v>1</v>
      </c>
      <c r="G510">
        <f t="shared" si="153"/>
        <v>1</v>
      </c>
      <c r="H510">
        <f t="shared" si="154"/>
        <v>1</v>
      </c>
      <c r="I510">
        <f t="shared" si="155"/>
        <v>1</v>
      </c>
      <c r="J510">
        <f t="shared" si="156"/>
        <v>0</v>
      </c>
      <c r="K510" s="45">
        <f t="shared" si="157"/>
        <v>0</v>
      </c>
      <c r="L510" s="45">
        <f t="shared" si="158"/>
        <v>0.125</v>
      </c>
      <c r="M510" s="45">
        <f t="shared" si="159"/>
        <v>0.125</v>
      </c>
      <c r="N510" s="45">
        <f t="shared" si="160"/>
        <v>0.125</v>
      </c>
      <c r="O510" s="45">
        <f t="shared" si="161"/>
        <v>0.125</v>
      </c>
      <c r="P510" s="45">
        <f t="shared" si="162"/>
        <v>0.125</v>
      </c>
      <c r="Q510" s="45">
        <f t="shared" si="163"/>
        <v>0.125</v>
      </c>
      <c r="R510" s="45">
        <f t="shared" si="164"/>
        <v>0.125</v>
      </c>
      <c r="S510" s="45">
        <f t="shared" si="165"/>
        <v>0.125</v>
      </c>
      <c r="T510" s="45">
        <f t="shared" si="166"/>
        <v>0</v>
      </c>
    </row>
    <row r="511" spans="1:20" x14ac:dyDescent="0.3">
      <c r="A511">
        <f t="shared" si="147"/>
        <v>0</v>
      </c>
      <c r="B511">
        <f t="shared" si="148"/>
        <v>1</v>
      </c>
      <c r="C511">
        <f t="shared" si="149"/>
        <v>1</v>
      </c>
      <c r="D511">
        <f t="shared" si="150"/>
        <v>1</v>
      </c>
      <c r="E511">
        <f t="shared" si="151"/>
        <v>1</v>
      </c>
      <c r="F511">
        <f t="shared" si="152"/>
        <v>1</v>
      </c>
      <c r="G511">
        <f t="shared" si="153"/>
        <v>1</v>
      </c>
      <c r="H511">
        <f t="shared" si="154"/>
        <v>1</v>
      </c>
      <c r="I511">
        <f t="shared" si="155"/>
        <v>1</v>
      </c>
      <c r="J511">
        <f t="shared" si="156"/>
        <v>1</v>
      </c>
      <c r="K511" s="45">
        <f t="shared" si="157"/>
        <v>0</v>
      </c>
      <c r="L511" s="45">
        <f t="shared" si="158"/>
        <v>0.1111111111111111</v>
      </c>
      <c r="M511" s="45">
        <f t="shared" si="159"/>
        <v>0.1111111111111111</v>
      </c>
      <c r="N511" s="45">
        <f t="shared" si="160"/>
        <v>0.1111111111111111</v>
      </c>
      <c r="O511" s="45">
        <f t="shared" si="161"/>
        <v>0.1111111111111111</v>
      </c>
      <c r="P511" s="45">
        <f t="shared" si="162"/>
        <v>0.1111111111111111</v>
      </c>
      <c r="Q511" s="45">
        <f t="shared" si="163"/>
        <v>0.1111111111111111</v>
      </c>
      <c r="R511" s="45">
        <f t="shared" si="164"/>
        <v>0.1111111111111111</v>
      </c>
      <c r="S511" s="45">
        <f t="shared" si="165"/>
        <v>0.1111111111111111</v>
      </c>
      <c r="T511" s="45">
        <f t="shared" si="166"/>
        <v>0.1111111111111111</v>
      </c>
    </row>
    <row r="512" spans="1:20" x14ac:dyDescent="0.3">
      <c r="A512">
        <f t="shared" si="147"/>
        <v>1</v>
      </c>
      <c r="B512">
        <f t="shared" si="148"/>
        <v>0</v>
      </c>
      <c r="C512">
        <f t="shared" si="149"/>
        <v>0</v>
      </c>
      <c r="D512">
        <f t="shared" si="150"/>
        <v>0</v>
      </c>
      <c r="E512">
        <f t="shared" si="151"/>
        <v>0</v>
      </c>
      <c r="F512">
        <f t="shared" si="152"/>
        <v>0</v>
      </c>
      <c r="G512">
        <f t="shared" si="153"/>
        <v>0</v>
      </c>
      <c r="H512">
        <f t="shared" si="154"/>
        <v>0</v>
      </c>
      <c r="I512">
        <f t="shared" si="155"/>
        <v>0</v>
      </c>
      <c r="J512">
        <f t="shared" si="156"/>
        <v>0</v>
      </c>
      <c r="K512" s="45">
        <f t="shared" si="157"/>
        <v>1</v>
      </c>
      <c r="L512" s="45">
        <f t="shared" si="158"/>
        <v>0</v>
      </c>
      <c r="M512" s="45">
        <f t="shared" si="159"/>
        <v>0</v>
      </c>
      <c r="N512" s="45">
        <f t="shared" si="160"/>
        <v>0</v>
      </c>
      <c r="O512" s="45">
        <f t="shared" si="161"/>
        <v>0</v>
      </c>
      <c r="P512" s="45">
        <f t="shared" si="162"/>
        <v>0</v>
      </c>
      <c r="Q512" s="45">
        <f t="shared" si="163"/>
        <v>0</v>
      </c>
      <c r="R512" s="45">
        <f t="shared" si="164"/>
        <v>0</v>
      </c>
      <c r="S512" s="45">
        <f t="shared" si="165"/>
        <v>0</v>
      </c>
      <c r="T512" s="45">
        <f t="shared" si="166"/>
        <v>0</v>
      </c>
    </row>
    <row r="513" spans="1:20" x14ac:dyDescent="0.3">
      <c r="A513">
        <f t="shared" si="147"/>
        <v>1</v>
      </c>
      <c r="B513">
        <f t="shared" si="148"/>
        <v>0</v>
      </c>
      <c r="C513">
        <f t="shared" si="149"/>
        <v>0</v>
      </c>
      <c r="D513">
        <f t="shared" si="150"/>
        <v>0</v>
      </c>
      <c r="E513">
        <f t="shared" si="151"/>
        <v>0</v>
      </c>
      <c r="F513">
        <f t="shared" si="152"/>
        <v>0</v>
      </c>
      <c r="G513">
        <f t="shared" si="153"/>
        <v>0</v>
      </c>
      <c r="H513">
        <f t="shared" si="154"/>
        <v>0</v>
      </c>
      <c r="I513">
        <f t="shared" si="155"/>
        <v>0</v>
      </c>
      <c r="J513">
        <f t="shared" si="156"/>
        <v>1</v>
      </c>
      <c r="K513" s="45">
        <f t="shared" si="157"/>
        <v>0.5</v>
      </c>
      <c r="L513" s="45">
        <f t="shared" si="158"/>
        <v>0</v>
      </c>
      <c r="M513" s="45">
        <f t="shared" si="159"/>
        <v>0</v>
      </c>
      <c r="N513" s="45">
        <f t="shared" si="160"/>
        <v>0</v>
      </c>
      <c r="O513" s="45">
        <f t="shared" si="161"/>
        <v>0</v>
      </c>
      <c r="P513" s="45">
        <f t="shared" si="162"/>
        <v>0</v>
      </c>
      <c r="Q513" s="45">
        <f t="shared" si="163"/>
        <v>0</v>
      </c>
      <c r="R513" s="45">
        <f t="shared" si="164"/>
        <v>0</v>
      </c>
      <c r="S513" s="45">
        <f t="shared" si="165"/>
        <v>0</v>
      </c>
      <c r="T513" s="45">
        <f t="shared" si="166"/>
        <v>0.5</v>
      </c>
    </row>
    <row r="514" spans="1:20" x14ac:dyDescent="0.3">
      <c r="A514">
        <f t="shared" ref="A514:A577" si="167">INT( MOD(ROW()+0,1024)/512)</f>
        <v>1</v>
      </c>
      <c r="B514">
        <f t="shared" ref="B514:B577" si="168">INT( MOD(ROW()+0,512)/256)</f>
        <v>0</v>
      </c>
      <c r="C514">
        <f t="shared" ref="C514:C577" si="169">INT( MOD(ROW()+0,256)/128)</f>
        <v>0</v>
      </c>
      <c r="D514">
        <f t="shared" ref="D514:D577" si="170">INT( MOD(ROW()+0,128)/64)</f>
        <v>0</v>
      </c>
      <c r="E514">
        <f t="shared" ref="E514:E577" si="171">INT( MOD(ROW()+0,64)/32)</f>
        <v>0</v>
      </c>
      <c r="F514">
        <f t="shared" ref="F514:F577" si="172">INT( MOD(ROW()+0,32)/16)</f>
        <v>0</v>
      </c>
      <c r="G514">
        <f t="shared" ref="G514:G577" si="173">INT( MOD(ROW()+0,16)/8)</f>
        <v>0</v>
      </c>
      <c r="H514">
        <f t="shared" ref="H514:H577" si="174">INT( MOD(ROW()+0,8)/4)</f>
        <v>0</v>
      </c>
      <c r="I514">
        <f t="shared" ref="I514:I577" si="175">INT( MOD(ROW()+0,4)/2)</f>
        <v>1</v>
      </c>
      <c r="J514">
        <f t="shared" ref="J514:J577" si="176">INT( MOD(ROW()+0,2)/1)</f>
        <v>0</v>
      </c>
      <c r="K514" s="45">
        <f t="shared" ref="K514:K577" si="177">A514/SUM($A514:$J514)</f>
        <v>0.5</v>
      </c>
      <c r="L514" s="45">
        <f t="shared" ref="L514:L577" si="178">B514/SUM($A514:$J514)</f>
        <v>0</v>
      </c>
      <c r="M514" s="45">
        <f t="shared" ref="M514:M577" si="179">C514/SUM($A514:$J514)</f>
        <v>0</v>
      </c>
      <c r="N514" s="45">
        <f t="shared" ref="N514:N577" si="180">D514/SUM($A514:$J514)</f>
        <v>0</v>
      </c>
      <c r="O514" s="45">
        <f t="shared" ref="O514:O577" si="181">E514/SUM($A514:$J514)</f>
        <v>0</v>
      </c>
      <c r="P514" s="45">
        <f t="shared" ref="P514:P577" si="182">F514/SUM($A514:$J514)</f>
        <v>0</v>
      </c>
      <c r="Q514" s="45">
        <f t="shared" ref="Q514:Q577" si="183">G514/SUM($A514:$J514)</f>
        <v>0</v>
      </c>
      <c r="R514" s="45">
        <f t="shared" ref="R514:R577" si="184">H514/SUM($A514:$J514)</f>
        <v>0</v>
      </c>
      <c r="S514" s="45">
        <f t="shared" ref="S514:S577" si="185">I514/SUM($A514:$J514)</f>
        <v>0.5</v>
      </c>
      <c r="T514" s="45">
        <f t="shared" ref="T514:T577" si="186">J514/SUM($A514:$J514)</f>
        <v>0</v>
      </c>
    </row>
    <row r="515" spans="1:20" x14ac:dyDescent="0.3">
      <c r="A515">
        <f t="shared" si="167"/>
        <v>1</v>
      </c>
      <c r="B515">
        <f t="shared" si="168"/>
        <v>0</v>
      </c>
      <c r="C515">
        <f t="shared" si="169"/>
        <v>0</v>
      </c>
      <c r="D515">
        <f t="shared" si="170"/>
        <v>0</v>
      </c>
      <c r="E515">
        <f t="shared" si="171"/>
        <v>0</v>
      </c>
      <c r="F515">
        <f t="shared" si="172"/>
        <v>0</v>
      </c>
      <c r="G515">
        <f t="shared" si="173"/>
        <v>0</v>
      </c>
      <c r="H515">
        <f t="shared" si="174"/>
        <v>0</v>
      </c>
      <c r="I515">
        <f t="shared" si="175"/>
        <v>1</v>
      </c>
      <c r="J515">
        <f t="shared" si="176"/>
        <v>1</v>
      </c>
      <c r="K515" s="45">
        <f t="shared" si="177"/>
        <v>0.33333333333333331</v>
      </c>
      <c r="L515" s="45">
        <f t="shared" si="178"/>
        <v>0</v>
      </c>
      <c r="M515" s="45">
        <f t="shared" si="179"/>
        <v>0</v>
      </c>
      <c r="N515" s="45">
        <f t="shared" si="180"/>
        <v>0</v>
      </c>
      <c r="O515" s="45">
        <f t="shared" si="181"/>
        <v>0</v>
      </c>
      <c r="P515" s="45">
        <f t="shared" si="182"/>
        <v>0</v>
      </c>
      <c r="Q515" s="45">
        <f t="shared" si="183"/>
        <v>0</v>
      </c>
      <c r="R515" s="45">
        <f t="shared" si="184"/>
        <v>0</v>
      </c>
      <c r="S515" s="45">
        <f t="shared" si="185"/>
        <v>0.33333333333333331</v>
      </c>
      <c r="T515" s="45">
        <f t="shared" si="186"/>
        <v>0.33333333333333331</v>
      </c>
    </row>
    <row r="516" spans="1:20" x14ac:dyDescent="0.3">
      <c r="A516">
        <f t="shared" si="167"/>
        <v>1</v>
      </c>
      <c r="B516">
        <f t="shared" si="168"/>
        <v>0</v>
      </c>
      <c r="C516">
        <f t="shared" si="169"/>
        <v>0</v>
      </c>
      <c r="D516">
        <f t="shared" si="170"/>
        <v>0</v>
      </c>
      <c r="E516">
        <f t="shared" si="171"/>
        <v>0</v>
      </c>
      <c r="F516">
        <f t="shared" si="172"/>
        <v>0</v>
      </c>
      <c r="G516">
        <f t="shared" si="173"/>
        <v>0</v>
      </c>
      <c r="H516">
        <f t="shared" si="174"/>
        <v>1</v>
      </c>
      <c r="I516">
        <f t="shared" si="175"/>
        <v>0</v>
      </c>
      <c r="J516">
        <f t="shared" si="176"/>
        <v>0</v>
      </c>
      <c r="K516" s="45">
        <f t="shared" si="177"/>
        <v>0.5</v>
      </c>
      <c r="L516" s="45">
        <f t="shared" si="178"/>
        <v>0</v>
      </c>
      <c r="M516" s="45">
        <f t="shared" si="179"/>
        <v>0</v>
      </c>
      <c r="N516" s="45">
        <f t="shared" si="180"/>
        <v>0</v>
      </c>
      <c r="O516" s="45">
        <f t="shared" si="181"/>
        <v>0</v>
      </c>
      <c r="P516" s="45">
        <f t="shared" si="182"/>
        <v>0</v>
      </c>
      <c r="Q516" s="45">
        <f t="shared" si="183"/>
        <v>0</v>
      </c>
      <c r="R516" s="45">
        <f t="shared" si="184"/>
        <v>0.5</v>
      </c>
      <c r="S516" s="45">
        <f t="shared" si="185"/>
        <v>0</v>
      </c>
      <c r="T516" s="45">
        <f t="shared" si="186"/>
        <v>0</v>
      </c>
    </row>
    <row r="517" spans="1:20" x14ac:dyDescent="0.3">
      <c r="A517">
        <f t="shared" si="167"/>
        <v>1</v>
      </c>
      <c r="B517">
        <f t="shared" si="168"/>
        <v>0</v>
      </c>
      <c r="C517">
        <f t="shared" si="169"/>
        <v>0</v>
      </c>
      <c r="D517">
        <f t="shared" si="170"/>
        <v>0</v>
      </c>
      <c r="E517">
        <f t="shared" si="171"/>
        <v>0</v>
      </c>
      <c r="F517">
        <f t="shared" si="172"/>
        <v>0</v>
      </c>
      <c r="G517">
        <f t="shared" si="173"/>
        <v>0</v>
      </c>
      <c r="H517">
        <f t="shared" si="174"/>
        <v>1</v>
      </c>
      <c r="I517">
        <f t="shared" si="175"/>
        <v>0</v>
      </c>
      <c r="J517">
        <f t="shared" si="176"/>
        <v>1</v>
      </c>
      <c r="K517" s="45">
        <f t="shared" si="177"/>
        <v>0.33333333333333331</v>
      </c>
      <c r="L517" s="45">
        <f t="shared" si="178"/>
        <v>0</v>
      </c>
      <c r="M517" s="45">
        <f t="shared" si="179"/>
        <v>0</v>
      </c>
      <c r="N517" s="45">
        <f t="shared" si="180"/>
        <v>0</v>
      </c>
      <c r="O517" s="45">
        <f t="shared" si="181"/>
        <v>0</v>
      </c>
      <c r="P517" s="45">
        <f t="shared" si="182"/>
        <v>0</v>
      </c>
      <c r="Q517" s="45">
        <f t="shared" si="183"/>
        <v>0</v>
      </c>
      <c r="R517" s="45">
        <f t="shared" si="184"/>
        <v>0.33333333333333331</v>
      </c>
      <c r="S517" s="45">
        <f t="shared" si="185"/>
        <v>0</v>
      </c>
      <c r="T517" s="45">
        <f t="shared" si="186"/>
        <v>0.33333333333333331</v>
      </c>
    </row>
    <row r="518" spans="1:20" x14ac:dyDescent="0.3">
      <c r="A518">
        <f t="shared" si="167"/>
        <v>1</v>
      </c>
      <c r="B518">
        <f t="shared" si="168"/>
        <v>0</v>
      </c>
      <c r="C518">
        <f t="shared" si="169"/>
        <v>0</v>
      </c>
      <c r="D518">
        <f t="shared" si="170"/>
        <v>0</v>
      </c>
      <c r="E518">
        <f t="shared" si="171"/>
        <v>0</v>
      </c>
      <c r="F518">
        <f t="shared" si="172"/>
        <v>0</v>
      </c>
      <c r="G518">
        <f t="shared" si="173"/>
        <v>0</v>
      </c>
      <c r="H518">
        <f t="shared" si="174"/>
        <v>1</v>
      </c>
      <c r="I518">
        <f t="shared" si="175"/>
        <v>1</v>
      </c>
      <c r="J518">
        <f t="shared" si="176"/>
        <v>0</v>
      </c>
      <c r="K518" s="45">
        <f t="shared" si="177"/>
        <v>0.33333333333333331</v>
      </c>
      <c r="L518" s="45">
        <f t="shared" si="178"/>
        <v>0</v>
      </c>
      <c r="M518" s="45">
        <f t="shared" si="179"/>
        <v>0</v>
      </c>
      <c r="N518" s="45">
        <f t="shared" si="180"/>
        <v>0</v>
      </c>
      <c r="O518" s="45">
        <f t="shared" si="181"/>
        <v>0</v>
      </c>
      <c r="P518" s="45">
        <f t="shared" si="182"/>
        <v>0</v>
      </c>
      <c r="Q518" s="45">
        <f t="shared" si="183"/>
        <v>0</v>
      </c>
      <c r="R518" s="45">
        <f t="shared" si="184"/>
        <v>0.33333333333333331</v>
      </c>
      <c r="S518" s="45">
        <f t="shared" si="185"/>
        <v>0.33333333333333331</v>
      </c>
      <c r="T518" s="45">
        <f t="shared" si="186"/>
        <v>0</v>
      </c>
    </row>
    <row r="519" spans="1:20" x14ac:dyDescent="0.3">
      <c r="A519">
        <f t="shared" si="167"/>
        <v>1</v>
      </c>
      <c r="B519">
        <f t="shared" si="168"/>
        <v>0</v>
      </c>
      <c r="C519">
        <f t="shared" si="169"/>
        <v>0</v>
      </c>
      <c r="D519">
        <f t="shared" si="170"/>
        <v>0</v>
      </c>
      <c r="E519">
        <f t="shared" si="171"/>
        <v>0</v>
      </c>
      <c r="F519">
        <f t="shared" si="172"/>
        <v>0</v>
      </c>
      <c r="G519">
        <f t="shared" si="173"/>
        <v>0</v>
      </c>
      <c r="H519">
        <f t="shared" si="174"/>
        <v>1</v>
      </c>
      <c r="I519">
        <f t="shared" si="175"/>
        <v>1</v>
      </c>
      <c r="J519">
        <f t="shared" si="176"/>
        <v>1</v>
      </c>
      <c r="K519" s="45">
        <f t="shared" si="177"/>
        <v>0.25</v>
      </c>
      <c r="L519" s="45">
        <f t="shared" si="178"/>
        <v>0</v>
      </c>
      <c r="M519" s="45">
        <f t="shared" si="179"/>
        <v>0</v>
      </c>
      <c r="N519" s="45">
        <f t="shared" si="180"/>
        <v>0</v>
      </c>
      <c r="O519" s="45">
        <f t="shared" si="181"/>
        <v>0</v>
      </c>
      <c r="P519" s="45">
        <f t="shared" si="182"/>
        <v>0</v>
      </c>
      <c r="Q519" s="45">
        <f t="shared" si="183"/>
        <v>0</v>
      </c>
      <c r="R519" s="45">
        <f t="shared" si="184"/>
        <v>0.25</v>
      </c>
      <c r="S519" s="45">
        <f t="shared" si="185"/>
        <v>0.25</v>
      </c>
      <c r="T519" s="45">
        <f t="shared" si="186"/>
        <v>0.25</v>
      </c>
    </row>
    <row r="520" spans="1:20" x14ac:dyDescent="0.3">
      <c r="A520">
        <f t="shared" si="167"/>
        <v>1</v>
      </c>
      <c r="B520">
        <f t="shared" si="168"/>
        <v>0</v>
      </c>
      <c r="C520">
        <f t="shared" si="169"/>
        <v>0</v>
      </c>
      <c r="D520">
        <f t="shared" si="170"/>
        <v>0</v>
      </c>
      <c r="E520">
        <f t="shared" si="171"/>
        <v>0</v>
      </c>
      <c r="F520">
        <f t="shared" si="172"/>
        <v>0</v>
      </c>
      <c r="G520">
        <f t="shared" si="173"/>
        <v>1</v>
      </c>
      <c r="H520">
        <f t="shared" si="174"/>
        <v>0</v>
      </c>
      <c r="I520">
        <f t="shared" si="175"/>
        <v>0</v>
      </c>
      <c r="J520">
        <f t="shared" si="176"/>
        <v>0</v>
      </c>
      <c r="K520" s="45">
        <f t="shared" si="177"/>
        <v>0.5</v>
      </c>
      <c r="L520" s="45">
        <f t="shared" si="178"/>
        <v>0</v>
      </c>
      <c r="M520" s="45">
        <f t="shared" si="179"/>
        <v>0</v>
      </c>
      <c r="N520" s="45">
        <f t="shared" si="180"/>
        <v>0</v>
      </c>
      <c r="O520" s="45">
        <f t="shared" si="181"/>
        <v>0</v>
      </c>
      <c r="P520" s="45">
        <f t="shared" si="182"/>
        <v>0</v>
      </c>
      <c r="Q520" s="45">
        <f t="shared" si="183"/>
        <v>0.5</v>
      </c>
      <c r="R520" s="45">
        <f t="shared" si="184"/>
        <v>0</v>
      </c>
      <c r="S520" s="45">
        <f t="shared" si="185"/>
        <v>0</v>
      </c>
      <c r="T520" s="45">
        <f t="shared" si="186"/>
        <v>0</v>
      </c>
    </row>
    <row r="521" spans="1:20" x14ac:dyDescent="0.3">
      <c r="A521">
        <f t="shared" si="167"/>
        <v>1</v>
      </c>
      <c r="B521">
        <f t="shared" si="168"/>
        <v>0</v>
      </c>
      <c r="C521">
        <f t="shared" si="169"/>
        <v>0</v>
      </c>
      <c r="D521">
        <f t="shared" si="170"/>
        <v>0</v>
      </c>
      <c r="E521">
        <f t="shared" si="171"/>
        <v>0</v>
      </c>
      <c r="F521">
        <f t="shared" si="172"/>
        <v>0</v>
      </c>
      <c r="G521">
        <f t="shared" si="173"/>
        <v>1</v>
      </c>
      <c r="H521">
        <f t="shared" si="174"/>
        <v>0</v>
      </c>
      <c r="I521">
        <f t="shared" si="175"/>
        <v>0</v>
      </c>
      <c r="J521">
        <f t="shared" si="176"/>
        <v>1</v>
      </c>
      <c r="K521" s="45">
        <f t="shared" si="177"/>
        <v>0.33333333333333331</v>
      </c>
      <c r="L521" s="45">
        <f t="shared" si="178"/>
        <v>0</v>
      </c>
      <c r="M521" s="45">
        <f t="shared" si="179"/>
        <v>0</v>
      </c>
      <c r="N521" s="45">
        <f t="shared" si="180"/>
        <v>0</v>
      </c>
      <c r="O521" s="45">
        <f t="shared" si="181"/>
        <v>0</v>
      </c>
      <c r="P521" s="45">
        <f t="shared" si="182"/>
        <v>0</v>
      </c>
      <c r="Q521" s="45">
        <f t="shared" si="183"/>
        <v>0.33333333333333331</v>
      </c>
      <c r="R521" s="45">
        <f t="shared" si="184"/>
        <v>0</v>
      </c>
      <c r="S521" s="45">
        <f t="shared" si="185"/>
        <v>0</v>
      </c>
      <c r="T521" s="45">
        <f t="shared" si="186"/>
        <v>0.33333333333333331</v>
      </c>
    </row>
    <row r="522" spans="1:20" x14ac:dyDescent="0.3">
      <c r="A522">
        <f t="shared" si="167"/>
        <v>1</v>
      </c>
      <c r="B522">
        <f t="shared" si="168"/>
        <v>0</v>
      </c>
      <c r="C522">
        <f t="shared" si="169"/>
        <v>0</v>
      </c>
      <c r="D522">
        <f t="shared" si="170"/>
        <v>0</v>
      </c>
      <c r="E522">
        <f t="shared" si="171"/>
        <v>0</v>
      </c>
      <c r="F522">
        <f t="shared" si="172"/>
        <v>0</v>
      </c>
      <c r="G522">
        <f t="shared" si="173"/>
        <v>1</v>
      </c>
      <c r="H522">
        <f t="shared" si="174"/>
        <v>0</v>
      </c>
      <c r="I522">
        <f t="shared" si="175"/>
        <v>1</v>
      </c>
      <c r="J522">
        <f t="shared" si="176"/>
        <v>0</v>
      </c>
      <c r="K522" s="45">
        <f t="shared" si="177"/>
        <v>0.33333333333333331</v>
      </c>
      <c r="L522" s="45">
        <f t="shared" si="178"/>
        <v>0</v>
      </c>
      <c r="M522" s="45">
        <f t="shared" si="179"/>
        <v>0</v>
      </c>
      <c r="N522" s="45">
        <f t="shared" si="180"/>
        <v>0</v>
      </c>
      <c r="O522" s="45">
        <f t="shared" si="181"/>
        <v>0</v>
      </c>
      <c r="P522" s="45">
        <f t="shared" si="182"/>
        <v>0</v>
      </c>
      <c r="Q522" s="45">
        <f t="shared" si="183"/>
        <v>0.33333333333333331</v>
      </c>
      <c r="R522" s="45">
        <f t="shared" si="184"/>
        <v>0</v>
      </c>
      <c r="S522" s="45">
        <f t="shared" si="185"/>
        <v>0.33333333333333331</v>
      </c>
      <c r="T522" s="45">
        <f t="shared" si="186"/>
        <v>0</v>
      </c>
    </row>
    <row r="523" spans="1:20" x14ac:dyDescent="0.3">
      <c r="A523">
        <f t="shared" si="167"/>
        <v>1</v>
      </c>
      <c r="B523">
        <f t="shared" si="168"/>
        <v>0</v>
      </c>
      <c r="C523">
        <f t="shared" si="169"/>
        <v>0</v>
      </c>
      <c r="D523">
        <f t="shared" si="170"/>
        <v>0</v>
      </c>
      <c r="E523">
        <f t="shared" si="171"/>
        <v>0</v>
      </c>
      <c r="F523">
        <f t="shared" si="172"/>
        <v>0</v>
      </c>
      <c r="G523">
        <f t="shared" si="173"/>
        <v>1</v>
      </c>
      <c r="H523">
        <f t="shared" si="174"/>
        <v>0</v>
      </c>
      <c r="I523">
        <f t="shared" si="175"/>
        <v>1</v>
      </c>
      <c r="J523">
        <f t="shared" si="176"/>
        <v>1</v>
      </c>
      <c r="K523" s="45">
        <f t="shared" si="177"/>
        <v>0.25</v>
      </c>
      <c r="L523" s="45">
        <f t="shared" si="178"/>
        <v>0</v>
      </c>
      <c r="M523" s="45">
        <f t="shared" si="179"/>
        <v>0</v>
      </c>
      <c r="N523" s="45">
        <f t="shared" si="180"/>
        <v>0</v>
      </c>
      <c r="O523" s="45">
        <f t="shared" si="181"/>
        <v>0</v>
      </c>
      <c r="P523" s="45">
        <f t="shared" si="182"/>
        <v>0</v>
      </c>
      <c r="Q523" s="45">
        <f t="shared" si="183"/>
        <v>0.25</v>
      </c>
      <c r="R523" s="45">
        <f t="shared" si="184"/>
        <v>0</v>
      </c>
      <c r="S523" s="45">
        <f t="shared" si="185"/>
        <v>0.25</v>
      </c>
      <c r="T523" s="45">
        <f t="shared" si="186"/>
        <v>0.25</v>
      </c>
    </row>
    <row r="524" spans="1:20" x14ac:dyDescent="0.3">
      <c r="A524">
        <f t="shared" si="167"/>
        <v>1</v>
      </c>
      <c r="B524">
        <f t="shared" si="168"/>
        <v>0</v>
      </c>
      <c r="C524">
        <f t="shared" si="169"/>
        <v>0</v>
      </c>
      <c r="D524">
        <f t="shared" si="170"/>
        <v>0</v>
      </c>
      <c r="E524">
        <f t="shared" si="171"/>
        <v>0</v>
      </c>
      <c r="F524">
        <f t="shared" si="172"/>
        <v>0</v>
      </c>
      <c r="G524">
        <f t="shared" si="173"/>
        <v>1</v>
      </c>
      <c r="H524">
        <f t="shared" si="174"/>
        <v>1</v>
      </c>
      <c r="I524">
        <f t="shared" si="175"/>
        <v>0</v>
      </c>
      <c r="J524">
        <f t="shared" si="176"/>
        <v>0</v>
      </c>
      <c r="K524" s="45">
        <f t="shared" si="177"/>
        <v>0.33333333333333331</v>
      </c>
      <c r="L524" s="45">
        <f t="shared" si="178"/>
        <v>0</v>
      </c>
      <c r="M524" s="45">
        <f t="shared" si="179"/>
        <v>0</v>
      </c>
      <c r="N524" s="45">
        <f t="shared" si="180"/>
        <v>0</v>
      </c>
      <c r="O524" s="45">
        <f t="shared" si="181"/>
        <v>0</v>
      </c>
      <c r="P524" s="45">
        <f t="shared" si="182"/>
        <v>0</v>
      </c>
      <c r="Q524" s="45">
        <f t="shared" si="183"/>
        <v>0.33333333333333331</v>
      </c>
      <c r="R524" s="45">
        <f t="shared" si="184"/>
        <v>0.33333333333333331</v>
      </c>
      <c r="S524" s="45">
        <f t="shared" si="185"/>
        <v>0</v>
      </c>
      <c r="T524" s="45">
        <f t="shared" si="186"/>
        <v>0</v>
      </c>
    </row>
    <row r="525" spans="1:20" x14ac:dyDescent="0.3">
      <c r="A525">
        <f t="shared" si="167"/>
        <v>1</v>
      </c>
      <c r="B525">
        <f t="shared" si="168"/>
        <v>0</v>
      </c>
      <c r="C525">
        <f t="shared" si="169"/>
        <v>0</v>
      </c>
      <c r="D525">
        <f t="shared" si="170"/>
        <v>0</v>
      </c>
      <c r="E525">
        <f t="shared" si="171"/>
        <v>0</v>
      </c>
      <c r="F525">
        <f t="shared" si="172"/>
        <v>0</v>
      </c>
      <c r="G525">
        <f t="shared" si="173"/>
        <v>1</v>
      </c>
      <c r="H525">
        <f t="shared" si="174"/>
        <v>1</v>
      </c>
      <c r="I525">
        <f t="shared" si="175"/>
        <v>0</v>
      </c>
      <c r="J525">
        <f t="shared" si="176"/>
        <v>1</v>
      </c>
      <c r="K525" s="45">
        <f t="shared" si="177"/>
        <v>0.25</v>
      </c>
      <c r="L525" s="45">
        <f t="shared" si="178"/>
        <v>0</v>
      </c>
      <c r="M525" s="45">
        <f t="shared" si="179"/>
        <v>0</v>
      </c>
      <c r="N525" s="45">
        <f t="shared" si="180"/>
        <v>0</v>
      </c>
      <c r="O525" s="45">
        <f t="shared" si="181"/>
        <v>0</v>
      </c>
      <c r="P525" s="45">
        <f t="shared" si="182"/>
        <v>0</v>
      </c>
      <c r="Q525" s="45">
        <f t="shared" si="183"/>
        <v>0.25</v>
      </c>
      <c r="R525" s="45">
        <f t="shared" si="184"/>
        <v>0.25</v>
      </c>
      <c r="S525" s="45">
        <f t="shared" si="185"/>
        <v>0</v>
      </c>
      <c r="T525" s="45">
        <f t="shared" si="186"/>
        <v>0.25</v>
      </c>
    </row>
    <row r="526" spans="1:20" x14ac:dyDescent="0.3">
      <c r="A526">
        <f t="shared" si="167"/>
        <v>1</v>
      </c>
      <c r="B526">
        <f t="shared" si="168"/>
        <v>0</v>
      </c>
      <c r="C526">
        <f t="shared" si="169"/>
        <v>0</v>
      </c>
      <c r="D526">
        <f t="shared" si="170"/>
        <v>0</v>
      </c>
      <c r="E526">
        <f t="shared" si="171"/>
        <v>0</v>
      </c>
      <c r="F526">
        <f t="shared" si="172"/>
        <v>0</v>
      </c>
      <c r="G526">
        <f t="shared" si="173"/>
        <v>1</v>
      </c>
      <c r="H526">
        <f t="shared" si="174"/>
        <v>1</v>
      </c>
      <c r="I526">
        <f t="shared" si="175"/>
        <v>1</v>
      </c>
      <c r="J526">
        <f t="shared" si="176"/>
        <v>0</v>
      </c>
      <c r="K526" s="45">
        <f t="shared" si="177"/>
        <v>0.25</v>
      </c>
      <c r="L526" s="45">
        <f t="shared" si="178"/>
        <v>0</v>
      </c>
      <c r="M526" s="45">
        <f t="shared" si="179"/>
        <v>0</v>
      </c>
      <c r="N526" s="45">
        <f t="shared" si="180"/>
        <v>0</v>
      </c>
      <c r="O526" s="45">
        <f t="shared" si="181"/>
        <v>0</v>
      </c>
      <c r="P526" s="45">
        <f t="shared" si="182"/>
        <v>0</v>
      </c>
      <c r="Q526" s="45">
        <f t="shared" si="183"/>
        <v>0.25</v>
      </c>
      <c r="R526" s="45">
        <f t="shared" si="184"/>
        <v>0.25</v>
      </c>
      <c r="S526" s="45">
        <f t="shared" si="185"/>
        <v>0.25</v>
      </c>
      <c r="T526" s="45">
        <f t="shared" si="186"/>
        <v>0</v>
      </c>
    </row>
    <row r="527" spans="1:20" x14ac:dyDescent="0.3">
      <c r="A527">
        <f t="shared" si="167"/>
        <v>1</v>
      </c>
      <c r="B527">
        <f t="shared" si="168"/>
        <v>0</v>
      </c>
      <c r="C527">
        <f t="shared" si="169"/>
        <v>0</v>
      </c>
      <c r="D527">
        <f t="shared" si="170"/>
        <v>0</v>
      </c>
      <c r="E527">
        <f t="shared" si="171"/>
        <v>0</v>
      </c>
      <c r="F527">
        <f t="shared" si="172"/>
        <v>0</v>
      </c>
      <c r="G527">
        <f t="shared" si="173"/>
        <v>1</v>
      </c>
      <c r="H527">
        <f t="shared" si="174"/>
        <v>1</v>
      </c>
      <c r="I527">
        <f t="shared" si="175"/>
        <v>1</v>
      </c>
      <c r="J527">
        <f t="shared" si="176"/>
        <v>1</v>
      </c>
      <c r="K527" s="45">
        <f t="shared" si="177"/>
        <v>0.2</v>
      </c>
      <c r="L527" s="45">
        <f t="shared" si="178"/>
        <v>0</v>
      </c>
      <c r="M527" s="45">
        <f t="shared" si="179"/>
        <v>0</v>
      </c>
      <c r="N527" s="45">
        <f t="shared" si="180"/>
        <v>0</v>
      </c>
      <c r="O527" s="45">
        <f t="shared" si="181"/>
        <v>0</v>
      </c>
      <c r="P527" s="45">
        <f t="shared" si="182"/>
        <v>0</v>
      </c>
      <c r="Q527" s="45">
        <f t="shared" si="183"/>
        <v>0.2</v>
      </c>
      <c r="R527" s="45">
        <f t="shared" si="184"/>
        <v>0.2</v>
      </c>
      <c r="S527" s="45">
        <f t="shared" si="185"/>
        <v>0.2</v>
      </c>
      <c r="T527" s="45">
        <f t="shared" si="186"/>
        <v>0.2</v>
      </c>
    </row>
    <row r="528" spans="1:20" x14ac:dyDescent="0.3">
      <c r="A528">
        <f t="shared" si="167"/>
        <v>1</v>
      </c>
      <c r="B528">
        <f t="shared" si="168"/>
        <v>0</v>
      </c>
      <c r="C528">
        <f t="shared" si="169"/>
        <v>0</v>
      </c>
      <c r="D528">
        <f t="shared" si="170"/>
        <v>0</v>
      </c>
      <c r="E528">
        <f t="shared" si="171"/>
        <v>0</v>
      </c>
      <c r="F528">
        <f t="shared" si="172"/>
        <v>1</v>
      </c>
      <c r="G528">
        <f t="shared" si="173"/>
        <v>0</v>
      </c>
      <c r="H528">
        <f t="shared" si="174"/>
        <v>0</v>
      </c>
      <c r="I528">
        <f t="shared" si="175"/>
        <v>0</v>
      </c>
      <c r="J528">
        <f t="shared" si="176"/>
        <v>0</v>
      </c>
      <c r="K528" s="45">
        <f t="shared" si="177"/>
        <v>0.5</v>
      </c>
      <c r="L528" s="45">
        <f t="shared" si="178"/>
        <v>0</v>
      </c>
      <c r="M528" s="45">
        <f t="shared" si="179"/>
        <v>0</v>
      </c>
      <c r="N528" s="45">
        <f t="shared" si="180"/>
        <v>0</v>
      </c>
      <c r="O528" s="45">
        <f t="shared" si="181"/>
        <v>0</v>
      </c>
      <c r="P528" s="45">
        <f t="shared" si="182"/>
        <v>0.5</v>
      </c>
      <c r="Q528" s="45">
        <f t="shared" si="183"/>
        <v>0</v>
      </c>
      <c r="R528" s="45">
        <f t="shared" si="184"/>
        <v>0</v>
      </c>
      <c r="S528" s="45">
        <f t="shared" si="185"/>
        <v>0</v>
      </c>
      <c r="T528" s="45">
        <f t="shared" si="186"/>
        <v>0</v>
      </c>
    </row>
    <row r="529" spans="1:20" x14ac:dyDescent="0.3">
      <c r="A529">
        <f t="shared" si="167"/>
        <v>1</v>
      </c>
      <c r="B529">
        <f t="shared" si="168"/>
        <v>0</v>
      </c>
      <c r="C529">
        <f t="shared" si="169"/>
        <v>0</v>
      </c>
      <c r="D529">
        <f t="shared" si="170"/>
        <v>0</v>
      </c>
      <c r="E529">
        <f t="shared" si="171"/>
        <v>0</v>
      </c>
      <c r="F529">
        <f t="shared" si="172"/>
        <v>1</v>
      </c>
      <c r="G529">
        <f t="shared" si="173"/>
        <v>0</v>
      </c>
      <c r="H529">
        <f t="shared" si="174"/>
        <v>0</v>
      </c>
      <c r="I529">
        <f t="shared" si="175"/>
        <v>0</v>
      </c>
      <c r="J529">
        <f t="shared" si="176"/>
        <v>1</v>
      </c>
      <c r="K529" s="45">
        <f t="shared" si="177"/>
        <v>0.33333333333333331</v>
      </c>
      <c r="L529" s="45">
        <f t="shared" si="178"/>
        <v>0</v>
      </c>
      <c r="M529" s="45">
        <f t="shared" si="179"/>
        <v>0</v>
      </c>
      <c r="N529" s="45">
        <f t="shared" si="180"/>
        <v>0</v>
      </c>
      <c r="O529" s="45">
        <f t="shared" si="181"/>
        <v>0</v>
      </c>
      <c r="P529" s="45">
        <f t="shared" si="182"/>
        <v>0.33333333333333331</v>
      </c>
      <c r="Q529" s="45">
        <f t="shared" si="183"/>
        <v>0</v>
      </c>
      <c r="R529" s="45">
        <f t="shared" si="184"/>
        <v>0</v>
      </c>
      <c r="S529" s="45">
        <f t="shared" si="185"/>
        <v>0</v>
      </c>
      <c r="T529" s="45">
        <f t="shared" si="186"/>
        <v>0.33333333333333331</v>
      </c>
    </row>
    <row r="530" spans="1:20" x14ac:dyDescent="0.3">
      <c r="A530">
        <f t="shared" si="167"/>
        <v>1</v>
      </c>
      <c r="B530">
        <f t="shared" si="168"/>
        <v>0</v>
      </c>
      <c r="C530">
        <f t="shared" si="169"/>
        <v>0</v>
      </c>
      <c r="D530">
        <f t="shared" si="170"/>
        <v>0</v>
      </c>
      <c r="E530">
        <f t="shared" si="171"/>
        <v>0</v>
      </c>
      <c r="F530">
        <f t="shared" si="172"/>
        <v>1</v>
      </c>
      <c r="G530">
        <f t="shared" si="173"/>
        <v>0</v>
      </c>
      <c r="H530">
        <f t="shared" si="174"/>
        <v>0</v>
      </c>
      <c r="I530">
        <f t="shared" si="175"/>
        <v>1</v>
      </c>
      <c r="J530">
        <f t="shared" si="176"/>
        <v>0</v>
      </c>
      <c r="K530" s="45">
        <f t="shared" si="177"/>
        <v>0.33333333333333331</v>
      </c>
      <c r="L530" s="45">
        <f t="shared" si="178"/>
        <v>0</v>
      </c>
      <c r="M530" s="45">
        <f t="shared" si="179"/>
        <v>0</v>
      </c>
      <c r="N530" s="45">
        <f t="shared" si="180"/>
        <v>0</v>
      </c>
      <c r="O530" s="45">
        <f t="shared" si="181"/>
        <v>0</v>
      </c>
      <c r="P530" s="45">
        <f t="shared" si="182"/>
        <v>0.33333333333333331</v>
      </c>
      <c r="Q530" s="45">
        <f t="shared" si="183"/>
        <v>0</v>
      </c>
      <c r="R530" s="45">
        <f t="shared" si="184"/>
        <v>0</v>
      </c>
      <c r="S530" s="45">
        <f t="shared" si="185"/>
        <v>0.33333333333333331</v>
      </c>
      <c r="T530" s="45">
        <f t="shared" si="186"/>
        <v>0</v>
      </c>
    </row>
    <row r="531" spans="1:20" x14ac:dyDescent="0.3">
      <c r="A531">
        <f t="shared" si="167"/>
        <v>1</v>
      </c>
      <c r="B531">
        <f t="shared" si="168"/>
        <v>0</v>
      </c>
      <c r="C531">
        <f t="shared" si="169"/>
        <v>0</v>
      </c>
      <c r="D531">
        <f t="shared" si="170"/>
        <v>0</v>
      </c>
      <c r="E531">
        <f t="shared" si="171"/>
        <v>0</v>
      </c>
      <c r="F531">
        <f t="shared" si="172"/>
        <v>1</v>
      </c>
      <c r="G531">
        <f t="shared" si="173"/>
        <v>0</v>
      </c>
      <c r="H531">
        <f t="shared" si="174"/>
        <v>0</v>
      </c>
      <c r="I531">
        <f t="shared" si="175"/>
        <v>1</v>
      </c>
      <c r="J531">
        <f t="shared" si="176"/>
        <v>1</v>
      </c>
      <c r="K531" s="45">
        <f t="shared" si="177"/>
        <v>0.25</v>
      </c>
      <c r="L531" s="45">
        <f t="shared" si="178"/>
        <v>0</v>
      </c>
      <c r="M531" s="45">
        <f t="shared" si="179"/>
        <v>0</v>
      </c>
      <c r="N531" s="45">
        <f t="shared" si="180"/>
        <v>0</v>
      </c>
      <c r="O531" s="45">
        <f t="shared" si="181"/>
        <v>0</v>
      </c>
      <c r="P531" s="45">
        <f t="shared" si="182"/>
        <v>0.25</v>
      </c>
      <c r="Q531" s="45">
        <f t="shared" si="183"/>
        <v>0</v>
      </c>
      <c r="R531" s="45">
        <f t="shared" si="184"/>
        <v>0</v>
      </c>
      <c r="S531" s="45">
        <f t="shared" si="185"/>
        <v>0.25</v>
      </c>
      <c r="T531" s="45">
        <f t="shared" si="186"/>
        <v>0.25</v>
      </c>
    </row>
    <row r="532" spans="1:20" x14ac:dyDescent="0.3">
      <c r="A532">
        <f t="shared" si="167"/>
        <v>1</v>
      </c>
      <c r="B532">
        <f t="shared" si="168"/>
        <v>0</v>
      </c>
      <c r="C532">
        <f t="shared" si="169"/>
        <v>0</v>
      </c>
      <c r="D532">
        <f t="shared" si="170"/>
        <v>0</v>
      </c>
      <c r="E532">
        <f t="shared" si="171"/>
        <v>0</v>
      </c>
      <c r="F532">
        <f t="shared" si="172"/>
        <v>1</v>
      </c>
      <c r="G532">
        <f t="shared" si="173"/>
        <v>0</v>
      </c>
      <c r="H532">
        <f t="shared" si="174"/>
        <v>1</v>
      </c>
      <c r="I532">
        <f t="shared" si="175"/>
        <v>0</v>
      </c>
      <c r="J532">
        <f t="shared" si="176"/>
        <v>0</v>
      </c>
      <c r="K532" s="45">
        <f t="shared" si="177"/>
        <v>0.33333333333333331</v>
      </c>
      <c r="L532" s="45">
        <f t="shared" si="178"/>
        <v>0</v>
      </c>
      <c r="M532" s="45">
        <f t="shared" si="179"/>
        <v>0</v>
      </c>
      <c r="N532" s="45">
        <f t="shared" si="180"/>
        <v>0</v>
      </c>
      <c r="O532" s="45">
        <f t="shared" si="181"/>
        <v>0</v>
      </c>
      <c r="P532" s="45">
        <f t="shared" si="182"/>
        <v>0.33333333333333331</v>
      </c>
      <c r="Q532" s="45">
        <f t="shared" si="183"/>
        <v>0</v>
      </c>
      <c r="R532" s="45">
        <f t="shared" si="184"/>
        <v>0.33333333333333331</v>
      </c>
      <c r="S532" s="45">
        <f t="shared" si="185"/>
        <v>0</v>
      </c>
      <c r="T532" s="45">
        <f t="shared" si="186"/>
        <v>0</v>
      </c>
    </row>
    <row r="533" spans="1:20" x14ac:dyDescent="0.3">
      <c r="A533">
        <f t="shared" si="167"/>
        <v>1</v>
      </c>
      <c r="B533">
        <f t="shared" si="168"/>
        <v>0</v>
      </c>
      <c r="C533">
        <f t="shared" si="169"/>
        <v>0</v>
      </c>
      <c r="D533">
        <f t="shared" si="170"/>
        <v>0</v>
      </c>
      <c r="E533">
        <f t="shared" si="171"/>
        <v>0</v>
      </c>
      <c r="F533">
        <f t="shared" si="172"/>
        <v>1</v>
      </c>
      <c r="G533">
        <f t="shared" si="173"/>
        <v>0</v>
      </c>
      <c r="H533">
        <f t="shared" si="174"/>
        <v>1</v>
      </c>
      <c r="I533">
        <f t="shared" si="175"/>
        <v>0</v>
      </c>
      <c r="J533">
        <f t="shared" si="176"/>
        <v>1</v>
      </c>
      <c r="K533" s="45">
        <f t="shared" si="177"/>
        <v>0.25</v>
      </c>
      <c r="L533" s="45">
        <f t="shared" si="178"/>
        <v>0</v>
      </c>
      <c r="M533" s="45">
        <f t="shared" si="179"/>
        <v>0</v>
      </c>
      <c r="N533" s="45">
        <f t="shared" si="180"/>
        <v>0</v>
      </c>
      <c r="O533" s="45">
        <f t="shared" si="181"/>
        <v>0</v>
      </c>
      <c r="P533" s="45">
        <f t="shared" si="182"/>
        <v>0.25</v>
      </c>
      <c r="Q533" s="45">
        <f t="shared" si="183"/>
        <v>0</v>
      </c>
      <c r="R533" s="45">
        <f t="shared" si="184"/>
        <v>0.25</v>
      </c>
      <c r="S533" s="45">
        <f t="shared" si="185"/>
        <v>0</v>
      </c>
      <c r="T533" s="45">
        <f t="shared" si="186"/>
        <v>0.25</v>
      </c>
    </row>
    <row r="534" spans="1:20" x14ac:dyDescent="0.3">
      <c r="A534">
        <f t="shared" si="167"/>
        <v>1</v>
      </c>
      <c r="B534">
        <f t="shared" si="168"/>
        <v>0</v>
      </c>
      <c r="C534">
        <f t="shared" si="169"/>
        <v>0</v>
      </c>
      <c r="D534">
        <f t="shared" si="170"/>
        <v>0</v>
      </c>
      <c r="E534">
        <f t="shared" si="171"/>
        <v>0</v>
      </c>
      <c r="F534">
        <f t="shared" si="172"/>
        <v>1</v>
      </c>
      <c r="G534">
        <f t="shared" si="173"/>
        <v>0</v>
      </c>
      <c r="H534">
        <f t="shared" si="174"/>
        <v>1</v>
      </c>
      <c r="I534">
        <f t="shared" si="175"/>
        <v>1</v>
      </c>
      <c r="J534">
        <f t="shared" si="176"/>
        <v>0</v>
      </c>
      <c r="K534" s="45">
        <f t="shared" si="177"/>
        <v>0.25</v>
      </c>
      <c r="L534" s="45">
        <f t="shared" si="178"/>
        <v>0</v>
      </c>
      <c r="M534" s="45">
        <f t="shared" si="179"/>
        <v>0</v>
      </c>
      <c r="N534" s="45">
        <f t="shared" si="180"/>
        <v>0</v>
      </c>
      <c r="O534" s="45">
        <f t="shared" si="181"/>
        <v>0</v>
      </c>
      <c r="P534" s="45">
        <f t="shared" si="182"/>
        <v>0.25</v>
      </c>
      <c r="Q534" s="45">
        <f t="shared" si="183"/>
        <v>0</v>
      </c>
      <c r="R534" s="45">
        <f t="shared" si="184"/>
        <v>0.25</v>
      </c>
      <c r="S534" s="45">
        <f t="shared" si="185"/>
        <v>0.25</v>
      </c>
      <c r="T534" s="45">
        <f t="shared" si="186"/>
        <v>0</v>
      </c>
    </row>
    <row r="535" spans="1:20" x14ac:dyDescent="0.3">
      <c r="A535">
        <f t="shared" si="167"/>
        <v>1</v>
      </c>
      <c r="B535">
        <f t="shared" si="168"/>
        <v>0</v>
      </c>
      <c r="C535">
        <f t="shared" si="169"/>
        <v>0</v>
      </c>
      <c r="D535">
        <f t="shared" si="170"/>
        <v>0</v>
      </c>
      <c r="E535">
        <f t="shared" si="171"/>
        <v>0</v>
      </c>
      <c r="F535">
        <f t="shared" si="172"/>
        <v>1</v>
      </c>
      <c r="G535">
        <f t="shared" si="173"/>
        <v>0</v>
      </c>
      <c r="H535">
        <f t="shared" si="174"/>
        <v>1</v>
      </c>
      <c r="I535">
        <f t="shared" si="175"/>
        <v>1</v>
      </c>
      <c r="J535">
        <f t="shared" si="176"/>
        <v>1</v>
      </c>
      <c r="K535" s="45">
        <f t="shared" si="177"/>
        <v>0.2</v>
      </c>
      <c r="L535" s="45">
        <f t="shared" si="178"/>
        <v>0</v>
      </c>
      <c r="M535" s="45">
        <f t="shared" si="179"/>
        <v>0</v>
      </c>
      <c r="N535" s="45">
        <f t="shared" si="180"/>
        <v>0</v>
      </c>
      <c r="O535" s="45">
        <f t="shared" si="181"/>
        <v>0</v>
      </c>
      <c r="P535" s="45">
        <f t="shared" si="182"/>
        <v>0.2</v>
      </c>
      <c r="Q535" s="45">
        <f t="shared" si="183"/>
        <v>0</v>
      </c>
      <c r="R535" s="45">
        <f t="shared" si="184"/>
        <v>0.2</v>
      </c>
      <c r="S535" s="45">
        <f t="shared" si="185"/>
        <v>0.2</v>
      </c>
      <c r="T535" s="45">
        <f t="shared" si="186"/>
        <v>0.2</v>
      </c>
    </row>
    <row r="536" spans="1:20" x14ac:dyDescent="0.3">
      <c r="A536">
        <f t="shared" si="167"/>
        <v>1</v>
      </c>
      <c r="B536">
        <f t="shared" si="168"/>
        <v>0</v>
      </c>
      <c r="C536">
        <f t="shared" si="169"/>
        <v>0</v>
      </c>
      <c r="D536">
        <f t="shared" si="170"/>
        <v>0</v>
      </c>
      <c r="E536">
        <f t="shared" si="171"/>
        <v>0</v>
      </c>
      <c r="F536">
        <f t="shared" si="172"/>
        <v>1</v>
      </c>
      <c r="G536">
        <f t="shared" si="173"/>
        <v>1</v>
      </c>
      <c r="H536">
        <f t="shared" si="174"/>
        <v>0</v>
      </c>
      <c r="I536">
        <f t="shared" si="175"/>
        <v>0</v>
      </c>
      <c r="J536">
        <f t="shared" si="176"/>
        <v>0</v>
      </c>
      <c r="K536" s="45">
        <f t="shared" si="177"/>
        <v>0.33333333333333331</v>
      </c>
      <c r="L536" s="45">
        <f t="shared" si="178"/>
        <v>0</v>
      </c>
      <c r="M536" s="45">
        <f t="shared" si="179"/>
        <v>0</v>
      </c>
      <c r="N536" s="45">
        <f t="shared" si="180"/>
        <v>0</v>
      </c>
      <c r="O536" s="45">
        <f t="shared" si="181"/>
        <v>0</v>
      </c>
      <c r="P536" s="45">
        <f t="shared" si="182"/>
        <v>0.33333333333333331</v>
      </c>
      <c r="Q536" s="45">
        <f t="shared" si="183"/>
        <v>0.33333333333333331</v>
      </c>
      <c r="R536" s="45">
        <f t="shared" si="184"/>
        <v>0</v>
      </c>
      <c r="S536" s="45">
        <f t="shared" si="185"/>
        <v>0</v>
      </c>
      <c r="T536" s="45">
        <f t="shared" si="186"/>
        <v>0</v>
      </c>
    </row>
    <row r="537" spans="1:20" x14ac:dyDescent="0.3">
      <c r="A537">
        <f t="shared" si="167"/>
        <v>1</v>
      </c>
      <c r="B537">
        <f t="shared" si="168"/>
        <v>0</v>
      </c>
      <c r="C537">
        <f t="shared" si="169"/>
        <v>0</v>
      </c>
      <c r="D537">
        <f t="shared" si="170"/>
        <v>0</v>
      </c>
      <c r="E537">
        <f t="shared" si="171"/>
        <v>0</v>
      </c>
      <c r="F537">
        <f t="shared" si="172"/>
        <v>1</v>
      </c>
      <c r="G537">
        <f t="shared" si="173"/>
        <v>1</v>
      </c>
      <c r="H537">
        <f t="shared" si="174"/>
        <v>0</v>
      </c>
      <c r="I537">
        <f t="shared" si="175"/>
        <v>0</v>
      </c>
      <c r="J537">
        <f t="shared" si="176"/>
        <v>1</v>
      </c>
      <c r="K537" s="45">
        <f t="shared" si="177"/>
        <v>0.25</v>
      </c>
      <c r="L537" s="45">
        <f t="shared" si="178"/>
        <v>0</v>
      </c>
      <c r="M537" s="45">
        <f t="shared" si="179"/>
        <v>0</v>
      </c>
      <c r="N537" s="45">
        <f t="shared" si="180"/>
        <v>0</v>
      </c>
      <c r="O537" s="45">
        <f t="shared" si="181"/>
        <v>0</v>
      </c>
      <c r="P537" s="45">
        <f t="shared" si="182"/>
        <v>0.25</v>
      </c>
      <c r="Q537" s="45">
        <f t="shared" si="183"/>
        <v>0.25</v>
      </c>
      <c r="R537" s="45">
        <f t="shared" si="184"/>
        <v>0</v>
      </c>
      <c r="S537" s="45">
        <f t="shared" si="185"/>
        <v>0</v>
      </c>
      <c r="T537" s="45">
        <f t="shared" si="186"/>
        <v>0.25</v>
      </c>
    </row>
    <row r="538" spans="1:20" x14ac:dyDescent="0.3">
      <c r="A538">
        <f t="shared" si="167"/>
        <v>1</v>
      </c>
      <c r="B538">
        <f t="shared" si="168"/>
        <v>0</v>
      </c>
      <c r="C538">
        <f t="shared" si="169"/>
        <v>0</v>
      </c>
      <c r="D538">
        <f t="shared" si="170"/>
        <v>0</v>
      </c>
      <c r="E538">
        <f t="shared" si="171"/>
        <v>0</v>
      </c>
      <c r="F538">
        <f t="shared" si="172"/>
        <v>1</v>
      </c>
      <c r="G538">
        <f t="shared" si="173"/>
        <v>1</v>
      </c>
      <c r="H538">
        <f t="shared" si="174"/>
        <v>0</v>
      </c>
      <c r="I538">
        <f t="shared" si="175"/>
        <v>1</v>
      </c>
      <c r="J538">
        <f t="shared" si="176"/>
        <v>0</v>
      </c>
      <c r="K538" s="45">
        <f t="shared" si="177"/>
        <v>0.25</v>
      </c>
      <c r="L538" s="45">
        <f t="shared" si="178"/>
        <v>0</v>
      </c>
      <c r="M538" s="45">
        <f t="shared" si="179"/>
        <v>0</v>
      </c>
      <c r="N538" s="45">
        <f t="shared" si="180"/>
        <v>0</v>
      </c>
      <c r="O538" s="45">
        <f t="shared" si="181"/>
        <v>0</v>
      </c>
      <c r="P538" s="45">
        <f t="shared" si="182"/>
        <v>0.25</v>
      </c>
      <c r="Q538" s="45">
        <f t="shared" si="183"/>
        <v>0.25</v>
      </c>
      <c r="R538" s="45">
        <f t="shared" si="184"/>
        <v>0</v>
      </c>
      <c r="S538" s="45">
        <f t="shared" si="185"/>
        <v>0.25</v>
      </c>
      <c r="T538" s="45">
        <f t="shared" si="186"/>
        <v>0</v>
      </c>
    </row>
    <row r="539" spans="1:20" x14ac:dyDescent="0.3">
      <c r="A539">
        <f t="shared" si="167"/>
        <v>1</v>
      </c>
      <c r="B539">
        <f t="shared" si="168"/>
        <v>0</v>
      </c>
      <c r="C539">
        <f t="shared" si="169"/>
        <v>0</v>
      </c>
      <c r="D539">
        <f t="shared" si="170"/>
        <v>0</v>
      </c>
      <c r="E539">
        <f t="shared" si="171"/>
        <v>0</v>
      </c>
      <c r="F539">
        <f t="shared" si="172"/>
        <v>1</v>
      </c>
      <c r="G539">
        <f t="shared" si="173"/>
        <v>1</v>
      </c>
      <c r="H539">
        <f t="shared" si="174"/>
        <v>0</v>
      </c>
      <c r="I539">
        <f t="shared" si="175"/>
        <v>1</v>
      </c>
      <c r="J539">
        <f t="shared" si="176"/>
        <v>1</v>
      </c>
      <c r="K539" s="45">
        <f t="shared" si="177"/>
        <v>0.2</v>
      </c>
      <c r="L539" s="45">
        <f t="shared" si="178"/>
        <v>0</v>
      </c>
      <c r="M539" s="45">
        <f t="shared" si="179"/>
        <v>0</v>
      </c>
      <c r="N539" s="45">
        <f t="shared" si="180"/>
        <v>0</v>
      </c>
      <c r="O539" s="45">
        <f t="shared" si="181"/>
        <v>0</v>
      </c>
      <c r="P539" s="45">
        <f t="shared" si="182"/>
        <v>0.2</v>
      </c>
      <c r="Q539" s="45">
        <f t="shared" si="183"/>
        <v>0.2</v>
      </c>
      <c r="R539" s="45">
        <f t="shared" si="184"/>
        <v>0</v>
      </c>
      <c r="S539" s="45">
        <f t="shared" si="185"/>
        <v>0.2</v>
      </c>
      <c r="T539" s="45">
        <f t="shared" si="186"/>
        <v>0.2</v>
      </c>
    </row>
    <row r="540" spans="1:20" x14ac:dyDescent="0.3">
      <c r="A540">
        <f t="shared" si="167"/>
        <v>1</v>
      </c>
      <c r="B540">
        <f t="shared" si="168"/>
        <v>0</v>
      </c>
      <c r="C540">
        <f t="shared" si="169"/>
        <v>0</v>
      </c>
      <c r="D540">
        <f t="shared" si="170"/>
        <v>0</v>
      </c>
      <c r="E540">
        <f t="shared" si="171"/>
        <v>0</v>
      </c>
      <c r="F540">
        <f t="shared" si="172"/>
        <v>1</v>
      </c>
      <c r="G540">
        <f t="shared" si="173"/>
        <v>1</v>
      </c>
      <c r="H540">
        <f t="shared" si="174"/>
        <v>1</v>
      </c>
      <c r="I540">
        <f t="shared" si="175"/>
        <v>0</v>
      </c>
      <c r="J540">
        <f t="shared" si="176"/>
        <v>0</v>
      </c>
      <c r="K540" s="45">
        <f t="shared" si="177"/>
        <v>0.25</v>
      </c>
      <c r="L540" s="45">
        <f t="shared" si="178"/>
        <v>0</v>
      </c>
      <c r="M540" s="45">
        <f t="shared" si="179"/>
        <v>0</v>
      </c>
      <c r="N540" s="45">
        <f t="shared" si="180"/>
        <v>0</v>
      </c>
      <c r="O540" s="45">
        <f t="shared" si="181"/>
        <v>0</v>
      </c>
      <c r="P540" s="45">
        <f t="shared" si="182"/>
        <v>0.25</v>
      </c>
      <c r="Q540" s="45">
        <f t="shared" si="183"/>
        <v>0.25</v>
      </c>
      <c r="R540" s="45">
        <f t="shared" si="184"/>
        <v>0.25</v>
      </c>
      <c r="S540" s="45">
        <f t="shared" si="185"/>
        <v>0</v>
      </c>
      <c r="T540" s="45">
        <f t="shared" si="186"/>
        <v>0</v>
      </c>
    </row>
    <row r="541" spans="1:20" x14ac:dyDescent="0.3">
      <c r="A541">
        <f t="shared" si="167"/>
        <v>1</v>
      </c>
      <c r="B541">
        <f t="shared" si="168"/>
        <v>0</v>
      </c>
      <c r="C541">
        <f t="shared" si="169"/>
        <v>0</v>
      </c>
      <c r="D541">
        <f t="shared" si="170"/>
        <v>0</v>
      </c>
      <c r="E541">
        <f t="shared" si="171"/>
        <v>0</v>
      </c>
      <c r="F541">
        <f t="shared" si="172"/>
        <v>1</v>
      </c>
      <c r="G541">
        <f t="shared" si="173"/>
        <v>1</v>
      </c>
      <c r="H541">
        <f t="shared" si="174"/>
        <v>1</v>
      </c>
      <c r="I541">
        <f t="shared" si="175"/>
        <v>0</v>
      </c>
      <c r="J541">
        <f t="shared" si="176"/>
        <v>1</v>
      </c>
      <c r="K541" s="45">
        <f t="shared" si="177"/>
        <v>0.2</v>
      </c>
      <c r="L541" s="45">
        <f t="shared" si="178"/>
        <v>0</v>
      </c>
      <c r="M541" s="45">
        <f t="shared" si="179"/>
        <v>0</v>
      </c>
      <c r="N541" s="45">
        <f t="shared" si="180"/>
        <v>0</v>
      </c>
      <c r="O541" s="45">
        <f t="shared" si="181"/>
        <v>0</v>
      </c>
      <c r="P541" s="45">
        <f t="shared" si="182"/>
        <v>0.2</v>
      </c>
      <c r="Q541" s="45">
        <f t="shared" si="183"/>
        <v>0.2</v>
      </c>
      <c r="R541" s="45">
        <f t="shared" si="184"/>
        <v>0.2</v>
      </c>
      <c r="S541" s="45">
        <f t="shared" si="185"/>
        <v>0</v>
      </c>
      <c r="T541" s="45">
        <f t="shared" si="186"/>
        <v>0.2</v>
      </c>
    </row>
    <row r="542" spans="1:20" x14ac:dyDescent="0.3">
      <c r="A542">
        <f t="shared" si="167"/>
        <v>1</v>
      </c>
      <c r="B542">
        <f t="shared" si="168"/>
        <v>0</v>
      </c>
      <c r="C542">
        <f t="shared" si="169"/>
        <v>0</v>
      </c>
      <c r="D542">
        <f t="shared" si="170"/>
        <v>0</v>
      </c>
      <c r="E542">
        <f t="shared" si="171"/>
        <v>0</v>
      </c>
      <c r="F542">
        <f t="shared" si="172"/>
        <v>1</v>
      </c>
      <c r="G542">
        <f t="shared" si="173"/>
        <v>1</v>
      </c>
      <c r="H542">
        <f t="shared" si="174"/>
        <v>1</v>
      </c>
      <c r="I542">
        <f t="shared" si="175"/>
        <v>1</v>
      </c>
      <c r="J542">
        <f t="shared" si="176"/>
        <v>0</v>
      </c>
      <c r="K542" s="45">
        <f t="shared" si="177"/>
        <v>0.2</v>
      </c>
      <c r="L542" s="45">
        <f t="shared" si="178"/>
        <v>0</v>
      </c>
      <c r="M542" s="45">
        <f t="shared" si="179"/>
        <v>0</v>
      </c>
      <c r="N542" s="45">
        <f t="shared" si="180"/>
        <v>0</v>
      </c>
      <c r="O542" s="45">
        <f t="shared" si="181"/>
        <v>0</v>
      </c>
      <c r="P542" s="45">
        <f t="shared" si="182"/>
        <v>0.2</v>
      </c>
      <c r="Q542" s="45">
        <f t="shared" si="183"/>
        <v>0.2</v>
      </c>
      <c r="R542" s="45">
        <f t="shared" si="184"/>
        <v>0.2</v>
      </c>
      <c r="S542" s="45">
        <f t="shared" si="185"/>
        <v>0.2</v>
      </c>
      <c r="T542" s="45">
        <f t="shared" si="186"/>
        <v>0</v>
      </c>
    </row>
    <row r="543" spans="1:20" x14ac:dyDescent="0.3">
      <c r="A543">
        <f t="shared" si="167"/>
        <v>1</v>
      </c>
      <c r="B543">
        <f t="shared" si="168"/>
        <v>0</v>
      </c>
      <c r="C543">
        <f t="shared" si="169"/>
        <v>0</v>
      </c>
      <c r="D543">
        <f t="shared" si="170"/>
        <v>0</v>
      </c>
      <c r="E543">
        <f t="shared" si="171"/>
        <v>0</v>
      </c>
      <c r="F543">
        <f t="shared" si="172"/>
        <v>1</v>
      </c>
      <c r="G543">
        <f t="shared" si="173"/>
        <v>1</v>
      </c>
      <c r="H543">
        <f t="shared" si="174"/>
        <v>1</v>
      </c>
      <c r="I543">
        <f t="shared" si="175"/>
        <v>1</v>
      </c>
      <c r="J543">
        <f t="shared" si="176"/>
        <v>1</v>
      </c>
      <c r="K543" s="45">
        <f t="shared" si="177"/>
        <v>0.16666666666666666</v>
      </c>
      <c r="L543" s="45">
        <f t="shared" si="178"/>
        <v>0</v>
      </c>
      <c r="M543" s="45">
        <f t="shared" si="179"/>
        <v>0</v>
      </c>
      <c r="N543" s="45">
        <f t="shared" si="180"/>
        <v>0</v>
      </c>
      <c r="O543" s="45">
        <f t="shared" si="181"/>
        <v>0</v>
      </c>
      <c r="P543" s="45">
        <f t="shared" si="182"/>
        <v>0.16666666666666666</v>
      </c>
      <c r="Q543" s="45">
        <f t="shared" si="183"/>
        <v>0.16666666666666666</v>
      </c>
      <c r="R543" s="45">
        <f t="shared" si="184"/>
        <v>0.16666666666666666</v>
      </c>
      <c r="S543" s="45">
        <f t="shared" si="185"/>
        <v>0.16666666666666666</v>
      </c>
      <c r="T543" s="45">
        <f t="shared" si="186"/>
        <v>0.16666666666666666</v>
      </c>
    </row>
    <row r="544" spans="1:20" x14ac:dyDescent="0.3">
      <c r="A544">
        <f t="shared" si="167"/>
        <v>1</v>
      </c>
      <c r="B544">
        <f t="shared" si="168"/>
        <v>0</v>
      </c>
      <c r="C544">
        <f t="shared" si="169"/>
        <v>0</v>
      </c>
      <c r="D544">
        <f t="shared" si="170"/>
        <v>0</v>
      </c>
      <c r="E544">
        <f t="shared" si="171"/>
        <v>1</v>
      </c>
      <c r="F544">
        <f t="shared" si="172"/>
        <v>0</v>
      </c>
      <c r="G544">
        <f t="shared" si="173"/>
        <v>0</v>
      </c>
      <c r="H544">
        <f t="shared" si="174"/>
        <v>0</v>
      </c>
      <c r="I544">
        <f t="shared" si="175"/>
        <v>0</v>
      </c>
      <c r="J544">
        <f t="shared" si="176"/>
        <v>0</v>
      </c>
      <c r="K544" s="45">
        <f t="shared" si="177"/>
        <v>0.5</v>
      </c>
      <c r="L544" s="45">
        <f t="shared" si="178"/>
        <v>0</v>
      </c>
      <c r="M544" s="45">
        <f t="shared" si="179"/>
        <v>0</v>
      </c>
      <c r="N544" s="45">
        <f t="shared" si="180"/>
        <v>0</v>
      </c>
      <c r="O544" s="45">
        <f t="shared" si="181"/>
        <v>0.5</v>
      </c>
      <c r="P544" s="45">
        <f t="shared" si="182"/>
        <v>0</v>
      </c>
      <c r="Q544" s="45">
        <f t="shared" si="183"/>
        <v>0</v>
      </c>
      <c r="R544" s="45">
        <f t="shared" si="184"/>
        <v>0</v>
      </c>
      <c r="S544" s="45">
        <f t="shared" si="185"/>
        <v>0</v>
      </c>
      <c r="T544" s="45">
        <f t="shared" si="186"/>
        <v>0</v>
      </c>
    </row>
    <row r="545" spans="1:20" x14ac:dyDescent="0.3">
      <c r="A545">
        <f t="shared" si="167"/>
        <v>1</v>
      </c>
      <c r="B545">
        <f t="shared" si="168"/>
        <v>0</v>
      </c>
      <c r="C545">
        <f t="shared" si="169"/>
        <v>0</v>
      </c>
      <c r="D545">
        <f t="shared" si="170"/>
        <v>0</v>
      </c>
      <c r="E545">
        <f t="shared" si="171"/>
        <v>1</v>
      </c>
      <c r="F545">
        <f t="shared" si="172"/>
        <v>0</v>
      </c>
      <c r="G545">
        <f t="shared" si="173"/>
        <v>0</v>
      </c>
      <c r="H545">
        <f t="shared" si="174"/>
        <v>0</v>
      </c>
      <c r="I545">
        <f t="shared" si="175"/>
        <v>0</v>
      </c>
      <c r="J545">
        <f t="shared" si="176"/>
        <v>1</v>
      </c>
      <c r="K545" s="45">
        <f t="shared" si="177"/>
        <v>0.33333333333333331</v>
      </c>
      <c r="L545" s="45">
        <f t="shared" si="178"/>
        <v>0</v>
      </c>
      <c r="M545" s="45">
        <f t="shared" si="179"/>
        <v>0</v>
      </c>
      <c r="N545" s="45">
        <f t="shared" si="180"/>
        <v>0</v>
      </c>
      <c r="O545" s="45">
        <f t="shared" si="181"/>
        <v>0.33333333333333331</v>
      </c>
      <c r="P545" s="45">
        <f t="shared" si="182"/>
        <v>0</v>
      </c>
      <c r="Q545" s="45">
        <f t="shared" si="183"/>
        <v>0</v>
      </c>
      <c r="R545" s="45">
        <f t="shared" si="184"/>
        <v>0</v>
      </c>
      <c r="S545" s="45">
        <f t="shared" si="185"/>
        <v>0</v>
      </c>
      <c r="T545" s="45">
        <f t="shared" si="186"/>
        <v>0.33333333333333331</v>
      </c>
    </row>
    <row r="546" spans="1:20" x14ac:dyDescent="0.3">
      <c r="A546">
        <f t="shared" si="167"/>
        <v>1</v>
      </c>
      <c r="B546">
        <f t="shared" si="168"/>
        <v>0</v>
      </c>
      <c r="C546">
        <f t="shared" si="169"/>
        <v>0</v>
      </c>
      <c r="D546">
        <f t="shared" si="170"/>
        <v>0</v>
      </c>
      <c r="E546">
        <f t="shared" si="171"/>
        <v>1</v>
      </c>
      <c r="F546">
        <f t="shared" si="172"/>
        <v>0</v>
      </c>
      <c r="G546">
        <f t="shared" si="173"/>
        <v>0</v>
      </c>
      <c r="H546">
        <f t="shared" si="174"/>
        <v>0</v>
      </c>
      <c r="I546">
        <f t="shared" si="175"/>
        <v>1</v>
      </c>
      <c r="J546">
        <f t="shared" si="176"/>
        <v>0</v>
      </c>
      <c r="K546" s="45">
        <f t="shared" si="177"/>
        <v>0.33333333333333331</v>
      </c>
      <c r="L546" s="45">
        <f t="shared" si="178"/>
        <v>0</v>
      </c>
      <c r="M546" s="45">
        <f t="shared" si="179"/>
        <v>0</v>
      </c>
      <c r="N546" s="45">
        <f t="shared" si="180"/>
        <v>0</v>
      </c>
      <c r="O546" s="45">
        <f t="shared" si="181"/>
        <v>0.33333333333333331</v>
      </c>
      <c r="P546" s="45">
        <f t="shared" si="182"/>
        <v>0</v>
      </c>
      <c r="Q546" s="45">
        <f t="shared" si="183"/>
        <v>0</v>
      </c>
      <c r="R546" s="45">
        <f t="shared" si="184"/>
        <v>0</v>
      </c>
      <c r="S546" s="45">
        <f t="shared" si="185"/>
        <v>0.33333333333333331</v>
      </c>
      <c r="T546" s="45">
        <f t="shared" si="186"/>
        <v>0</v>
      </c>
    </row>
    <row r="547" spans="1:20" x14ac:dyDescent="0.3">
      <c r="A547">
        <f t="shared" si="167"/>
        <v>1</v>
      </c>
      <c r="B547">
        <f t="shared" si="168"/>
        <v>0</v>
      </c>
      <c r="C547">
        <f t="shared" si="169"/>
        <v>0</v>
      </c>
      <c r="D547">
        <f t="shared" si="170"/>
        <v>0</v>
      </c>
      <c r="E547">
        <f t="shared" si="171"/>
        <v>1</v>
      </c>
      <c r="F547">
        <f t="shared" si="172"/>
        <v>0</v>
      </c>
      <c r="G547">
        <f t="shared" si="173"/>
        <v>0</v>
      </c>
      <c r="H547">
        <f t="shared" si="174"/>
        <v>0</v>
      </c>
      <c r="I547">
        <f t="shared" si="175"/>
        <v>1</v>
      </c>
      <c r="J547">
        <f t="shared" si="176"/>
        <v>1</v>
      </c>
      <c r="K547" s="45">
        <f t="shared" si="177"/>
        <v>0.25</v>
      </c>
      <c r="L547" s="45">
        <f t="shared" si="178"/>
        <v>0</v>
      </c>
      <c r="M547" s="45">
        <f t="shared" si="179"/>
        <v>0</v>
      </c>
      <c r="N547" s="45">
        <f t="shared" si="180"/>
        <v>0</v>
      </c>
      <c r="O547" s="45">
        <f t="shared" si="181"/>
        <v>0.25</v>
      </c>
      <c r="P547" s="45">
        <f t="shared" si="182"/>
        <v>0</v>
      </c>
      <c r="Q547" s="45">
        <f t="shared" si="183"/>
        <v>0</v>
      </c>
      <c r="R547" s="45">
        <f t="shared" si="184"/>
        <v>0</v>
      </c>
      <c r="S547" s="45">
        <f t="shared" si="185"/>
        <v>0.25</v>
      </c>
      <c r="T547" s="45">
        <f t="shared" si="186"/>
        <v>0.25</v>
      </c>
    </row>
    <row r="548" spans="1:20" x14ac:dyDescent="0.3">
      <c r="A548">
        <f t="shared" si="167"/>
        <v>1</v>
      </c>
      <c r="B548">
        <f t="shared" si="168"/>
        <v>0</v>
      </c>
      <c r="C548">
        <f t="shared" si="169"/>
        <v>0</v>
      </c>
      <c r="D548">
        <f t="shared" si="170"/>
        <v>0</v>
      </c>
      <c r="E548">
        <f t="shared" si="171"/>
        <v>1</v>
      </c>
      <c r="F548">
        <f t="shared" si="172"/>
        <v>0</v>
      </c>
      <c r="G548">
        <f t="shared" si="173"/>
        <v>0</v>
      </c>
      <c r="H548">
        <f t="shared" si="174"/>
        <v>1</v>
      </c>
      <c r="I548">
        <f t="shared" si="175"/>
        <v>0</v>
      </c>
      <c r="J548">
        <f t="shared" si="176"/>
        <v>0</v>
      </c>
      <c r="K548" s="45">
        <f t="shared" si="177"/>
        <v>0.33333333333333331</v>
      </c>
      <c r="L548" s="45">
        <f t="shared" si="178"/>
        <v>0</v>
      </c>
      <c r="M548" s="45">
        <f t="shared" si="179"/>
        <v>0</v>
      </c>
      <c r="N548" s="45">
        <f t="shared" si="180"/>
        <v>0</v>
      </c>
      <c r="O548" s="45">
        <f t="shared" si="181"/>
        <v>0.33333333333333331</v>
      </c>
      <c r="P548" s="45">
        <f t="shared" si="182"/>
        <v>0</v>
      </c>
      <c r="Q548" s="45">
        <f t="shared" si="183"/>
        <v>0</v>
      </c>
      <c r="R548" s="45">
        <f t="shared" si="184"/>
        <v>0.33333333333333331</v>
      </c>
      <c r="S548" s="45">
        <f t="shared" si="185"/>
        <v>0</v>
      </c>
      <c r="T548" s="45">
        <f t="shared" si="186"/>
        <v>0</v>
      </c>
    </row>
    <row r="549" spans="1:20" x14ac:dyDescent="0.3">
      <c r="A549">
        <f t="shared" si="167"/>
        <v>1</v>
      </c>
      <c r="B549">
        <f t="shared" si="168"/>
        <v>0</v>
      </c>
      <c r="C549">
        <f t="shared" si="169"/>
        <v>0</v>
      </c>
      <c r="D549">
        <f t="shared" si="170"/>
        <v>0</v>
      </c>
      <c r="E549">
        <f t="shared" si="171"/>
        <v>1</v>
      </c>
      <c r="F549">
        <f t="shared" si="172"/>
        <v>0</v>
      </c>
      <c r="G549">
        <f t="shared" si="173"/>
        <v>0</v>
      </c>
      <c r="H549">
        <f t="shared" si="174"/>
        <v>1</v>
      </c>
      <c r="I549">
        <f t="shared" si="175"/>
        <v>0</v>
      </c>
      <c r="J549">
        <f t="shared" si="176"/>
        <v>1</v>
      </c>
      <c r="K549" s="45">
        <f t="shared" si="177"/>
        <v>0.25</v>
      </c>
      <c r="L549" s="45">
        <f t="shared" si="178"/>
        <v>0</v>
      </c>
      <c r="M549" s="45">
        <f t="shared" si="179"/>
        <v>0</v>
      </c>
      <c r="N549" s="45">
        <f t="shared" si="180"/>
        <v>0</v>
      </c>
      <c r="O549" s="45">
        <f t="shared" si="181"/>
        <v>0.25</v>
      </c>
      <c r="P549" s="45">
        <f t="shared" si="182"/>
        <v>0</v>
      </c>
      <c r="Q549" s="45">
        <f t="shared" si="183"/>
        <v>0</v>
      </c>
      <c r="R549" s="45">
        <f t="shared" si="184"/>
        <v>0.25</v>
      </c>
      <c r="S549" s="45">
        <f t="shared" si="185"/>
        <v>0</v>
      </c>
      <c r="T549" s="45">
        <f t="shared" si="186"/>
        <v>0.25</v>
      </c>
    </row>
    <row r="550" spans="1:20" x14ac:dyDescent="0.3">
      <c r="A550">
        <f t="shared" si="167"/>
        <v>1</v>
      </c>
      <c r="B550">
        <f t="shared" si="168"/>
        <v>0</v>
      </c>
      <c r="C550">
        <f t="shared" si="169"/>
        <v>0</v>
      </c>
      <c r="D550">
        <f t="shared" si="170"/>
        <v>0</v>
      </c>
      <c r="E550">
        <f t="shared" si="171"/>
        <v>1</v>
      </c>
      <c r="F550">
        <f t="shared" si="172"/>
        <v>0</v>
      </c>
      <c r="G550">
        <f t="shared" si="173"/>
        <v>0</v>
      </c>
      <c r="H550">
        <f t="shared" si="174"/>
        <v>1</v>
      </c>
      <c r="I550">
        <f t="shared" si="175"/>
        <v>1</v>
      </c>
      <c r="J550">
        <f t="shared" si="176"/>
        <v>0</v>
      </c>
      <c r="K550" s="45">
        <f t="shared" si="177"/>
        <v>0.25</v>
      </c>
      <c r="L550" s="45">
        <f t="shared" si="178"/>
        <v>0</v>
      </c>
      <c r="M550" s="45">
        <f t="shared" si="179"/>
        <v>0</v>
      </c>
      <c r="N550" s="45">
        <f t="shared" si="180"/>
        <v>0</v>
      </c>
      <c r="O550" s="45">
        <f t="shared" si="181"/>
        <v>0.25</v>
      </c>
      <c r="P550" s="45">
        <f t="shared" si="182"/>
        <v>0</v>
      </c>
      <c r="Q550" s="45">
        <f t="shared" si="183"/>
        <v>0</v>
      </c>
      <c r="R550" s="45">
        <f t="shared" si="184"/>
        <v>0.25</v>
      </c>
      <c r="S550" s="45">
        <f t="shared" si="185"/>
        <v>0.25</v>
      </c>
      <c r="T550" s="45">
        <f t="shared" si="186"/>
        <v>0</v>
      </c>
    </row>
    <row r="551" spans="1:20" x14ac:dyDescent="0.3">
      <c r="A551">
        <f t="shared" si="167"/>
        <v>1</v>
      </c>
      <c r="B551">
        <f t="shared" si="168"/>
        <v>0</v>
      </c>
      <c r="C551">
        <f t="shared" si="169"/>
        <v>0</v>
      </c>
      <c r="D551">
        <f t="shared" si="170"/>
        <v>0</v>
      </c>
      <c r="E551">
        <f t="shared" si="171"/>
        <v>1</v>
      </c>
      <c r="F551">
        <f t="shared" si="172"/>
        <v>0</v>
      </c>
      <c r="G551">
        <f t="shared" si="173"/>
        <v>0</v>
      </c>
      <c r="H551">
        <f t="shared" si="174"/>
        <v>1</v>
      </c>
      <c r="I551">
        <f t="shared" si="175"/>
        <v>1</v>
      </c>
      <c r="J551">
        <f t="shared" si="176"/>
        <v>1</v>
      </c>
      <c r="K551" s="45">
        <f t="shared" si="177"/>
        <v>0.2</v>
      </c>
      <c r="L551" s="45">
        <f t="shared" si="178"/>
        <v>0</v>
      </c>
      <c r="M551" s="45">
        <f t="shared" si="179"/>
        <v>0</v>
      </c>
      <c r="N551" s="45">
        <f t="shared" si="180"/>
        <v>0</v>
      </c>
      <c r="O551" s="45">
        <f t="shared" si="181"/>
        <v>0.2</v>
      </c>
      <c r="P551" s="45">
        <f t="shared" si="182"/>
        <v>0</v>
      </c>
      <c r="Q551" s="45">
        <f t="shared" si="183"/>
        <v>0</v>
      </c>
      <c r="R551" s="45">
        <f t="shared" si="184"/>
        <v>0.2</v>
      </c>
      <c r="S551" s="45">
        <f t="shared" si="185"/>
        <v>0.2</v>
      </c>
      <c r="T551" s="45">
        <f t="shared" si="186"/>
        <v>0.2</v>
      </c>
    </row>
    <row r="552" spans="1:20" x14ac:dyDescent="0.3">
      <c r="A552">
        <f t="shared" si="167"/>
        <v>1</v>
      </c>
      <c r="B552">
        <f t="shared" si="168"/>
        <v>0</v>
      </c>
      <c r="C552">
        <f t="shared" si="169"/>
        <v>0</v>
      </c>
      <c r="D552">
        <f t="shared" si="170"/>
        <v>0</v>
      </c>
      <c r="E552">
        <f t="shared" si="171"/>
        <v>1</v>
      </c>
      <c r="F552">
        <f t="shared" si="172"/>
        <v>0</v>
      </c>
      <c r="G552">
        <f t="shared" si="173"/>
        <v>1</v>
      </c>
      <c r="H552">
        <f t="shared" si="174"/>
        <v>0</v>
      </c>
      <c r="I552">
        <f t="shared" si="175"/>
        <v>0</v>
      </c>
      <c r="J552">
        <f t="shared" si="176"/>
        <v>0</v>
      </c>
      <c r="K552" s="45">
        <f t="shared" si="177"/>
        <v>0.33333333333333331</v>
      </c>
      <c r="L552" s="45">
        <f t="shared" si="178"/>
        <v>0</v>
      </c>
      <c r="M552" s="45">
        <f t="shared" si="179"/>
        <v>0</v>
      </c>
      <c r="N552" s="45">
        <f t="shared" si="180"/>
        <v>0</v>
      </c>
      <c r="O552" s="45">
        <f t="shared" si="181"/>
        <v>0.33333333333333331</v>
      </c>
      <c r="P552" s="45">
        <f t="shared" si="182"/>
        <v>0</v>
      </c>
      <c r="Q552" s="45">
        <f t="shared" si="183"/>
        <v>0.33333333333333331</v>
      </c>
      <c r="R552" s="45">
        <f t="shared" si="184"/>
        <v>0</v>
      </c>
      <c r="S552" s="45">
        <f t="shared" si="185"/>
        <v>0</v>
      </c>
      <c r="T552" s="45">
        <f t="shared" si="186"/>
        <v>0</v>
      </c>
    </row>
    <row r="553" spans="1:20" x14ac:dyDescent="0.3">
      <c r="A553">
        <f t="shared" si="167"/>
        <v>1</v>
      </c>
      <c r="B553">
        <f t="shared" si="168"/>
        <v>0</v>
      </c>
      <c r="C553">
        <f t="shared" si="169"/>
        <v>0</v>
      </c>
      <c r="D553">
        <f t="shared" si="170"/>
        <v>0</v>
      </c>
      <c r="E553">
        <f t="shared" si="171"/>
        <v>1</v>
      </c>
      <c r="F553">
        <f t="shared" si="172"/>
        <v>0</v>
      </c>
      <c r="G553">
        <f t="shared" si="173"/>
        <v>1</v>
      </c>
      <c r="H553">
        <f t="shared" si="174"/>
        <v>0</v>
      </c>
      <c r="I553">
        <f t="shared" si="175"/>
        <v>0</v>
      </c>
      <c r="J553">
        <f t="shared" si="176"/>
        <v>1</v>
      </c>
      <c r="K553" s="45">
        <f t="shared" si="177"/>
        <v>0.25</v>
      </c>
      <c r="L553" s="45">
        <f t="shared" si="178"/>
        <v>0</v>
      </c>
      <c r="M553" s="45">
        <f t="shared" si="179"/>
        <v>0</v>
      </c>
      <c r="N553" s="45">
        <f t="shared" si="180"/>
        <v>0</v>
      </c>
      <c r="O553" s="45">
        <f t="shared" si="181"/>
        <v>0.25</v>
      </c>
      <c r="P553" s="45">
        <f t="shared" si="182"/>
        <v>0</v>
      </c>
      <c r="Q553" s="45">
        <f t="shared" si="183"/>
        <v>0.25</v>
      </c>
      <c r="R553" s="45">
        <f t="shared" si="184"/>
        <v>0</v>
      </c>
      <c r="S553" s="45">
        <f t="shared" si="185"/>
        <v>0</v>
      </c>
      <c r="T553" s="45">
        <f t="shared" si="186"/>
        <v>0.25</v>
      </c>
    </row>
    <row r="554" spans="1:20" x14ac:dyDescent="0.3">
      <c r="A554">
        <f t="shared" si="167"/>
        <v>1</v>
      </c>
      <c r="B554">
        <f t="shared" si="168"/>
        <v>0</v>
      </c>
      <c r="C554">
        <f t="shared" si="169"/>
        <v>0</v>
      </c>
      <c r="D554">
        <f t="shared" si="170"/>
        <v>0</v>
      </c>
      <c r="E554">
        <f t="shared" si="171"/>
        <v>1</v>
      </c>
      <c r="F554">
        <f t="shared" si="172"/>
        <v>0</v>
      </c>
      <c r="G554">
        <f t="shared" si="173"/>
        <v>1</v>
      </c>
      <c r="H554">
        <f t="shared" si="174"/>
        <v>0</v>
      </c>
      <c r="I554">
        <f t="shared" si="175"/>
        <v>1</v>
      </c>
      <c r="J554">
        <f t="shared" si="176"/>
        <v>0</v>
      </c>
      <c r="K554" s="45">
        <f t="shared" si="177"/>
        <v>0.25</v>
      </c>
      <c r="L554" s="45">
        <f t="shared" si="178"/>
        <v>0</v>
      </c>
      <c r="M554" s="45">
        <f t="shared" si="179"/>
        <v>0</v>
      </c>
      <c r="N554" s="45">
        <f t="shared" si="180"/>
        <v>0</v>
      </c>
      <c r="O554" s="45">
        <f t="shared" si="181"/>
        <v>0.25</v>
      </c>
      <c r="P554" s="45">
        <f t="shared" si="182"/>
        <v>0</v>
      </c>
      <c r="Q554" s="45">
        <f t="shared" si="183"/>
        <v>0.25</v>
      </c>
      <c r="R554" s="45">
        <f t="shared" si="184"/>
        <v>0</v>
      </c>
      <c r="S554" s="45">
        <f t="shared" si="185"/>
        <v>0.25</v>
      </c>
      <c r="T554" s="45">
        <f t="shared" si="186"/>
        <v>0</v>
      </c>
    </row>
    <row r="555" spans="1:20" x14ac:dyDescent="0.3">
      <c r="A555">
        <f t="shared" si="167"/>
        <v>1</v>
      </c>
      <c r="B555">
        <f t="shared" si="168"/>
        <v>0</v>
      </c>
      <c r="C555">
        <f t="shared" si="169"/>
        <v>0</v>
      </c>
      <c r="D555">
        <f t="shared" si="170"/>
        <v>0</v>
      </c>
      <c r="E555">
        <f t="shared" si="171"/>
        <v>1</v>
      </c>
      <c r="F555">
        <f t="shared" si="172"/>
        <v>0</v>
      </c>
      <c r="G555">
        <f t="shared" si="173"/>
        <v>1</v>
      </c>
      <c r="H555">
        <f t="shared" si="174"/>
        <v>0</v>
      </c>
      <c r="I555">
        <f t="shared" si="175"/>
        <v>1</v>
      </c>
      <c r="J555">
        <f t="shared" si="176"/>
        <v>1</v>
      </c>
      <c r="K555" s="45">
        <f t="shared" si="177"/>
        <v>0.2</v>
      </c>
      <c r="L555" s="45">
        <f t="shared" si="178"/>
        <v>0</v>
      </c>
      <c r="M555" s="45">
        <f t="shared" si="179"/>
        <v>0</v>
      </c>
      <c r="N555" s="45">
        <f t="shared" si="180"/>
        <v>0</v>
      </c>
      <c r="O555" s="45">
        <f t="shared" si="181"/>
        <v>0.2</v>
      </c>
      <c r="P555" s="45">
        <f t="shared" si="182"/>
        <v>0</v>
      </c>
      <c r="Q555" s="45">
        <f t="shared" si="183"/>
        <v>0.2</v>
      </c>
      <c r="R555" s="45">
        <f t="shared" si="184"/>
        <v>0</v>
      </c>
      <c r="S555" s="45">
        <f t="shared" si="185"/>
        <v>0.2</v>
      </c>
      <c r="T555" s="45">
        <f t="shared" si="186"/>
        <v>0.2</v>
      </c>
    </row>
    <row r="556" spans="1:20" x14ac:dyDescent="0.3">
      <c r="A556">
        <f t="shared" si="167"/>
        <v>1</v>
      </c>
      <c r="B556">
        <f t="shared" si="168"/>
        <v>0</v>
      </c>
      <c r="C556">
        <f t="shared" si="169"/>
        <v>0</v>
      </c>
      <c r="D556">
        <f t="shared" si="170"/>
        <v>0</v>
      </c>
      <c r="E556">
        <f t="shared" si="171"/>
        <v>1</v>
      </c>
      <c r="F556">
        <f t="shared" si="172"/>
        <v>0</v>
      </c>
      <c r="G556">
        <f t="shared" si="173"/>
        <v>1</v>
      </c>
      <c r="H556">
        <f t="shared" si="174"/>
        <v>1</v>
      </c>
      <c r="I556">
        <f t="shared" si="175"/>
        <v>0</v>
      </c>
      <c r="J556">
        <f t="shared" si="176"/>
        <v>0</v>
      </c>
      <c r="K556" s="45">
        <f t="shared" si="177"/>
        <v>0.25</v>
      </c>
      <c r="L556" s="45">
        <f t="shared" si="178"/>
        <v>0</v>
      </c>
      <c r="M556" s="45">
        <f t="shared" si="179"/>
        <v>0</v>
      </c>
      <c r="N556" s="45">
        <f t="shared" si="180"/>
        <v>0</v>
      </c>
      <c r="O556" s="45">
        <f t="shared" si="181"/>
        <v>0.25</v>
      </c>
      <c r="P556" s="45">
        <f t="shared" si="182"/>
        <v>0</v>
      </c>
      <c r="Q556" s="45">
        <f t="shared" si="183"/>
        <v>0.25</v>
      </c>
      <c r="R556" s="45">
        <f t="shared" si="184"/>
        <v>0.25</v>
      </c>
      <c r="S556" s="45">
        <f t="shared" si="185"/>
        <v>0</v>
      </c>
      <c r="T556" s="45">
        <f t="shared" si="186"/>
        <v>0</v>
      </c>
    </row>
    <row r="557" spans="1:20" x14ac:dyDescent="0.3">
      <c r="A557">
        <f t="shared" si="167"/>
        <v>1</v>
      </c>
      <c r="B557">
        <f t="shared" si="168"/>
        <v>0</v>
      </c>
      <c r="C557">
        <f t="shared" si="169"/>
        <v>0</v>
      </c>
      <c r="D557">
        <f t="shared" si="170"/>
        <v>0</v>
      </c>
      <c r="E557">
        <f t="shared" si="171"/>
        <v>1</v>
      </c>
      <c r="F557">
        <f t="shared" si="172"/>
        <v>0</v>
      </c>
      <c r="G557">
        <f t="shared" si="173"/>
        <v>1</v>
      </c>
      <c r="H557">
        <f t="shared" si="174"/>
        <v>1</v>
      </c>
      <c r="I557">
        <f t="shared" si="175"/>
        <v>0</v>
      </c>
      <c r="J557">
        <f t="shared" si="176"/>
        <v>1</v>
      </c>
      <c r="K557" s="45">
        <f t="shared" si="177"/>
        <v>0.2</v>
      </c>
      <c r="L557" s="45">
        <f t="shared" si="178"/>
        <v>0</v>
      </c>
      <c r="M557" s="45">
        <f t="shared" si="179"/>
        <v>0</v>
      </c>
      <c r="N557" s="45">
        <f t="shared" si="180"/>
        <v>0</v>
      </c>
      <c r="O557" s="45">
        <f t="shared" si="181"/>
        <v>0.2</v>
      </c>
      <c r="P557" s="45">
        <f t="shared" si="182"/>
        <v>0</v>
      </c>
      <c r="Q557" s="45">
        <f t="shared" si="183"/>
        <v>0.2</v>
      </c>
      <c r="R557" s="45">
        <f t="shared" si="184"/>
        <v>0.2</v>
      </c>
      <c r="S557" s="45">
        <f t="shared" si="185"/>
        <v>0</v>
      </c>
      <c r="T557" s="45">
        <f t="shared" si="186"/>
        <v>0.2</v>
      </c>
    </row>
    <row r="558" spans="1:20" x14ac:dyDescent="0.3">
      <c r="A558">
        <f t="shared" si="167"/>
        <v>1</v>
      </c>
      <c r="B558">
        <f t="shared" si="168"/>
        <v>0</v>
      </c>
      <c r="C558">
        <f t="shared" si="169"/>
        <v>0</v>
      </c>
      <c r="D558">
        <f t="shared" si="170"/>
        <v>0</v>
      </c>
      <c r="E558">
        <f t="shared" si="171"/>
        <v>1</v>
      </c>
      <c r="F558">
        <f t="shared" si="172"/>
        <v>0</v>
      </c>
      <c r="G558">
        <f t="shared" si="173"/>
        <v>1</v>
      </c>
      <c r="H558">
        <f t="shared" si="174"/>
        <v>1</v>
      </c>
      <c r="I558">
        <f t="shared" si="175"/>
        <v>1</v>
      </c>
      <c r="J558">
        <f t="shared" si="176"/>
        <v>0</v>
      </c>
      <c r="K558" s="45">
        <f t="shared" si="177"/>
        <v>0.2</v>
      </c>
      <c r="L558" s="45">
        <f t="shared" si="178"/>
        <v>0</v>
      </c>
      <c r="M558" s="45">
        <f t="shared" si="179"/>
        <v>0</v>
      </c>
      <c r="N558" s="45">
        <f t="shared" si="180"/>
        <v>0</v>
      </c>
      <c r="O558" s="45">
        <f t="shared" si="181"/>
        <v>0.2</v>
      </c>
      <c r="P558" s="45">
        <f t="shared" si="182"/>
        <v>0</v>
      </c>
      <c r="Q558" s="45">
        <f t="shared" si="183"/>
        <v>0.2</v>
      </c>
      <c r="R558" s="45">
        <f t="shared" si="184"/>
        <v>0.2</v>
      </c>
      <c r="S558" s="45">
        <f t="shared" si="185"/>
        <v>0.2</v>
      </c>
      <c r="T558" s="45">
        <f t="shared" si="186"/>
        <v>0</v>
      </c>
    </row>
    <row r="559" spans="1:20" x14ac:dyDescent="0.3">
      <c r="A559">
        <f t="shared" si="167"/>
        <v>1</v>
      </c>
      <c r="B559">
        <f t="shared" si="168"/>
        <v>0</v>
      </c>
      <c r="C559">
        <f t="shared" si="169"/>
        <v>0</v>
      </c>
      <c r="D559">
        <f t="shared" si="170"/>
        <v>0</v>
      </c>
      <c r="E559">
        <f t="shared" si="171"/>
        <v>1</v>
      </c>
      <c r="F559">
        <f t="shared" si="172"/>
        <v>0</v>
      </c>
      <c r="G559">
        <f t="shared" si="173"/>
        <v>1</v>
      </c>
      <c r="H559">
        <f t="shared" si="174"/>
        <v>1</v>
      </c>
      <c r="I559">
        <f t="shared" si="175"/>
        <v>1</v>
      </c>
      <c r="J559">
        <f t="shared" si="176"/>
        <v>1</v>
      </c>
      <c r="K559" s="45">
        <f t="shared" si="177"/>
        <v>0.16666666666666666</v>
      </c>
      <c r="L559" s="45">
        <f t="shared" si="178"/>
        <v>0</v>
      </c>
      <c r="M559" s="45">
        <f t="shared" si="179"/>
        <v>0</v>
      </c>
      <c r="N559" s="45">
        <f t="shared" si="180"/>
        <v>0</v>
      </c>
      <c r="O559" s="45">
        <f t="shared" si="181"/>
        <v>0.16666666666666666</v>
      </c>
      <c r="P559" s="45">
        <f t="shared" si="182"/>
        <v>0</v>
      </c>
      <c r="Q559" s="45">
        <f t="shared" si="183"/>
        <v>0.16666666666666666</v>
      </c>
      <c r="R559" s="45">
        <f t="shared" si="184"/>
        <v>0.16666666666666666</v>
      </c>
      <c r="S559" s="45">
        <f t="shared" si="185"/>
        <v>0.16666666666666666</v>
      </c>
      <c r="T559" s="45">
        <f t="shared" si="186"/>
        <v>0.16666666666666666</v>
      </c>
    </row>
    <row r="560" spans="1:20" x14ac:dyDescent="0.3">
      <c r="A560">
        <f t="shared" si="167"/>
        <v>1</v>
      </c>
      <c r="B560">
        <f t="shared" si="168"/>
        <v>0</v>
      </c>
      <c r="C560">
        <f t="shared" si="169"/>
        <v>0</v>
      </c>
      <c r="D560">
        <f t="shared" si="170"/>
        <v>0</v>
      </c>
      <c r="E560">
        <f t="shared" si="171"/>
        <v>1</v>
      </c>
      <c r="F560">
        <f t="shared" si="172"/>
        <v>1</v>
      </c>
      <c r="G560">
        <f t="shared" si="173"/>
        <v>0</v>
      </c>
      <c r="H560">
        <f t="shared" si="174"/>
        <v>0</v>
      </c>
      <c r="I560">
        <f t="shared" si="175"/>
        <v>0</v>
      </c>
      <c r="J560">
        <f t="shared" si="176"/>
        <v>0</v>
      </c>
      <c r="K560" s="45">
        <f t="shared" si="177"/>
        <v>0.33333333333333331</v>
      </c>
      <c r="L560" s="45">
        <f t="shared" si="178"/>
        <v>0</v>
      </c>
      <c r="M560" s="45">
        <f t="shared" si="179"/>
        <v>0</v>
      </c>
      <c r="N560" s="45">
        <f t="shared" si="180"/>
        <v>0</v>
      </c>
      <c r="O560" s="45">
        <f t="shared" si="181"/>
        <v>0.33333333333333331</v>
      </c>
      <c r="P560" s="45">
        <f t="shared" si="182"/>
        <v>0.33333333333333331</v>
      </c>
      <c r="Q560" s="45">
        <f t="shared" si="183"/>
        <v>0</v>
      </c>
      <c r="R560" s="45">
        <f t="shared" si="184"/>
        <v>0</v>
      </c>
      <c r="S560" s="45">
        <f t="shared" si="185"/>
        <v>0</v>
      </c>
      <c r="T560" s="45">
        <f t="shared" si="186"/>
        <v>0</v>
      </c>
    </row>
    <row r="561" spans="1:20" x14ac:dyDescent="0.3">
      <c r="A561">
        <f t="shared" si="167"/>
        <v>1</v>
      </c>
      <c r="B561">
        <f t="shared" si="168"/>
        <v>0</v>
      </c>
      <c r="C561">
        <f t="shared" si="169"/>
        <v>0</v>
      </c>
      <c r="D561">
        <f t="shared" si="170"/>
        <v>0</v>
      </c>
      <c r="E561">
        <f t="shared" si="171"/>
        <v>1</v>
      </c>
      <c r="F561">
        <f t="shared" si="172"/>
        <v>1</v>
      </c>
      <c r="G561">
        <f t="shared" si="173"/>
        <v>0</v>
      </c>
      <c r="H561">
        <f t="shared" si="174"/>
        <v>0</v>
      </c>
      <c r="I561">
        <f t="shared" si="175"/>
        <v>0</v>
      </c>
      <c r="J561">
        <f t="shared" si="176"/>
        <v>1</v>
      </c>
      <c r="K561" s="45">
        <f t="shared" si="177"/>
        <v>0.25</v>
      </c>
      <c r="L561" s="45">
        <f t="shared" si="178"/>
        <v>0</v>
      </c>
      <c r="M561" s="45">
        <f t="shared" si="179"/>
        <v>0</v>
      </c>
      <c r="N561" s="45">
        <f t="shared" si="180"/>
        <v>0</v>
      </c>
      <c r="O561" s="45">
        <f t="shared" si="181"/>
        <v>0.25</v>
      </c>
      <c r="P561" s="45">
        <f t="shared" si="182"/>
        <v>0.25</v>
      </c>
      <c r="Q561" s="45">
        <f t="shared" si="183"/>
        <v>0</v>
      </c>
      <c r="R561" s="45">
        <f t="shared" si="184"/>
        <v>0</v>
      </c>
      <c r="S561" s="45">
        <f t="shared" si="185"/>
        <v>0</v>
      </c>
      <c r="T561" s="45">
        <f t="shared" si="186"/>
        <v>0.25</v>
      </c>
    </row>
    <row r="562" spans="1:20" x14ac:dyDescent="0.3">
      <c r="A562">
        <f t="shared" si="167"/>
        <v>1</v>
      </c>
      <c r="B562">
        <f t="shared" si="168"/>
        <v>0</v>
      </c>
      <c r="C562">
        <f t="shared" si="169"/>
        <v>0</v>
      </c>
      <c r="D562">
        <f t="shared" si="170"/>
        <v>0</v>
      </c>
      <c r="E562">
        <f t="shared" si="171"/>
        <v>1</v>
      </c>
      <c r="F562">
        <f t="shared" si="172"/>
        <v>1</v>
      </c>
      <c r="G562">
        <f t="shared" si="173"/>
        <v>0</v>
      </c>
      <c r="H562">
        <f t="shared" si="174"/>
        <v>0</v>
      </c>
      <c r="I562">
        <f t="shared" si="175"/>
        <v>1</v>
      </c>
      <c r="J562">
        <f t="shared" si="176"/>
        <v>0</v>
      </c>
      <c r="K562" s="45">
        <f t="shared" si="177"/>
        <v>0.25</v>
      </c>
      <c r="L562" s="45">
        <f t="shared" si="178"/>
        <v>0</v>
      </c>
      <c r="M562" s="45">
        <f t="shared" si="179"/>
        <v>0</v>
      </c>
      <c r="N562" s="45">
        <f t="shared" si="180"/>
        <v>0</v>
      </c>
      <c r="O562" s="45">
        <f t="shared" si="181"/>
        <v>0.25</v>
      </c>
      <c r="P562" s="45">
        <f t="shared" si="182"/>
        <v>0.25</v>
      </c>
      <c r="Q562" s="45">
        <f t="shared" si="183"/>
        <v>0</v>
      </c>
      <c r="R562" s="45">
        <f t="shared" si="184"/>
        <v>0</v>
      </c>
      <c r="S562" s="45">
        <f t="shared" si="185"/>
        <v>0.25</v>
      </c>
      <c r="T562" s="45">
        <f t="shared" si="186"/>
        <v>0</v>
      </c>
    </row>
    <row r="563" spans="1:20" x14ac:dyDescent="0.3">
      <c r="A563">
        <f t="shared" si="167"/>
        <v>1</v>
      </c>
      <c r="B563">
        <f t="shared" si="168"/>
        <v>0</v>
      </c>
      <c r="C563">
        <f t="shared" si="169"/>
        <v>0</v>
      </c>
      <c r="D563">
        <f t="shared" si="170"/>
        <v>0</v>
      </c>
      <c r="E563">
        <f t="shared" si="171"/>
        <v>1</v>
      </c>
      <c r="F563">
        <f t="shared" si="172"/>
        <v>1</v>
      </c>
      <c r="G563">
        <f t="shared" si="173"/>
        <v>0</v>
      </c>
      <c r="H563">
        <f t="shared" si="174"/>
        <v>0</v>
      </c>
      <c r="I563">
        <f t="shared" si="175"/>
        <v>1</v>
      </c>
      <c r="J563">
        <f t="shared" si="176"/>
        <v>1</v>
      </c>
      <c r="K563" s="45">
        <f t="shared" si="177"/>
        <v>0.2</v>
      </c>
      <c r="L563" s="45">
        <f t="shared" si="178"/>
        <v>0</v>
      </c>
      <c r="M563" s="45">
        <f t="shared" si="179"/>
        <v>0</v>
      </c>
      <c r="N563" s="45">
        <f t="shared" si="180"/>
        <v>0</v>
      </c>
      <c r="O563" s="45">
        <f t="shared" si="181"/>
        <v>0.2</v>
      </c>
      <c r="P563" s="45">
        <f t="shared" si="182"/>
        <v>0.2</v>
      </c>
      <c r="Q563" s="45">
        <f t="shared" si="183"/>
        <v>0</v>
      </c>
      <c r="R563" s="45">
        <f t="shared" si="184"/>
        <v>0</v>
      </c>
      <c r="S563" s="45">
        <f t="shared" si="185"/>
        <v>0.2</v>
      </c>
      <c r="T563" s="45">
        <f t="shared" si="186"/>
        <v>0.2</v>
      </c>
    </row>
    <row r="564" spans="1:20" x14ac:dyDescent="0.3">
      <c r="A564">
        <f t="shared" si="167"/>
        <v>1</v>
      </c>
      <c r="B564">
        <f t="shared" si="168"/>
        <v>0</v>
      </c>
      <c r="C564">
        <f t="shared" si="169"/>
        <v>0</v>
      </c>
      <c r="D564">
        <f t="shared" si="170"/>
        <v>0</v>
      </c>
      <c r="E564">
        <f t="shared" si="171"/>
        <v>1</v>
      </c>
      <c r="F564">
        <f t="shared" si="172"/>
        <v>1</v>
      </c>
      <c r="G564">
        <f t="shared" si="173"/>
        <v>0</v>
      </c>
      <c r="H564">
        <f t="shared" si="174"/>
        <v>1</v>
      </c>
      <c r="I564">
        <f t="shared" si="175"/>
        <v>0</v>
      </c>
      <c r="J564">
        <f t="shared" si="176"/>
        <v>0</v>
      </c>
      <c r="K564" s="45">
        <f t="shared" si="177"/>
        <v>0.25</v>
      </c>
      <c r="L564" s="45">
        <f t="shared" si="178"/>
        <v>0</v>
      </c>
      <c r="M564" s="45">
        <f t="shared" si="179"/>
        <v>0</v>
      </c>
      <c r="N564" s="45">
        <f t="shared" si="180"/>
        <v>0</v>
      </c>
      <c r="O564" s="45">
        <f t="shared" si="181"/>
        <v>0.25</v>
      </c>
      <c r="P564" s="45">
        <f t="shared" si="182"/>
        <v>0.25</v>
      </c>
      <c r="Q564" s="45">
        <f t="shared" si="183"/>
        <v>0</v>
      </c>
      <c r="R564" s="45">
        <f t="shared" si="184"/>
        <v>0.25</v>
      </c>
      <c r="S564" s="45">
        <f t="shared" si="185"/>
        <v>0</v>
      </c>
      <c r="T564" s="45">
        <f t="shared" si="186"/>
        <v>0</v>
      </c>
    </row>
    <row r="565" spans="1:20" x14ac:dyDescent="0.3">
      <c r="A565">
        <f t="shared" si="167"/>
        <v>1</v>
      </c>
      <c r="B565">
        <f t="shared" si="168"/>
        <v>0</v>
      </c>
      <c r="C565">
        <f t="shared" si="169"/>
        <v>0</v>
      </c>
      <c r="D565">
        <f t="shared" si="170"/>
        <v>0</v>
      </c>
      <c r="E565">
        <f t="shared" si="171"/>
        <v>1</v>
      </c>
      <c r="F565">
        <f t="shared" si="172"/>
        <v>1</v>
      </c>
      <c r="G565">
        <f t="shared" si="173"/>
        <v>0</v>
      </c>
      <c r="H565">
        <f t="shared" si="174"/>
        <v>1</v>
      </c>
      <c r="I565">
        <f t="shared" si="175"/>
        <v>0</v>
      </c>
      <c r="J565">
        <f t="shared" si="176"/>
        <v>1</v>
      </c>
      <c r="K565" s="45">
        <f t="shared" si="177"/>
        <v>0.2</v>
      </c>
      <c r="L565" s="45">
        <f t="shared" si="178"/>
        <v>0</v>
      </c>
      <c r="M565" s="45">
        <f t="shared" si="179"/>
        <v>0</v>
      </c>
      <c r="N565" s="45">
        <f t="shared" si="180"/>
        <v>0</v>
      </c>
      <c r="O565" s="45">
        <f t="shared" si="181"/>
        <v>0.2</v>
      </c>
      <c r="P565" s="45">
        <f t="shared" si="182"/>
        <v>0.2</v>
      </c>
      <c r="Q565" s="45">
        <f t="shared" si="183"/>
        <v>0</v>
      </c>
      <c r="R565" s="45">
        <f t="shared" si="184"/>
        <v>0.2</v>
      </c>
      <c r="S565" s="45">
        <f t="shared" si="185"/>
        <v>0</v>
      </c>
      <c r="T565" s="45">
        <f t="shared" si="186"/>
        <v>0.2</v>
      </c>
    </row>
    <row r="566" spans="1:20" x14ac:dyDescent="0.3">
      <c r="A566">
        <f t="shared" si="167"/>
        <v>1</v>
      </c>
      <c r="B566">
        <f t="shared" si="168"/>
        <v>0</v>
      </c>
      <c r="C566">
        <f t="shared" si="169"/>
        <v>0</v>
      </c>
      <c r="D566">
        <f t="shared" si="170"/>
        <v>0</v>
      </c>
      <c r="E566">
        <f t="shared" si="171"/>
        <v>1</v>
      </c>
      <c r="F566">
        <f t="shared" si="172"/>
        <v>1</v>
      </c>
      <c r="G566">
        <f t="shared" si="173"/>
        <v>0</v>
      </c>
      <c r="H566">
        <f t="shared" si="174"/>
        <v>1</v>
      </c>
      <c r="I566">
        <f t="shared" si="175"/>
        <v>1</v>
      </c>
      <c r="J566">
        <f t="shared" si="176"/>
        <v>0</v>
      </c>
      <c r="K566" s="45">
        <f t="shared" si="177"/>
        <v>0.2</v>
      </c>
      <c r="L566" s="45">
        <f t="shared" si="178"/>
        <v>0</v>
      </c>
      <c r="M566" s="45">
        <f t="shared" si="179"/>
        <v>0</v>
      </c>
      <c r="N566" s="45">
        <f t="shared" si="180"/>
        <v>0</v>
      </c>
      <c r="O566" s="45">
        <f t="shared" si="181"/>
        <v>0.2</v>
      </c>
      <c r="P566" s="45">
        <f t="shared" si="182"/>
        <v>0.2</v>
      </c>
      <c r="Q566" s="45">
        <f t="shared" si="183"/>
        <v>0</v>
      </c>
      <c r="R566" s="45">
        <f t="shared" si="184"/>
        <v>0.2</v>
      </c>
      <c r="S566" s="45">
        <f t="shared" si="185"/>
        <v>0.2</v>
      </c>
      <c r="T566" s="45">
        <f t="shared" si="186"/>
        <v>0</v>
      </c>
    </row>
    <row r="567" spans="1:20" x14ac:dyDescent="0.3">
      <c r="A567">
        <f t="shared" si="167"/>
        <v>1</v>
      </c>
      <c r="B567">
        <f t="shared" si="168"/>
        <v>0</v>
      </c>
      <c r="C567">
        <f t="shared" si="169"/>
        <v>0</v>
      </c>
      <c r="D567">
        <f t="shared" si="170"/>
        <v>0</v>
      </c>
      <c r="E567">
        <f t="shared" si="171"/>
        <v>1</v>
      </c>
      <c r="F567">
        <f t="shared" si="172"/>
        <v>1</v>
      </c>
      <c r="G567">
        <f t="shared" si="173"/>
        <v>0</v>
      </c>
      <c r="H567">
        <f t="shared" si="174"/>
        <v>1</v>
      </c>
      <c r="I567">
        <f t="shared" si="175"/>
        <v>1</v>
      </c>
      <c r="J567">
        <f t="shared" si="176"/>
        <v>1</v>
      </c>
      <c r="K567" s="45">
        <f t="shared" si="177"/>
        <v>0.16666666666666666</v>
      </c>
      <c r="L567" s="45">
        <f t="shared" si="178"/>
        <v>0</v>
      </c>
      <c r="M567" s="45">
        <f t="shared" si="179"/>
        <v>0</v>
      </c>
      <c r="N567" s="45">
        <f t="shared" si="180"/>
        <v>0</v>
      </c>
      <c r="O567" s="45">
        <f t="shared" si="181"/>
        <v>0.16666666666666666</v>
      </c>
      <c r="P567" s="45">
        <f t="shared" si="182"/>
        <v>0.16666666666666666</v>
      </c>
      <c r="Q567" s="45">
        <f t="shared" si="183"/>
        <v>0</v>
      </c>
      <c r="R567" s="45">
        <f t="shared" si="184"/>
        <v>0.16666666666666666</v>
      </c>
      <c r="S567" s="45">
        <f t="shared" si="185"/>
        <v>0.16666666666666666</v>
      </c>
      <c r="T567" s="45">
        <f t="shared" si="186"/>
        <v>0.16666666666666666</v>
      </c>
    </row>
    <row r="568" spans="1:20" x14ac:dyDescent="0.3">
      <c r="A568">
        <f t="shared" si="167"/>
        <v>1</v>
      </c>
      <c r="B568">
        <f t="shared" si="168"/>
        <v>0</v>
      </c>
      <c r="C568">
        <f t="shared" si="169"/>
        <v>0</v>
      </c>
      <c r="D568">
        <f t="shared" si="170"/>
        <v>0</v>
      </c>
      <c r="E568">
        <f t="shared" si="171"/>
        <v>1</v>
      </c>
      <c r="F568">
        <f t="shared" si="172"/>
        <v>1</v>
      </c>
      <c r="G568">
        <f t="shared" si="173"/>
        <v>1</v>
      </c>
      <c r="H568">
        <f t="shared" si="174"/>
        <v>0</v>
      </c>
      <c r="I568">
        <f t="shared" si="175"/>
        <v>0</v>
      </c>
      <c r="J568">
        <f t="shared" si="176"/>
        <v>0</v>
      </c>
      <c r="K568" s="45">
        <f t="shared" si="177"/>
        <v>0.25</v>
      </c>
      <c r="L568" s="45">
        <f t="shared" si="178"/>
        <v>0</v>
      </c>
      <c r="M568" s="45">
        <f t="shared" si="179"/>
        <v>0</v>
      </c>
      <c r="N568" s="45">
        <f t="shared" si="180"/>
        <v>0</v>
      </c>
      <c r="O568" s="45">
        <f t="shared" si="181"/>
        <v>0.25</v>
      </c>
      <c r="P568" s="45">
        <f t="shared" si="182"/>
        <v>0.25</v>
      </c>
      <c r="Q568" s="45">
        <f t="shared" si="183"/>
        <v>0.25</v>
      </c>
      <c r="R568" s="45">
        <f t="shared" si="184"/>
        <v>0</v>
      </c>
      <c r="S568" s="45">
        <f t="shared" si="185"/>
        <v>0</v>
      </c>
      <c r="T568" s="45">
        <f t="shared" si="186"/>
        <v>0</v>
      </c>
    </row>
    <row r="569" spans="1:20" x14ac:dyDescent="0.3">
      <c r="A569">
        <f t="shared" si="167"/>
        <v>1</v>
      </c>
      <c r="B569">
        <f t="shared" si="168"/>
        <v>0</v>
      </c>
      <c r="C569">
        <f t="shared" si="169"/>
        <v>0</v>
      </c>
      <c r="D569">
        <f t="shared" si="170"/>
        <v>0</v>
      </c>
      <c r="E569">
        <f t="shared" si="171"/>
        <v>1</v>
      </c>
      <c r="F569">
        <f t="shared" si="172"/>
        <v>1</v>
      </c>
      <c r="G569">
        <f t="shared" si="173"/>
        <v>1</v>
      </c>
      <c r="H569">
        <f t="shared" si="174"/>
        <v>0</v>
      </c>
      <c r="I569">
        <f t="shared" si="175"/>
        <v>0</v>
      </c>
      <c r="J569">
        <f t="shared" si="176"/>
        <v>1</v>
      </c>
      <c r="K569" s="45">
        <f t="shared" si="177"/>
        <v>0.2</v>
      </c>
      <c r="L569" s="45">
        <f t="shared" si="178"/>
        <v>0</v>
      </c>
      <c r="M569" s="45">
        <f t="shared" si="179"/>
        <v>0</v>
      </c>
      <c r="N569" s="45">
        <f t="shared" si="180"/>
        <v>0</v>
      </c>
      <c r="O569" s="45">
        <f t="shared" si="181"/>
        <v>0.2</v>
      </c>
      <c r="P569" s="45">
        <f t="shared" si="182"/>
        <v>0.2</v>
      </c>
      <c r="Q569" s="45">
        <f t="shared" si="183"/>
        <v>0.2</v>
      </c>
      <c r="R569" s="45">
        <f t="shared" si="184"/>
        <v>0</v>
      </c>
      <c r="S569" s="45">
        <f t="shared" si="185"/>
        <v>0</v>
      </c>
      <c r="T569" s="45">
        <f t="shared" si="186"/>
        <v>0.2</v>
      </c>
    </row>
    <row r="570" spans="1:20" x14ac:dyDescent="0.3">
      <c r="A570">
        <f t="shared" si="167"/>
        <v>1</v>
      </c>
      <c r="B570">
        <f t="shared" si="168"/>
        <v>0</v>
      </c>
      <c r="C570">
        <f t="shared" si="169"/>
        <v>0</v>
      </c>
      <c r="D570">
        <f t="shared" si="170"/>
        <v>0</v>
      </c>
      <c r="E570">
        <f t="shared" si="171"/>
        <v>1</v>
      </c>
      <c r="F570">
        <f t="shared" si="172"/>
        <v>1</v>
      </c>
      <c r="G570">
        <f t="shared" si="173"/>
        <v>1</v>
      </c>
      <c r="H570">
        <f t="shared" si="174"/>
        <v>0</v>
      </c>
      <c r="I570">
        <f t="shared" si="175"/>
        <v>1</v>
      </c>
      <c r="J570">
        <f t="shared" si="176"/>
        <v>0</v>
      </c>
      <c r="K570" s="45">
        <f t="shared" si="177"/>
        <v>0.2</v>
      </c>
      <c r="L570" s="45">
        <f t="shared" si="178"/>
        <v>0</v>
      </c>
      <c r="M570" s="45">
        <f t="shared" si="179"/>
        <v>0</v>
      </c>
      <c r="N570" s="45">
        <f t="shared" si="180"/>
        <v>0</v>
      </c>
      <c r="O570" s="45">
        <f t="shared" si="181"/>
        <v>0.2</v>
      </c>
      <c r="P570" s="45">
        <f t="shared" si="182"/>
        <v>0.2</v>
      </c>
      <c r="Q570" s="45">
        <f t="shared" si="183"/>
        <v>0.2</v>
      </c>
      <c r="R570" s="45">
        <f t="shared" si="184"/>
        <v>0</v>
      </c>
      <c r="S570" s="45">
        <f t="shared" si="185"/>
        <v>0.2</v>
      </c>
      <c r="T570" s="45">
        <f t="shared" si="186"/>
        <v>0</v>
      </c>
    </row>
    <row r="571" spans="1:20" x14ac:dyDescent="0.3">
      <c r="A571">
        <f t="shared" si="167"/>
        <v>1</v>
      </c>
      <c r="B571">
        <f t="shared" si="168"/>
        <v>0</v>
      </c>
      <c r="C571">
        <f t="shared" si="169"/>
        <v>0</v>
      </c>
      <c r="D571">
        <f t="shared" si="170"/>
        <v>0</v>
      </c>
      <c r="E571">
        <f t="shared" si="171"/>
        <v>1</v>
      </c>
      <c r="F571">
        <f t="shared" si="172"/>
        <v>1</v>
      </c>
      <c r="G571">
        <f t="shared" si="173"/>
        <v>1</v>
      </c>
      <c r="H571">
        <f t="shared" si="174"/>
        <v>0</v>
      </c>
      <c r="I571">
        <f t="shared" si="175"/>
        <v>1</v>
      </c>
      <c r="J571">
        <f t="shared" si="176"/>
        <v>1</v>
      </c>
      <c r="K571" s="45">
        <f t="shared" si="177"/>
        <v>0.16666666666666666</v>
      </c>
      <c r="L571" s="45">
        <f t="shared" si="178"/>
        <v>0</v>
      </c>
      <c r="M571" s="45">
        <f t="shared" si="179"/>
        <v>0</v>
      </c>
      <c r="N571" s="45">
        <f t="shared" si="180"/>
        <v>0</v>
      </c>
      <c r="O571" s="45">
        <f t="shared" si="181"/>
        <v>0.16666666666666666</v>
      </c>
      <c r="P571" s="45">
        <f t="shared" si="182"/>
        <v>0.16666666666666666</v>
      </c>
      <c r="Q571" s="45">
        <f t="shared" si="183"/>
        <v>0.16666666666666666</v>
      </c>
      <c r="R571" s="45">
        <f t="shared" si="184"/>
        <v>0</v>
      </c>
      <c r="S571" s="45">
        <f t="shared" si="185"/>
        <v>0.16666666666666666</v>
      </c>
      <c r="T571" s="45">
        <f t="shared" si="186"/>
        <v>0.16666666666666666</v>
      </c>
    </row>
    <row r="572" spans="1:20" x14ac:dyDescent="0.3">
      <c r="A572">
        <f t="shared" si="167"/>
        <v>1</v>
      </c>
      <c r="B572">
        <f t="shared" si="168"/>
        <v>0</v>
      </c>
      <c r="C572">
        <f t="shared" si="169"/>
        <v>0</v>
      </c>
      <c r="D572">
        <f t="shared" si="170"/>
        <v>0</v>
      </c>
      <c r="E572">
        <f t="shared" si="171"/>
        <v>1</v>
      </c>
      <c r="F572">
        <f t="shared" si="172"/>
        <v>1</v>
      </c>
      <c r="G572">
        <f t="shared" si="173"/>
        <v>1</v>
      </c>
      <c r="H572">
        <f t="shared" si="174"/>
        <v>1</v>
      </c>
      <c r="I572">
        <f t="shared" si="175"/>
        <v>0</v>
      </c>
      <c r="J572">
        <f t="shared" si="176"/>
        <v>0</v>
      </c>
      <c r="K572" s="45">
        <f t="shared" si="177"/>
        <v>0.2</v>
      </c>
      <c r="L572" s="45">
        <f t="shared" si="178"/>
        <v>0</v>
      </c>
      <c r="M572" s="45">
        <f t="shared" si="179"/>
        <v>0</v>
      </c>
      <c r="N572" s="45">
        <f t="shared" si="180"/>
        <v>0</v>
      </c>
      <c r="O572" s="45">
        <f t="shared" si="181"/>
        <v>0.2</v>
      </c>
      <c r="P572" s="45">
        <f t="shared" si="182"/>
        <v>0.2</v>
      </c>
      <c r="Q572" s="45">
        <f t="shared" si="183"/>
        <v>0.2</v>
      </c>
      <c r="R572" s="45">
        <f t="shared" si="184"/>
        <v>0.2</v>
      </c>
      <c r="S572" s="45">
        <f t="shared" si="185"/>
        <v>0</v>
      </c>
      <c r="T572" s="45">
        <f t="shared" si="186"/>
        <v>0</v>
      </c>
    </row>
    <row r="573" spans="1:20" x14ac:dyDescent="0.3">
      <c r="A573">
        <f t="shared" si="167"/>
        <v>1</v>
      </c>
      <c r="B573">
        <f t="shared" si="168"/>
        <v>0</v>
      </c>
      <c r="C573">
        <f t="shared" si="169"/>
        <v>0</v>
      </c>
      <c r="D573">
        <f t="shared" si="170"/>
        <v>0</v>
      </c>
      <c r="E573">
        <f t="shared" si="171"/>
        <v>1</v>
      </c>
      <c r="F573">
        <f t="shared" si="172"/>
        <v>1</v>
      </c>
      <c r="G573">
        <f t="shared" si="173"/>
        <v>1</v>
      </c>
      <c r="H573">
        <f t="shared" si="174"/>
        <v>1</v>
      </c>
      <c r="I573">
        <f t="shared" si="175"/>
        <v>0</v>
      </c>
      <c r="J573">
        <f t="shared" si="176"/>
        <v>1</v>
      </c>
      <c r="K573" s="45">
        <f t="shared" si="177"/>
        <v>0.16666666666666666</v>
      </c>
      <c r="L573" s="45">
        <f t="shared" si="178"/>
        <v>0</v>
      </c>
      <c r="M573" s="45">
        <f t="shared" si="179"/>
        <v>0</v>
      </c>
      <c r="N573" s="45">
        <f t="shared" si="180"/>
        <v>0</v>
      </c>
      <c r="O573" s="45">
        <f t="shared" si="181"/>
        <v>0.16666666666666666</v>
      </c>
      <c r="P573" s="45">
        <f t="shared" si="182"/>
        <v>0.16666666666666666</v>
      </c>
      <c r="Q573" s="45">
        <f t="shared" si="183"/>
        <v>0.16666666666666666</v>
      </c>
      <c r="R573" s="45">
        <f t="shared" si="184"/>
        <v>0.16666666666666666</v>
      </c>
      <c r="S573" s="45">
        <f t="shared" si="185"/>
        <v>0</v>
      </c>
      <c r="T573" s="45">
        <f t="shared" si="186"/>
        <v>0.16666666666666666</v>
      </c>
    </row>
    <row r="574" spans="1:20" x14ac:dyDescent="0.3">
      <c r="A574">
        <f t="shared" si="167"/>
        <v>1</v>
      </c>
      <c r="B574">
        <f t="shared" si="168"/>
        <v>0</v>
      </c>
      <c r="C574">
        <f t="shared" si="169"/>
        <v>0</v>
      </c>
      <c r="D574">
        <f t="shared" si="170"/>
        <v>0</v>
      </c>
      <c r="E574">
        <f t="shared" si="171"/>
        <v>1</v>
      </c>
      <c r="F574">
        <f t="shared" si="172"/>
        <v>1</v>
      </c>
      <c r="G574">
        <f t="shared" si="173"/>
        <v>1</v>
      </c>
      <c r="H574">
        <f t="shared" si="174"/>
        <v>1</v>
      </c>
      <c r="I574">
        <f t="shared" si="175"/>
        <v>1</v>
      </c>
      <c r="J574">
        <f t="shared" si="176"/>
        <v>0</v>
      </c>
      <c r="K574" s="45">
        <f t="shared" si="177"/>
        <v>0.16666666666666666</v>
      </c>
      <c r="L574" s="45">
        <f t="shared" si="178"/>
        <v>0</v>
      </c>
      <c r="M574" s="45">
        <f t="shared" si="179"/>
        <v>0</v>
      </c>
      <c r="N574" s="45">
        <f t="shared" si="180"/>
        <v>0</v>
      </c>
      <c r="O574" s="45">
        <f t="shared" si="181"/>
        <v>0.16666666666666666</v>
      </c>
      <c r="P574" s="45">
        <f t="shared" si="182"/>
        <v>0.16666666666666666</v>
      </c>
      <c r="Q574" s="45">
        <f t="shared" si="183"/>
        <v>0.16666666666666666</v>
      </c>
      <c r="R574" s="45">
        <f t="shared" si="184"/>
        <v>0.16666666666666666</v>
      </c>
      <c r="S574" s="45">
        <f t="shared" si="185"/>
        <v>0.16666666666666666</v>
      </c>
      <c r="T574" s="45">
        <f t="shared" si="186"/>
        <v>0</v>
      </c>
    </row>
    <row r="575" spans="1:20" x14ac:dyDescent="0.3">
      <c r="A575">
        <f t="shared" si="167"/>
        <v>1</v>
      </c>
      <c r="B575">
        <f t="shared" si="168"/>
        <v>0</v>
      </c>
      <c r="C575">
        <f t="shared" si="169"/>
        <v>0</v>
      </c>
      <c r="D575">
        <f t="shared" si="170"/>
        <v>0</v>
      </c>
      <c r="E575">
        <f t="shared" si="171"/>
        <v>1</v>
      </c>
      <c r="F575">
        <f t="shared" si="172"/>
        <v>1</v>
      </c>
      <c r="G575">
        <f t="shared" si="173"/>
        <v>1</v>
      </c>
      <c r="H575">
        <f t="shared" si="174"/>
        <v>1</v>
      </c>
      <c r="I575">
        <f t="shared" si="175"/>
        <v>1</v>
      </c>
      <c r="J575">
        <f t="shared" si="176"/>
        <v>1</v>
      </c>
      <c r="K575" s="45">
        <f t="shared" si="177"/>
        <v>0.14285714285714285</v>
      </c>
      <c r="L575" s="45">
        <f t="shared" si="178"/>
        <v>0</v>
      </c>
      <c r="M575" s="45">
        <f t="shared" si="179"/>
        <v>0</v>
      </c>
      <c r="N575" s="45">
        <f t="shared" si="180"/>
        <v>0</v>
      </c>
      <c r="O575" s="45">
        <f t="shared" si="181"/>
        <v>0.14285714285714285</v>
      </c>
      <c r="P575" s="45">
        <f t="shared" si="182"/>
        <v>0.14285714285714285</v>
      </c>
      <c r="Q575" s="45">
        <f t="shared" si="183"/>
        <v>0.14285714285714285</v>
      </c>
      <c r="R575" s="45">
        <f t="shared" si="184"/>
        <v>0.14285714285714285</v>
      </c>
      <c r="S575" s="45">
        <f t="shared" si="185"/>
        <v>0.14285714285714285</v>
      </c>
      <c r="T575" s="45">
        <f t="shared" si="186"/>
        <v>0.14285714285714285</v>
      </c>
    </row>
    <row r="576" spans="1:20" x14ac:dyDescent="0.3">
      <c r="A576">
        <f t="shared" si="167"/>
        <v>1</v>
      </c>
      <c r="B576">
        <f t="shared" si="168"/>
        <v>0</v>
      </c>
      <c r="C576">
        <f t="shared" si="169"/>
        <v>0</v>
      </c>
      <c r="D576">
        <f t="shared" si="170"/>
        <v>1</v>
      </c>
      <c r="E576">
        <f t="shared" si="171"/>
        <v>0</v>
      </c>
      <c r="F576">
        <f t="shared" si="172"/>
        <v>0</v>
      </c>
      <c r="G576">
        <f t="shared" si="173"/>
        <v>0</v>
      </c>
      <c r="H576">
        <f t="shared" si="174"/>
        <v>0</v>
      </c>
      <c r="I576">
        <f t="shared" si="175"/>
        <v>0</v>
      </c>
      <c r="J576">
        <f t="shared" si="176"/>
        <v>0</v>
      </c>
      <c r="K576" s="45">
        <f t="shared" si="177"/>
        <v>0.5</v>
      </c>
      <c r="L576" s="45">
        <f t="shared" si="178"/>
        <v>0</v>
      </c>
      <c r="M576" s="45">
        <f t="shared" si="179"/>
        <v>0</v>
      </c>
      <c r="N576" s="45">
        <f t="shared" si="180"/>
        <v>0.5</v>
      </c>
      <c r="O576" s="45">
        <f t="shared" si="181"/>
        <v>0</v>
      </c>
      <c r="P576" s="45">
        <f t="shared" si="182"/>
        <v>0</v>
      </c>
      <c r="Q576" s="45">
        <f t="shared" si="183"/>
        <v>0</v>
      </c>
      <c r="R576" s="45">
        <f t="shared" si="184"/>
        <v>0</v>
      </c>
      <c r="S576" s="45">
        <f t="shared" si="185"/>
        <v>0</v>
      </c>
      <c r="T576" s="45">
        <f t="shared" si="186"/>
        <v>0</v>
      </c>
    </row>
    <row r="577" spans="1:20" x14ac:dyDescent="0.3">
      <c r="A577">
        <f t="shared" si="167"/>
        <v>1</v>
      </c>
      <c r="B577">
        <f t="shared" si="168"/>
        <v>0</v>
      </c>
      <c r="C577">
        <f t="shared" si="169"/>
        <v>0</v>
      </c>
      <c r="D577">
        <f t="shared" si="170"/>
        <v>1</v>
      </c>
      <c r="E577">
        <f t="shared" si="171"/>
        <v>0</v>
      </c>
      <c r="F577">
        <f t="shared" si="172"/>
        <v>0</v>
      </c>
      <c r="G577">
        <f t="shared" si="173"/>
        <v>0</v>
      </c>
      <c r="H577">
        <f t="shared" si="174"/>
        <v>0</v>
      </c>
      <c r="I577">
        <f t="shared" si="175"/>
        <v>0</v>
      </c>
      <c r="J577">
        <f t="shared" si="176"/>
        <v>1</v>
      </c>
      <c r="K577" s="45">
        <f t="shared" si="177"/>
        <v>0.33333333333333331</v>
      </c>
      <c r="L577" s="45">
        <f t="shared" si="178"/>
        <v>0</v>
      </c>
      <c r="M577" s="45">
        <f t="shared" si="179"/>
        <v>0</v>
      </c>
      <c r="N577" s="45">
        <f t="shared" si="180"/>
        <v>0.33333333333333331</v>
      </c>
      <c r="O577" s="45">
        <f t="shared" si="181"/>
        <v>0</v>
      </c>
      <c r="P577" s="45">
        <f t="shared" si="182"/>
        <v>0</v>
      </c>
      <c r="Q577" s="45">
        <f t="shared" si="183"/>
        <v>0</v>
      </c>
      <c r="R577" s="45">
        <f t="shared" si="184"/>
        <v>0</v>
      </c>
      <c r="S577" s="45">
        <f t="shared" si="185"/>
        <v>0</v>
      </c>
      <c r="T577" s="45">
        <f t="shared" si="186"/>
        <v>0.33333333333333331</v>
      </c>
    </row>
    <row r="578" spans="1:20" x14ac:dyDescent="0.3">
      <c r="A578">
        <f t="shared" ref="A578:A641" si="187">INT( MOD(ROW()+0,1024)/512)</f>
        <v>1</v>
      </c>
      <c r="B578">
        <f t="shared" ref="B578:B641" si="188">INT( MOD(ROW()+0,512)/256)</f>
        <v>0</v>
      </c>
      <c r="C578">
        <f t="shared" ref="C578:C641" si="189">INT( MOD(ROW()+0,256)/128)</f>
        <v>0</v>
      </c>
      <c r="D578">
        <f t="shared" ref="D578:D641" si="190">INT( MOD(ROW()+0,128)/64)</f>
        <v>1</v>
      </c>
      <c r="E578">
        <f t="shared" ref="E578:E641" si="191">INT( MOD(ROW()+0,64)/32)</f>
        <v>0</v>
      </c>
      <c r="F578">
        <f t="shared" ref="F578:F641" si="192">INT( MOD(ROW()+0,32)/16)</f>
        <v>0</v>
      </c>
      <c r="G578">
        <f t="shared" ref="G578:G641" si="193">INT( MOD(ROW()+0,16)/8)</f>
        <v>0</v>
      </c>
      <c r="H578">
        <f t="shared" ref="H578:H641" si="194">INT( MOD(ROW()+0,8)/4)</f>
        <v>0</v>
      </c>
      <c r="I578">
        <f t="shared" ref="I578:I641" si="195">INT( MOD(ROW()+0,4)/2)</f>
        <v>1</v>
      </c>
      <c r="J578">
        <f t="shared" ref="J578:J641" si="196">INT( MOD(ROW()+0,2)/1)</f>
        <v>0</v>
      </c>
      <c r="K578" s="45">
        <f t="shared" ref="K578:K641" si="197">A578/SUM($A578:$J578)</f>
        <v>0.33333333333333331</v>
      </c>
      <c r="L578" s="45">
        <f t="shared" ref="L578:L641" si="198">B578/SUM($A578:$J578)</f>
        <v>0</v>
      </c>
      <c r="M578" s="45">
        <f t="shared" ref="M578:M641" si="199">C578/SUM($A578:$J578)</f>
        <v>0</v>
      </c>
      <c r="N578" s="45">
        <f t="shared" ref="N578:N641" si="200">D578/SUM($A578:$J578)</f>
        <v>0.33333333333333331</v>
      </c>
      <c r="O578" s="45">
        <f t="shared" ref="O578:O641" si="201">E578/SUM($A578:$J578)</f>
        <v>0</v>
      </c>
      <c r="P578" s="45">
        <f t="shared" ref="P578:P641" si="202">F578/SUM($A578:$J578)</f>
        <v>0</v>
      </c>
      <c r="Q578" s="45">
        <f t="shared" ref="Q578:Q641" si="203">G578/SUM($A578:$J578)</f>
        <v>0</v>
      </c>
      <c r="R578" s="45">
        <f t="shared" ref="R578:R641" si="204">H578/SUM($A578:$J578)</f>
        <v>0</v>
      </c>
      <c r="S578" s="45">
        <f t="shared" ref="S578:S641" si="205">I578/SUM($A578:$J578)</f>
        <v>0.33333333333333331</v>
      </c>
      <c r="T578" s="45">
        <f t="shared" ref="T578:T641" si="206">J578/SUM($A578:$J578)</f>
        <v>0</v>
      </c>
    </row>
    <row r="579" spans="1:20" x14ac:dyDescent="0.3">
      <c r="A579">
        <f t="shared" si="187"/>
        <v>1</v>
      </c>
      <c r="B579">
        <f t="shared" si="188"/>
        <v>0</v>
      </c>
      <c r="C579">
        <f t="shared" si="189"/>
        <v>0</v>
      </c>
      <c r="D579">
        <f t="shared" si="190"/>
        <v>1</v>
      </c>
      <c r="E579">
        <f t="shared" si="191"/>
        <v>0</v>
      </c>
      <c r="F579">
        <f t="shared" si="192"/>
        <v>0</v>
      </c>
      <c r="G579">
        <f t="shared" si="193"/>
        <v>0</v>
      </c>
      <c r="H579">
        <f t="shared" si="194"/>
        <v>0</v>
      </c>
      <c r="I579">
        <f t="shared" si="195"/>
        <v>1</v>
      </c>
      <c r="J579">
        <f t="shared" si="196"/>
        <v>1</v>
      </c>
      <c r="K579" s="45">
        <f t="shared" si="197"/>
        <v>0.25</v>
      </c>
      <c r="L579" s="45">
        <f t="shared" si="198"/>
        <v>0</v>
      </c>
      <c r="M579" s="45">
        <f t="shared" si="199"/>
        <v>0</v>
      </c>
      <c r="N579" s="45">
        <f t="shared" si="200"/>
        <v>0.25</v>
      </c>
      <c r="O579" s="45">
        <f t="shared" si="201"/>
        <v>0</v>
      </c>
      <c r="P579" s="45">
        <f t="shared" si="202"/>
        <v>0</v>
      </c>
      <c r="Q579" s="45">
        <f t="shared" si="203"/>
        <v>0</v>
      </c>
      <c r="R579" s="45">
        <f t="shared" si="204"/>
        <v>0</v>
      </c>
      <c r="S579" s="45">
        <f t="shared" si="205"/>
        <v>0.25</v>
      </c>
      <c r="T579" s="45">
        <f t="shared" si="206"/>
        <v>0.25</v>
      </c>
    </row>
    <row r="580" spans="1:20" x14ac:dyDescent="0.3">
      <c r="A580">
        <f t="shared" si="187"/>
        <v>1</v>
      </c>
      <c r="B580">
        <f t="shared" si="188"/>
        <v>0</v>
      </c>
      <c r="C580">
        <f t="shared" si="189"/>
        <v>0</v>
      </c>
      <c r="D580">
        <f t="shared" si="190"/>
        <v>1</v>
      </c>
      <c r="E580">
        <f t="shared" si="191"/>
        <v>0</v>
      </c>
      <c r="F580">
        <f t="shared" si="192"/>
        <v>0</v>
      </c>
      <c r="G580">
        <f t="shared" si="193"/>
        <v>0</v>
      </c>
      <c r="H580">
        <f t="shared" si="194"/>
        <v>1</v>
      </c>
      <c r="I580">
        <f t="shared" si="195"/>
        <v>0</v>
      </c>
      <c r="J580">
        <f t="shared" si="196"/>
        <v>0</v>
      </c>
      <c r="K580" s="45">
        <f t="shared" si="197"/>
        <v>0.33333333333333331</v>
      </c>
      <c r="L580" s="45">
        <f t="shared" si="198"/>
        <v>0</v>
      </c>
      <c r="M580" s="45">
        <f t="shared" si="199"/>
        <v>0</v>
      </c>
      <c r="N580" s="45">
        <f t="shared" si="200"/>
        <v>0.33333333333333331</v>
      </c>
      <c r="O580" s="45">
        <f t="shared" si="201"/>
        <v>0</v>
      </c>
      <c r="P580" s="45">
        <f t="shared" si="202"/>
        <v>0</v>
      </c>
      <c r="Q580" s="45">
        <f t="shared" si="203"/>
        <v>0</v>
      </c>
      <c r="R580" s="45">
        <f t="shared" si="204"/>
        <v>0.33333333333333331</v>
      </c>
      <c r="S580" s="45">
        <f t="shared" si="205"/>
        <v>0</v>
      </c>
      <c r="T580" s="45">
        <f t="shared" si="206"/>
        <v>0</v>
      </c>
    </row>
    <row r="581" spans="1:20" x14ac:dyDescent="0.3">
      <c r="A581">
        <f t="shared" si="187"/>
        <v>1</v>
      </c>
      <c r="B581">
        <f t="shared" si="188"/>
        <v>0</v>
      </c>
      <c r="C581">
        <f t="shared" si="189"/>
        <v>0</v>
      </c>
      <c r="D581">
        <f t="shared" si="190"/>
        <v>1</v>
      </c>
      <c r="E581">
        <f t="shared" si="191"/>
        <v>0</v>
      </c>
      <c r="F581">
        <f t="shared" si="192"/>
        <v>0</v>
      </c>
      <c r="G581">
        <f t="shared" si="193"/>
        <v>0</v>
      </c>
      <c r="H581">
        <f t="shared" si="194"/>
        <v>1</v>
      </c>
      <c r="I581">
        <f t="shared" si="195"/>
        <v>0</v>
      </c>
      <c r="J581">
        <f t="shared" si="196"/>
        <v>1</v>
      </c>
      <c r="K581" s="45">
        <f t="shared" si="197"/>
        <v>0.25</v>
      </c>
      <c r="L581" s="45">
        <f t="shared" si="198"/>
        <v>0</v>
      </c>
      <c r="M581" s="45">
        <f t="shared" si="199"/>
        <v>0</v>
      </c>
      <c r="N581" s="45">
        <f t="shared" si="200"/>
        <v>0.25</v>
      </c>
      <c r="O581" s="45">
        <f t="shared" si="201"/>
        <v>0</v>
      </c>
      <c r="P581" s="45">
        <f t="shared" si="202"/>
        <v>0</v>
      </c>
      <c r="Q581" s="45">
        <f t="shared" si="203"/>
        <v>0</v>
      </c>
      <c r="R581" s="45">
        <f t="shared" si="204"/>
        <v>0.25</v>
      </c>
      <c r="S581" s="45">
        <f t="shared" si="205"/>
        <v>0</v>
      </c>
      <c r="T581" s="45">
        <f t="shared" si="206"/>
        <v>0.25</v>
      </c>
    </row>
    <row r="582" spans="1:20" x14ac:dyDescent="0.3">
      <c r="A582">
        <f t="shared" si="187"/>
        <v>1</v>
      </c>
      <c r="B582">
        <f t="shared" si="188"/>
        <v>0</v>
      </c>
      <c r="C582">
        <f t="shared" si="189"/>
        <v>0</v>
      </c>
      <c r="D582">
        <f t="shared" si="190"/>
        <v>1</v>
      </c>
      <c r="E582">
        <f t="shared" si="191"/>
        <v>0</v>
      </c>
      <c r="F582">
        <f t="shared" si="192"/>
        <v>0</v>
      </c>
      <c r="G582">
        <f t="shared" si="193"/>
        <v>0</v>
      </c>
      <c r="H582">
        <f t="shared" si="194"/>
        <v>1</v>
      </c>
      <c r="I582">
        <f t="shared" si="195"/>
        <v>1</v>
      </c>
      <c r="J582">
        <f t="shared" si="196"/>
        <v>0</v>
      </c>
      <c r="K582" s="45">
        <f t="shared" si="197"/>
        <v>0.25</v>
      </c>
      <c r="L582" s="45">
        <f t="shared" si="198"/>
        <v>0</v>
      </c>
      <c r="M582" s="45">
        <f t="shared" si="199"/>
        <v>0</v>
      </c>
      <c r="N582" s="45">
        <f t="shared" si="200"/>
        <v>0.25</v>
      </c>
      <c r="O582" s="45">
        <f t="shared" si="201"/>
        <v>0</v>
      </c>
      <c r="P582" s="45">
        <f t="shared" si="202"/>
        <v>0</v>
      </c>
      <c r="Q582" s="45">
        <f t="shared" si="203"/>
        <v>0</v>
      </c>
      <c r="R582" s="45">
        <f t="shared" si="204"/>
        <v>0.25</v>
      </c>
      <c r="S582" s="45">
        <f t="shared" si="205"/>
        <v>0.25</v>
      </c>
      <c r="T582" s="45">
        <f t="shared" si="206"/>
        <v>0</v>
      </c>
    </row>
    <row r="583" spans="1:20" x14ac:dyDescent="0.3">
      <c r="A583">
        <f t="shared" si="187"/>
        <v>1</v>
      </c>
      <c r="B583">
        <f t="shared" si="188"/>
        <v>0</v>
      </c>
      <c r="C583">
        <f t="shared" si="189"/>
        <v>0</v>
      </c>
      <c r="D583">
        <f t="shared" si="190"/>
        <v>1</v>
      </c>
      <c r="E583">
        <f t="shared" si="191"/>
        <v>0</v>
      </c>
      <c r="F583">
        <f t="shared" si="192"/>
        <v>0</v>
      </c>
      <c r="G583">
        <f t="shared" si="193"/>
        <v>0</v>
      </c>
      <c r="H583">
        <f t="shared" si="194"/>
        <v>1</v>
      </c>
      <c r="I583">
        <f t="shared" si="195"/>
        <v>1</v>
      </c>
      <c r="J583">
        <f t="shared" si="196"/>
        <v>1</v>
      </c>
      <c r="K583" s="45">
        <f t="shared" si="197"/>
        <v>0.2</v>
      </c>
      <c r="L583" s="45">
        <f t="shared" si="198"/>
        <v>0</v>
      </c>
      <c r="M583" s="45">
        <f t="shared" si="199"/>
        <v>0</v>
      </c>
      <c r="N583" s="45">
        <f t="shared" si="200"/>
        <v>0.2</v>
      </c>
      <c r="O583" s="45">
        <f t="shared" si="201"/>
        <v>0</v>
      </c>
      <c r="P583" s="45">
        <f t="shared" si="202"/>
        <v>0</v>
      </c>
      <c r="Q583" s="45">
        <f t="shared" si="203"/>
        <v>0</v>
      </c>
      <c r="R583" s="45">
        <f t="shared" si="204"/>
        <v>0.2</v>
      </c>
      <c r="S583" s="45">
        <f t="shared" si="205"/>
        <v>0.2</v>
      </c>
      <c r="T583" s="45">
        <f t="shared" si="206"/>
        <v>0.2</v>
      </c>
    </row>
    <row r="584" spans="1:20" x14ac:dyDescent="0.3">
      <c r="A584">
        <f t="shared" si="187"/>
        <v>1</v>
      </c>
      <c r="B584">
        <f t="shared" si="188"/>
        <v>0</v>
      </c>
      <c r="C584">
        <f t="shared" si="189"/>
        <v>0</v>
      </c>
      <c r="D584">
        <f t="shared" si="190"/>
        <v>1</v>
      </c>
      <c r="E584">
        <f t="shared" si="191"/>
        <v>0</v>
      </c>
      <c r="F584">
        <f t="shared" si="192"/>
        <v>0</v>
      </c>
      <c r="G584">
        <f t="shared" si="193"/>
        <v>1</v>
      </c>
      <c r="H584">
        <f t="shared" si="194"/>
        <v>0</v>
      </c>
      <c r="I584">
        <f t="shared" si="195"/>
        <v>0</v>
      </c>
      <c r="J584">
        <f t="shared" si="196"/>
        <v>0</v>
      </c>
      <c r="K584" s="45">
        <f t="shared" si="197"/>
        <v>0.33333333333333331</v>
      </c>
      <c r="L584" s="45">
        <f t="shared" si="198"/>
        <v>0</v>
      </c>
      <c r="M584" s="45">
        <f t="shared" si="199"/>
        <v>0</v>
      </c>
      <c r="N584" s="45">
        <f t="shared" si="200"/>
        <v>0.33333333333333331</v>
      </c>
      <c r="O584" s="45">
        <f t="shared" si="201"/>
        <v>0</v>
      </c>
      <c r="P584" s="45">
        <f t="shared" si="202"/>
        <v>0</v>
      </c>
      <c r="Q584" s="45">
        <f t="shared" si="203"/>
        <v>0.33333333333333331</v>
      </c>
      <c r="R584" s="45">
        <f t="shared" si="204"/>
        <v>0</v>
      </c>
      <c r="S584" s="45">
        <f t="shared" si="205"/>
        <v>0</v>
      </c>
      <c r="T584" s="45">
        <f t="shared" si="206"/>
        <v>0</v>
      </c>
    </row>
    <row r="585" spans="1:20" x14ac:dyDescent="0.3">
      <c r="A585">
        <f t="shared" si="187"/>
        <v>1</v>
      </c>
      <c r="B585">
        <f t="shared" si="188"/>
        <v>0</v>
      </c>
      <c r="C585">
        <f t="shared" si="189"/>
        <v>0</v>
      </c>
      <c r="D585">
        <f t="shared" si="190"/>
        <v>1</v>
      </c>
      <c r="E585">
        <f t="shared" si="191"/>
        <v>0</v>
      </c>
      <c r="F585">
        <f t="shared" si="192"/>
        <v>0</v>
      </c>
      <c r="G585">
        <f t="shared" si="193"/>
        <v>1</v>
      </c>
      <c r="H585">
        <f t="shared" si="194"/>
        <v>0</v>
      </c>
      <c r="I585">
        <f t="shared" si="195"/>
        <v>0</v>
      </c>
      <c r="J585">
        <f t="shared" si="196"/>
        <v>1</v>
      </c>
      <c r="K585" s="45">
        <f t="shared" si="197"/>
        <v>0.25</v>
      </c>
      <c r="L585" s="45">
        <f t="shared" si="198"/>
        <v>0</v>
      </c>
      <c r="M585" s="45">
        <f t="shared" si="199"/>
        <v>0</v>
      </c>
      <c r="N585" s="45">
        <f t="shared" si="200"/>
        <v>0.25</v>
      </c>
      <c r="O585" s="45">
        <f t="shared" si="201"/>
        <v>0</v>
      </c>
      <c r="P585" s="45">
        <f t="shared" si="202"/>
        <v>0</v>
      </c>
      <c r="Q585" s="45">
        <f t="shared" si="203"/>
        <v>0.25</v>
      </c>
      <c r="R585" s="45">
        <f t="shared" si="204"/>
        <v>0</v>
      </c>
      <c r="S585" s="45">
        <f t="shared" si="205"/>
        <v>0</v>
      </c>
      <c r="T585" s="45">
        <f t="shared" si="206"/>
        <v>0.25</v>
      </c>
    </row>
    <row r="586" spans="1:20" x14ac:dyDescent="0.3">
      <c r="A586">
        <f t="shared" si="187"/>
        <v>1</v>
      </c>
      <c r="B586">
        <f t="shared" si="188"/>
        <v>0</v>
      </c>
      <c r="C586">
        <f t="shared" si="189"/>
        <v>0</v>
      </c>
      <c r="D586">
        <f t="shared" si="190"/>
        <v>1</v>
      </c>
      <c r="E586">
        <f t="shared" si="191"/>
        <v>0</v>
      </c>
      <c r="F586">
        <f t="shared" si="192"/>
        <v>0</v>
      </c>
      <c r="G586">
        <f t="shared" si="193"/>
        <v>1</v>
      </c>
      <c r="H586">
        <f t="shared" si="194"/>
        <v>0</v>
      </c>
      <c r="I586">
        <f t="shared" si="195"/>
        <v>1</v>
      </c>
      <c r="J586">
        <f t="shared" si="196"/>
        <v>0</v>
      </c>
      <c r="K586" s="45">
        <f t="shared" si="197"/>
        <v>0.25</v>
      </c>
      <c r="L586" s="45">
        <f t="shared" si="198"/>
        <v>0</v>
      </c>
      <c r="M586" s="45">
        <f t="shared" si="199"/>
        <v>0</v>
      </c>
      <c r="N586" s="45">
        <f t="shared" si="200"/>
        <v>0.25</v>
      </c>
      <c r="O586" s="45">
        <f t="shared" si="201"/>
        <v>0</v>
      </c>
      <c r="P586" s="45">
        <f t="shared" si="202"/>
        <v>0</v>
      </c>
      <c r="Q586" s="45">
        <f t="shared" si="203"/>
        <v>0.25</v>
      </c>
      <c r="R586" s="45">
        <f t="shared" si="204"/>
        <v>0</v>
      </c>
      <c r="S586" s="45">
        <f t="shared" si="205"/>
        <v>0.25</v>
      </c>
      <c r="T586" s="45">
        <f t="shared" si="206"/>
        <v>0</v>
      </c>
    </row>
    <row r="587" spans="1:20" x14ac:dyDescent="0.3">
      <c r="A587">
        <f t="shared" si="187"/>
        <v>1</v>
      </c>
      <c r="B587">
        <f t="shared" si="188"/>
        <v>0</v>
      </c>
      <c r="C587">
        <f t="shared" si="189"/>
        <v>0</v>
      </c>
      <c r="D587">
        <f t="shared" si="190"/>
        <v>1</v>
      </c>
      <c r="E587">
        <f t="shared" si="191"/>
        <v>0</v>
      </c>
      <c r="F587">
        <f t="shared" si="192"/>
        <v>0</v>
      </c>
      <c r="G587">
        <f t="shared" si="193"/>
        <v>1</v>
      </c>
      <c r="H587">
        <f t="shared" si="194"/>
        <v>0</v>
      </c>
      <c r="I587">
        <f t="shared" si="195"/>
        <v>1</v>
      </c>
      <c r="J587">
        <f t="shared" si="196"/>
        <v>1</v>
      </c>
      <c r="K587" s="45">
        <f t="shared" si="197"/>
        <v>0.2</v>
      </c>
      <c r="L587" s="45">
        <f t="shared" si="198"/>
        <v>0</v>
      </c>
      <c r="M587" s="45">
        <f t="shared" si="199"/>
        <v>0</v>
      </c>
      <c r="N587" s="45">
        <f t="shared" si="200"/>
        <v>0.2</v>
      </c>
      <c r="O587" s="45">
        <f t="shared" si="201"/>
        <v>0</v>
      </c>
      <c r="P587" s="45">
        <f t="shared" si="202"/>
        <v>0</v>
      </c>
      <c r="Q587" s="45">
        <f t="shared" si="203"/>
        <v>0.2</v>
      </c>
      <c r="R587" s="45">
        <f t="shared" si="204"/>
        <v>0</v>
      </c>
      <c r="S587" s="45">
        <f t="shared" si="205"/>
        <v>0.2</v>
      </c>
      <c r="T587" s="45">
        <f t="shared" si="206"/>
        <v>0.2</v>
      </c>
    </row>
    <row r="588" spans="1:20" x14ac:dyDescent="0.3">
      <c r="A588">
        <f t="shared" si="187"/>
        <v>1</v>
      </c>
      <c r="B588">
        <f t="shared" si="188"/>
        <v>0</v>
      </c>
      <c r="C588">
        <f t="shared" si="189"/>
        <v>0</v>
      </c>
      <c r="D588">
        <f t="shared" si="190"/>
        <v>1</v>
      </c>
      <c r="E588">
        <f t="shared" si="191"/>
        <v>0</v>
      </c>
      <c r="F588">
        <f t="shared" si="192"/>
        <v>0</v>
      </c>
      <c r="G588">
        <f t="shared" si="193"/>
        <v>1</v>
      </c>
      <c r="H588">
        <f t="shared" si="194"/>
        <v>1</v>
      </c>
      <c r="I588">
        <f t="shared" si="195"/>
        <v>0</v>
      </c>
      <c r="J588">
        <f t="shared" si="196"/>
        <v>0</v>
      </c>
      <c r="K588" s="45">
        <f t="shared" si="197"/>
        <v>0.25</v>
      </c>
      <c r="L588" s="45">
        <f t="shared" si="198"/>
        <v>0</v>
      </c>
      <c r="M588" s="45">
        <f t="shared" si="199"/>
        <v>0</v>
      </c>
      <c r="N588" s="45">
        <f t="shared" si="200"/>
        <v>0.25</v>
      </c>
      <c r="O588" s="45">
        <f t="shared" si="201"/>
        <v>0</v>
      </c>
      <c r="P588" s="45">
        <f t="shared" si="202"/>
        <v>0</v>
      </c>
      <c r="Q588" s="45">
        <f t="shared" si="203"/>
        <v>0.25</v>
      </c>
      <c r="R588" s="45">
        <f t="shared" si="204"/>
        <v>0.25</v>
      </c>
      <c r="S588" s="45">
        <f t="shared" si="205"/>
        <v>0</v>
      </c>
      <c r="T588" s="45">
        <f t="shared" si="206"/>
        <v>0</v>
      </c>
    </row>
    <row r="589" spans="1:20" x14ac:dyDescent="0.3">
      <c r="A589">
        <f t="shared" si="187"/>
        <v>1</v>
      </c>
      <c r="B589">
        <f t="shared" si="188"/>
        <v>0</v>
      </c>
      <c r="C589">
        <f t="shared" si="189"/>
        <v>0</v>
      </c>
      <c r="D589">
        <f t="shared" si="190"/>
        <v>1</v>
      </c>
      <c r="E589">
        <f t="shared" si="191"/>
        <v>0</v>
      </c>
      <c r="F589">
        <f t="shared" si="192"/>
        <v>0</v>
      </c>
      <c r="G589">
        <f t="shared" si="193"/>
        <v>1</v>
      </c>
      <c r="H589">
        <f t="shared" si="194"/>
        <v>1</v>
      </c>
      <c r="I589">
        <f t="shared" si="195"/>
        <v>0</v>
      </c>
      <c r="J589">
        <f t="shared" si="196"/>
        <v>1</v>
      </c>
      <c r="K589" s="45">
        <f t="shared" si="197"/>
        <v>0.2</v>
      </c>
      <c r="L589" s="45">
        <f t="shared" si="198"/>
        <v>0</v>
      </c>
      <c r="M589" s="45">
        <f t="shared" si="199"/>
        <v>0</v>
      </c>
      <c r="N589" s="45">
        <f t="shared" si="200"/>
        <v>0.2</v>
      </c>
      <c r="O589" s="45">
        <f t="shared" si="201"/>
        <v>0</v>
      </c>
      <c r="P589" s="45">
        <f t="shared" si="202"/>
        <v>0</v>
      </c>
      <c r="Q589" s="45">
        <f t="shared" si="203"/>
        <v>0.2</v>
      </c>
      <c r="R589" s="45">
        <f t="shared" si="204"/>
        <v>0.2</v>
      </c>
      <c r="S589" s="45">
        <f t="shared" si="205"/>
        <v>0</v>
      </c>
      <c r="T589" s="45">
        <f t="shared" si="206"/>
        <v>0.2</v>
      </c>
    </row>
    <row r="590" spans="1:20" x14ac:dyDescent="0.3">
      <c r="A590">
        <f t="shared" si="187"/>
        <v>1</v>
      </c>
      <c r="B590">
        <f t="shared" si="188"/>
        <v>0</v>
      </c>
      <c r="C590">
        <f t="shared" si="189"/>
        <v>0</v>
      </c>
      <c r="D590">
        <f t="shared" si="190"/>
        <v>1</v>
      </c>
      <c r="E590">
        <f t="shared" si="191"/>
        <v>0</v>
      </c>
      <c r="F590">
        <f t="shared" si="192"/>
        <v>0</v>
      </c>
      <c r="G590">
        <f t="shared" si="193"/>
        <v>1</v>
      </c>
      <c r="H590">
        <f t="shared" si="194"/>
        <v>1</v>
      </c>
      <c r="I590">
        <f t="shared" si="195"/>
        <v>1</v>
      </c>
      <c r="J590">
        <f t="shared" si="196"/>
        <v>0</v>
      </c>
      <c r="K590" s="45">
        <f t="shared" si="197"/>
        <v>0.2</v>
      </c>
      <c r="L590" s="45">
        <f t="shared" si="198"/>
        <v>0</v>
      </c>
      <c r="M590" s="45">
        <f t="shared" si="199"/>
        <v>0</v>
      </c>
      <c r="N590" s="45">
        <f t="shared" si="200"/>
        <v>0.2</v>
      </c>
      <c r="O590" s="45">
        <f t="shared" si="201"/>
        <v>0</v>
      </c>
      <c r="P590" s="45">
        <f t="shared" si="202"/>
        <v>0</v>
      </c>
      <c r="Q590" s="45">
        <f t="shared" si="203"/>
        <v>0.2</v>
      </c>
      <c r="R590" s="45">
        <f t="shared" si="204"/>
        <v>0.2</v>
      </c>
      <c r="S590" s="45">
        <f t="shared" si="205"/>
        <v>0.2</v>
      </c>
      <c r="T590" s="45">
        <f t="shared" si="206"/>
        <v>0</v>
      </c>
    </row>
    <row r="591" spans="1:20" x14ac:dyDescent="0.3">
      <c r="A591">
        <f t="shared" si="187"/>
        <v>1</v>
      </c>
      <c r="B591">
        <f t="shared" si="188"/>
        <v>0</v>
      </c>
      <c r="C591">
        <f t="shared" si="189"/>
        <v>0</v>
      </c>
      <c r="D591">
        <f t="shared" si="190"/>
        <v>1</v>
      </c>
      <c r="E591">
        <f t="shared" si="191"/>
        <v>0</v>
      </c>
      <c r="F591">
        <f t="shared" si="192"/>
        <v>0</v>
      </c>
      <c r="G591">
        <f t="shared" si="193"/>
        <v>1</v>
      </c>
      <c r="H591">
        <f t="shared" si="194"/>
        <v>1</v>
      </c>
      <c r="I591">
        <f t="shared" si="195"/>
        <v>1</v>
      </c>
      <c r="J591">
        <f t="shared" si="196"/>
        <v>1</v>
      </c>
      <c r="K591" s="45">
        <f t="shared" si="197"/>
        <v>0.16666666666666666</v>
      </c>
      <c r="L591" s="45">
        <f t="shared" si="198"/>
        <v>0</v>
      </c>
      <c r="M591" s="45">
        <f t="shared" si="199"/>
        <v>0</v>
      </c>
      <c r="N591" s="45">
        <f t="shared" si="200"/>
        <v>0.16666666666666666</v>
      </c>
      <c r="O591" s="45">
        <f t="shared" si="201"/>
        <v>0</v>
      </c>
      <c r="P591" s="45">
        <f t="shared" si="202"/>
        <v>0</v>
      </c>
      <c r="Q591" s="45">
        <f t="shared" si="203"/>
        <v>0.16666666666666666</v>
      </c>
      <c r="R591" s="45">
        <f t="shared" si="204"/>
        <v>0.16666666666666666</v>
      </c>
      <c r="S591" s="45">
        <f t="shared" si="205"/>
        <v>0.16666666666666666</v>
      </c>
      <c r="T591" s="45">
        <f t="shared" si="206"/>
        <v>0.16666666666666666</v>
      </c>
    </row>
    <row r="592" spans="1:20" x14ac:dyDescent="0.3">
      <c r="A592">
        <f t="shared" si="187"/>
        <v>1</v>
      </c>
      <c r="B592">
        <f t="shared" si="188"/>
        <v>0</v>
      </c>
      <c r="C592">
        <f t="shared" si="189"/>
        <v>0</v>
      </c>
      <c r="D592">
        <f t="shared" si="190"/>
        <v>1</v>
      </c>
      <c r="E592">
        <f t="shared" si="191"/>
        <v>0</v>
      </c>
      <c r="F592">
        <f t="shared" si="192"/>
        <v>1</v>
      </c>
      <c r="G592">
        <f t="shared" si="193"/>
        <v>0</v>
      </c>
      <c r="H592">
        <f t="shared" si="194"/>
        <v>0</v>
      </c>
      <c r="I592">
        <f t="shared" si="195"/>
        <v>0</v>
      </c>
      <c r="J592">
        <f t="shared" si="196"/>
        <v>0</v>
      </c>
      <c r="K592" s="45">
        <f t="shared" si="197"/>
        <v>0.33333333333333331</v>
      </c>
      <c r="L592" s="45">
        <f t="shared" si="198"/>
        <v>0</v>
      </c>
      <c r="M592" s="45">
        <f t="shared" si="199"/>
        <v>0</v>
      </c>
      <c r="N592" s="45">
        <f t="shared" si="200"/>
        <v>0.33333333333333331</v>
      </c>
      <c r="O592" s="45">
        <f t="shared" si="201"/>
        <v>0</v>
      </c>
      <c r="P592" s="45">
        <f t="shared" si="202"/>
        <v>0.33333333333333331</v>
      </c>
      <c r="Q592" s="45">
        <f t="shared" si="203"/>
        <v>0</v>
      </c>
      <c r="R592" s="45">
        <f t="shared" si="204"/>
        <v>0</v>
      </c>
      <c r="S592" s="45">
        <f t="shared" si="205"/>
        <v>0</v>
      </c>
      <c r="T592" s="45">
        <f t="shared" si="206"/>
        <v>0</v>
      </c>
    </row>
    <row r="593" spans="1:20" x14ac:dyDescent="0.3">
      <c r="A593">
        <f t="shared" si="187"/>
        <v>1</v>
      </c>
      <c r="B593">
        <f t="shared" si="188"/>
        <v>0</v>
      </c>
      <c r="C593">
        <f t="shared" si="189"/>
        <v>0</v>
      </c>
      <c r="D593">
        <f t="shared" si="190"/>
        <v>1</v>
      </c>
      <c r="E593">
        <f t="shared" si="191"/>
        <v>0</v>
      </c>
      <c r="F593">
        <f t="shared" si="192"/>
        <v>1</v>
      </c>
      <c r="G593">
        <f t="shared" si="193"/>
        <v>0</v>
      </c>
      <c r="H593">
        <f t="shared" si="194"/>
        <v>0</v>
      </c>
      <c r="I593">
        <f t="shared" si="195"/>
        <v>0</v>
      </c>
      <c r="J593">
        <f t="shared" si="196"/>
        <v>1</v>
      </c>
      <c r="K593" s="45">
        <f t="shared" si="197"/>
        <v>0.25</v>
      </c>
      <c r="L593" s="45">
        <f t="shared" si="198"/>
        <v>0</v>
      </c>
      <c r="M593" s="45">
        <f t="shared" si="199"/>
        <v>0</v>
      </c>
      <c r="N593" s="45">
        <f t="shared" si="200"/>
        <v>0.25</v>
      </c>
      <c r="O593" s="45">
        <f t="shared" si="201"/>
        <v>0</v>
      </c>
      <c r="P593" s="45">
        <f t="shared" si="202"/>
        <v>0.25</v>
      </c>
      <c r="Q593" s="45">
        <f t="shared" si="203"/>
        <v>0</v>
      </c>
      <c r="R593" s="45">
        <f t="shared" si="204"/>
        <v>0</v>
      </c>
      <c r="S593" s="45">
        <f t="shared" si="205"/>
        <v>0</v>
      </c>
      <c r="T593" s="45">
        <f t="shared" si="206"/>
        <v>0.25</v>
      </c>
    </row>
    <row r="594" spans="1:20" x14ac:dyDescent="0.3">
      <c r="A594">
        <f t="shared" si="187"/>
        <v>1</v>
      </c>
      <c r="B594">
        <f t="shared" si="188"/>
        <v>0</v>
      </c>
      <c r="C594">
        <f t="shared" si="189"/>
        <v>0</v>
      </c>
      <c r="D594">
        <f t="shared" si="190"/>
        <v>1</v>
      </c>
      <c r="E594">
        <f t="shared" si="191"/>
        <v>0</v>
      </c>
      <c r="F594">
        <f t="shared" si="192"/>
        <v>1</v>
      </c>
      <c r="G594">
        <f t="shared" si="193"/>
        <v>0</v>
      </c>
      <c r="H594">
        <f t="shared" si="194"/>
        <v>0</v>
      </c>
      <c r="I594">
        <f t="shared" si="195"/>
        <v>1</v>
      </c>
      <c r="J594">
        <f t="shared" si="196"/>
        <v>0</v>
      </c>
      <c r="K594" s="45">
        <f t="shared" si="197"/>
        <v>0.25</v>
      </c>
      <c r="L594" s="45">
        <f t="shared" si="198"/>
        <v>0</v>
      </c>
      <c r="M594" s="45">
        <f t="shared" si="199"/>
        <v>0</v>
      </c>
      <c r="N594" s="45">
        <f t="shared" si="200"/>
        <v>0.25</v>
      </c>
      <c r="O594" s="45">
        <f t="shared" si="201"/>
        <v>0</v>
      </c>
      <c r="P594" s="45">
        <f t="shared" si="202"/>
        <v>0.25</v>
      </c>
      <c r="Q594" s="45">
        <f t="shared" si="203"/>
        <v>0</v>
      </c>
      <c r="R594" s="45">
        <f t="shared" si="204"/>
        <v>0</v>
      </c>
      <c r="S594" s="45">
        <f t="shared" si="205"/>
        <v>0.25</v>
      </c>
      <c r="T594" s="45">
        <f t="shared" si="206"/>
        <v>0</v>
      </c>
    </row>
    <row r="595" spans="1:20" x14ac:dyDescent="0.3">
      <c r="A595">
        <f t="shared" si="187"/>
        <v>1</v>
      </c>
      <c r="B595">
        <f t="shared" si="188"/>
        <v>0</v>
      </c>
      <c r="C595">
        <f t="shared" si="189"/>
        <v>0</v>
      </c>
      <c r="D595">
        <f t="shared" si="190"/>
        <v>1</v>
      </c>
      <c r="E595">
        <f t="shared" si="191"/>
        <v>0</v>
      </c>
      <c r="F595">
        <f t="shared" si="192"/>
        <v>1</v>
      </c>
      <c r="G595">
        <f t="shared" si="193"/>
        <v>0</v>
      </c>
      <c r="H595">
        <f t="shared" si="194"/>
        <v>0</v>
      </c>
      <c r="I595">
        <f t="shared" si="195"/>
        <v>1</v>
      </c>
      <c r="J595">
        <f t="shared" si="196"/>
        <v>1</v>
      </c>
      <c r="K595" s="45">
        <f t="shared" si="197"/>
        <v>0.2</v>
      </c>
      <c r="L595" s="45">
        <f t="shared" si="198"/>
        <v>0</v>
      </c>
      <c r="M595" s="45">
        <f t="shared" si="199"/>
        <v>0</v>
      </c>
      <c r="N595" s="45">
        <f t="shared" si="200"/>
        <v>0.2</v>
      </c>
      <c r="O595" s="45">
        <f t="shared" si="201"/>
        <v>0</v>
      </c>
      <c r="P595" s="45">
        <f t="shared" si="202"/>
        <v>0.2</v>
      </c>
      <c r="Q595" s="45">
        <f t="shared" si="203"/>
        <v>0</v>
      </c>
      <c r="R595" s="45">
        <f t="shared" si="204"/>
        <v>0</v>
      </c>
      <c r="S595" s="45">
        <f t="shared" si="205"/>
        <v>0.2</v>
      </c>
      <c r="T595" s="45">
        <f t="shared" si="206"/>
        <v>0.2</v>
      </c>
    </row>
    <row r="596" spans="1:20" x14ac:dyDescent="0.3">
      <c r="A596">
        <f t="shared" si="187"/>
        <v>1</v>
      </c>
      <c r="B596">
        <f t="shared" si="188"/>
        <v>0</v>
      </c>
      <c r="C596">
        <f t="shared" si="189"/>
        <v>0</v>
      </c>
      <c r="D596">
        <f t="shared" si="190"/>
        <v>1</v>
      </c>
      <c r="E596">
        <f t="shared" si="191"/>
        <v>0</v>
      </c>
      <c r="F596">
        <f t="shared" si="192"/>
        <v>1</v>
      </c>
      <c r="G596">
        <f t="shared" si="193"/>
        <v>0</v>
      </c>
      <c r="H596">
        <f t="shared" si="194"/>
        <v>1</v>
      </c>
      <c r="I596">
        <f t="shared" si="195"/>
        <v>0</v>
      </c>
      <c r="J596">
        <f t="shared" si="196"/>
        <v>0</v>
      </c>
      <c r="K596" s="45">
        <f t="shared" si="197"/>
        <v>0.25</v>
      </c>
      <c r="L596" s="45">
        <f t="shared" si="198"/>
        <v>0</v>
      </c>
      <c r="M596" s="45">
        <f t="shared" si="199"/>
        <v>0</v>
      </c>
      <c r="N596" s="45">
        <f t="shared" si="200"/>
        <v>0.25</v>
      </c>
      <c r="O596" s="45">
        <f t="shared" si="201"/>
        <v>0</v>
      </c>
      <c r="P596" s="45">
        <f t="shared" si="202"/>
        <v>0.25</v>
      </c>
      <c r="Q596" s="45">
        <f t="shared" si="203"/>
        <v>0</v>
      </c>
      <c r="R596" s="45">
        <f t="shared" si="204"/>
        <v>0.25</v>
      </c>
      <c r="S596" s="45">
        <f t="shared" si="205"/>
        <v>0</v>
      </c>
      <c r="T596" s="45">
        <f t="shared" si="206"/>
        <v>0</v>
      </c>
    </row>
    <row r="597" spans="1:20" x14ac:dyDescent="0.3">
      <c r="A597">
        <f t="shared" si="187"/>
        <v>1</v>
      </c>
      <c r="B597">
        <f t="shared" si="188"/>
        <v>0</v>
      </c>
      <c r="C597">
        <f t="shared" si="189"/>
        <v>0</v>
      </c>
      <c r="D597">
        <f t="shared" si="190"/>
        <v>1</v>
      </c>
      <c r="E597">
        <f t="shared" si="191"/>
        <v>0</v>
      </c>
      <c r="F597">
        <f t="shared" si="192"/>
        <v>1</v>
      </c>
      <c r="G597">
        <f t="shared" si="193"/>
        <v>0</v>
      </c>
      <c r="H597">
        <f t="shared" si="194"/>
        <v>1</v>
      </c>
      <c r="I597">
        <f t="shared" si="195"/>
        <v>0</v>
      </c>
      <c r="J597">
        <f t="shared" si="196"/>
        <v>1</v>
      </c>
      <c r="K597" s="45">
        <f t="shared" si="197"/>
        <v>0.2</v>
      </c>
      <c r="L597" s="45">
        <f t="shared" si="198"/>
        <v>0</v>
      </c>
      <c r="M597" s="45">
        <f t="shared" si="199"/>
        <v>0</v>
      </c>
      <c r="N597" s="45">
        <f t="shared" si="200"/>
        <v>0.2</v>
      </c>
      <c r="O597" s="45">
        <f t="shared" si="201"/>
        <v>0</v>
      </c>
      <c r="P597" s="45">
        <f t="shared" si="202"/>
        <v>0.2</v>
      </c>
      <c r="Q597" s="45">
        <f t="shared" si="203"/>
        <v>0</v>
      </c>
      <c r="R597" s="45">
        <f t="shared" si="204"/>
        <v>0.2</v>
      </c>
      <c r="S597" s="45">
        <f t="shared" si="205"/>
        <v>0</v>
      </c>
      <c r="T597" s="45">
        <f t="shared" si="206"/>
        <v>0.2</v>
      </c>
    </row>
    <row r="598" spans="1:20" x14ac:dyDescent="0.3">
      <c r="A598">
        <f t="shared" si="187"/>
        <v>1</v>
      </c>
      <c r="B598">
        <f t="shared" si="188"/>
        <v>0</v>
      </c>
      <c r="C598">
        <f t="shared" si="189"/>
        <v>0</v>
      </c>
      <c r="D598">
        <f t="shared" si="190"/>
        <v>1</v>
      </c>
      <c r="E598">
        <f t="shared" si="191"/>
        <v>0</v>
      </c>
      <c r="F598">
        <f t="shared" si="192"/>
        <v>1</v>
      </c>
      <c r="G598">
        <f t="shared" si="193"/>
        <v>0</v>
      </c>
      <c r="H598">
        <f t="shared" si="194"/>
        <v>1</v>
      </c>
      <c r="I598">
        <f t="shared" si="195"/>
        <v>1</v>
      </c>
      <c r="J598">
        <f t="shared" si="196"/>
        <v>0</v>
      </c>
      <c r="K598" s="45">
        <f t="shared" si="197"/>
        <v>0.2</v>
      </c>
      <c r="L598" s="45">
        <f t="shared" si="198"/>
        <v>0</v>
      </c>
      <c r="M598" s="45">
        <f t="shared" si="199"/>
        <v>0</v>
      </c>
      <c r="N598" s="45">
        <f t="shared" si="200"/>
        <v>0.2</v>
      </c>
      <c r="O598" s="45">
        <f t="shared" si="201"/>
        <v>0</v>
      </c>
      <c r="P598" s="45">
        <f t="shared" si="202"/>
        <v>0.2</v>
      </c>
      <c r="Q598" s="45">
        <f t="shared" si="203"/>
        <v>0</v>
      </c>
      <c r="R598" s="45">
        <f t="shared" si="204"/>
        <v>0.2</v>
      </c>
      <c r="S598" s="45">
        <f t="shared" si="205"/>
        <v>0.2</v>
      </c>
      <c r="T598" s="45">
        <f t="shared" si="206"/>
        <v>0</v>
      </c>
    </row>
    <row r="599" spans="1:20" x14ac:dyDescent="0.3">
      <c r="A599">
        <f t="shared" si="187"/>
        <v>1</v>
      </c>
      <c r="B599">
        <f t="shared" si="188"/>
        <v>0</v>
      </c>
      <c r="C599">
        <f t="shared" si="189"/>
        <v>0</v>
      </c>
      <c r="D599">
        <f t="shared" si="190"/>
        <v>1</v>
      </c>
      <c r="E599">
        <f t="shared" si="191"/>
        <v>0</v>
      </c>
      <c r="F599">
        <f t="shared" si="192"/>
        <v>1</v>
      </c>
      <c r="G599">
        <f t="shared" si="193"/>
        <v>0</v>
      </c>
      <c r="H599">
        <f t="shared" si="194"/>
        <v>1</v>
      </c>
      <c r="I599">
        <f t="shared" si="195"/>
        <v>1</v>
      </c>
      <c r="J599">
        <f t="shared" si="196"/>
        <v>1</v>
      </c>
      <c r="K599" s="45">
        <f t="shared" si="197"/>
        <v>0.16666666666666666</v>
      </c>
      <c r="L599" s="45">
        <f t="shared" si="198"/>
        <v>0</v>
      </c>
      <c r="M599" s="45">
        <f t="shared" si="199"/>
        <v>0</v>
      </c>
      <c r="N599" s="45">
        <f t="shared" si="200"/>
        <v>0.16666666666666666</v>
      </c>
      <c r="O599" s="45">
        <f t="shared" si="201"/>
        <v>0</v>
      </c>
      <c r="P599" s="45">
        <f t="shared" si="202"/>
        <v>0.16666666666666666</v>
      </c>
      <c r="Q599" s="45">
        <f t="shared" si="203"/>
        <v>0</v>
      </c>
      <c r="R599" s="45">
        <f t="shared" si="204"/>
        <v>0.16666666666666666</v>
      </c>
      <c r="S599" s="45">
        <f t="shared" si="205"/>
        <v>0.16666666666666666</v>
      </c>
      <c r="T599" s="45">
        <f t="shared" si="206"/>
        <v>0.16666666666666666</v>
      </c>
    </row>
    <row r="600" spans="1:20" x14ac:dyDescent="0.3">
      <c r="A600">
        <f t="shared" si="187"/>
        <v>1</v>
      </c>
      <c r="B600">
        <f t="shared" si="188"/>
        <v>0</v>
      </c>
      <c r="C600">
        <f t="shared" si="189"/>
        <v>0</v>
      </c>
      <c r="D600">
        <f t="shared" si="190"/>
        <v>1</v>
      </c>
      <c r="E600">
        <f t="shared" si="191"/>
        <v>0</v>
      </c>
      <c r="F600">
        <f t="shared" si="192"/>
        <v>1</v>
      </c>
      <c r="G600">
        <f t="shared" si="193"/>
        <v>1</v>
      </c>
      <c r="H600">
        <f t="shared" si="194"/>
        <v>0</v>
      </c>
      <c r="I600">
        <f t="shared" si="195"/>
        <v>0</v>
      </c>
      <c r="J600">
        <f t="shared" si="196"/>
        <v>0</v>
      </c>
      <c r="K600" s="45">
        <f t="shared" si="197"/>
        <v>0.25</v>
      </c>
      <c r="L600" s="45">
        <f t="shared" si="198"/>
        <v>0</v>
      </c>
      <c r="M600" s="45">
        <f t="shared" si="199"/>
        <v>0</v>
      </c>
      <c r="N600" s="45">
        <f t="shared" si="200"/>
        <v>0.25</v>
      </c>
      <c r="O600" s="45">
        <f t="shared" si="201"/>
        <v>0</v>
      </c>
      <c r="P600" s="45">
        <f t="shared" si="202"/>
        <v>0.25</v>
      </c>
      <c r="Q600" s="45">
        <f t="shared" si="203"/>
        <v>0.25</v>
      </c>
      <c r="R600" s="45">
        <f t="shared" si="204"/>
        <v>0</v>
      </c>
      <c r="S600" s="45">
        <f t="shared" si="205"/>
        <v>0</v>
      </c>
      <c r="T600" s="45">
        <f t="shared" si="206"/>
        <v>0</v>
      </c>
    </row>
    <row r="601" spans="1:20" x14ac:dyDescent="0.3">
      <c r="A601">
        <f t="shared" si="187"/>
        <v>1</v>
      </c>
      <c r="B601">
        <f t="shared" si="188"/>
        <v>0</v>
      </c>
      <c r="C601">
        <f t="shared" si="189"/>
        <v>0</v>
      </c>
      <c r="D601">
        <f t="shared" si="190"/>
        <v>1</v>
      </c>
      <c r="E601">
        <f t="shared" si="191"/>
        <v>0</v>
      </c>
      <c r="F601">
        <f t="shared" si="192"/>
        <v>1</v>
      </c>
      <c r="G601">
        <f t="shared" si="193"/>
        <v>1</v>
      </c>
      <c r="H601">
        <f t="shared" si="194"/>
        <v>0</v>
      </c>
      <c r="I601">
        <f t="shared" si="195"/>
        <v>0</v>
      </c>
      <c r="J601">
        <f t="shared" si="196"/>
        <v>1</v>
      </c>
      <c r="K601" s="45">
        <f t="shared" si="197"/>
        <v>0.2</v>
      </c>
      <c r="L601" s="45">
        <f t="shared" si="198"/>
        <v>0</v>
      </c>
      <c r="M601" s="45">
        <f t="shared" si="199"/>
        <v>0</v>
      </c>
      <c r="N601" s="45">
        <f t="shared" si="200"/>
        <v>0.2</v>
      </c>
      <c r="O601" s="45">
        <f t="shared" si="201"/>
        <v>0</v>
      </c>
      <c r="P601" s="45">
        <f t="shared" si="202"/>
        <v>0.2</v>
      </c>
      <c r="Q601" s="45">
        <f t="shared" si="203"/>
        <v>0.2</v>
      </c>
      <c r="R601" s="45">
        <f t="shared" si="204"/>
        <v>0</v>
      </c>
      <c r="S601" s="45">
        <f t="shared" si="205"/>
        <v>0</v>
      </c>
      <c r="T601" s="45">
        <f t="shared" si="206"/>
        <v>0.2</v>
      </c>
    </row>
    <row r="602" spans="1:20" x14ac:dyDescent="0.3">
      <c r="A602">
        <f t="shared" si="187"/>
        <v>1</v>
      </c>
      <c r="B602">
        <f t="shared" si="188"/>
        <v>0</v>
      </c>
      <c r="C602">
        <f t="shared" si="189"/>
        <v>0</v>
      </c>
      <c r="D602">
        <f t="shared" si="190"/>
        <v>1</v>
      </c>
      <c r="E602">
        <f t="shared" si="191"/>
        <v>0</v>
      </c>
      <c r="F602">
        <f t="shared" si="192"/>
        <v>1</v>
      </c>
      <c r="G602">
        <f t="shared" si="193"/>
        <v>1</v>
      </c>
      <c r="H602">
        <f t="shared" si="194"/>
        <v>0</v>
      </c>
      <c r="I602">
        <f t="shared" si="195"/>
        <v>1</v>
      </c>
      <c r="J602">
        <f t="shared" si="196"/>
        <v>0</v>
      </c>
      <c r="K602" s="45">
        <f t="shared" si="197"/>
        <v>0.2</v>
      </c>
      <c r="L602" s="45">
        <f t="shared" si="198"/>
        <v>0</v>
      </c>
      <c r="M602" s="45">
        <f t="shared" si="199"/>
        <v>0</v>
      </c>
      <c r="N602" s="45">
        <f t="shared" si="200"/>
        <v>0.2</v>
      </c>
      <c r="O602" s="45">
        <f t="shared" si="201"/>
        <v>0</v>
      </c>
      <c r="P602" s="45">
        <f t="shared" si="202"/>
        <v>0.2</v>
      </c>
      <c r="Q602" s="45">
        <f t="shared" si="203"/>
        <v>0.2</v>
      </c>
      <c r="R602" s="45">
        <f t="shared" si="204"/>
        <v>0</v>
      </c>
      <c r="S602" s="45">
        <f t="shared" si="205"/>
        <v>0.2</v>
      </c>
      <c r="T602" s="45">
        <f t="shared" si="206"/>
        <v>0</v>
      </c>
    </row>
    <row r="603" spans="1:20" x14ac:dyDescent="0.3">
      <c r="A603">
        <f t="shared" si="187"/>
        <v>1</v>
      </c>
      <c r="B603">
        <f t="shared" si="188"/>
        <v>0</v>
      </c>
      <c r="C603">
        <f t="shared" si="189"/>
        <v>0</v>
      </c>
      <c r="D603">
        <f t="shared" si="190"/>
        <v>1</v>
      </c>
      <c r="E603">
        <f t="shared" si="191"/>
        <v>0</v>
      </c>
      <c r="F603">
        <f t="shared" si="192"/>
        <v>1</v>
      </c>
      <c r="G603">
        <f t="shared" si="193"/>
        <v>1</v>
      </c>
      <c r="H603">
        <f t="shared" si="194"/>
        <v>0</v>
      </c>
      <c r="I603">
        <f t="shared" si="195"/>
        <v>1</v>
      </c>
      <c r="J603">
        <f t="shared" si="196"/>
        <v>1</v>
      </c>
      <c r="K603" s="45">
        <f t="shared" si="197"/>
        <v>0.16666666666666666</v>
      </c>
      <c r="L603" s="45">
        <f t="shared" si="198"/>
        <v>0</v>
      </c>
      <c r="M603" s="45">
        <f t="shared" si="199"/>
        <v>0</v>
      </c>
      <c r="N603" s="45">
        <f t="shared" si="200"/>
        <v>0.16666666666666666</v>
      </c>
      <c r="O603" s="45">
        <f t="shared" si="201"/>
        <v>0</v>
      </c>
      <c r="P603" s="45">
        <f t="shared" si="202"/>
        <v>0.16666666666666666</v>
      </c>
      <c r="Q603" s="45">
        <f t="shared" si="203"/>
        <v>0.16666666666666666</v>
      </c>
      <c r="R603" s="45">
        <f t="shared" si="204"/>
        <v>0</v>
      </c>
      <c r="S603" s="45">
        <f t="shared" si="205"/>
        <v>0.16666666666666666</v>
      </c>
      <c r="T603" s="45">
        <f t="shared" si="206"/>
        <v>0.16666666666666666</v>
      </c>
    </row>
    <row r="604" spans="1:20" x14ac:dyDescent="0.3">
      <c r="A604">
        <f t="shared" si="187"/>
        <v>1</v>
      </c>
      <c r="B604">
        <f t="shared" si="188"/>
        <v>0</v>
      </c>
      <c r="C604">
        <f t="shared" si="189"/>
        <v>0</v>
      </c>
      <c r="D604">
        <f t="shared" si="190"/>
        <v>1</v>
      </c>
      <c r="E604">
        <f t="shared" si="191"/>
        <v>0</v>
      </c>
      <c r="F604">
        <f t="shared" si="192"/>
        <v>1</v>
      </c>
      <c r="G604">
        <f t="shared" si="193"/>
        <v>1</v>
      </c>
      <c r="H604">
        <f t="shared" si="194"/>
        <v>1</v>
      </c>
      <c r="I604">
        <f t="shared" si="195"/>
        <v>0</v>
      </c>
      <c r="J604">
        <f t="shared" si="196"/>
        <v>0</v>
      </c>
      <c r="K604" s="45">
        <f t="shared" si="197"/>
        <v>0.2</v>
      </c>
      <c r="L604" s="45">
        <f t="shared" si="198"/>
        <v>0</v>
      </c>
      <c r="M604" s="45">
        <f t="shared" si="199"/>
        <v>0</v>
      </c>
      <c r="N604" s="45">
        <f t="shared" si="200"/>
        <v>0.2</v>
      </c>
      <c r="O604" s="45">
        <f t="shared" si="201"/>
        <v>0</v>
      </c>
      <c r="P604" s="45">
        <f t="shared" si="202"/>
        <v>0.2</v>
      </c>
      <c r="Q604" s="45">
        <f t="shared" si="203"/>
        <v>0.2</v>
      </c>
      <c r="R604" s="45">
        <f t="shared" si="204"/>
        <v>0.2</v>
      </c>
      <c r="S604" s="45">
        <f t="shared" si="205"/>
        <v>0</v>
      </c>
      <c r="T604" s="45">
        <f t="shared" si="206"/>
        <v>0</v>
      </c>
    </row>
    <row r="605" spans="1:20" x14ac:dyDescent="0.3">
      <c r="A605">
        <f t="shared" si="187"/>
        <v>1</v>
      </c>
      <c r="B605">
        <f t="shared" si="188"/>
        <v>0</v>
      </c>
      <c r="C605">
        <f t="shared" si="189"/>
        <v>0</v>
      </c>
      <c r="D605">
        <f t="shared" si="190"/>
        <v>1</v>
      </c>
      <c r="E605">
        <f t="shared" si="191"/>
        <v>0</v>
      </c>
      <c r="F605">
        <f t="shared" si="192"/>
        <v>1</v>
      </c>
      <c r="G605">
        <f t="shared" si="193"/>
        <v>1</v>
      </c>
      <c r="H605">
        <f t="shared" si="194"/>
        <v>1</v>
      </c>
      <c r="I605">
        <f t="shared" si="195"/>
        <v>0</v>
      </c>
      <c r="J605">
        <f t="shared" si="196"/>
        <v>1</v>
      </c>
      <c r="K605" s="45">
        <f t="shared" si="197"/>
        <v>0.16666666666666666</v>
      </c>
      <c r="L605" s="45">
        <f t="shared" si="198"/>
        <v>0</v>
      </c>
      <c r="M605" s="45">
        <f t="shared" si="199"/>
        <v>0</v>
      </c>
      <c r="N605" s="45">
        <f t="shared" si="200"/>
        <v>0.16666666666666666</v>
      </c>
      <c r="O605" s="45">
        <f t="shared" si="201"/>
        <v>0</v>
      </c>
      <c r="P605" s="45">
        <f t="shared" si="202"/>
        <v>0.16666666666666666</v>
      </c>
      <c r="Q605" s="45">
        <f t="shared" si="203"/>
        <v>0.16666666666666666</v>
      </c>
      <c r="R605" s="45">
        <f t="shared" si="204"/>
        <v>0.16666666666666666</v>
      </c>
      <c r="S605" s="45">
        <f t="shared" si="205"/>
        <v>0</v>
      </c>
      <c r="T605" s="45">
        <f t="shared" si="206"/>
        <v>0.16666666666666666</v>
      </c>
    </row>
    <row r="606" spans="1:20" x14ac:dyDescent="0.3">
      <c r="A606">
        <f t="shared" si="187"/>
        <v>1</v>
      </c>
      <c r="B606">
        <f t="shared" si="188"/>
        <v>0</v>
      </c>
      <c r="C606">
        <f t="shared" si="189"/>
        <v>0</v>
      </c>
      <c r="D606">
        <f t="shared" si="190"/>
        <v>1</v>
      </c>
      <c r="E606">
        <f t="shared" si="191"/>
        <v>0</v>
      </c>
      <c r="F606">
        <f t="shared" si="192"/>
        <v>1</v>
      </c>
      <c r="G606">
        <f t="shared" si="193"/>
        <v>1</v>
      </c>
      <c r="H606">
        <f t="shared" si="194"/>
        <v>1</v>
      </c>
      <c r="I606">
        <f t="shared" si="195"/>
        <v>1</v>
      </c>
      <c r="J606">
        <f t="shared" si="196"/>
        <v>0</v>
      </c>
      <c r="K606" s="45">
        <f t="shared" si="197"/>
        <v>0.16666666666666666</v>
      </c>
      <c r="L606" s="45">
        <f t="shared" si="198"/>
        <v>0</v>
      </c>
      <c r="M606" s="45">
        <f t="shared" si="199"/>
        <v>0</v>
      </c>
      <c r="N606" s="45">
        <f t="shared" si="200"/>
        <v>0.16666666666666666</v>
      </c>
      <c r="O606" s="45">
        <f t="shared" si="201"/>
        <v>0</v>
      </c>
      <c r="P606" s="45">
        <f t="shared" si="202"/>
        <v>0.16666666666666666</v>
      </c>
      <c r="Q606" s="45">
        <f t="shared" si="203"/>
        <v>0.16666666666666666</v>
      </c>
      <c r="R606" s="45">
        <f t="shared" si="204"/>
        <v>0.16666666666666666</v>
      </c>
      <c r="S606" s="45">
        <f t="shared" si="205"/>
        <v>0.16666666666666666</v>
      </c>
      <c r="T606" s="45">
        <f t="shared" si="206"/>
        <v>0</v>
      </c>
    </row>
    <row r="607" spans="1:20" x14ac:dyDescent="0.3">
      <c r="A607">
        <f t="shared" si="187"/>
        <v>1</v>
      </c>
      <c r="B607">
        <f t="shared" si="188"/>
        <v>0</v>
      </c>
      <c r="C607">
        <f t="shared" si="189"/>
        <v>0</v>
      </c>
      <c r="D607">
        <f t="shared" si="190"/>
        <v>1</v>
      </c>
      <c r="E607">
        <f t="shared" si="191"/>
        <v>0</v>
      </c>
      <c r="F607">
        <f t="shared" si="192"/>
        <v>1</v>
      </c>
      <c r="G607">
        <f t="shared" si="193"/>
        <v>1</v>
      </c>
      <c r="H607">
        <f t="shared" si="194"/>
        <v>1</v>
      </c>
      <c r="I607">
        <f t="shared" si="195"/>
        <v>1</v>
      </c>
      <c r="J607">
        <f t="shared" si="196"/>
        <v>1</v>
      </c>
      <c r="K607" s="45">
        <f t="shared" si="197"/>
        <v>0.14285714285714285</v>
      </c>
      <c r="L607" s="45">
        <f t="shared" si="198"/>
        <v>0</v>
      </c>
      <c r="M607" s="45">
        <f t="shared" si="199"/>
        <v>0</v>
      </c>
      <c r="N607" s="45">
        <f t="shared" si="200"/>
        <v>0.14285714285714285</v>
      </c>
      <c r="O607" s="45">
        <f t="shared" si="201"/>
        <v>0</v>
      </c>
      <c r="P607" s="45">
        <f t="shared" si="202"/>
        <v>0.14285714285714285</v>
      </c>
      <c r="Q607" s="45">
        <f t="shared" si="203"/>
        <v>0.14285714285714285</v>
      </c>
      <c r="R607" s="45">
        <f t="shared" si="204"/>
        <v>0.14285714285714285</v>
      </c>
      <c r="S607" s="45">
        <f t="shared" si="205"/>
        <v>0.14285714285714285</v>
      </c>
      <c r="T607" s="45">
        <f t="shared" si="206"/>
        <v>0.14285714285714285</v>
      </c>
    </row>
    <row r="608" spans="1:20" x14ac:dyDescent="0.3">
      <c r="A608">
        <f t="shared" si="187"/>
        <v>1</v>
      </c>
      <c r="B608">
        <f t="shared" si="188"/>
        <v>0</v>
      </c>
      <c r="C608">
        <f t="shared" si="189"/>
        <v>0</v>
      </c>
      <c r="D608">
        <f t="shared" si="190"/>
        <v>1</v>
      </c>
      <c r="E608">
        <f t="shared" si="191"/>
        <v>1</v>
      </c>
      <c r="F608">
        <f t="shared" si="192"/>
        <v>0</v>
      </c>
      <c r="G608">
        <f t="shared" si="193"/>
        <v>0</v>
      </c>
      <c r="H608">
        <f t="shared" si="194"/>
        <v>0</v>
      </c>
      <c r="I608">
        <f t="shared" si="195"/>
        <v>0</v>
      </c>
      <c r="J608">
        <f t="shared" si="196"/>
        <v>0</v>
      </c>
      <c r="K608" s="45">
        <f t="shared" si="197"/>
        <v>0.33333333333333331</v>
      </c>
      <c r="L608" s="45">
        <f t="shared" si="198"/>
        <v>0</v>
      </c>
      <c r="M608" s="45">
        <f t="shared" si="199"/>
        <v>0</v>
      </c>
      <c r="N608" s="45">
        <f t="shared" si="200"/>
        <v>0.33333333333333331</v>
      </c>
      <c r="O608" s="45">
        <f t="shared" si="201"/>
        <v>0.33333333333333331</v>
      </c>
      <c r="P608" s="45">
        <f t="shared" si="202"/>
        <v>0</v>
      </c>
      <c r="Q608" s="45">
        <f t="shared" si="203"/>
        <v>0</v>
      </c>
      <c r="R608" s="45">
        <f t="shared" si="204"/>
        <v>0</v>
      </c>
      <c r="S608" s="45">
        <f t="shared" si="205"/>
        <v>0</v>
      </c>
      <c r="T608" s="45">
        <f t="shared" si="206"/>
        <v>0</v>
      </c>
    </row>
    <row r="609" spans="1:20" x14ac:dyDescent="0.3">
      <c r="A609">
        <f t="shared" si="187"/>
        <v>1</v>
      </c>
      <c r="B609">
        <f t="shared" si="188"/>
        <v>0</v>
      </c>
      <c r="C609">
        <f t="shared" si="189"/>
        <v>0</v>
      </c>
      <c r="D609">
        <f t="shared" si="190"/>
        <v>1</v>
      </c>
      <c r="E609">
        <f t="shared" si="191"/>
        <v>1</v>
      </c>
      <c r="F609">
        <f t="shared" si="192"/>
        <v>0</v>
      </c>
      <c r="G609">
        <f t="shared" si="193"/>
        <v>0</v>
      </c>
      <c r="H609">
        <f t="shared" si="194"/>
        <v>0</v>
      </c>
      <c r="I609">
        <f t="shared" si="195"/>
        <v>0</v>
      </c>
      <c r="J609">
        <f t="shared" si="196"/>
        <v>1</v>
      </c>
      <c r="K609" s="45">
        <f t="shared" si="197"/>
        <v>0.25</v>
      </c>
      <c r="L609" s="45">
        <f t="shared" si="198"/>
        <v>0</v>
      </c>
      <c r="M609" s="45">
        <f t="shared" si="199"/>
        <v>0</v>
      </c>
      <c r="N609" s="45">
        <f t="shared" si="200"/>
        <v>0.25</v>
      </c>
      <c r="O609" s="45">
        <f t="shared" si="201"/>
        <v>0.25</v>
      </c>
      <c r="P609" s="45">
        <f t="shared" si="202"/>
        <v>0</v>
      </c>
      <c r="Q609" s="45">
        <f t="shared" si="203"/>
        <v>0</v>
      </c>
      <c r="R609" s="45">
        <f t="shared" si="204"/>
        <v>0</v>
      </c>
      <c r="S609" s="45">
        <f t="shared" si="205"/>
        <v>0</v>
      </c>
      <c r="T609" s="45">
        <f t="shared" si="206"/>
        <v>0.25</v>
      </c>
    </row>
    <row r="610" spans="1:20" x14ac:dyDescent="0.3">
      <c r="A610">
        <f t="shared" si="187"/>
        <v>1</v>
      </c>
      <c r="B610">
        <f t="shared" si="188"/>
        <v>0</v>
      </c>
      <c r="C610">
        <f t="shared" si="189"/>
        <v>0</v>
      </c>
      <c r="D610">
        <f t="shared" si="190"/>
        <v>1</v>
      </c>
      <c r="E610">
        <f t="shared" si="191"/>
        <v>1</v>
      </c>
      <c r="F610">
        <f t="shared" si="192"/>
        <v>0</v>
      </c>
      <c r="G610">
        <f t="shared" si="193"/>
        <v>0</v>
      </c>
      <c r="H610">
        <f t="shared" si="194"/>
        <v>0</v>
      </c>
      <c r="I610">
        <f t="shared" si="195"/>
        <v>1</v>
      </c>
      <c r="J610">
        <f t="shared" si="196"/>
        <v>0</v>
      </c>
      <c r="K610" s="45">
        <f t="shared" si="197"/>
        <v>0.25</v>
      </c>
      <c r="L610" s="45">
        <f t="shared" si="198"/>
        <v>0</v>
      </c>
      <c r="M610" s="45">
        <f t="shared" si="199"/>
        <v>0</v>
      </c>
      <c r="N610" s="45">
        <f t="shared" si="200"/>
        <v>0.25</v>
      </c>
      <c r="O610" s="45">
        <f t="shared" si="201"/>
        <v>0.25</v>
      </c>
      <c r="P610" s="45">
        <f t="shared" si="202"/>
        <v>0</v>
      </c>
      <c r="Q610" s="45">
        <f t="shared" si="203"/>
        <v>0</v>
      </c>
      <c r="R610" s="45">
        <f t="shared" si="204"/>
        <v>0</v>
      </c>
      <c r="S610" s="45">
        <f t="shared" si="205"/>
        <v>0.25</v>
      </c>
      <c r="T610" s="45">
        <f t="shared" si="206"/>
        <v>0</v>
      </c>
    </row>
    <row r="611" spans="1:20" x14ac:dyDescent="0.3">
      <c r="A611">
        <f t="shared" si="187"/>
        <v>1</v>
      </c>
      <c r="B611">
        <f t="shared" si="188"/>
        <v>0</v>
      </c>
      <c r="C611">
        <f t="shared" si="189"/>
        <v>0</v>
      </c>
      <c r="D611">
        <f t="shared" si="190"/>
        <v>1</v>
      </c>
      <c r="E611">
        <f t="shared" si="191"/>
        <v>1</v>
      </c>
      <c r="F611">
        <f t="shared" si="192"/>
        <v>0</v>
      </c>
      <c r="G611">
        <f t="shared" si="193"/>
        <v>0</v>
      </c>
      <c r="H611">
        <f t="shared" si="194"/>
        <v>0</v>
      </c>
      <c r="I611">
        <f t="shared" si="195"/>
        <v>1</v>
      </c>
      <c r="J611">
        <f t="shared" si="196"/>
        <v>1</v>
      </c>
      <c r="K611" s="45">
        <f t="shared" si="197"/>
        <v>0.2</v>
      </c>
      <c r="L611" s="45">
        <f t="shared" si="198"/>
        <v>0</v>
      </c>
      <c r="M611" s="45">
        <f t="shared" si="199"/>
        <v>0</v>
      </c>
      <c r="N611" s="45">
        <f t="shared" si="200"/>
        <v>0.2</v>
      </c>
      <c r="O611" s="45">
        <f t="shared" si="201"/>
        <v>0.2</v>
      </c>
      <c r="P611" s="45">
        <f t="shared" si="202"/>
        <v>0</v>
      </c>
      <c r="Q611" s="45">
        <f t="shared" si="203"/>
        <v>0</v>
      </c>
      <c r="R611" s="45">
        <f t="shared" si="204"/>
        <v>0</v>
      </c>
      <c r="S611" s="45">
        <f t="shared" si="205"/>
        <v>0.2</v>
      </c>
      <c r="T611" s="45">
        <f t="shared" si="206"/>
        <v>0.2</v>
      </c>
    </row>
    <row r="612" spans="1:20" x14ac:dyDescent="0.3">
      <c r="A612">
        <f t="shared" si="187"/>
        <v>1</v>
      </c>
      <c r="B612">
        <f t="shared" si="188"/>
        <v>0</v>
      </c>
      <c r="C612">
        <f t="shared" si="189"/>
        <v>0</v>
      </c>
      <c r="D612">
        <f t="shared" si="190"/>
        <v>1</v>
      </c>
      <c r="E612">
        <f t="shared" si="191"/>
        <v>1</v>
      </c>
      <c r="F612">
        <f t="shared" si="192"/>
        <v>0</v>
      </c>
      <c r="G612">
        <f t="shared" si="193"/>
        <v>0</v>
      </c>
      <c r="H612">
        <f t="shared" si="194"/>
        <v>1</v>
      </c>
      <c r="I612">
        <f t="shared" si="195"/>
        <v>0</v>
      </c>
      <c r="J612">
        <f t="shared" si="196"/>
        <v>0</v>
      </c>
      <c r="K612" s="45">
        <f t="shared" si="197"/>
        <v>0.25</v>
      </c>
      <c r="L612" s="45">
        <f t="shared" si="198"/>
        <v>0</v>
      </c>
      <c r="M612" s="45">
        <f t="shared" si="199"/>
        <v>0</v>
      </c>
      <c r="N612" s="45">
        <f t="shared" si="200"/>
        <v>0.25</v>
      </c>
      <c r="O612" s="45">
        <f t="shared" si="201"/>
        <v>0.25</v>
      </c>
      <c r="P612" s="45">
        <f t="shared" si="202"/>
        <v>0</v>
      </c>
      <c r="Q612" s="45">
        <f t="shared" si="203"/>
        <v>0</v>
      </c>
      <c r="R612" s="45">
        <f t="shared" si="204"/>
        <v>0.25</v>
      </c>
      <c r="S612" s="45">
        <f t="shared" si="205"/>
        <v>0</v>
      </c>
      <c r="T612" s="45">
        <f t="shared" si="206"/>
        <v>0</v>
      </c>
    </row>
    <row r="613" spans="1:20" x14ac:dyDescent="0.3">
      <c r="A613">
        <f t="shared" si="187"/>
        <v>1</v>
      </c>
      <c r="B613">
        <f t="shared" si="188"/>
        <v>0</v>
      </c>
      <c r="C613">
        <f t="shared" si="189"/>
        <v>0</v>
      </c>
      <c r="D613">
        <f t="shared" si="190"/>
        <v>1</v>
      </c>
      <c r="E613">
        <f t="shared" si="191"/>
        <v>1</v>
      </c>
      <c r="F613">
        <f t="shared" si="192"/>
        <v>0</v>
      </c>
      <c r="G613">
        <f t="shared" si="193"/>
        <v>0</v>
      </c>
      <c r="H613">
        <f t="shared" si="194"/>
        <v>1</v>
      </c>
      <c r="I613">
        <f t="shared" si="195"/>
        <v>0</v>
      </c>
      <c r="J613">
        <f t="shared" si="196"/>
        <v>1</v>
      </c>
      <c r="K613" s="45">
        <f t="shared" si="197"/>
        <v>0.2</v>
      </c>
      <c r="L613" s="45">
        <f t="shared" si="198"/>
        <v>0</v>
      </c>
      <c r="M613" s="45">
        <f t="shared" si="199"/>
        <v>0</v>
      </c>
      <c r="N613" s="45">
        <f t="shared" si="200"/>
        <v>0.2</v>
      </c>
      <c r="O613" s="45">
        <f t="shared" si="201"/>
        <v>0.2</v>
      </c>
      <c r="P613" s="45">
        <f t="shared" si="202"/>
        <v>0</v>
      </c>
      <c r="Q613" s="45">
        <f t="shared" si="203"/>
        <v>0</v>
      </c>
      <c r="R613" s="45">
        <f t="shared" si="204"/>
        <v>0.2</v>
      </c>
      <c r="S613" s="45">
        <f t="shared" si="205"/>
        <v>0</v>
      </c>
      <c r="T613" s="45">
        <f t="shared" si="206"/>
        <v>0.2</v>
      </c>
    </row>
    <row r="614" spans="1:20" x14ac:dyDescent="0.3">
      <c r="A614">
        <f t="shared" si="187"/>
        <v>1</v>
      </c>
      <c r="B614">
        <f t="shared" si="188"/>
        <v>0</v>
      </c>
      <c r="C614">
        <f t="shared" si="189"/>
        <v>0</v>
      </c>
      <c r="D614">
        <f t="shared" si="190"/>
        <v>1</v>
      </c>
      <c r="E614">
        <f t="shared" si="191"/>
        <v>1</v>
      </c>
      <c r="F614">
        <f t="shared" si="192"/>
        <v>0</v>
      </c>
      <c r="G614">
        <f t="shared" si="193"/>
        <v>0</v>
      </c>
      <c r="H614">
        <f t="shared" si="194"/>
        <v>1</v>
      </c>
      <c r="I614">
        <f t="shared" si="195"/>
        <v>1</v>
      </c>
      <c r="J614">
        <f t="shared" si="196"/>
        <v>0</v>
      </c>
      <c r="K614" s="45">
        <f t="shared" si="197"/>
        <v>0.2</v>
      </c>
      <c r="L614" s="45">
        <f t="shared" si="198"/>
        <v>0</v>
      </c>
      <c r="M614" s="45">
        <f t="shared" si="199"/>
        <v>0</v>
      </c>
      <c r="N614" s="45">
        <f t="shared" si="200"/>
        <v>0.2</v>
      </c>
      <c r="O614" s="45">
        <f t="shared" si="201"/>
        <v>0.2</v>
      </c>
      <c r="P614" s="45">
        <f t="shared" si="202"/>
        <v>0</v>
      </c>
      <c r="Q614" s="45">
        <f t="shared" si="203"/>
        <v>0</v>
      </c>
      <c r="R614" s="45">
        <f t="shared" si="204"/>
        <v>0.2</v>
      </c>
      <c r="S614" s="45">
        <f t="shared" si="205"/>
        <v>0.2</v>
      </c>
      <c r="T614" s="45">
        <f t="shared" si="206"/>
        <v>0</v>
      </c>
    </row>
    <row r="615" spans="1:20" x14ac:dyDescent="0.3">
      <c r="A615">
        <f t="shared" si="187"/>
        <v>1</v>
      </c>
      <c r="B615">
        <f t="shared" si="188"/>
        <v>0</v>
      </c>
      <c r="C615">
        <f t="shared" si="189"/>
        <v>0</v>
      </c>
      <c r="D615">
        <f t="shared" si="190"/>
        <v>1</v>
      </c>
      <c r="E615">
        <f t="shared" si="191"/>
        <v>1</v>
      </c>
      <c r="F615">
        <f t="shared" si="192"/>
        <v>0</v>
      </c>
      <c r="G615">
        <f t="shared" si="193"/>
        <v>0</v>
      </c>
      <c r="H615">
        <f t="shared" si="194"/>
        <v>1</v>
      </c>
      <c r="I615">
        <f t="shared" si="195"/>
        <v>1</v>
      </c>
      <c r="J615">
        <f t="shared" si="196"/>
        <v>1</v>
      </c>
      <c r="K615" s="45">
        <f t="shared" si="197"/>
        <v>0.16666666666666666</v>
      </c>
      <c r="L615" s="45">
        <f t="shared" si="198"/>
        <v>0</v>
      </c>
      <c r="M615" s="45">
        <f t="shared" si="199"/>
        <v>0</v>
      </c>
      <c r="N615" s="45">
        <f t="shared" si="200"/>
        <v>0.16666666666666666</v>
      </c>
      <c r="O615" s="45">
        <f t="shared" si="201"/>
        <v>0.16666666666666666</v>
      </c>
      <c r="P615" s="45">
        <f t="shared" si="202"/>
        <v>0</v>
      </c>
      <c r="Q615" s="45">
        <f t="shared" si="203"/>
        <v>0</v>
      </c>
      <c r="R615" s="45">
        <f t="shared" si="204"/>
        <v>0.16666666666666666</v>
      </c>
      <c r="S615" s="45">
        <f t="shared" si="205"/>
        <v>0.16666666666666666</v>
      </c>
      <c r="T615" s="45">
        <f t="shared" si="206"/>
        <v>0.16666666666666666</v>
      </c>
    </row>
    <row r="616" spans="1:20" x14ac:dyDescent="0.3">
      <c r="A616">
        <f t="shared" si="187"/>
        <v>1</v>
      </c>
      <c r="B616">
        <f t="shared" si="188"/>
        <v>0</v>
      </c>
      <c r="C616">
        <f t="shared" si="189"/>
        <v>0</v>
      </c>
      <c r="D616">
        <f t="shared" si="190"/>
        <v>1</v>
      </c>
      <c r="E616">
        <f t="shared" si="191"/>
        <v>1</v>
      </c>
      <c r="F616">
        <f t="shared" si="192"/>
        <v>0</v>
      </c>
      <c r="G616">
        <f t="shared" si="193"/>
        <v>1</v>
      </c>
      <c r="H616">
        <f t="shared" si="194"/>
        <v>0</v>
      </c>
      <c r="I616">
        <f t="shared" si="195"/>
        <v>0</v>
      </c>
      <c r="J616">
        <f t="shared" si="196"/>
        <v>0</v>
      </c>
      <c r="K616" s="45">
        <f t="shared" si="197"/>
        <v>0.25</v>
      </c>
      <c r="L616" s="45">
        <f t="shared" si="198"/>
        <v>0</v>
      </c>
      <c r="M616" s="45">
        <f t="shared" si="199"/>
        <v>0</v>
      </c>
      <c r="N616" s="45">
        <f t="shared" si="200"/>
        <v>0.25</v>
      </c>
      <c r="O616" s="45">
        <f t="shared" si="201"/>
        <v>0.25</v>
      </c>
      <c r="P616" s="45">
        <f t="shared" si="202"/>
        <v>0</v>
      </c>
      <c r="Q616" s="45">
        <f t="shared" si="203"/>
        <v>0.25</v>
      </c>
      <c r="R616" s="45">
        <f t="shared" si="204"/>
        <v>0</v>
      </c>
      <c r="S616" s="45">
        <f t="shared" si="205"/>
        <v>0</v>
      </c>
      <c r="T616" s="45">
        <f t="shared" si="206"/>
        <v>0</v>
      </c>
    </row>
    <row r="617" spans="1:20" x14ac:dyDescent="0.3">
      <c r="A617">
        <f t="shared" si="187"/>
        <v>1</v>
      </c>
      <c r="B617">
        <f t="shared" si="188"/>
        <v>0</v>
      </c>
      <c r="C617">
        <f t="shared" si="189"/>
        <v>0</v>
      </c>
      <c r="D617">
        <f t="shared" si="190"/>
        <v>1</v>
      </c>
      <c r="E617">
        <f t="shared" si="191"/>
        <v>1</v>
      </c>
      <c r="F617">
        <f t="shared" si="192"/>
        <v>0</v>
      </c>
      <c r="G617">
        <f t="shared" si="193"/>
        <v>1</v>
      </c>
      <c r="H617">
        <f t="shared" si="194"/>
        <v>0</v>
      </c>
      <c r="I617">
        <f t="shared" si="195"/>
        <v>0</v>
      </c>
      <c r="J617">
        <f t="shared" si="196"/>
        <v>1</v>
      </c>
      <c r="K617" s="45">
        <f t="shared" si="197"/>
        <v>0.2</v>
      </c>
      <c r="L617" s="45">
        <f t="shared" si="198"/>
        <v>0</v>
      </c>
      <c r="M617" s="45">
        <f t="shared" si="199"/>
        <v>0</v>
      </c>
      <c r="N617" s="45">
        <f t="shared" si="200"/>
        <v>0.2</v>
      </c>
      <c r="O617" s="45">
        <f t="shared" si="201"/>
        <v>0.2</v>
      </c>
      <c r="P617" s="45">
        <f t="shared" si="202"/>
        <v>0</v>
      </c>
      <c r="Q617" s="45">
        <f t="shared" si="203"/>
        <v>0.2</v>
      </c>
      <c r="R617" s="45">
        <f t="shared" si="204"/>
        <v>0</v>
      </c>
      <c r="S617" s="45">
        <f t="shared" si="205"/>
        <v>0</v>
      </c>
      <c r="T617" s="45">
        <f t="shared" si="206"/>
        <v>0.2</v>
      </c>
    </row>
    <row r="618" spans="1:20" x14ac:dyDescent="0.3">
      <c r="A618">
        <f t="shared" si="187"/>
        <v>1</v>
      </c>
      <c r="B618">
        <f t="shared" si="188"/>
        <v>0</v>
      </c>
      <c r="C618">
        <f t="shared" si="189"/>
        <v>0</v>
      </c>
      <c r="D618">
        <f t="shared" si="190"/>
        <v>1</v>
      </c>
      <c r="E618">
        <f t="shared" si="191"/>
        <v>1</v>
      </c>
      <c r="F618">
        <f t="shared" si="192"/>
        <v>0</v>
      </c>
      <c r="G618">
        <f t="shared" si="193"/>
        <v>1</v>
      </c>
      <c r="H618">
        <f t="shared" si="194"/>
        <v>0</v>
      </c>
      <c r="I618">
        <f t="shared" si="195"/>
        <v>1</v>
      </c>
      <c r="J618">
        <f t="shared" si="196"/>
        <v>0</v>
      </c>
      <c r="K618" s="45">
        <f t="shared" si="197"/>
        <v>0.2</v>
      </c>
      <c r="L618" s="45">
        <f t="shared" si="198"/>
        <v>0</v>
      </c>
      <c r="M618" s="45">
        <f t="shared" si="199"/>
        <v>0</v>
      </c>
      <c r="N618" s="45">
        <f t="shared" si="200"/>
        <v>0.2</v>
      </c>
      <c r="O618" s="45">
        <f t="shared" si="201"/>
        <v>0.2</v>
      </c>
      <c r="P618" s="45">
        <f t="shared" si="202"/>
        <v>0</v>
      </c>
      <c r="Q618" s="45">
        <f t="shared" si="203"/>
        <v>0.2</v>
      </c>
      <c r="R618" s="45">
        <f t="shared" si="204"/>
        <v>0</v>
      </c>
      <c r="S618" s="45">
        <f t="shared" si="205"/>
        <v>0.2</v>
      </c>
      <c r="T618" s="45">
        <f t="shared" si="206"/>
        <v>0</v>
      </c>
    </row>
    <row r="619" spans="1:20" x14ac:dyDescent="0.3">
      <c r="A619">
        <f t="shared" si="187"/>
        <v>1</v>
      </c>
      <c r="B619">
        <f t="shared" si="188"/>
        <v>0</v>
      </c>
      <c r="C619">
        <f t="shared" si="189"/>
        <v>0</v>
      </c>
      <c r="D619">
        <f t="shared" si="190"/>
        <v>1</v>
      </c>
      <c r="E619">
        <f t="shared" si="191"/>
        <v>1</v>
      </c>
      <c r="F619">
        <f t="shared" si="192"/>
        <v>0</v>
      </c>
      <c r="G619">
        <f t="shared" si="193"/>
        <v>1</v>
      </c>
      <c r="H619">
        <f t="shared" si="194"/>
        <v>0</v>
      </c>
      <c r="I619">
        <f t="shared" si="195"/>
        <v>1</v>
      </c>
      <c r="J619">
        <f t="shared" si="196"/>
        <v>1</v>
      </c>
      <c r="K619" s="45">
        <f t="shared" si="197"/>
        <v>0.16666666666666666</v>
      </c>
      <c r="L619" s="45">
        <f t="shared" si="198"/>
        <v>0</v>
      </c>
      <c r="M619" s="45">
        <f t="shared" si="199"/>
        <v>0</v>
      </c>
      <c r="N619" s="45">
        <f t="shared" si="200"/>
        <v>0.16666666666666666</v>
      </c>
      <c r="O619" s="45">
        <f t="shared" si="201"/>
        <v>0.16666666666666666</v>
      </c>
      <c r="P619" s="45">
        <f t="shared" si="202"/>
        <v>0</v>
      </c>
      <c r="Q619" s="45">
        <f t="shared" si="203"/>
        <v>0.16666666666666666</v>
      </c>
      <c r="R619" s="45">
        <f t="shared" si="204"/>
        <v>0</v>
      </c>
      <c r="S619" s="45">
        <f t="shared" si="205"/>
        <v>0.16666666666666666</v>
      </c>
      <c r="T619" s="45">
        <f t="shared" si="206"/>
        <v>0.16666666666666666</v>
      </c>
    </row>
    <row r="620" spans="1:20" x14ac:dyDescent="0.3">
      <c r="A620">
        <f t="shared" si="187"/>
        <v>1</v>
      </c>
      <c r="B620">
        <f t="shared" si="188"/>
        <v>0</v>
      </c>
      <c r="C620">
        <f t="shared" si="189"/>
        <v>0</v>
      </c>
      <c r="D620">
        <f t="shared" si="190"/>
        <v>1</v>
      </c>
      <c r="E620">
        <f t="shared" si="191"/>
        <v>1</v>
      </c>
      <c r="F620">
        <f t="shared" si="192"/>
        <v>0</v>
      </c>
      <c r="G620">
        <f t="shared" si="193"/>
        <v>1</v>
      </c>
      <c r="H620">
        <f t="shared" si="194"/>
        <v>1</v>
      </c>
      <c r="I620">
        <f t="shared" si="195"/>
        <v>0</v>
      </c>
      <c r="J620">
        <f t="shared" si="196"/>
        <v>0</v>
      </c>
      <c r="K620" s="45">
        <f t="shared" si="197"/>
        <v>0.2</v>
      </c>
      <c r="L620" s="45">
        <f t="shared" si="198"/>
        <v>0</v>
      </c>
      <c r="M620" s="45">
        <f t="shared" si="199"/>
        <v>0</v>
      </c>
      <c r="N620" s="45">
        <f t="shared" si="200"/>
        <v>0.2</v>
      </c>
      <c r="O620" s="45">
        <f t="shared" si="201"/>
        <v>0.2</v>
      </c>
      <c r="P620" s="45">
        <f t="shared" si="202"/>
        <v>0</v>
      </c>
      <c r="Q620" s="45">
        <f t="shared" si="203"/>
        <v>0.2</v>
      </c>
      <c r="R620" s="45">
        <f t="shared" si="204"/>
        <v>0.2</v>
      </c>
      <c r="S620" s="45">
        <f t="shared" si="205"/>
        <v>0</v>
      </c>
      <c r="T620" s="45">
        <f t="shared" si="206"/>
        <v>0</v>
      </c>
    </row>
    <row r="621" spans="1:20" x14ac:dyDescent="0.3">
      <c r="A621">
        <f t="shared" si="187"/>
        <v>1</v>
      </c>
      <c r="B621">
        <f t="shared" si="188"/>
        <v>0</v>
      </c>
      <c r="C621">
        <f t="shared" si="189"/>
        <v>0</v>
      </c>
      <c r="D621">
        <f t="shared" si="190"/>
        <v>1</v>
      </c>
      <c r="E621">
        <f t="shared" si="191"/>
        <v>1</v>
      </c>
      <c r="F621">
        <f t="shared" si="192"/>
        <v>0</v>
      </c>
      <c r="G621">
        <f t="shared" si="193"/>
        <v>1</v>
      </c>
      <c r="H621">
        <f t="shared" si="194"/>
        <v>1</v>
      </c>
      <c r="I621">
        <f t="shared" si="195"/>
        <v>0</v>
      </c>
      <c r="J621">
        <f t="shared" si="196"/>
        <v>1</v>
      </c>
      <c r="K621" s="45">
        <f t="shared" si="197"/>
        <v>0.16666666666666666</v>
      </c>
      <c r="L621" s="45">
        <f t="shared" si="198"/>
        <v>0</v>
      </c>
      <c r="M621" s="45">
        <f t="shared" si="199"/>
        <v>0</v>
      </c>
      <c r="N621" s="45">
        <f t="shared" si="200"/>
        <v>0.16666666666666666</v>
      </c>
      <c r="O621" s="45">
        <f t="shared" si="201"/>
        <v>0.16666666666666666</v>
      </c>
      <c r="P621" s="45">
        <f t="shared" si="202"/>
        <v>0</v>
      </c>
      <c r="Q621" s="45">
        <f t="shared" si="203"/>
        <v>0.16666666666666666</v>
      </c>
      <c r="R621" s="45">
        <f t="shared" si="204"/>
        <v>0.16666666666666666</v>
      </c>
      <c r="S621" s="45">
        <f t="shared" si="205"/>
        <v>0</v>
      </c>
      <c r="T621" s="45">
        <f t="shared" si="206"/>
        <v>0.16666666666666666</v>
      </c>
    </row>
    <row r="622" spans="1:20" x14ac:dyDescent="0.3">
      <c r="A622">
        <f t="shared" si="187"/>
        <v>1</v>
      </c>
      <c r="B622">
        <f t="shared" si="188"/>
        <v>0</v>
      </c>
      <c r="C622">
        <f t="shared" si="189"/>
        <v>0</v>
      </c>
      <c r="D622">
        <f t="shared" si="190"/>
        <v>1</v>
      </c>
      <c r="E622">
        <f t="shared" si="191"/>
        <v>1</v>
      </c>
      <c r="F622">
        <f t="shared" si="192"/>
        <v>0</v>
      </c>
      <c r="G622">
        <f t="shared" si="193"/>
        <v>1</v>
      </c>
      <c r="H622">
        <f t="shared" si="194"/>
        <v>1</v>
      </c>
      <c r="I622">
        <f t="shared" si="195"/>
        <v>1</v>
      </c>
      <c r="J622">
        <f t="shared" si="196"/>
        <v>0</v>
      </c>
      <c r="K622" s="45">
        <f t="shared" si="197"/>
        <v>0.16666666666666666</v>
      </c>
      <c r="L622" s="45">
        <f t="shared" si="198"/>
        <v>0</v>
      </c>
      <c r="M622" s="45">
        <f t="shared" si="199"/>
        <v>0</v>
      </c>
      <c r="N622" s="45">
        <f t="shared" si="200"/>
        <v>0.16666666666666666</v>
      </c>
      <c r="O622" s="45">
        <f t="shared" si="201"/>
        <v>0.16666666666666666</v>
      </c>
      <c r="P622" s="45">
        <f t="shared" si="202"/>
        <v>0</v>
      </c>
      <c r="Q622" s="45">
        <f t="shared" si="203"/>
        <v>0.16666666666666666</v>
      </c>
      <c r="R622" s="45">
        <f t="shared" si="204"/>
        <v>0.16666666666666666</v>
      </c>
      <c r="S622" s="45">
        <f t="shared" si="205"/>
        <v>0.16666666666666666</v>
      </c>
      <c r="T622" s="45">
        <f t="shared" si="206"/>
        <v>0</v>
      </c>
    </row>
    <row r="623" spans="1:20" x14ac:dyDescent="0.3">
      <c r="A623">
        <f t="shared" si="187"/>
        <v>1</v>
      </c>
      <c r="B623">
        <f t="shared" si="188"/>
        <v>0</v>
      </c>
      <c r="C623">
        <f t="shared" si="189"/>
        <v>0</v>
      </c>
      <c r="D623">
        <f t="shared" si="190"/>
        <v>1</v>
      </c>
      <c r="E623">
        <f t="shared" si="191"/>
        <v>1</v>
      </c>
      <c r="F623">
        <f t="shared" si="192"/>
        <v>0</v>
      </c>
      <c r="G623">
        <f t="shared" si="193"/>
        <v>1</v>
      </c>
      <c r="H623">
        <f t="shared" si="194"/>
        <v>1</v>
      </c>
      <c r="I623">
        <f t="shared" si="195"/>
        <v>1</v>
      </c>
      <c r="J623">
        <f t="shared" si="196"/>
        <v>1</v>
      </c>
      <c r="K623" s="45">
        <f t="shared" si="197"/>
        <v>0.14285714285714285</v>
      </c>
      <c r="L623" s="45">
        <f t="shared" si="198"/>
        <v>0</v>
      </c>
      <c r="M623" s="45">
        <f t="shared" si="199"/>
        <v>0</v>
      </c>
      <c r="N623" s="45">
        <f t="shared" si="200"/>
        <v>0.14285714285714285</v>
      </c>
      <c r="O623" s="45">
        <f t="shared" si="201"/>
        <v>0.14285714285714285</v>
      </c>
      <c r="P623" s="45">
        <f t="shared" si="202"/>
        <v>0</v>
      </c>
      <c r="Q623" s="45">
        <f t="shared" si="203"/>
        <v>0.14285714285714285</v>
      </c>
      <c r="R623" s="45">
        <f t="shared" si="204"/>
        <v>0.14285714285714285</v>
      </c>
      <c r="S623" s="45">
        <f t="shared" si="205"/>
        <v>0.14285714285714285</v>
      </c>
      <c r="T623" s="45">
        <f t="shared" si="206"/>
        <v>0.14285714285714285</v>
      </c>
    </row>
    <row r="624" spans="1:20" x14ac:dyDescent="0.3">
      <c r="A624">
        <f t="shared" si="187"/>
        <v>1</v>
      </c>
      <c r="B624">
        <f t="shared" si="188"/>
        <v>0</v>
      </c>
      <c r="C624">
        <f t="shared" si="189"/>
        <v>0</v>
      </c>
      <c r="D624">
        <f t="shared" si="190"/>
        <v>1</v>
      </c>
      <c r="E624">
        <f t="shared" si="191"/>
        <v>1</v>
      </c>
      <c r="F624">
        <f t="shared" si="192"/>
        <v>1</v>
      </c>
      <c r="G624">
        <f t="shared" si="193"/>
        <v>0</v>
      </c>
      <c r="H624">
        <f t="shared" si="194"/>
        <v>0</v>
      </c>
      <c r="I624">
        <f t="shared" si="195"/>
        <v>0</v>
      </c>
      <c r="J624">
        <f t="shared" si="196"/>
        <v>0</v>
      </c>
      <c r="K624" s="45">
        <f t="shared" si="197"/>
        <v>0.25</v>
      </c>
      <c r="L624" s="45">
        <f t="shared" si="198"/>
        <v>0</v>
      </c>
      <c r="M624" s="45">
        <f t="shared" si="199"/>
        <v>0</v>
      </c>
      <c r="N624" s="45">
        <f t="shared" si="200"/>
        <v>0.25</v>
      </c>
      <c r="O624" s="45">
        <f t="shared" si="201"/>
        <v>0.25</v>
      </c>
      <c r="P624" s="45">
        <f t="shared" si="202"/>
        <v>0.25</v>
      </c>
      <c r="Q624" s="45">
        <f t="shared" si="203"/>
        <v>0</v>
      </c>
      <c r="R624" s="45">
        <f t="shared" si="204"/>
        <v>0</v>
      </c>
      <c r="S624" s="45">
        <f t="shared" si="205"/>
        <v>0</v>
      </c>
      <c r="T624" s="45">
        <f t="shared" si="206"/>
        <v>0</v>
      </c>
    </row>
    <row r="625" spans="1:20" x14ac:dyDescent="0.3">
      <c r="A625">
        <f t="shared" si="187"/>
        <v>1</v>
      </c>
      <c r="B625">
        <f t="shared" si="188"/>
        <v>0</v>
      </c>
      <c r="C625">
        <f t="shared" si="189"/>
        <v>0</v>
      </c>
      <c r="D625">
        <f t="shared" si="190"/>
        <v>1</v>
      </c>
      <c r="E625">
        <f t="shared" si="191"/>
        <v>1</v>
      </c>
      <c r="F625">
        <f t="shared" si="192"/>
        <v>1</v>
      </c>
      <c r="G625">
        <f t="shared" si="193"/>
        <v>0</v>
      </c>
      <c r="H625">
        <f t="shared" si="194"/>
        <v>0</v>
      </c>
      <c r="I625">
        <f t="shared" si="195"/>
        <v>0</v>
      </c>
      <c r="J625">
        <f t="shared" si="196"/>
        <v>1</v>
      </c>
      <c r="K625" s="45">
        <f t="shared" si="197"/>
        <v>0.2</v>
      </c>
      <c r="L625" s="45">
        <f t="shared" si="198"/>
        <v>0</v>
      </c>
      <c r="M625" s="45">
        <f t="shared" si="199"/>
        <v>0</v>
      </c>
      <c r="N625" s="45">
        <f t="shared" si="200"/>
        <v>0.2</v>
      </c>
      <c r="O625" s="45">
        <f t="shared" si="201"/>
        <v>0.2</v>
      </c>
      <c r="P625" s="45">
        <f t="shared" si="202"/>
        <v>0.2</v>
      </c>
      <c r="Q625" s="45">
        <f t="shared" si="203"/>
        <v>0</v>
      </c>
      <c r="R625" s="45">
        <f t="shared" si="204"/>
        <v>0</v>
      </c>
      <c r="S625" s="45">
        <f t="shared" si="205"/>
        <v>0</v>
      </c>
      <c r="T625" s="45">
        <f t="shared" si="206"/>
        <v>0.2</v>
      </c>
    </row>
    <row r="626" spans="1:20" x14ac:dyDescent="0.3">
      <c r="A626">
        <f t="shared" si="187"/>
        <v>1</v>
      </c>
      <c r="B626">
        <f t="shared" si="188"/>
        <v>0</v>
      </c>
      <c r="C626">
        <f t="shared" si="189"/>
        <v>0</v>
      </c>
      <c r="D626">
        <f t="shared" si="190"/>
        <v>1</v>
      </c>
      <c r="E626">
        <f t="shared" si="191"/>
        <v>1</v>
      </c>
      <c r="F626">
        <f t="shared" si="192"/>
        <v>1</v>
      </c>
      <c r="G626">
        <f t="shared" si="193"/>
        <v>0</v>
      </c>
      <c r="H626">
        <f t="shared" si="194"/>
        <v>0</v>
      </c>
      <c r="I626">
        <f t="shared" si="195"/>
        <v>1</v>
      </c>
      <c r="J626">
        <f t="shared" si="196"/>
        <v>0</v>
      </c>
      <c r="K626" s="45">
        <f t="shared" si="197"/>
        <v>0.2</v>
      </c>
      <c r="L626" s="45">
        <f t="shared" si="198"/>
        <v>0</v>
      </c>
      <c r="M626" s="45">
        <f t="shared" si="199"/>
        <v>0</v>
      </c>
      <c r="N626" s="45">
        <f t="shared" si="200"/>
        <v>0.2</v>
      </c>
      <c r="O626" s="45">
        <f t="shared" si="201"/>
        <v>0.2</v>
      </c>
      <c r="P626" s="45">
        <f t="shared" si="202"/>
        <v>0.2</v>
      </c>
      <c r="Q626" s="45">
        <f t="shared" si="203"/>
        <v>0</v>
      </c>
      <c r="R626" s="45">
        <f t="shared" si="204"/>
        <v>0</v>
      </c>
      <c r="S626" s="45">
        <f t="shared" si="205"/>
        <v>0.2</v>
      </c>
      <c r="T626" s="45">
        <f t="shared" si="206"/>
        <v>0</v>
      </c>
    </row>
    <row r="627" spans="1:20" x14ac:dyDescent="0.3">
      <c r="A627">
        <f t="shared" si="187"/>
        <v>1</v>
      </c>
      <c r="B627">
        <f t="shared" si="188"/>
        <v>0</v>
      </c>
      <c r="C627">
        <f t="shared" si="189"/>
        <v>0</v>
      </c>
      <c r="D627">
        <f t="shared" si="190"/>
        <v>1</v>
      </c>
      <c r="E627">
        <f t="shared" si="191"/>
        <v>1</v>
      </c>
      <c r="F627">
        <f t="shared" si="192"/>
        <v>1</v>
      </c>
      <c r="G627">
        <f t="shared" si="193"/>
        <v>0</v>
      </c>
      <c r="H627">
        <f t="shared" si="194"/>
        <v>0</v>
      </c>
      <c r="I627">
        <f t="shared" si="195"/>
        <v>1</v>
      </c>
      <c r="J627">
        <f t="shared" si="196"/>
        <v>1</v>
      </c>
      <c r="K627" s="45">
        <f t="shared" si="197"/>
        <v>0.16666666666666666</v>
      </c>
      <c r="L627" s="45">
        <f t="shared" si="198"/>
        <v>0</v>
      </c>
      <c r="M627" s="45">
        <f t="shared" si="199"/>
        <v>0</v>
      </c>
      <c r="N627" s="45">
        <f t="shared" si="200"/>
        <v>0.16666666666666666</v>
      </c>
      <c r="O627" s="45">
        <f t="shared" si="201"/>
        <v>0.16666666666666666</v>
      </c>
      <c r="P627" s="45">
        <f t="shared" si="202"/>
        <v>0.16666666666666666</v>
      </c>
      <c r="Q627" s="45">
        <f t="shared" si="203"/>
        <v>0</v>
      </c>
      <c r="R627" s="45">
        <f t="shared" si="204"/>
        <v>0</v>
      </c>
      <c r="S627" s="45">
        <f t="shared" si="205"/>
        <v>0.16666666666666666</v>
      </c>
      <c r="T627" s="45">
        <f t="shared" si="206"/>
        <v>0.16666666666666666</v>
      </c>
    </row>
    <row r="628" spans="1:20" x14ac:dyDescent="0.3">
      <c r="A628">
        <f t="shared" si="187"/>
        <v>1</v>
      </c>
      <c r="B628">
        <f t="shared" si="188"/>
        <v>0</v>
      </c>
      <c r="C628">
        <f t="shared" si="189"/>
        <v>0</v>
      </c>
      <c r="D628">
        <f t="shared" si="190"/>
        <v>1</v>
      </c>
      <c r="E628">
        <f t="shared" si="191"/>
        <v>1</v>
      </c>
      <c r="F628">
        <f t="shared" si="192"/>
        <v>1</v>
      </c>
      <c r="G628">
        <f t="shared" si="193"/>
        <v>0</v>
      </c>
      <c r="H628">
        <f t="shared" si="194"/>
        <v>1</v>
      </c>
      <c r="I628">
        <f t="shared" si="195"/>
        <v>0</v>
      </c>
      <c r="J628">
        <f t="shared" si="196"/>
        <v>0</v>
      </c>
      <c r="K628" s="45">
        <f t="shared" si="197"/>
        <v>0.2</v>
      </c>
      <c r="L628" s="45">
        <f t="shared" si="198"/>
        <v>0</v>
      </c>
      <c r="M628" s="45">
        <f t="shared" si="199"/>
        <v>0</v>
      </c>
      <c r="N628" s="45">
        <f t="shared" si="200"/>
        <v>0.2</v>
      </c>
      <c r="O628" s="45">
        <f t="shared" si="201"/>
        <v>0.2</v>
      </c>
      <c r="P628" s="45">
        <f t="shared" si="202"/>
        <v>0.2</v>
      </c>
      <c r="Q628" s="45">
        <f t="shared" si="203"/>
        <v>0</v>
      </c>
      <c r="R628" s="45">
        <f t="shared" si="204"/>
        <v>0.2</v>
      </c>
      <c r="S628" s="45">
        <f t="shared" si="205"/>
        <v>0</v>
      </c>
      <c r="T628" s="45">
        <f t="shared" si="206"/>
        <v>0</v>
      </c>
    </row>
    <row r="629" spans="1:20" x14ac:dyDescent="0.3">
      <c r="A629">
        <f t="shared" si="187"/>
        <v>1</v>
      </c>
      <c r="B629">
        <f t="shared" si="188"/>
        <v>0</v>
      </c>
      <c r="C629">
        <f t="shared" si="189"/>
        <v>0</v>
      </c>
      <c r="D629">
        <f t="shared" si="190"/>
        <v>1</v>
      </c>
      <c r="E629">
        <f t="shared" si="191"/>
        <v>1</v>
      </c>
      <c r="F629">
        <f t="shared" si="192"/>
        <v>1</v>
      </c>
      <c r="G629">
        <f t="shared" si="193"/>
        <v>0</v>
      </c>
      <c r="H629">
        <f t="shared" si="194"/>
        <v>1</v>
      </c>
      <c r="I629">
        <f t="shared" si="195"/>
        <v>0</v>
      </c>
      <c r="J629">
        <f t="shared" si="196"/>
        <v>1</v>
      </c>
      <c r="K629" s="45">
        <f t="shared" si="197"/>
        <v>0.16666666666666666</v>
      </c>
      <c r="L629" s="45">
        <f t="shared" si="198"/>
        <v>0</v>
      </c>
      <c r="M629" s="45">
        <f t="shared" si="199"/>
        <v>0</v>
      </c>
      <c r="N629" s="45">
        <f t="shared" si="200"/>
        <v>0.16666666666666666</v>
      </c>
      <c r="O629" s="45">
        <f t="shared" si="201"/>
        <v>0.16666666666666666</v>
      </c>
      <c r="P629" s="45">
        <f t="shared" si="202"/>
        <v>0.16666666666666666</v>
      </c>
      <c r="Q629" s="45">
        <f t="shared" si="203"/>
        <v>0</v>
      </c>
      <c r="R629" s="45">
        <f t="shared" si="204"/>
        <v>0.16666666666666666</v>
      </c>
      <c r="S629" s="45">
        <f t="shared" si="205"/>
        <v>0</v>
      </c>
      <c r="T629" s="45">
        <f t="shared" si="206"/>
        <v>0.16666666666666666</v>
      </c>
    </row>
    <row r="630" spans="1:20" x14ac:dyDescent="0.3">
      <c r="A630">
        <f t="shared" si="187"/>
        <v>1</v>
      </c>
      <c r="B630">
        <f t="shared" si="188"/>
        <v>0</v>
      </c>
      <c r="C630">
        <f t="shared" si="189"/>
        <v>0</v>
      </c>
      <c r="D630">
        <f t="shared" si="190"/>
        <v>1</v>
      </c>
      <c r="E630">
        <f t="shared" si="191"/>
        <v>1</v>
      </c>
      <c r="F630">
        <f t="shared" si="192"/>
        <v>1</v>
      </c>
      <c r="G630">
        <f t="shared" si="193"/>
        <v>0</v>
      </c>
      <c r="H630">
        <f t="shared" si="194"/>
        <v>1</v>
      </c>
      <c r="I630">
        <f t="shared" si="195"/>
        <v>1</v>
      </c>
      <c r="J630">
        <f t="shared" si="196"/>
        <v>0</v>
      </c>
      <c r="K630" s="45">
        <f t="shared" si="197"/>
        <v>0.16666666666666666</v>
      </c>
      <c r="L630" s="45">
        <f t="shared" si="198"/>
        <v>0</v>
      </c>
      <c r="M630" s="45">
        <f t="shared" si="199"/>
        <v>0</v>
      </c>
      <c r="N630" s="45">
        <f t="shared" si="200"/>
        <v>0.16666666666666666</v>
      </c>
      <c r="O630" s="45">
        <f t="shared" si="201"/>
        <v>0.16666666666666666</v>
      </c>
      <c r="P630" s="45">
        <f t="shared" si="202"/>
        <v>0.16666666666666666</v>
      </c>
      <c r="Q630" s="45">
        <f t="shared" si="203"/>
        <v>0</v>
      </c>
      <c r="R630" s="45">
        <f t="shared" si="204"/>
        <v>0.16666666666666666</v>
      </c>
      <c r="S630" s="45">
        <f t="shared" si="205"/>
        <v>0.16666666666666666</v>
      </c>
      <c r="T630" s="45">
        <f t="shared" si="206"/>
        <v>0</v>
      </c>
    </row>
    <row r="631" spans="1:20" x14ac:dyDescent="0.3">
      <c r="A631">
        <f t="shared" si="187"/>
        <v>1</v>
      </c>
      <c r="B631">
        <f t="shared" si="188"/>
        <v>0</v>
      </c>
      <c r="C631">
        <f t="shared" si="189"/>
        <v>0</v>
      </c>
      <c r="D631">
        <f t="shared" si="190"/>
        <v>1</v>
      </c>
      <c r="E631">
        <f t="shared" si="191"/>
        <v>1</v>
      </c>
      <c r="F631">
        <f t="shared" si="192"/>
        <v>1</v>
      </c>
      <c r="G631">
        <f t="shared" si="193"/>
        <v>0</v>
      </c>
      <c r="H631">
        <f t="shared" si="194"/>
        <v>1</v>
      </c>
      <c r="I631">
        <f t="shared" si="195"/>
        <v>1</v>
      </c>
      <c r="J631">
        <f t="shared" si="196"/>
        <v>1</v>
      </c>
      <c r="K631" s="45">
        <f t="shared" si="197"/>
        <v>0.14285714285714285</v>
      </c>
      <c r="L631" s="45">
        <f t="shared" si="198"/>
        <v>0</v>
      </c>
      <c r="M631" s="45">
        <f t="shared" si="199"/>
        <v>0</v>
      </c>
      <c r="N631" s="45">
        <f t="shared" si="200"/>
        <v>0.14285714285714285</v>
      </c>
      <c r="O631" s="45">
        <f t="shared" si="201"/>
        <v>0.14285714285714285</v>
      </c>
      <c r="P631" s="45">
        <f t="shared" si="202"/>
        <v>0.14285714285714285</v>
      </c>
      <c r="Q631" s="45">
        <f t="shared" si="203"/>
        <v>0</v>
      </c>
      <c r="R631" s="45">
        <f t="shared" si="204"/>
        <v>0.14285714285714285</v>
      </c>
      <c r="S631" s="45">
        <f t="shared" si="205"/>
        <v>0.14285714285714285</v>
      </c>
      <c r="T631" s="45">
        <f t="shared" si="206"/>
        <v>0.14285714285714285</v>
      </c>
    </row>
    <row r="632" spans="1:20" x14ac:dyDescent="0.3">
      <c r="A632">
        <f t="shared" si="187"/>
        <v>1</v>
      </c>
      <c r="B632">
        <f t="shared" si="188"/>
        <v>0</v>
      </c>
      <c r="C632">
        <f t="shared" si="189"/>
        <v>0</v>
      </c>
      <c r="D632">
        <f t="shared" si="190"/>
        <v>1</v>
      </c>
      <c r="E632">
        <f t="shared" si="191"/>
        <v>1</v>
      </c>
      <c r="F632">
        <f t="shared" si="192"/>
        <v>1</v>
      </c>
      <c r="G632">
        <f t="shared" si="193"/>
        <v>1</v>
      </c>
      <c r="H632">
        <f t="shared" si="194"/>
        <v>0</v>
      </c>
      <c r="I632">
        <f t="shared" si="195"/>
        <v>0</v>
      </c>
      <c r="J632">
        <f t="shared" si="196"/>
        <v>0</v>
      </c>
      <c r="K632" s="45">
        <f t="shared" si="197"/>
        <v>0.2</v>
      </c>
      <c r="L632" s="45">
        <f t="shared" si="198"/>
        <v>0</v>
      </c>
      <c r="M632" s="45">
        <f t="shared" si="199"/>
        <v>0</v>
      </c>
      <c r="N632" s="45">
        <f t="shared" si="200"/>
        <v>0.2</v>
      </c>
      <c r="O632" s="45">
        <f t="shared" si="201"/>
        <v>0.2</v>
      </c>
      <c r="P632" s="45">
        <f t="shared" si="202"/>
        <v>0.2</v>
      </c>
      <c r="Q632" s="45">
        <f t="shared" si="203"/>
        <v>0.2</v>
      </c>
      <c r="R632" s="45">
        <f t="shared" si="204"/>
        <v>0</v>
      </c>
      <c r="S632" s="45">
        <f t="shared" si="205"/>
        <v>0</v>
      </c>
      <c r="T632" s="45">
        <f t="shared" si="206"/>
        <v>0</v>
      </c>
    </row>
    <row r="633" spans="1:20" x14ac:dyDescent="0.3">
      <c r="A633">
        <f t="shared" si="187"/>
        <v>1</v>
      </c>
      <c r="B633">
        <f t="shared" si="188"/>
        <v>0</v>
      </c>
      <c r="C633">
        <f t="shared" si="189"/>
        <v>0</v>
      </c>
      <c r="D633">
        <f t="shared" si="190"/>
        <v>1</v>
      </c>
      <c r="E633">
        <f t="shared" si="191"/>
        <v>1</v>
      </c>
      <c r="F633">
        <f t="shared" si="192"/>
        <v>1</v>
      </c>
      <c r="G633">
        <f t="shared" si="193"/>
        <v>1</v>
      </c>
      <c r="H633">
        <f t="shared" si="194"/>
        <v>0</v>
      </c>
      <c r="I633">
        <f t="shared" si="195"/>
        <v>0</v>
      </c>
      <c r="J633">
        <f t="shared" si="196"/>
        <v>1</v>
      </c>
      <c r="K633" s="45">
        <f t="shared" si="197"/>
        <v>0.16666666666666666</v>
      </c>
      <c r="L633" s="45">
        <f t="shared" si="198"/>
        <v>0</v>
      </c>
      <c r="M633" s="45">
        <f t="shared" si="199"/>
        <v>0</v>
      </c>
      <c r="N633" s="45">
        <f t="shared" si="200"/>
        <v>0.16666666666666666</v>
      </c>
      <c r="O633" s="45">
        <f t="shared" si="201"/>
        <v>0.16666666666666666</v>
      </c>
      <c r="P633" s="45">
        <f t="shared" si="202"/>
        <v>0.16666666666666666</v>
      </c>
      <c r="Q633" s="45">
        <f t="shared" si="203"/>
        <v>0.16666666666666666</v>
      </c>
      <c r="R633" s="45">
        <f t="shared" si="204"/>
        <v>0</v>
      </c>
      <c r="S633" s="45">
        <f t="shared" si="205"/>
        <v>0</v>
      </c>
      <c r="T633" s="45">
        <f t="shared" si="206"/>
        <v>0.16666666666666666</v>
      </c>
    </row>
    <row r="634" spans="1:20" x14ac:dyDescent="0.3">
      <c r="A634">
        <f t="shared" si="187"/>
        <v>1</v>
      </c>
      <c r="B634">
        <f t="shared" si="188"/>
        <v>0</v>
      </c>
      <c r="C634">
        <f t="shared" si="189"/>
        <v>0</v>
      </c>
      <c r="D634">
        <f t="shared" si="190"/>
        <v>1</v>
      </c>
      <c r="E634">
        <f t="shared" si="191"/>
        <v>1</v>
      </c>
      <c r="F634">
        <f t="shared" si="192"/>
        <v>1</v>
      </c>
      <c r="G634">
        <f t="shared" si="193"/>
        <v>1</v>
      </c>
      <c r="H634">
        <f t="shared" si="194"/>
        <v>0</v>
      </c>
      <c r="I634">
        <f t="shared" si="195"/>
        <v>1</v>
      </c>
      <c r="J634">
        <f t="shared" si="196"/>
        <v>0</v>
      </c>
      <c r="K634" s="45">
        <f t="shared" si="197"/>
        <v>0.16666666666666666</v>
      </c>
      <c r="L634" s="45">
        <f t="shared" si="198"/>
        <v>0</v>
      </c>
      <c r="M634" s="45">
        <f t="shared" si="199"/>
        <v>0</v>
      </c>
      <c r="N634" s="45">
        <f t="shared" si="200"/>
        <v>0.16666666666666666</v>
      </c>
      <c r="O634" s="45">
        <f t="shared" si="201"/>
        <v>0.16666666666666666</v>
      </c>
      <c r="P634" s="45">
        <f t="shared" si="202"/>
        <v>0.16666666666666666</v>
      </c>
      <c r="Q634" s="45">
        <f t="shared" si="203"/>
        <v>0.16666666666666666</v>
      </c>
      <c r="R634" s="45">
        <f t="shared" si="204"/>
        <v>0</v>
      </c>
      <c r="S634" s="45">
        <f t="shared" si="205"/>
        <v>0.16666666666666666</v>
      </c>
      <c r="T634" s="45">
        <f t="shared" si="206"/>
        <v>0</v>
      </c>
    </row>
    <row r="635" spans="1:20" x14ac:dyDescent="0.3">
      <c r="A635">
        <f t="shared" si="187"/>
        <v>1</v>
      </c>
      <c r="B635">
        <f t="shared" si="188"/>
        <v>0</v>
      </c>
      <c r="C635">
        <f t="shared" si="189"/>
        <v>0</v>
      </c>
      <c r="D635">
        <f t="shared" si="190"/>
        <v>1</v>
      </c>
      <c r="E635">
        <f t="shared" si="191"/>
        <v>1</v>
      </c>
      <c r="F635">
        <f t="shared" si="192"/>
        <v>1</v>
      </c>
      <c r="G635">
        <f t="shared" si="193"/>
        <v>1</v>
      </c>
      <c r="H635">
        <f t="shared" si="194"/>
        <v>0</v>
      </c>
      <c r="I635">
        <f t="shared" si="195"/>
        <v>1</v>
      </c>
      <c r="J635">
        <f t="shared" si="196"/>
        <v>1</v>
      </c>
      <c r="K635" s="45">
        <f t="shared" si="197"/>
        <v>0.14285714285714285</v>
      </c>
      <c r="L635" s="45">
        <f t="shared" si="198"/>
        <v>0</v>
      </c>
      <c r="M635" s="45">
        <f t="shared" si="199"/>
        <v>0</v>
      </c>
      <c r="N635" s="45">
        <f t="shared" si="200"/>
        <v>0.14285714285714285</v>
      </c>
      <c r="O635" s="45">
        <f t="shared" si="201"/>
        <v>0.14285714285714285</v>
      </c>
      <c r="P635" s="45">
        <f t="shared" si="202"/>
        <v>0.14285714285714285</v>
      </c>
      <c r="Q635" s="45">
        <f t="shared" si="203"/>
        <v>0.14285714285714285</v>
      </c>
      <c r="R635" s="45">
        <f t="shared" si="204"/>
        <v>0</v>
      </c>
      <c r="S635" s="45">
        <f t="shared" si="205"/>
        <v>0.14285714285714285</v>
      </c>
      <c r="T635" s="45">
        <f t="shared" si="206"/>
        <v>0.14285714285714285</v>
      </c>
    </row>
    <row r="636" spans="1:20" x14ac:dyDescent="0.3">
      <c r="A636">
        <f t="shared" si="187"/>
        <v>1</v>
      </c>
      <c r="B636">
        <f t="shared" si="188"/>
        <v>0</v>
      </c>
      <c r="C636">
        <f t="shared" si="189"/>
        <v>0</v>
      </c>
      <c r="D636">
        <f t="shared" si="190"/>
        <v>1</v>
      </c>
      <c r="E636">
        <f t="shared" si="191"/>
        <v>1</v>
      </c>
      <c r="F636">
        <f t="shared" si="192"/>
        <v>1</v>
      </c>
      <c r="G636">
        <f t="shared" si="193"/>
        <v>1</v>
      </c>
      <c r="H636">
        <f t="shared" si="194"/>
        <v>1</v>
      </c>
      <c r="I636">
        <f t="shared" si="195"/>
        <v>0</v>
      </c>
      <c r="J636">
        <f t="shared" si="196"/>
        <v>0</v>
      </c>
      <c r="K636" s="45">
        <f t="shared" si="197"/>
        <v>0.16666666666666666</v>
      </c>
      <c r="L636" s="45">
        <f t="shared" si="198"/>
        <v>0</v>
      </c>
      <c r="M636" s="45">
        <f t="shared" si="199"/>
        <v>0</v>
      </c>
      <c r="N636" s="45">
        <f t="shared" si="200"/>
        <v>0.16666666666666666</v>
      </c>
      <c r="O636" s="45">
        <f t="shared" si="201"/>
        <v>0.16666666666666666</v>
      </c>
      <c r="P636" s="45">
        <f t="shared" si="202"/>
        <v>0.16666666666666666</v>
      </c>
      <c r="Q636" s="45">
        <f t="shared" si="203"/>
        <v>0.16666666666666666</v>
      </c>
      <c r="R636" s="45">
        <f t="shared" si="204"/>
        <v>0.16666666666666666</v>
      </c>
      <c r="S636" s="45">
        <f t="shared" si="205"/>
        <v>0</v>
      </c>
      <c r="T636" s="45">
        <f t="shared" si="206"/>
        <v>0</v>
      </c>
    </row>
    <row r="637" spans="1:20" x14ac:dyDescent="0.3">
      <c r="A637">
        <f t="shared" si="187"/>
        <v>1</v>
      </c>
      <c r="B637">
        <f t="shared" si="188"/>
        <v>0</v>
      </c>
      <c r="C637">
        <f t="shared" si="189"/>
        <v>0</v>
      </c>
      <c r="D637">
        <f t="shared" si="190"/>
        <v>1</v>
      </c>
      <c r="E637">
        <f t="shared" si="191"/>
        <v>1</v>
      </c>
      <c r="F637">
        <f t="shared" si="192"/>
        <v>1</v>
      </c>
      <c r="G637">
        <f t="shared" si="193"/>
        <v>1</v>
      </c>
      <c r="H637">
        <f t="shared" si="194"/>
        <v>1</v>
      </c>
      <c r="I637">
        <f t="shared" si="195"/>
        <v>0</v>
      </c>
      <c r="J637">
        <f t="shared" si="196"/>
        <v>1</v>
      </c>
      <c r="K637" s="45">
        <f t="shared" si="197"/>
        <v>0.14285714285714285</v>
      </c>
      <c r="L637" s="45">
        <f t="shared" si="198"/>
        <v>0</v>
      </c>
      <c r="M637" s="45">
        <f t="shared" si="199"/>
        <v>0</v>
      </c>
      <c r="N637" s="45">
        <f t="shared" si="200"/>
        <v>0.14285714285714285</v>
      </c>
      <c r="O637" s="45">
        <f t="shared" si="201"/>
        <v>0.14285714285714285</v>
      </c>
      <c r="P637" s="45">
        <f t="shared" si="202"/>
        <v>0.14285714285714285</v>
      </c>
      <c r="Q637" s="45">
        <f t="shared" si="203"/>
        <v>0.14285714285714285</v>
      </c>
      <c r="R637" s="45">
        <f t="shared" si="204"/>
        <v>0.14285714285714285</v>
      </c>
      <c r="S637" s="45">
        <f t="shared" si="205"/>
        <v>0</v>
      </c>
      <c r="T637" s="45">
        <f t="shared" si="206"/>
        <v>0.14285714285714285</v>
      </c>
    </row>
    <row r="638" spans="1:20" x14ac:dyDescent="0.3">
      <c r="A638">
        <f t="shared" si="187"/>
        <v>1</v>
      </c>
      <c r="B638">
        <f t="shared" si="188"/>
        <v>0</v>
      </c>
      <c r="C638">
        <f t="shared" si="189"/>
        <v>0</v>
      </c>
      <c r="D638">
        <f t="shared" si="190"/>
        <v>1</v>
      </c>
      <c r="E638">
        <f t="shared" si="191"/>
        <v>1</v>
      </c>
      <c r="F638">
        <f t="shared" si="192"/>
        <v>1</v>
      </c>
      <c r="G638">
        <f t="shared" si="193"/>
        <v>1</v>
      </c>
      <c r="H638">
        <f t="shared" si="194"/>
        <v>1</v>
      </c>
      <c r="I638">
        <f t="shared" si="195"/>
        <v>1</v>
      </c>
      <c r="J638">
        <f t="shared" si="196"/>
        <v>0</v>
      </c>
      <c r="K638" s="45">
        <f t="shared" si="197"/>
        <v>0.14285714285714285</v>
      </c>
      <c r="L638" s="45">
        <f t="shared" si="198"/>
        <v>0</v>
      </c>
      <c r="M638" s="45">
        <f t="shared" si="199"/>
        <v>0</v>
      </c>
      <c r="N638" s="45">
        <f t="shared" si="200"/>
        <v>0.14285714285714285</v>
      </c>
      <c r="O638" s="45">
        <f t="shared" si="201"/>
        <v>0.14285714285714285</v>
      </c>
      <c r="P638" s="45">
        <f t="shared" si="202"/>
        <v>0.14285714285714285</v>
      </c>
      <c r="Q638" s="45">
        <f t="shared" si="203"/>
        <v>0.14285714285714285</v>
      </c>
      <c r="R638" s="45">
        <f t="shared" si="204"/>
        <v>0.14285714285714285</v>
      </c>
      <c r="S638" s="45">
        <f t="shared" si="205"/>
        <v>0.14285714285714285</v>
      </c>
      <c r="T638" s="45">
        <f t="shared" si="206"/>
        <v>0</v>
      </c>
    </row>
    <row r="639" spans="1:20" x14ac:dyDescent="0.3">
      <c r="A639">
        <f t="shared" si="187"/>
        <v>1</v>
      </c>
      <c r="B639">
        <f t="shared" si="188"/>
        <v>0</v>
      </c>
      <c r="C639">
        <f t="shared" si="189"/>
        <v>0</v>
      </c>
      <c r="D639">
        <f t="shared" si="190"/>
        <v>1</v>
      </c>
      <c r="E639">
        <f t="shared" si="191"/>
        <v>1</v>
      </c>
      <c r="F639">
        <f t="shared" si="192"/>
        <v>1</v>
      </c>
      <c r="G639">
        <f t="shared" si="193"/>
        <v>1</v>
      </c>
      <c r="H639">
        <f t="shared" si="194"/>
        <v>1</v>
      </c>
      <c r="I639">
        <f t="shared" si="195"/>
        <v>1</v>
      </c>
      <c r="J639">
        <f t="shared" si="196"/>
        <v>1</v>
      </c>
      <c r="K639" s="45">
        <f t="shared" si="197"/>
        <v>0.125</v>
      </c>
      <c r="L639" s="45">
        <f t="shared" si="198"/>
        <v>0</v>
      </c>
      <c r="M639" s="45">
        <f t="shared" si="199"/>
        <v>0</v>
      </c>
      <c r="N639" s="45">
        <f t="shared" si="200"/>
        <v>0.125</v>
      </c>
      <c r="O639" s="45">
        <f t="shared" si="201"/>
        <v>0.125</v>
      </c>
      <c r="P639" s="45">
        <f t="shared" si="202"/>
        <v>0.125</v>
      </c>
      <c r="Q639" s="45">
        <f t="shared" si="203"/>
        <v>0.125</v>
      </c>
      <c r="R639" s="45">
        <f t="shared" si="204"/>
        <v>0.125</v>
      </c>
      <c r="S639" s="45">
        <f t="shared" si="205"/>
        <v>0.125</v>
      </c>
      <c r="T639" s="45">
        <f t="shared" si="206"/>
        <v>0.125</v>
      </c>
    </row>
    <row r="640" spans="1:20" x14ac:dyDescent="0.3">
      <c r="A640">
        <f t="shared" si="187"/>
        <v>1</v>
      </c>
      <c r="B640">
        <f t="shared" si="188"/>
        <v>0</v>
      </c>
      <c r="C640">
        <f t="shared" si="189"/>
        <v>1</v>
      </c>
      <c r="D640">
        <f t="shared" si="190"/>
        <v>0</v>
      </c>
      <c r="E640">
        <f t="shared" si="191"/>
        <v>0</v>
      </c>
      <c r="F640">
        <f t="shared" si="192"/>
        <v>0</v>
      </c>
      <c r="G640">
        <f t="shared" si="193"/>
        <v>0</v>
      </c>
      <c r="H640">
        <f t="shared" si="194"/>
        <v>0</v>
      </c>
      <c r="I640">
        <f t="shared" si="195"/>
        <v>0</v>
      </c>
      <c r="J640">
        <f t="shared" si="196"/>
        <v>0</v>
      </c>
      <c r="K640" s="45">
        <f t="shared" si="197"/>
        <v>0.5</v>
      </c>
      <c r="L640" s="45">
        <f t="shared" si="198"/>
        <v>0</v>
      </c>
      <c r="M640" s="45">
        <f t="shared" si="199"/>
        <v>0.5</v>
      </c>
      <c r="N640" s="45">
        <f t="shared" si="200"/>
        <v>0</v>
      </c>
      <c r="O640" s="45">
        <f t="shared" si="201"/>
        <v>0</v>
      </c>
      <c r="P640" s="45">
        <f t="shared" si="202"/>
        <v>0</v>
      </c>
      <c r="Q640" s="45">
        <f t="shared" si="203"/>
        <v>0</v>
      </c>
      <c r="R640" s="45">
        <f t="shared" si="204"/>
        <v>0</v>
      </c>
      <c r="S640" s="45">
        <f t="shared" si="205"/>
        <v>0</v>
      </c>
      <c r="T640" s="45">
        <f t="shared" si="206"/>
        <v>0</v>
      </c>
    </row>
    <row r="641" spans="1:20" x14ac:dyDescent="0.3">
      <c r="A641">
        <f t="shared" si="187"/>
        <v>1</v>
      </c>
      <c r="B641">
        <f t="shared" si="188"/>
        <v>0</v>
      </c>
      <c r="C641">
        <f t="shared" si="189"/>
        <v>1</v>
      </c>
      <c r="D641">
        <f t="shared" si="190"/>
        <v>0</v>
      </c>
      <c r="E641">
        <f t="shared" si="191"/>
        <v>0</v>
      </c>
      <c r="F641">
        <f t="shared" si="192"/>
        <v>0</v>
      </c>
      <c r="G641">
        <f t="shared" si="193"/>
        <v>0</v>
      </c>
      <c r="H641">
        <f t="shared" si="194"/>
        <v>0</v>
      </c>
      <c r="I641">
        <f t="shared" si="195"/>
        <v>0</v>
      </c>
      <c r="J641">
        <f t="shared" si="196"/>
        <v>1</v>
      </c>
      <c r="K641" s="45">
        <f t="shared" si="197"/>
        <v>0.33333333333333331</v>
      </c>
      <c r="L641" s="45">
        <f t="shared" si="198"/>
        <v>0</v>
      </c>
      <c r="M641" s="45">
        <f t="shared" si="199"/>
        <v>0.33333333333333331</v>
      </c>
      <c r="N641" s="45">
        <f t="shared" si="200"/>
        <v>0</v>
      </c>
      <c r="O641" s="45">
        <f t="shared" si="201"/>
        <v>0</v>
      </c>
      <c r="P641" s="45">
        <f t="shared" si="202"/>
        <v>0</v>
      </c>
      <c r="Q641" s="45">
        <f t="shared" si="203"/>
        <v>0</v>
      </c>
      <c r="R641" s="45">
        <f t="shared" si="204"/>
        <v>0</v>
      </c>
      <c r="S641" s="45">
        <f t="shared" si="205"/>
        <v>0</v>
      </c>
      <c r="T641" s="45">
        <f t="shared" si="206"/>
        <v>0.33333333333333331</v>
      </c>
    </row>
    <row r="642" spans="1:20" x14ac:dyDescent="0.3">
      <c r="A642">
        <f t="shared" ref="A642:A705" si="207">INT( MOD(ROW()+0,1024)/512)</f>
        <v>1</v>
      </c>
      <c r="B642">
        <f t="shared" ref="B642:B705" si="208">INT( MOD(ROW()+0,512)/256)</f>
        <v>0</v>
      </c>
      <c r="C642">
        <f t="shared" ref="C642:C705" si="209">INT( MOD(ROW()+0,256)/128)</f>
        <v>1</v>
      </c>
      <c r="D642">
        <f t="shared" ref="D642:D705" si="210">INT( MOD(ROW()+0,128)/64)</f>
        <v>0</v>
      </c>
      <c r="E642">
        <f t="shared" ref="E642:E705" si="211">INT( MOD(ROW()+0,64)/32)</f>
        <v>0</v>
      </c>
      <c r="F642">
        <f t="shared" ref="F642:F705" si="212">INT( MOD(ROW()+0,32)/16)</f>
        <v>0</v>
      </c>
      <c r="G642">
        <f t="shared" ref="G642:G705" si="213">INT( MOD(ROW()+0,16)/8)</f>
        <v>0</v>
      </c>
      <c r="H642">
        <f t="shared" ref="H642:H705" si="214">INT( MOD(ROW()+0,8)/4)</f>
        <v>0</v>
      </c>
      <c r="I642">
        <f t="shared" ref="I642:I705" si="215">INT( MOD(ROW()+0,4)/2)</f>
        <v>1</v>
      </c>
      <c r="J642">
        <f t="shared" ref="J642:J705" si="216">INT( MOD(ROW()+0,2)/1)</f>
        <v>0</v>
      </c>
      <c r="K642" s="45">
        <f t="shared" ref="K642:K705" si="217">A642/SUM($A642:$J642)</f>
        <v>0.33333333333333331</v>
      </c>
      <c r="L642" s="45">
        <f t="shared" ref="L642:L705" si="218">B642/SUM($A642:$J642)</f>
        <v>0</v>
      </c>
      <c r="M642" s="45">
        <f t="shared" ref="M642:M705" si="219">C642/SUM($A642:$J642)</f>
        <v>0.33333333333333331</v>
      </c>
      <c r="N642" s="45">
        <f t="shared" ref="N642:N705" si="220">D642/SUM($A642:$J642)</f>
        <v>0</v>
      </c>
      <c r="O642" s="45">
        <f t="shared" ref="O642:O705" si="221">E642/SUM($A642:$J642)</f>
        <v>0</v>
      </c>
      <c r="P642" s="45">
        <f t="shared" ref="P642:P705" si="222">F642/SUM($A642:$J642)</f>
        <v>0</v>
      </c>
      <c r="Q642" s="45">
        <f t="shared" ref="Q642:Q705" si="223">G642/SUM($A642:$J642)</f>
        <v>0</v>
      </c>
      <c r="R642" s="45">
        <f t="shared" ref="R642:R705" si="224">H642/SUM($A642:$J642)</f>
        <v>0</v>
      </c>
      <c r="S642" s="45">
        <f t="shared" ref="S642:S705" si="225">I642/SUM($A642:$J642)</f>
        <v>0.33333333333333331</v>
      </c>
      <c r="T642" s="45">
        <f t="shared" ref="T642:T705" si="226">J642/SUM($A642:$J642)</f>
        <v>0</v>
      </c>
    </row>
    <row r="643" spans="1:20" x14ac:dyDescent="0.3">
      <c r="A643">
        <f t="shared" si="207"/>
        <v>1</v>
      </c>
      <c r="B643">
        <f t="shared" si="208"/>
        <v>0</v>
      </c>
      <c r="C643">
        <f t="shared" si="209"/>
        <v>1</v>
      </c>
      <c r="D643">
        <f t="shared" si="210"/>
        <v>0</v>
      </c>
      <c r="E643">
        <f t="shared" si="211"/>
        <v>0</v>
      </c>
      <c r="F643">
        <f t="shared" si="212"/>
        <v>0</v>
      </c>
      <c r="G643">
        <f t="shared" si="213"/>
        <v>0</v>
      </c>
      <c r="H643">
        <f t="shared" si="214"/>
        <v>0</v>
      </c>
      <c r="I643">
        <f t="shared" si="215"/>
        <v>1</v>
      </c>
      <c r="J643">
        <f t="shared" si="216"/>
        <v>1</v>
      </c>
      <c r="K643" s="45">
        <f t="shared" si="217"/>
        <v>0.25</v>
      </c>
      <c r="L643" s="45">
        <f t="shared" si="218"/>
        <v>0</v>
      </c>
      <c r="M643" s="45">
        <f t="shared" si="219"/>
        <v>0.25</v>
      </c>
      <c r="N643" s="45">
        <f t="shared" si="220"/>
        <v>0</v>
      </c>
      <c r="O643" s="45">
        <f t="shared" si="221"/>
        <v>0</v>
      </c>
      <c r="P643" s="45">
        <f t="shared" si="222"/>
        <v>0</v>
      </c>
      <c r="Q643" s="45">
        <f t="shared" si="223"/>
        <v>0</v>
      </c>
      <c r="R643" s="45">
        <f t="shared" si="224"/>
        <v>0</v>
      </c>
      <c r="S643" s="45">
        <f t="shared" si="225"/>
        <v>0.25</v>
      </c>
      <c r="T643" s="45">
        <f t="shared" si="226"/>
        <v>0.25</v>
      </c>
    </row>
    <row r="644" spans="1:20" x14ac:dyDescent="0.3">
      <c r="A644">
        <f t="shared" si="207"/>
        <v>1</v>
      </c>
      <c r="B644">
        <f t="shared" si="208"/>
        <v>0</v>
      </c>
      <c r="C644">
        <f t="shared" si="209"/>
        <v>1</v>
      </c>
      <c r="D644">
        <f t="shared" si="210"/>
        <v>0</v>
      </c>
      <c r="E644">
        <f t="shared" si="211"/>
        <v>0</v>
      </c>
      <c r="F644">
        <f t="shared" si="212"/>
        <v>0</v>
      </c>
      <c r="G644">
        <f t="shared" si="213"/>
        <v>0</v>
      </c>
      <c r="H644">
        <f t="shared" si="214"/>
        <v>1</v>
      </c>
      <c r="I644">
        <f t="shared" si="215"/>
        <v>0</v>
      </c>
      <c r="J644">
        <f t="shared" si="216"/>
        <v>0</v>
      </c>
      <c r="K644" s="45">
        <f t="shared" si="217"/>
        <v>0.33333333333333331</v>
      </c>
      <c r="L644" s="45">
        <f t="shared" si="218"/>
        <v>0</v>
      </c>
      <c r="M644" s="45">
        <f t="shared" si="219"/>
        <v>0.33333333333333331</v>
      </c>
      <c r="N644" s="45">
        <f t="shared" si="220"/>
        <v>0</v>
      </c>
      <c r="O644" s="45">
        <f t="shared" si="221"/>
        <v>0</v>
      </c>
      <c r="P644" s="45">
        <f t="shared" si="222"/>
        <v>0</v>
      </c>
      <c r="Q644" s="45">
        <f t="shared" si="223"/>
        <v>0</v>
      </c>
      <c r="R644" s="45">
        <f t="shared" si="224"/>
        <v>0.33333333333333331</v>
      </c>
      <c r="S644" s="45">
        <f t="shared" si="225"/>
        <v>0</v>
      </c>
      <c r="T644" s="45">
        <f t="shared" si="226"/>
        <v>0</v>
      </c>
    </row>
    <row r="645" spans="1:20" x14ac:dyDescent="0.3">
      <c r="A645">
        <f t="shared" si="207"/>
        <v>1</v>
      </c>
      <c r="B645">
        <f t="shared" si="208"/>
        <v>0</v>
      </c>
      <c r="C645">
        <f t="shared" si="209"/>
        <v>1</v>
      </c>
      <c r="D645">
        <f t="shared" si="210"/>
        <v>0</v>
      </c>
      <c r="E645">
        <f t="shared" si="211"/>
        <v>0</v>
      </c>
      <c r="F645">
        <f t="shared" si="212"/>
        <v>0</v>
      </c>
      <c r="G645">
        <f t="shared" si="213"/>
        <v>0</v>
      </c>
      <c r="H645">
        <f t="shared" si="214"/>
        <v>1</v>
      </c>
      <c r="I645">
        <f t="shared" si="215"/>
        <v>0</v>
      </c>
      <c r="J645">
        <f t="shared" si="216"/>
        <v>1</v>
      </c>
      <c r="K645" s="45">
        <f t="shared" si="217"/>
        <v>0.25</v>
      </c>
      <c r="L645" s="45">
        <f t="shared" si="218"/>
        <v>0</v>
      </c>
      <c r="M645" s="45">
        <f t="shared" si="219"/>
        <v>0.25</v>
      </c>
      <c r="N645" s="45">
        <f t="shared" si="220"/>
        <v>0</v>
      </c>
      <c r="O645" s="45">
        <f t="shared" si="221"/>
        <v>0</v>
      </c>
      <c r="P645" s="45">
        <f t="shared" si="222"/>
        <v>0</v>
      </c>
      <c r="Q645" s="45">
        <f t="shared" si="223"/>
        <v>0</v>
      </c>
      <c r="R645" s="45">
        <f t="shared" si="224"/>
        <v>0.25</v>
      </c>
      <c r="S645" s="45">
        <f t="shared" si="225"/>
        <v>0</v>
      </c>
      <c r="T645" s="45">
        <f t="shared" si="226"/>
        <v>0.25</v>
      </c>
    </row>
    <row r="646" spans="1:20" x14ac:dyDescent="0.3">
      <c r="A646">
        <f t="shared" si="207"/>
        <v>1</v>
      </c>
      <c r="B646">
        <f t="shared" si="208"/>
        <v>0</v>
      </c>
      <c r="C646">
        <f t="shared" si="209"/>
        <v>1</v>
      </c>
      <c r="D646">
        <f t="shared" si="210"/>
        <v>0</v>
      </c>
      <c r="E646">
        <f t="shared" si="211"/>
        <v>0</v>
      </c>
      <c r="F646">
        <f t="shared" si="212"/>
        <v>0</v>
      </c>
      <c r="G646">
        <f t="shared" si="213"/>
        <v>0</v>
      </c>
      <c r="H646">
        <f t="shared" si="214"/>
        <v>1</v>
      </c>
      <c r="I646">
        <f t="shared" si="215"/>
        <v>1</v>
      </c>
      <c r="J646">
        <f t="shared" si="216"/>
        <v>0</v>
      </c>
      <c r="K646" s="45">
        <f t="shared" si="217"/>
        <v>0.25</v>
      </c>
      <c r="L646" s="45">
        <f t="shared" si="218"/>
        <v>0</v>
      </c>
      <c r="M646" s="45">
        <f t="shared" si="219"/>
        <v>0.25</v>
      </c>
      <c r="N646" s="45">
        <f t="shared" si="220"/>
        <v>0</v>
      </c>
      <c r="O646" s="45">
        <f t="shared" si="221"/>
        <v>0</v>
      </c>
      <c r="P646" s="45">
        <f t="shared" si="222"/>
        <v>0</v>
      </c>
      <c r="Q646" s="45">
        <f t="shared" si="223"/>
        <v>0</v>
      </c>
      <c r="R646" s="45">
        <f t="shared" si="224"/>
        <v>0.25</v>
      </c>
      <c r="S646" s="45">
        <f t="shared" si="225"/>
        <v>0.25</v>
      </c>
      <c r="T646" s="45">
        <f t="shared" si="226"/>
        <v>0</v>
      </c>
    </row>
    <row r="647" spans="1:20" x14ac:dyDescent="0.3">
      <c r="A647">
        <f t="shared" si="207"/>
        <v>1</v>
      </c>
      <c r="B647">
        <f t="shared" si="208"/>
        <v>0</v>
      </c>
      <c r="C647">
        <f t="shared" si="209"/>
        <v>1</v>
      </c>
      <c r="D647">
        <f t="shared" si="210"/>
        <v>0</v>
      </c>
      <c r="E647">
        <f t="shared" si="211"/>
        <v>0</v>
      </c>
      <c r="F647">
        <f t="shared" si="212"/>
        <v>0</v>
      </c>
      <c r="G647">
        <f t="shared" si="213"/>
        <v>0</v>
      </c>
      <c r="H647">
        <f t="shared" si="214"/>
        <v>1</v>
      </c>
      <c r="I647">
        <f t="shared" si="215"/>
        <v>1</v>
      </c>
      <c r="J647">
        <f t="shared" si="216"/>
        <v>1</v>
      </c>
      <c r="K647" s="45">
        <f t="shared" si="217"/>
        <v>0.2</v>
      </c>
      <c r="L647" s="45">
        <f t="shared" si="218"/>
        <v>0</v>
      </c>
      <c r="M647" s="45">
        <f t="shared" si="219"/>
        <v>0.2</v>
      </c>
      <c r="N647" s="45">
        <f t="shared" si="220"/>
        <v>0</v>
      </c>
      <c r="O647" s="45">
        <f t="shared" si="221"/>
        <v>0</v>
      </c>
      <c r="P647" s="45">
        <f t="shared" si="222"/>
        <v>0</v>
      </c>
      <c r="Q647" s="45">
        <f t="shared" si="223"/>
        <v>0</v>
      </c>
      <c r="R647" s="45">
        <f t="shared" si="224"/>
        <v>0.2</v>
      </c>
      <c r="S647" s="45">
        <f t="shared" si="225"/>
        <v>0.2</v>
      </c>
      <c r="T647" s="45">
        <f t="shared" si="226"/>
        <v>0.2</v>
      </c>
    </row>
    <row r="648" spans="1:20" x14ac:dyDescent="0.3">
      <c r="A648">
        <f t="shared" si="207"/>
        <v>1</v>
      </c>
      <c r="B648">
        <f t="shared" si="208"/>
        <v>0</v>
      </c>
      <c r="C648">
        <f t="shared" si="209"/>
        <v>1</v>
      </c>
      <c r="D648">
        <f t="shared" si="210"/>
        <v>0</v>
      </c>
      <c r="E648">
        <f t="shared" si="211"/>
        <v>0</v>
      </c>
      <c r="F648">
        <f t="shared" si="212"/>
        <v>0</v>
      </c>
      <c r="G648">
        <f t="shared" si="213"/>
        <v>1</v>
      </c>
      <c r="H648">
        <f t="shared" si="214"/>
        <v>0</v>
      </c>
      <c r="I648">
        <f t="shared" si="215"/>
        <v>0</v>
      </c>
      <c r="J648">
        <f t="shared" si="216"/>
        <v>0</v>
      </c>
      <c r="K648" s="45">
        <f t="shared" si="217"/>
        <v>0.33333333333333331</v>
      </c>
      <c r="L648" s="45">
        <f t="shared" si="218"/>
        <v>0</v>
      </c>
      <c r="M648" s="45">
        <f t="shared" si="219"/>
        <v>0.33333333333333331</v>
      </c>
      <c r="N648" s="45">
        <f t="shared" si="220"/>
        <v>0</v>
      </c>
      <c r="O648" s="45">
        <f t="shared" si="221"/>
        <v>0</v>
      </c>
      <c r="P648" s="45">
        <f t="shared" si="222"/>
        <v>0</v>
      </c>
      <c r="Q648" s="45">
        <f t="shared" si="223"/>
        <v>0.33333333333333331</v>
      </c>
      <c r="R648" s="45">
        <f t="shared" si="224"/>
        <v>0</v>
      </c>
      <c r="S648" s="45">
        <f t="shared" si="225"/>
        <v>0</v>
      </c>
      <c r="T648" s="45">
        <f t="shared" si="226"/>
        <v>0</v>
      </c>
    </row>
    <row r="649" spans="1:20" x14ac:dyDescent="0.3">
      <c r="A649">
        <f t="shared" si="207"/>
        <v>1</v>
      </c>
      <c r="B649">
        <f t="shared" si="208"/>
        <v>0</v>
      </c>
      <c r="C649">
        <f t="shared" si="209"/>
        <v>1</v>
      </c>
      <c r="D649">
        <f t="shared" si="210"/>
        <v>0</v>
      </c>
      <c r="E649">
        <f t="shared" si="211"/>
        <v>0</v>
      </c>
      <c r="F649">
        <f t="shared" si="212"/>
        <v>0</v>
      </c>
      <c r="G649">
        <f t="shared" si="213"/>
        <v>1</v>
      </c>
      <c r="H649">
        <f t="shared" si="214"/>
        <v>0</v>
      </c>
      <c r="I649">
        <f t="shared" si="215"/>
        <v>0</v>
      </c>
      <c r="J649">
        <f t="shared" si="216"/>
        <v>1</v>
      </c>
      <c r="K649" s="45">
        <f t="shared" si="217"/>
        <v>0.25</v>
      </c>
      <c r="L649" s="45">
        <f t="shared" si="218"/>
        <v>0</v>
      </c>
      <c r="M649" s="45">
        <f t="shared" si="219"/>
        <v>0.25</v>
      </c>
      <c r="N649" s="45">
        <f t="shared" si="220"/>
        <v>0</v>
      </c>
      <c r="O649" s="45">
        <f t="shared" si="221"/>
        <v>0</v>
      </c>
      <c r="P649" s="45">
        <f t="shared" si="222"/>
        <v>0</v>
      </c>
      <c r="Q649" s="45">
        <f t="shared" si="223"/>
        <v>0.25</v>
      </c>
      <c r="R649" s="45">
        <f t="shared" si="224"/>
        <v>0</v>
      </c>
      <c r="S649" s="45">
        <f t="shared" si="225"/>
        <v>0</v>
      </c>
      <c r="T649" s="45">
        <f t="shared" si="226"/>
        <v>0.25</v>
      </c>
    </row>
    <row r="650" spans="1:20" x14ac:dyDescent="0.3">
      <c r="A650">
        <f t="shared" si="207"/>
        <v>1</v>
      </c>
      <c r="B650">
        <f t="shared" si="208"/>
        <v>0</v>
      </c>
      <c r="C650">
        <f t="shared" si="209"/>
        <v>1</v>
      </c>
      <c r="D650">
        <f t="shared" si="210"/>
        <v>0</v>
      </c>
      <c r="E650">
        <f t="shared" si="211"/>
        <v>0</v>
      </c>
      <c r="F650">
        <f t="shared" si="212"/>
        <v>0</v>
      </c>
      <c r="G650">
        <f t="shared" si="213"/>
        <v>1</v>
      </c>
      <c r="H650">
        <f t="shared" si="214"/>
        <v>0</v>
      </c>
      <c r="I650">
        <f t="shared" si="215"/>
        <v>1</v>
      </c>
      <c r="J650">
        <f t="shared" si="216"/>
        <v>0</v>
      </c>
      <c r="K650" s="45">
        <f t="shared" si="217"/>
        <v>0.25</v>
      </c>
      <c r="L650" s="45">
        <f t="shared" si="218"/>
        <v>0</v>
      </c>
      <c r="M650" s="45">
        <f t="shared" si="219"/>
        <v>0.25</v>
      </c>
      <c r="N650" s="45">
        <f t="shared" si="220"/>
        <v>0</v>
      </c>
      <c r="O650" s="45">
        <f t="shared" si="221"/>
        <v>0</v>
      </c>
      <c r="P650" s="45">
        <f t="shared" si="222"/>
        <v>0</v>
      </c>
      <c r="Q650" s="45">
        <f t="shared" si="223"/>
        <v>0.25</v>
      </c>
      <c r="R650" s="45">
        <f t="shared" si="224"/>
        <v>0</v>
      </c>
      <c r="S650" s="45">
        <f t="shared" si="225"/>
        <v>0.25</v>
      </c>
      <c r="T650" s="45">
        <f t="shared" si="226"/>
        <v>0</v>
      </c>
    </row>
    <row r="651" spans="1:20" x14ac:dyDescent="0.3">
      <c r="A651">
        <f t="shared" si="207"/>
        <v>1</v>
      </c>
      <c r="B651">
        <f t="shared" si="208"/>
        <v>0</v>
      </c>
      <c r="C651">
        <f t="shared" si="209"/>
        <v>1</v>
      </c>
      <c r="D651">
        <f t="shared" si="210"/>
        <v>0</v>
      </c>
      <c r="E651">
        <f t="shared" si="211"/>
        <v>0</v>
      </c>
      <c r="F651">
        <f t="shared" si="212"/>
        <v>0</v>
      </c>
      <c r="G651">
        <f t="shared" si="213"/>
        <v>1</v>
      </c>
      <c r="H651">
        <f t="shared" si="214"/>
        <v>0</v>
      </c>
      <c r="I651">
        <f t="shared" si="215"/>
        <v>1</v>
      </c>
      <c r="J651">
        <f t="shared" si="216"/>
        <v>1</v>
      </c>
      <c r="K651" s="45">
        <f t="shared" si="217"/>
        <v>0.2</v>
      </c>
      <c r="L651" s="45">
        <f t="shared" si="218"/>
        <v>0</v>
      </c>
      <c r="M651" s="45">
        <f t="shared" si="219"/>
        <v>0.2</v>
      </c>
      <c r="N651" s="45">
        <f t="shared" si="220"/>
        <v>0</v>
      </c>
      <c r="O651" s="45">
        <f t="shared" si="221"/>
        <v>0</v>
      </c>
      <c r="P651" s="45">
        <f t="shared" si="222"/>
        <v>0</v>
      </c>
      <c r="Q651" s="45">
        <f t="shared" si="223"/>
        <v>0.2</v>
      </c>
      <c r="R651" s="45">
        <f t="shared" si="224"/>
        <v>0</v>
      </c>
      <c r="S651" s="45">
        <f t="shared" si="225"/>
        <v>0.2</v>
      </c>
      <c r="T651" s="45">
        <f t="shared" si="226"/>
        <v>0.2</v>
      </c>
    </row>
    <row r="652" spans="1:20" x14ac:dyDescent="0.3">
      <c r="A652">
        <f t="shared" si="207"/>
        <v>1</v>
      </c>
      <c r="B652">
        <f t="shared" si="208"/>
        <v>0</v>
      </c>
      <c r="C652">
        <f t="shared" si="209"/>
        <v>1</v>
      </c>
      <c r="D652">
        <f t="shared" si="210"/>
        <v>0</v>
      </c>
      <c r="E652">
        <f t="shared" si="211"/>
        <v>0</v>
      </c>
      <c r="F652">
        <f t="shared" si="212"/>
        <v>0</v>
      </c>
      <c r="G652">
        <f t="shared" si="213"/>
        <v>1</v>
      </c>
      <c r="H652">
        <f t="shared" si="214"/>
        <v>1</v>
      </c>
      <c r="I652">
        <f t="shared" si="215"/>
        <v>0</v>
      </c>
      <c r="J652">
        <f t="shared" si="216"/>
        <v>0</v>
      </c>
      <c r="K652" s="45">
        <f t="shared" si="217"/>
        <v>0.25</v>
      </c>
      <c r="L652" s="45">
        <f t="shared" si="218"/>
        <v>0</v>
      </c>
      <c r="M652" s="45">
        <f t="shared" si="219"/>
        <v>0.25</v>
      </c>
      <c r="N652" s="45">
        <f t="shared" si="220"/>
        <v>0</v>
      </c>
      <c r="O652" s="45">
        <f t="shared" si="221"/>
        <v>0</v>
      </c>
      <c r="P652" s="45">
        <f t="shared" si="222"/>
        <v>0</v>
      </c>
      <c r="Q652" s="45">
        <f t="shared" si="223"/>
        <v>0.25</v>
      </c>
      <c r="R652" s="45">
        <f t="shared" si="224"/>
        <v>0.25</v>
      </c>
      <c r="S652" s="45">
        <f t="shared" si="225"/>
        <v>0</v>
      </c>
      <c r="T652" s="45">
        <f t="shared" si="226"/>
        <v>0</v>
      </c>
    </row>
    <row r="653" spans="1:20" x14ac:dyDescent="0.3">
      <c r="A653">
        <f t="shared" si="207"/>
        <v>1</v>
      </c>
      <c r="B653">
        <f t="shared" si="208"/>
        <v>0</v>
      </c>
      <c r="C653">
        <f t="shared" si="209"/>
        <v>1</v>
      </c>
      <c r="D653">
        <f t="shared" si="210"/>
        <v>0</v>
      </c>
      <c r="E653">
        <f t="shared" si="211"/>
        <v>0</v>
      </c>
      <c r="F653">
        <f t="shared" si="212"/>
        <v>0</v>
      </c>
      <c r="G653">
        <f t="shared" si="213"/>
        <v>1</v>
      </c>
      <c r="H653">
        <f t="shared" si="214"/>
        <v>1</v>
      </c>
      <c r="I653">
        <f t="shared" si="215"/>
        <v>0</v>
      </c>
      <c r="J653">
        <f t="shared" si="216"/>
        <v>1</v>
      </c>
      <c r="K653" s="45">
        <f t="shared" si="217"/>
        <v>0.2</v>
      </c>
      <c r="L653" s="45">
        <f t="shared" si="218"/>
        <v>0</v>
      </c>
      <c r="M653" s="45">
        <f t="shared" si="219"/>
        <v>0.2</v>
      </c>
      <c r="N653" s="45">
        <f t="shared" si="220"/>
        <v>0</v>
      </c>
      <c r="O653" s="45">
        <f t="shared" si="221"/>
        <v>0</v>
      </c>
      <c r="P653" s="45">
        <f t="shared" si="222"/>
        <v>0</v>
      </c>
      <c r="Q653" s="45">
        <f t="shared" si="223"/>
        <v>0.2</v>
      </c>
      <c r="R653" s="45">
        <f t="shared" si="224"/>
        <v>0.2</v>
      </c>
      <c r="S653" s="45">
        <f t="shared" si="225"/>
        <v>0</v>
      </c>
      <c r="T653" s="45">
        <f t="shared" si="226"/>
        <v>0.2</v>
      </c>
    </row>
    <row r="654" spans="1:20" x14ac:dyDescent="0.3">
      <c r="A654">
        <f t="shared" si="207"/>
        <v>1</v>
      </c>
      <c r="B654">
        <f t="shared" si="208"/>
        <v>0</v>
      </c>
      <c r="C654">
        <f t="shared" si="209"/>
        <v>1</v>
      </c>
      <c r="D654">
        <f t="shared" si="210"/>
        <v>0</v>
      </c>
      <c r="E654">
        <f t="shared" si="211"/>
        <v>0</v>
      </c>
      <c r="F654">
        <f t="shared" si="212"/>
        <v>0</v>
      </c>
      <c r="G654">
        <f t="shared" si="213"/>
        <v>1</v>
      </c>
      <c r="H654">
        <f t="shared" si="214"/>
        <v>1</v>
      </c>
      <c r="I654">
        <f t="shared" si="215"/>
        <v>1</v>
      </c>
      <c r="J654">
        <f t="shared" si="216"/>
        <v>0</v>
      </c>
      <c r="K654" s="45">
        <f t="shared" si="217"/>
        <v>0.2</v>
      </c>
      <c r="L654" s="45">
        <f t="shared" si="218"/>
        <v>0</v>
      </c>
      <c r="M654" s="45">
        <f t="shared" si="219"/>
        <v>0.2</v>
      </c>
      <c r="N654" s="45">
        <f t="shared" si="220"/>
        <v>0</v>
      </c>
      <c r="O654" s="45">
        <f t="shared" si="221"/>
        <v>0</v>
      </c>
      <c r="P654" s="45">
        <f t="shared" si="222"/>
        <v>0</v>
      </c>
      <c r="Q654" s="45">
        <f t="shared" si="223"/>
        <v>0.2</v>
      </c>
      <c r="R654" s="45">
        <f t="shared" si="224"/>
        <v>0.2</v>
      </c>
      <c r="S654" s="45">
        <f t="shared" si="225"/>
        <v>0.2</v>
      </c>
      <c r="T654" s="45">
        <f t="shared" si="226"/>
        <v>0</v>
      </c>
    </row>
    <row r="655" spans="1:20" x14ac:dyDescent="0.3">
      <c r="A655">
        <f t="shared" si="207"/>
        <v>1</v>
      </c>
      <c r="B655">
        <f t="shared" si="208"/>
        <v>0</v>
      </c>
      <c r="C655">
        <f t="shared" si="209"/>
        <v>1</v>
      </c>
      <c r="D655">
        <f t="shared" si="210"/>
        <v>0</v>
      </c>
      <c r="E655">
        <f t="shared" si="211"/>
        <v>0</v>
      </c>
      <c r="F655">
        <f t="shared" si="212"/>
        <v>0</v>
      </c>
      <c r="G655">
        <f t="shared" si="213"/>
        <v>1</v>
      </c>
      <c r="H655">
        <f t="shared" si="214"/>
        <v>1</v>
      </c>
      <c r="I655">
        <f t="shared" si="215"/>
        <v>1</v>
      </c>
      <c r="J655">
        <f t="shared" si="216"/>
        <v>1</v>
      </c>
      <c r="K655" s="45">
        <f t="shared" si="217"/>
        <v>0.16666666666666666</v>
      </c>
      <c r="L655" s="45">
        <f t="shared" si="218"/>
        <v>0</v>
      </c>
      <c r="M655" s="45">
        <f t="shared" si="219"/>
        <v>0.16666666666666666</v>
      </c>
      <c r="N655" s="45">
        <f t="shared" si="220"/>
        <v>0</v>
      </c>
      <c r="O655" s="45">
        <f t="shared" si="221"/>
        <v>0</v>
      </c>
      <c r="P655" s="45">
        <f t="shared" si="222"/>
        <v>0</v>
      </c>
      <c r="Q655" s="45">
        <f t="shared" si="223"/>
        <v>0.16666666666666666</v>
      </c>
      <c r="R655" s="45">
        <f t="shared" si="224"/>
        <v>0.16666666666666666</v>
      </c>
      <c r="S655" s="45">
        <f t="shared" si="225"/>
        <v>0.16666666666666666</v>
      </c>
      <c r="T655" s="45">
        <f t="shared" si="226"/>
        <v>0.16666666666666666</v>
      </c>
    </row>
    <row r="656" spans="1:20" x14ac:dyDescent="0.3">
      <c r="A656">
        <f t="shared" si="207"/>
        <v>1</v>
      </c>
      <c r="B656">
        <f t="shared" si="208"/>
        <v>0</v>
      </c>
      <c r="C656">
        <f t="shared" si="209"/>
        <v>1</v>
      </c>
      <c r="D656">
        <f t="shared" si="210"/>
        <v>0</v>
      </c>
      <c r="E656">
        <f t="shared" si="211"/>
        <v>0</v>
      </c>
      <c r="F656">
        <f t="shared" si="212"/>
        <v>1</v>
      </c>
      <c r="G656">
        <f t="shared" si="213"/>
        <v>0</v>
      </c>
      <c r="H656">
        <f t="shared" si="214"/>
        <v>0</v>
      </c>
      <c r="I656">
        <f t="shared" si="215"/>
        <v>0</v>
      </c>
      <c r="J656">
        <f t="shared" si="216"/>
        <v>0</v>
      </c>
      <c r="K656" s="45">
        <f t="shared" si="217"/>
        <v>0.33333333333333331</v>
      </c>
      <c r="L656" s="45">
        <f t="shared" si="218"/>
        <v>0</v>
      </c>
      <c r="M656" s="45">
        <f t="shared" si="219"/>
        <v>0.33333333333333331</v>
      </c>
      <c r="N656" s="45">
        <f t="shared" si="220"/>
        <v>0</v>
      </c>
      <c r="O656" s="45">
        <f t="shared" si="221"/>
        <v>0</v>
      </c>
      <c r="P656" s="45">
        <f t="shared" si="222"/>
        <v>0.33333333333333331</v>
      </c>
      <c r="Q656" s="45">
        <f t="shared" si="223"/>
        <v>0</v>
      </c>
      <c r="R656" s="45">
        <f t="shared" si="224"/>
        <v>0</v>
      </c>
      <c r="S656" s="45">
        <f t="shared" si="225"/>
        <v>0</v>
      </c>
      <c r="T656" s="45">
        <f t="shared" si="226"/>
        <v>0</v>
      </c>
    </row>
    <row r="657" spans="1:20" x14ac:dyDescent="0.3">
      <c r="A657">
        <f t="shared" si="207"/>
        <v>1</v>
      </c>
      <c r="B657">
        <f t="shared" si="208"/>
        <v>0</v>
      </c>
      <c r="C657">
        <f t="shared" si="209"/>
        <v>1</v>
      </c>
      <c r="D657">
        <f t="shared" si="210"/>
        <v>0</v>
      </c>
      <c r="E657">
        <f t="shared" si="211"/>
        <v>0</v>
      </c>
      <c r="F657">
        <f t="shared" si="212"/>
        <v>1</v>
      </c>
      <c r="G657">
        <f t="shared" si="213"/>
        <v>0</v>
      </c>
      <c r="H657">
        <f t="shared" si="214"/>
        <v>0</v>
      </c>
      <c r="I657">
        <f t="shared" si="215"/>
        <v>0</v>
      </c>
      <c r="J657">
        <f t="shared" si="216"/>
        <v>1</v>
      </c>
      <c r="K657" s="45">
        <f t="shared" si="217"/>
        <v>0.25</v>
      </c>
      <c r="L657" s="45">
        <f t="shared" si="218"/>
        <v>0</v>
      </c>
      <c r="M657" s="45">
        <f t="shared" si="219"/>
        <v>0.25</v>
      </c>
      <c r="N657" s="45">
        <f t="shared" si="220"/>
        <v>0</v>
      </c>
      <c r="O657" s="45">
        <f t="shared" si="221"/>
        <v>0</v>
      </c>
      <c r="P657" s="45">
        <f t="shared" si="222"/>
        <v>0.25</v>
      </c>
      <c r="Q657" s="45">
        <f t="shared" si="223"/>
        <v>0</v>
      </c>
      <c r="R657" s="45">
        <f t="shared" si="224"/>
        <v>0</v>
      </c>
      <c r="S657" s="45">
        <f t="shared" si="225"/>
        <v>0</v>
      </c>
      <c r="T657" s="45">
        <f t="shared" si="226"/>
        <v>0.25</v>
      </c>
    </row>
    <row r="658" spans="1:20" x14ac:dyDescent="0.3">
      <c r="A658">
        <f t="shared" si="207"/>
        <v>1</v>
      </c>
      <c r="B658">
        <f t="shared" si="208"/>
        <v>0</v>
      </c>
      <c r="C658">
        <f t="shared" si="209"/>
        <v>1</v>
      </c>
      <c r="D658">
        <f t="shared" si="210"/>
        <v>0</v>
      </c>
      <c r="E658">
        <f t="shared" si="211"/>
        <v>0</v>
      </c>
      <c r="F658">
        <f t="shared" si="212"/>
        <v>1</v>
      </c>
      <c r="G658">
        <f t="shared" si="213"/>
        <v>0</v>
      </c>
      <c r="H658">
        <f t="shared" si="214"/>
        <v>0</v>
      </c>
      <c r="I658">
        <f t="shared" si="215"/>
        <v>1</v>
      </c>
      <c r="J658">
        <f t="shared" si="216"/>
        <v>0</v>
      </c>
      <c r="K658" s="45">
        <f t="shared" si="217"/>
        <v>0.25</v>
      </c>
      <c r="L658" s="45">
        <f t="shared" si="218"/>
        <v>0</v>
      </c>
      <c r="M658" s="45">
        <f t="shared" si="219"/>
        <v>0.25</v>
      </c>
      <c r="N658" s="45">
        <f t="shared" si="220"/>
        <v>0</v>
      </c>
      <c r="O658" s="45">
        <f t="shared" si="221"/>
        <v>0</v>
      </c>
      <c r="P658" s="45">
        <f t="shared" si="222"/>
        <v>0.25</v>
      </c>
      <c r="Q658" s="45">
        <f t="shared" si="223"/>
        <v>0</v>
      </c>
      <c r="R658" s="45">
        <f t="shared" si="224"/>
        <v>0</v>
      </c>
      <c r="S658" s="45">
        <f t="shared" si="225"/>
        <v>0.25</v>
      </c>
      <c r="T658" s="45">
        <f t="shared" si="226"/>
        <v>0</v>
      </c>
    </row>
    <row r="659" spans="1:20" x14ac:dyDescent="0.3">
      <c r="A659">
        <f t="shared" si="207"/>
        <v>1</v>
      </c>
      <c r="B659">
        <f t="shared" si="208"/>
        <v>0</v>
      </c>
      <c r="C659">
        <f t="shared" si="209"/>
        <v>1</v>
      </c>
      <c r="D659">
        <f t="shared" si="210"/>
        <v>0</v>
      </c>
      <c r="E659">
        <f t="shared" si="211"/>
        <v>0</v>
      </c>
      <c r="F659">
        <f t="shared" si="212"/>
        <v>1</v>
      </c>
      <c r="G659">
        <f t="shared" si="213"/>
        <v>0</v>
      </c>
      <c r="H659">
        <f t="shared" si="214"/>
        <v>0</v>
      </c>
      <c r="I659">
        <f t="shared" si="215"/>
        <v>1</v>
      </c>
      <c r="J659">
        <f t="shared" si="216"/>
        <v>1</v>
      </c>
      <c r="K659" s="45">
        <f t="shared" si="217"/>
        <v>0.2</v>
      </c>
      <c r="L659" s="45">
        <f t="shared" si="218"/>
        <v>0</v>
      </c>
      <c r="M659" s="45">
        <f t="shared" si="219"/>
        <v>0.2</v>
      </c>
      <c r="N659" s="45">
        <f t="shared" si="220"/>
        <v>0</v>
      </c>
      <c r="O659" s="45">
        <f t="shared" si="221"/>
        <v>0</v>
      </c>
      <c r="P659" s="45">
        <f t="shared" si="222"/>
        <v>0.2</v>
      </c>
      <c r="Q659" s="45">
        <f t="shared" si="223"/>
        <v>0</v>
      </c>
      <c r="R659" s="45">
        <f t="shared" si="224"/>
        <v>0</v>
      </c>
      <c r="S659" s="45">
        <f t="shared" si="225"/>
        <v>0.2</v>
      </c>
      <c r="T659" s="45">
        <f t="shared" si="226"/>
        <v>0.2</v>
      </c>
    </row>
    <row r="660" spans="1:20" x14ac:dyDescent="0.3">
      <c r="A660">
        <f t="shared" si="207"/>
        <v>1</v>
      </c>
      <c r="B660">
        <f t="shared" si="208"/>
        <v>0</v>
      </c>
      <c r="C660">
        <f t="shared" si="209"/>
        <v>1</v>
      </c>
      <c r="D660">
        <f t="shared" si="210"/>
        <v>0</v>
      </c>
      <c r="E660">
        <f t="shared" si="211"/>
        <v>0</v>
      </c>
      <c r="F660">
        <f t="shared" si="212"/>
        <v>1</v>
      </c>
      <c r="G660">
        <f t="shared" si="213"/>
        <v>0</v>
      </c>
      <c r="H660">
        <f t="shared" si="214"/>
        <v>1</v>
      </c>
      <c r="I660">
        <f t="shared" si="215"/>
        <v>0</v>
      </c>
      <c r="J660">
        <f t="shared" si="216"/>
        <v>0</v>
      </c>
      <c r="K660" s="45">
        <f t="shared" si="217"/>
        <v>0.25</v>
      </c>
      <c r="L660" s="45">
        <f t="shared" si="218"/>
        <v>0</v>
      </c>
      <c r="M660" s="45">
        <f t="shared" si="219"/>
        <v>0.25</v>
      </c>
      <c r="N660" s="45">
        <f t="shared" si="220"/>
        <v>0</v>
      </c>
      <c r="O660" s="45">
        <f t="shared" si="221"/>
        <v>0</v>
      </c>
      <c r="P660" s="45">
        <f t="shared" si="222"/>
        <v>0.25</v>
      </c>
      <c r="Q660" s="45">
        <f t="shared" si="223"/>
        <v>0</v>
      </c>
      <c r="R660" s="45">
        <f t="shared" si="224"/>
        <v>0.25</v>
      </c>
      <c r="S660" s="45">
        <f t="shared" si="225"/>
        <v>0</v>
      </c>
      <c r="T660" s="45">
        <f t="shared" si="226"/>
        <v>0</v>
      </c>
    </row>
    <row r="661" spans="1:20" x14ac:dyDescent="0.3">
      <c r="A661">
        <f t="shared" si="207"/>
        <v>1</v>
      </c>
      <c r="B661">
        <f t="shared" si="208"/>
        <v>0</v>
      </c>
      <c r="C661">
        <f t="shared" si="209"/>
        <v>1</v>
      </c>
      <c r="D661">
        <f t="shared" si="210"/>
        <v>0</v>
      </c>
      <c r="E661">
        <f t="shared" si="211"/>
        <v>0</v>
      </c>
      <c r="F661">
        <f t="shared" si="212"/>
        <v>1</v>
      </c>
      <c r="G661">
        <f t="shared" si="213"/>
        <v>0</v>
      </c>
      <c r="H661">
        <f t="shared" si="214"/>
        <v>1</v>
      </c>
      <c r="I661">
        <f t="shared" si="215"/>
        <v>0</v>
      </c>
      <c r="J661">
        <f t="shared" si="216"/>
        <v>1</v>
      </c>
      <c r="K661" s="45">
        <f t="shared" si="217"/>
        <v>0.2</v>
      </c>
      <c r="L661" s="45">
        <f t="shared" si="218"/>
        <v>0</v>
      </c>
      <c r="M661" s="45">
        <f t="shared" si="219"/>
        <v>0.2</v>
      </c>
      <c r="N661" s="45">
        <f t="shared" si="220"/>
        <v>0</v>
      </c>
      <c r="O661" s="45">
        <f t="shared" si="221"/>
        <v>0</v>
      </c>
      <c r="P661" s="45">
        <f t="shared" si="222"/>
        <v>0.2</v>
      </c>
      <c r="Q661" s="45">
        <f t="shared" si="223"/>
        <v>0</v>
      </c>
      <c r="R661" s="45">
        <f t="shared" si="224"/>
        <v>0.2</v>
      </c>
      <c r="S661" s="45">
        <f t="shared" si="225"/>
        <v>0</v>
      </c>
      <c r="T661" s="45">
        <f t="shared" si="226"/>
        <v>0.2</v>
      </c>
    </row>
    <row r="662" spans="1:20" x14ac:dyDescent="0.3">
      <c r="A662">
        <f t="shared" si="207"/>
        <v>1</v>
      </c>
      <c r="B662">
        <f t="shared" si="208"/>
        <v>0</v>
      </c>
      <c r="C662">
        <f t="shared" si="209"/>
        <v>1</v>
      </c>
      <c r="D662">
        <f t="shared" si="210"/>
        <v>0</v>
      </c>
      <c r="E662">
        <f t="shared" si="211"/>
        <v>0</v>
      </c>
      <c r="F662">
        <f t="shared" si="212"/>
        <v>1</v>
      </c>
      <c r="G662">
        <f t="shared" si="213"/>
        <v>0</v>
      </c>
      <c r="H662">
        <f t="shared" si="214"/>
        <v>1</v>
      </c>
      <c r="I662">
        <f t="shared" si="215"/>
        <v>1</v>
      </c>
      <c r="J662">
        <f t="shared" si="216"/>
        <v>0</v>
      </c>
      <c r="K662" s="45">
        <f t="shared" si="217"/>
        <v>0.2</v>
      </c>
      <c r="L662" s="45">
        <f t="shared" si="218"/>
        <v>0</v>
      </c>
      <c r="M662" s="45">
        <f t="shared" si="219"/>
        <v>0.2</v>
      </c>
      <c r="N662" s="45">
        <f t="shared" si="220"/>
        <v>0</v>
      </c>
      <c r="O662" s="45">
        <f t="shared" si="221"/>
        <v>0</v>
      </c>
      <c r="P662" s="45">
        <f t="shared" si="222"/>
        <v>0.2</v>
      </c>
      <c r="Q662" s="45">
        <f t="shared" si="223"/>
        <v>0</v>
      </c>
      <c r="R662" s="45">
        <f t="shared" si="224"/>
        <v>0.2</v>
      </c>
      <c r="S662" s="45">
        <f t="shared" si="225"/>
        <v>0.2</v>
      </c>
      <c r="T662" s="45">
        <f t="shared" si="226"/>
        <v>0</v>
      </c>
    </row>
    <row r="663" spans="1:20" x14ac:dyDescent="0.3">
      <c r="A663">
        <f t="shared" si="207"/>
        <v>1</v>
      </c>
      <c r="B663">
        <f t="shared" si="208"/>
        <v>0</v>
      </c>
      <c r="C663">
        <f t="shared" si="209"/>
        <v>1</v>
      </c>
      <c r="D663">
        <f t="shared" si="210"/>
        <v>0</v>
      </c>
      <c r="E663">
        <f t="shared" si="211"/>
        <v>0</v>
      </c>
      <c r="F663">
        <f t="shared" si="212"/>
        <v>1</v>
      </c>
      <c r="G663">
        <f t="shared" si="213"/>
        <v>0</v>
      </c>
      <c r="H663">
        <f t="shared" si="214"/>
        <v>1</v>
      </c>
      <c r="I663">
        <f t="shared" si="215"/>
        <v>1</v>
      </c>
      <c r="J663">
        <f t="shared" si="216"/>
        <v>1</v>
      </c>
      <c r="K663" s="45">
        <f t="shared" si="217"/>
        <v>0.16666666666666666</v>
      </c>
      <c r="L663" s="45">
        <f t="shared" si="218"/>
        <v>0</v>
      </c>
      <c r="M663" s="45">
        <f t="shared" si="219"/>
        <v>0.16666666666666666</v>
      </c>
      <c r="N663" s="45">
        <f t="shared" si="220"/>
        <v>0</v>
      </c>
      <c r="O663" s="45">
        <f t="shared" si="221"/>
        <v>0</v>
      </c>
      <c r="P663" s="45">
        <f t="shared" si="222"/>
        <v>0.16666666666666666</v>
      </c>
      <c r="Q663" s="45">
        <f t="shared" si="223"/>
        <v>0</v>
      </c>
      <c r="R663" s="45">
        <f t="shared" si="224"/>
        <v>0.16666666666666666</v>
      </c>
      <c r="S663" s="45">
        <f t="shared" si="225"/>
        <v>0.16666666666666666</v>
      </c>
      <c r="T663" s="45">
        <f t="shared" si="226"/>
        <v>0.16666666666666666</v>
      </c>
    </row>
    <row r="664" spans="1:20" x14ac:dyDescent="0.3">
      <c r="A664">
        <f t="shared" si="207"/>
        <v>1</v>
      </c>
      <c r="B664">
        <f t="shared" si="208"/>
        <v>0</v>
      </c>
      <c r="C664">
        <f t="shared" si="209"/>
        <v>1</v>
      </c>
      <c r="D664">
        <f t="shared" si="210"/>
        <v>0</v>
      </c>
      <c r="E664">
        <f t="shared" si="211"/>
        <v>0</v>
      </c>
      <c r="F664">
        <f t="shared" si="212"/>
        <v>1</v>
      </c>
      <c r="G664">
        <f t="shared" si="213"/>
        <v>1</v>
      </c>
      <c r="H664">
        <f t="shared" si="214"/>
        <v>0</v>
      </c>
      <c r="I664">
        <f t="shared" si="215"/>
        <v>0</v>
      </c>
      <c r="J664">
        <f t="shared" si="216"/>
        <v>0</v>
      </c>
      <c r="K664" s="45">
        <f t="shared" si="217"/>
        <v>0.25</v>
      </c>
      <c r="L664" s="45">
        <f t="shared" si="218"/>
        <v>0</v>
      </c>
      <c r="M664" s="45">
        <f t="shared" si="219"/>
        <v>0.25</v>
      </c>
      <c r="N664" s="45">
        <f t="shared" si="220"/>
        <v>0</v>
      </c>
      <c r="O664" s="45">
        <f t="shared" si="221"/>
        <v>0</v>
      </c>
      <c r="P664" s="45">
        <f t="shared" si="222"/>
        <v>0.25</v>
      </c>
      <c r="Q664" s="45">
        <f t="shared" si="223"/>
        <v>0.25</v>
      </c>
      <c r="R664" s="45">
        <f t="shared" si="224"/>
        <v>0</v>
      </c>
      <c r="S664" s="45">
        <f t="shared" si="225"/>
        <v>0</v>
      </c>
      <c r="T664" s="45">
        <f t="shared" si="226"/>
        <v>0</v>
      </c>
    </row>
    <row r="665" spans="1:20" x14ac:dyDescent="0.3">
      <c r="A665">
        <f t="shared" si="207"/>
        <v>1</v>
      </c>
      <c r="B665">
        <f t="shared" si="208"/>
        <v>0</v>
      </c>
      <c r="C665">
        <f t="shared" si="209"/>
        <v>1</v>
      </c>
      <c r="D665">
        <f t="shared" si="210"/>
        <v>0</v>
      </c>
      <c r="E665">
        <f t="shared" si="211"/>
        <v>0</v>
      </c>
      <c r="F665">
        <f t="shared" si="212"/>
        <v>1</v>
      </c>
      <c r="G665">
        <f t="shared" si="213"/>
        <v>1</v>
      </c>
      <c r="H665">
        <f t="shared" si="214"/>
        <v>0</v>
      </c>
      <c r="I665">
        <f t="shared" si="215"/>
        <v>0</v>
      </c>
      <c r="J665">
        <f t="shared" si="216"/>
        <v>1</v>
      </c>
      <c r="K665" s="45">
        <f t="shared" si="217"/>
        <v>0.2</v>
      </c>
      <c r="L665" s="45">
        <f t="shared" si="218"/>
        <v>0</v>
      </c>
      <c r="M665" s="45">
        <f t="shared" si="219"/>
        <v>0.2</v>
      </c>
      <c r="N665" s="45">
        <f t="shared" si="220"/>
        <v>0</v>
      </c>
      <c r="O665" s="45">
        <f t="shared" si="221"/>
        <v>0</v>
      </c>
      <c r="P665" s="45">
        <f t="shared" si="222"/>
        <v>0.2</v>
      </c>
      <c r="Q665" s="45">
        <f t="shared" si="223"/>
        <v>0.2</v>
      </c>
      <c r="R665" s="45">
        <f t="shared" si="224"/>
        <v>0</v>
      </c>
      <c r="S665" s="45">
        <f t="shared" si="225"/>
        <v>0</v>
      </c>
      <c r="T665" s="45">
        <f t="shared" si="226"/>
        <v>0.2</v>
      </c>
    </row>
    <row r="666" spans="1:20" x14ac:dyDescent="0.3">
      <c r="A666">
        <f t="shared" si="207"/>
        <v>1</v>
      </c>
      <c r="B666">
        <f t="shared" si="208"/>
        <v>0</v>
      </c>
      <c r="C666">
        <f t="shared" si="209"/>
        <v>1</v>
      </c>
      <c r="D666">
        <f t="shared" si="210"/>
        <v>0</v>
      </c>
      <c r="E666">
        <f t="shared" si="211"/>
        <v>0</v>
      </c>
      <c r="F666">
        <f t="shared" si="212"/>
        <v>1</v>
      </c>
      <c r="G666">
        <f t="shared" si="213"/>
        <v>1</v>
      </c>
      <c r="H666">
        <f t="shared" si="214"/>
        <v>0</v>
      </c>
      <c r="I666">
        <f t="shared" si="215"/>
        <v>1</v>
      </c>
      <c r="J666">
        <f t="shared" si="216"/>
        <v>0</v>
      </c>
      <c r="K666" s="45">
        <f t="shared" si="217"/>
        <v>0.2</v>
      </c>
      <c r="L666" s="45">
        <f t="shared" si="218"/>
        <v>0</v>
      </c>
      <c r="M666" s="45">
        <f t="shared" si="219"/>
        <v>0.2</v>
      </c>
      <c r="N666" s="45">
        <f t="shared" si="220"/>
        <v>0</v>
      </c>
      <c r="O666" s="45">
        <f t="shared" si="221"/>
        <v>0</v>
      </c>
      <c r="P666" s="45">
        <f t="shared" si="222"/>
        <v>0.2</v>
      </c>
      <c r="Q666" s="45">
        <f t="shared" si="223"/>
        <v>0.2</v>
      </c>
      <c r="R666" s="45">
        <f t="shared" si="224"/>
        <v>0</v>
      </c>
      <c r="S666" s="45">
        <f t="shared" si="225"/>
        <v>0.2</v>
      </c>
      <c r="T666" s="45">
        <f t="shared" si="226"/>
        <v>0</v>
      </c>
    </row>
    <row r="667" spans="1:20" x14ac:dyDescent="0.3">
      <c r="A667">
        <f t="shared" si="207"/>
        <v>1</v>
      </c>
      <c r="B667">
        <f t="shared" si="208"/>
        <v>0</v>
      </c>
      <c r="C667">
        <f t="shared" si="209"/>
        <v>1</v>
      </c>
      <c r="D667">
        <f t="shared" si="210"/>
        <v>0</v>
      </c>
      <c r="E667">
        <f t="shared" si="211"/>
        <v>0</v>
      </c>
      <c r="F667">
        <f t="shared" si="212"/>
        <v>1</v>
      </c>
      <c r="G667">
        <f t="shared" si="213"/>
        <v>1</v>
      </c>
      <c r="H667">
        <f t="shared" si="214"/>
        <v>0</v>
      </c>
      <c r="I667">
        <f t="shared" si="215"/>
        <v>1</v>
      </c>
      <c r="J667">
        <f t="shared" si="216"/>
        <v>1</v>
      </c>
      <c r="K667" s="45">
        <f t="shared" si="217"/>
        <v>0.16666666666666666</v>
      </c>
      <c r="L667" s="45">
        <f t="shared" si="218"/>
        <v>0</v>
      </c>
      <c r="M667" s="45">
        <f t="shared" si="219"/>
        <v>0.16666666666666666</v>
      </c>
      <c r="N667" s="45">
        <f t="shared" si="220"/>
        <v>0</v>
      </c>
      <c r="O667" s="45">
        <f t="shared" si="221"/>
        <v>0</v>
      </c>
      <c r="P667" s="45">
        <f t="shared" si="222"/>
        <v>0.16666666666666666</v>
      </c>
      <c r="Q667" s="45">
        <f t="shared" si="223"/>
        <v>0.16666666666666666</v>
      </c>
      <c r="R667" s="45">
        <f t="shared" si="224"/>
        <v>0</v>
      </c>
      <c r="S667" s="45">
        <f t="shared" si="225"/>
        <v>0.16666666666666666</v>
      </c>
      <c r="T667" s="45">
        <f t="shared" si="226"/>
        <v>0.16666666666666666</v>
      </c>
    </row>
    <row r="668" spans="1:20" x14ac:dyDescent="0.3">
      <c r="A668">
        <f t="shared" si="207"/>
        <v>1</v>
      </c>
      <c r="B668">
        <f t="shared" si="208"/>
        <v>0</v>
      </c>
      <c r="C668">
        <f t="shared" si="209"/>
        <v>1</v>
      </c>
      <c r="D668">
        <f t="shared" si="210"/>
        <v>0</v>
      </c>
      <c r="E668">
        <f t="shared" si="211"/>
        <v>0</v>
      </c>
      <c r="F668">
        <f t="shared" si="212"/>
        <v>1</v>
      </c>
      <c r="G668">
        <f t="shared" si="213"/>
        <v>1</v>
      </c>
      <c r="H668">
        <f t="shared" si="214"/>
        <v>1</v>
      </c>
      <c r="I668">
        <f t="shared" si="215"/>
        <v>0</v>
      </c>
      <c r="J668">
        <f t="shared" si="216"/>
        <v>0</v>
      </c>
      <c r="K668" s="45">
        <f t="shared" si="217"/>
        <v>0.2</v>
      </c>
      <c r="L668" s="45">
        <f t="shared" si="218"/>
        <v>0</v>
      </c>
      <c r="M668" s="45">
        <f t="shared" si="219"/>
        <v>0.2</v>
      </c>
      <c r="N668" s="45">
        <f t="shared" si="220"/>
        <v>0</v>
      </c>
      <c r="O668" s="45">
        <f t="shared" si="221"/>
        <v>0</v>
      </c>
      <c r="P668" s="45">
        <f t="shared" si="222"/>
        <v>0.2</v>
      </c>
      <c r="Q668" s="45">
        <f t="shared" si="223"/>
        <v>0.2</v>
      </c>
      <c r="R668" s="45">
        <f t="shared" si="224"/>
        <v>0.2</v>
      </c>
      <c r="S668" s="45">
        <f t="shared" si="225"/>
        <v>0</v>
      </c>
      <c r="T668" s="45">
        <f t="shared" si="226"/>
        <v>0</v>
      </c>
    </row>
    <row r="669" spans="1:20" x14ac:dyDescent="0.3">
      <c r="A669">
        <f t="shared" si="207"/>
        <v>1</v>
      </c>
      <c r="B669">
        <f t="shared" si="208"/>
        <v>0</v>
      </c>
      <c r="C669">
        <f t="shared" si="209"/>
        <v>1</v>
      </c>
      <c r="D669">
        <f t="shared" si="210"/>
        <v>0</v>
      </c>
      <c r="E669">
        <f t="shared" si="211"/>
        <v>0</v>
      </c>
      <c r="F669">
        <f t="shared" si="212"/>
        <v>1</v>
      </c>
      <c r="G669">
        <f t="shared" si="213"/>
        <v>1</v>
      </c>
      <c r="H669">
        <f t="shared" si="214"/>
        <v>1</v>
      </c>
      <c r="I669">
        <f t="shared" si="215"/>
        <v>0</v>
      </c>
      <c r="J669">
        <f t="shared" si="216"/>
        <v>1</v>
      </c>
      <c r="K669" s="45">
        <f t="shared" si="217"/>
        <v>0.16666666666666666</v>
      </c>
      <c r="L669" s="45">
        <f t="shared" si="218"/>
        <v>0</v>
      </c>
      <c r="M669" s="45">
        <f t="shared" si="219"/>
        <v>0.16666666666666666</v>
      </c>
      <c r="N669" s="45">
        <f t="shared" si="220"/>
        <v>0</v>
      </c>
      <c r="O669" s="45">
        <f t="shared" si="221"/>
        <v>0</v>
      </c>
      <c r="P669" s="45">
        <f t="shared" si="222"/>
        <v>0.16666666666666666</v>
      </c>
      <c r="Q669" s="45">
        <f t="shared" si="223"/>
        <v>0.16666666666666666</v>
      </c>
      <c r="R669" s="45">
        <f t="shared" si="224"/>
        <v>0.16666666666666666</v>
      </c>
      <c r="S669" s="45">
        <f t="shared" si="225"/>
        <v>0</v>
      </c>
      <c r="T669" s="45">
        <f t="shared" si="226"/>
        <v>0.16666666666666666</v>
      </c>
    </row>
    <row r="670" spans="1:20" x14ac:dyDescent="0.3">
      <c r="A670">
        <f t="shared" si="207"/>
        <v>1</v>
      </c>
      <c r="B670">
        <f t="shared" si="208"/>
        <v>0</v>
      </c>
      <c r="C670">
        <f t="shared" si="209"/>
        <v>1</v>
      </c>
      <c r="D670">
        <f t="shared" si="210"/>
        <v>0</v>
      </c>
      <c r="E670">
        <f t="shared" si="211"/>
        <v>0</v>
      </c>
      <c r="F670">
        <f t="shared" si="212"/>
        <v>1</v>
      </c>
      <c r="G670">
        <f t="shared" si="213"/>
        <v>1</v>
      </c>
      <c r="H670">
        <f t="shared" si="214"/>
        <v>1</v>
      </c>
      <c r="I670">
        <f t="shared" si="215"/>
        <v>1</v>
      </c>
      <c r="J670">
        <f t="shared" si="216"/>
        <v>0</v>
      </c>
      <c r="K670" s="45">
        <f t="shared" si="217"/>
        <v>0.16666666666666666</v>
      </c>
      <c r="L670" s="45">
        <f t="shared" si="218"/>
        <v>0</v>
      </c>
      <c r="M670" s="45">
        <f t="shared" si="219"/>
        <v>0.16666666666666666</v>
      </c>
      <c r="N670" s="45">
        <f t="shared" si="220"/>
        <v>0</v>
      </c>
      <c r="O670" s="45">
        <f t="shared" si="221"/>
        <v>0</v>
      </c>
      <c r="P670" s="45">
        <f t="shared" si="222"/>
        <v>0.16666666666666666</v>
      </c>
      <c r="Q670" s="45">
        <f t="shared" si="223"/>
        <v>0.16666666666666666</v>
      </c>
      <c r="R670" s="45">
        <f t="shared" si="224"/>
        <v>0.16666666666666666</v>
      </c>
      <c r="S670" s="45">
        <f t="shared" si="225"/>
        <v>0.16666666666666666</v>
      </c>
      <c r="T670" s="45">
        <f t="shared" si="226"/>
        <v>0</v>
      </c>
    </row>
    <row r="671" spans="1:20" x14ac:dyDescent="0.3">
      <c r="A671">
        <f t="shared" si="207"/>
        <v>1</v>
      </c>
      <c r="B671">
        <f t="shared" si="208"/>
        <v>0</v>
      </c>
      <c r="C671">
        <f t="shared" si="209"/>
        <v>1</v>
      </c>
      <c r="D671">
        <f t="shared" si="210"/>
        <v>0</v>
      </c>
      <c r="E671">
        <f t="shared" si="211"/>
        <v>0</v>
      </c>
      <c r="F671">
        <f t="shared" si="212"/>
        <v>1</v>
      </c>
      <c r="G671">
        <f t="shared" si="213"/>
        <v>1</v>
      </c>
      <c r="H671">
        <f t="shared" si="214"/>
        <v>1</v>
      </c>
      <c r="I671">
        <f t="shared" si="215"/>
        <v>1</v>
      </c>
      <c r="J671">
        <f t="shared" si="216"/>
        <v>1</v>
      </c>
      <c r="K671" s="45">
        <f t="shared" si="217"/>
        <v>0.14285714285714285</v>
      </c>
      <c r="L671" s="45">
        <f t="shared" si="218"/>
        <v>0</v>
      </c>
      <c r="M671" s="45">
        <f t="shared" si="219"/>
        <v>0.14285714285714285</v>
      </c>
      <c r="N671" s="45">
        <f t="shared" si="220"/>
        <v>0</v>
      </c>
      <c r="O671" s="45">
        <f t="shared" si="221"/>
        <v>0</v>
      </c>
      <c r="P671" s="45">
        <f t="shared" si="222"/>
        <v>0.14285714285714285</v>
      </c>
      <c r="Q671" s="45">
        <f t="shared" si="223"/>
        <v>0.14285714285714285</v>
      </c>
      <c r="R671" s="45">
        <f t="shared" si="224"/>
        <v>0.14285714285714285</v>
      </c>
      <c r="S671" s="45">
        <f t="shared" si="225"/>
        <v>0.14285714285714285</v>
      </c>
      <c r="T671" s="45">
        <f t="shared" si="226"/>
        <v>0.14285714285714285</v>
      </c>
    </row>
    <row r="672" spans="1:20" x14ac:dyDescent="0.3">
      <c r="A672">
        <f t="shared" si="207"/>
        <v>1</v>
      </c>
      <c r="B672">
        <f t="shared" si="208"/>
        <v>0</v>
      </c>
      <c r="C672">
        <f t="shared" si="209"/>
        <v>1</v>
      </c>
      <c r="D672">
        <f t="shared" si="210"/>
        <v>0</v>
      </c>
      <c r="E672">
        <f t="shared" si="211"/>
        <v>1</v>
      </c>
      <c r="F672">
        <f t="shared" si="212"/>
        <v>0</v>
      </c>
      <c r="G672">
        <f t="shared" si="213"/>
        <v>0</v>
      </c>
      <c r="H672">
        <f t="shared" si="214"/>
        <v>0</v>
      </c>
      <c r="I672">
        <f t="shared" si="215"/>
        <v>0</v>
      </c>
      <c r="J672">
        <f t="shared" si="216"/>
        <v>0</v>
      </c>
      <c r="K672" s="45">
        <f t="shared" si="217"/>
        <v>0.33333333333333331</v>
      </c>
      <c r="L672" s="45">
        <f t="shared" si="218"/>
        <v>0</v>
      </c>
      <c r="M672" s="45">
        <f t="shared" si="219"/>
        <v>0.33333333333333331</v>
      </c>
      <c r="N672" s="45">
        <f t="shared" si="220"/>
        <v>0</v>
      </c>
      <c r="O672" s="45">
        <f t="shared" si="221"/>
        <v>0.33333333333333331</v>
      </c>
      <c r="P672" s="45">
        <f t="shared" si="222"/>
        <v>0</v>
      </c>
      <c r="Q672" s="45">
        <f t="shared" si="223"/>
        <v>0</v>
      </c>
      <c r="R672" s="45">
        <f t="shared" si="224"/>
        <v>0</v>
      </c>
      <c r="S672" s="45">
        <f t="shared" si="225"/>
        <v>0</v>
      </c>
      <c r="T672" s="45">
        <f t="shared" si="226"/>
        <v>0</v>
      </c>
    </row>
    <row r="673" spans="1:20" x14ac:dyDescent="0.3">
      <c r="A673">
        <f t="shared" si="207"/>
        <v>1</v>
      </c>
      <c r="B673">
        <f t="shared" si="208"/>
        <v>0</v>
      </c>
      <c r="C673">
        <f t="shared" si="209"/>
        <v>1</v>
      </c>
      <c r="D673">
        <f t="shared" si="210"/>
        <v>0</v>
      </c>
      <c r="E673">
        <f t="shared" si="211"/>
        <v>1</v>
      </c>
      <c r="F673">
        <f t="shared" si="212"/>
        <v>0</v>
      </c>
      <c r="G673">
        <f t="shared" si="213"/>
        <v>0</v>
      </c>
      <c r="H673">
        <f t="shared" si="214"/>
        <v>0</v>
      </c>
      <c r="I673">
        <f t="shared" si="215"/>
        <v>0</v>
      </c>
      <c r="J673">
        <f t="shared" si="216"/>
        <v>1</v>
      </c>
      <c r="K673" s="45">
        <f t="shared" si="217"/>
        <v>0.25</v>
      </c>
      <c r="L673" s="45">
        <f t="shared" si="218"/>
        <v>0</v>
      </c>
      <c r="M673" s="45">
        <f t="shared" si="219"/>
        <v>0.25</v>
      </c>
      <c r="N673" s="45">
        <f t="shared" si="220"/>
        <v>0</v>
      </c>
      <c r="O673" s="45">
        <f t="shared" si="221"/>
        <v>0.25</v>
      </c>
      <c r="P673" s="45">
        <f t="shared" si="222"/>
        <v>0</v>
      </c>
      <c r="Q673" s="45">
        <f t="shared" si="223"/>
        <v>0</v>
      </c>
      <c r="R673" s="45">
        <f t="shared" si="224"/>
        <v>0</v>
      </c>
      <c r="S673" s="45">
        <f t="shared" si="225"/>
        <v>0</v>
      </c>
      <c r="T673" s="45">
        <f t="shared" si="226"/>
        <v>0.25</v>
      </c>
    </row>
    <row r="674" spans="1:20" x14ac:dyDescent="0.3">
      <c r="A674">
        <f t="shared" si="207"/>
        <v>1</v>
      </c>
      <c r="B674">
        <f t="shared" si="208"/>
        <v>0</v>
      </c>
      <c r="C674">
        <f t="shared" si="209"/>
        <v>1</v>
      </c>
      <c r="D674">
        <f t="shared" si="210"/>
        <v>0</v>
      </c>
      <c r="E674">
        <f t="shared" si="211"/>
        <v>1</v>
      </c>
      <c r="F674">
        <f t="shared" si="212"/>
        <v>0</v>
      </c>
      <c r="G674">
        <f t="shared" si="213"/>
        <v>0</v>
      </c>
      <c r="H674">
        <f t="shared" si="214"/>
        <v>0</v>
      </c>
      <c r="I674">
        <f t="shared" si="215"/>
        <v>1</v>
      </c>
      <c r="J674">
        <f t="shared" si="216"/>
        <v>0</v>
      </c>
      <c r="K674" s="45">
        <f t="shared" si="217"/>
        <v>0.25</v>
      </c>
      <c r="L674" s="45">
        <f t="shared" si="218"/>
        <v>0</v>
      </c>
      <c r="M674" s="45">
        <f t="shared" si="219"/>
        <v>0.25</v>
      </c>
      <c r="N674" s="45">
        <f t="shared" si="220"/>
        <v>0</v>
      </c>
      <c r="O674" s="45">
        <f t="shared" si="221"/>
        <v>0.25</v>
      </c>
      <c r="P674" s="45">
        <f t="shared" si="222"/>
        <v>0</v>
      </c>
      <c r="Q674" s="45">
        <f t="shared" si="223"/>
        <v>0</v>
      </c>
      <c r="R674" s="45">
        <f t="shared" si="224"/>
        <v>0</v>
      </c>
      <c r="S674" s="45">
        <f t="shared" si="225"/>
        <v>0.25</v>
      </c>
      <c r="T674" s="45">
        <f t="shared" si="226"/>
        <v>0</v>
      </c>
    </row>
    <row r="675" spans="1:20" x14ac:dyDescent="0.3">
      <c r="A675">
        <f t="shared" si="207"/>
        <v>1</v>
      </c>
      <c r="B675">
        <f t="shared" si="208"/>
        <v>0</v>
      </c>
      <c r="C675">
        <f t="shared" si="209"/>
        <v>1</v>
      </c>
      <c r="D675">
        <f t="shared" si="210"/>
        <v>0</v>
      </c>
      <c r="E675">
        <f t="shared" si="211"/>
        <v>1</v>
      </c>
      <c r="F675">
        <f t="shared" si="212"/>
        <v>0</v>
      </c>
      <c r="G675">
        <f t="shared" si="213"/>
        <v>0</v>
      </c>
      <c r="H675">
        <f t="shared" si="214"/>
        <v>0</v>
      </c>
      <c r="I675">
        <f t="shared" si="215"/>
        <v>1</v>
      </c>
      <c r="J675">
        <f t="shared" si="216"/>
        <v>1</v>
      </c>
      <c r="K675" s="45">
        <f t="shared" si="217"/>
        <v>0.2</v>
      </c>
      <c r="L675" s="45">
        <f t="shared" si="218"/>
        <v>0</v>
      </c>
      <c r="M675" s="45">
        <f t="shared" si="219"/>
        <v>0.2</v>
      </c>
      <c r="N675" s="45">
        <f t="shared" si="220"/>
        <v>0</v>
      </c>
      <c r="O675" s="45">
        <f t="shared" si="221"/>
        <v>0.2</v>
      </c>
      <c r="P675" s="45">
        <f t="shared" si="222"/>
        <v>0</v>
      </c>
      <c r="Q675" s="45">
        <f t="shared" si="223"/>
        <v>0</v>
      </c>
      <c r="R675" s="45">
        <f t="shared" si="224"/>
        <v>0</v>
      </c>
      <c r="S675" s="45">
        <f t="shared" si="225"/>
        <v>0.2</v>
      </c>
      <c r="T675" s="45">
        <f t="shared" si="226"/>
        <v>0.2</v>
      </c>
    </row>
    <row r="676" spans="1:20" x14ac:dyDescent="0.3">
      <c r="A676">
        <f t="shared" si="207"/>
        <v>1</v>
      </c>
      <c r="B676">
        <f t="shared" si="208"/>
        <v>0</v>
      </c>
      <c r="C676">
        <f t="shared" si="209"/>
        <v>1</v>
      </c>
      <c r="D676">
        <f t="shared" si="210"/>
        <v>0</v>
      </c>
      <c r="E676">
        <f t="shared" si="211"/>
        <v>1</v>
      </c>
      <c r="F676">
        <f t="shared" si="212"/>
        <v>0</v>
      </c>
      <c r="G676">
        <f t="shared" si="213"/>
        <v>0</v>
      </c>
      <c r="H676">
        <f t="shared" si="214"/>
        <v>1</v>
      </c>
      <c r="I676">
        <f t="shared" si="215"/>
        <v>0</v>
      </c>
      <c r="J676">
        <f t="shared" si="216"/>
        <v>0</v>
      </c>
      <c r="K676" s="45">
        <f t="shared" si="217"/>
        <v>0.25</v>
      </c>
      <c r="L676" s="45">
        <f t="shared" si="218"/>
        <v>0</v>
      </c>
      <c r="M676" s="45">
        <f t="shared" si="219"/>
        <v>0.25</v>
      </c>
      <c r="N676" s="45">
        <f t="shared" si="220"/>
        <v>0</v>
      </c>
      <c r="O676" s="45">
        <f t="shared" si="221"/>
        <v>0.25</v>
      </c>
      <c r="P676" s="45">
        <f t="shared" si="222"/>
        <v>0</v>
      </c>
      <c r="Q676" s="45">
        <f t="shared" si="223"/>
        <v>0</v>
      </c>
      <c r="R676" s="45">
        <f t="shared" si="224"/>
        <v>0.25</v>
      </c>
      <c r="S676" s="45">
        <f t="shared" si="225"/>
        <v>0</v>
      </c>
      <c r="T676" s="45">
        <f t="shared" si="226"/>
        <v>0</v>
      </c>
    </row>
    <row r="677" spans="1:20" x14ac:dyDescent="0.3">
      <c r="A677">
        <f t="shared" si="207"/>
        <v>1</v>
      </c>
      <c r="B677">
        <f t="shared" si="208"/>
        <v>0</v>
      </c>
      <c r="C677">
        <f t="shared" si="209"/>
        <v>1</v>
      </c>
      <c r="D677">
        <f t="shared" si="210"/>
        <v>0</v>
      </c>
      <c r="E677">
        <f t="shared" si="211"/>
        <v>1</v>
      </c>
      <c r="F677">
        <f t="shared" si="212"/>
        <v>0</v>
      </c>
      <c r="G677">
        <f t="shared" si="213"/>
        <v>0</v>
      </c>
      <c r="H677">
        <f t="shared" si="214"/>
        <v>1</v>
      </c>
      <c r="I677">
        <f t="shared" si="215"/>
        <v>0</v>
      </c>
      <c r="J677">
        <f t="shared" si="216"/>
        <v>1</v>
      </c>
      <c r="K677" s="45">
        <f t="shared" si="217"/>
        <v>0.2</v>
      </c>
      <c r="L677" s="45">
        <f t="shared" si="218"/>
        <v>0</v>
      </c>
      <c r="M677" s="45">
        <f t="shared" si="219"/>
        <v>0.2</v>
      </c>
      <c r="N677" s="45">
        <f t="shared" si="220"/>
        <v>0</v>
      </c>
      <c r="O677" s="45">
        <f t="shared" si="221"/>
        <v>0.2</v>
      </c>
      <c r="P677" s="45">
        <f t="shared" si="222"/>
        <v>0</v>
      </c>
      <c r="Q677" s="45">
        <f t="shared" si="223"/>
        <v>0</v>
      </c>
      <c r="R677" s="45">
        <f t="shared" si="224"/>
        <v>0.2</v>
      </c>
      <c r="S677" s="45">
        <f t="shared" si="225"/>
        <v>0</v>
      </c>
      <c r="T677" s="45">
        <f t="shared" si="226"/>
        <v>0.2</v>
      </c>
    </row>
    <row r="678" spans="1:20" x14ac:dyDescent="0.3">
      <c r="A678">
        <f t="shared" si="207"/>
        <v>1</v>
      </c>
      <c r="B678">
        <f t="shared" si="208"/>
        <v>0</v>
      </c>
      <c r="C678">
        <f t="shared" si="209"/>
        <v>1</v>
      </c>
      <c r="D678">
        <f t="shared" si="210"/>
        <v>0</v>
      </c>
      <c r="E678">
        <f t="shared" si="211"/>
        <v>1</v>
      </c>
      <c r="F678">
        <f t="shared" si="212"/>
        <v>0</v>
      </c>
      <c r="G678">
        <f t="shared" si="213"/>
        <v>0</v>
      </c>
      <c r="H678">
        <f t="shared" si="214"/>
        <v>1</v>
      </c>
      <c r="I678">
        <f t="shared" si="215"/>
        <v>1</v>
      </c>
      <c r="J678">
        <f t="shared" si="216"/>
        <v>0</v>
      </c>
      <c r="K678" s="45">
        <f t="shared" si="217"/>
        <v>0.2</v>
      </c>
      <c r="L678" s="45">
        <f t="shared" si="218"/>
        <v>0</v>
      </c>
      <c r="M678" s="45">
        <f t="shared" si="219"/>
        <v>0.2</v>
      </c>
      <c r="N678" s="45">
        <f t="shared" si="220"/>
        <v>0</v>
      </c>
      <c r="O678" s="45">
        <f t="shared" si="221"/>
        <v>0.2</v>
      </c>
      <c r="P678" s="45">
        <f t="shared" si="222"/>
        <v>0</v>
      </c>
      <c r="Q678" s="45">
        <f t="shared" si="223"/>
        <v>0</v>
      </c>
      <c r="R678" s="45">
        <f t="shared" si="224"/>
        <v>0.2</v>
      </c>
      <c r="S678" s="45">
        <f t="shared" si="225"/>
        <v>0.2</v>
      </c>
      <c r="T678" s="45">
        <f t="shared" si="226"/>
        <v>0</v>
      </c>
    </row>
    <row r="679" spans="1:20" x14ac:dyDescent="0.3">
      <c r="A679">
        <f t="shared" si="207"/>
        <v>1</v>
      </c>
      <c r="B679">
        <f t="shared" si="208"/>
        <v>0</v>
      </c>
      <c r="C679">
        <f t="shared" si="209"/>
        <v>1</v>
      </c>
      <c r="D679">
        <f t="shared" si="210"/>
        <v>0</v>
      </c>
      <c r="E679">
        <f t="shared" si="211"/>
        <v>1</v>
      </c>
      <c r="F679">
        <f t="shared" si="212"/>
        <v>0</v>
      </c>
      <c r="G679">
        <f t="shared" si="213"/>
        <v>0</v>
      </c>
      <c r="H679">
        <f t="shared" si="214"/>
        <v>1</v>
      </c>
      <c r="I679">
        <f t="shared" si="215"/>
        <v>1</v>
      </c>
      <c r="J679">
        <f t="shared" si="216"/>
        <v>1</v>
      </c>
      <c r="K679" s="45">
        <f t="shared" si="217"/>
        <v>0.16666666666666666</v>
      </c>
      <c r="L679" s="45">
        <f t="shared" si="218"/>
        <v>0</v>
      </c>
      <c r="M679" s="45">
        <f t="shared" si="219"/>
        <v>0.16666666666666666</v>
      </c>
      <c r="N679" s="45">
        <f t="shared" si="220"/>
        <v>0</v>
      </c>
      <c r="O679" s="45">
        <f t="shared" si="221"/>
        <v>0.16666666666666666</v>
      </c>
      <c r="P679" s="45">
        <f t="shared" si="222"/>
        <v>0</v>
      </c>
      <c r="Q679" s="45">
        <f t="shared" si="223"/>
        <v>0</v>
      </c>
      <c r="R679" s="45">
        <f t="shared" si="224"/>
        <v>0.16666666666666666</v>
      </c>
      <c r="S679" s="45">
        <f t="shared" si="225"/>
        <v>0.16666666666666666</v>
      </c>
      <c r="T679" s="45">
        <f t="shared" si="226"/>
        <v>0.16666666666666666</v>
      </c>
    </row>
    <row r="680" spans="1:20" x14ac:dyDescent="0.3">
      <c r="A680">
        <f t="shared" si="207"/>
        <v>1</v>
      </c>
      <c r="B680">
        <f t="shared" si="208"/>
        <v>0</v>
      </c>
      <c r="C680">
        <f t="shared" si="209"/>
        <v>1</v>
      </c>
      <c r="D680">
        <f t="shared" si="210"/>
        <v>0</v>
      </c>
      <c r="E680">
        <f t="shared" si="211"/>
        <v>1</v>
      </c>
      <c r="F680">
        <f t="shared" si="212"/>
        <v>0</v>
      </c>
      <c r="G680">
        <f t="shared" si="213"/>
        <v>1</v>
      </c>
      <c r="H680">
        <f t="shared" si="214"/>
        <v>0</v>
      </c>
      <c r="I680">
        <f t="shared" si="215"/>
        <v>0</v>
      </c>
      <c r="J680">
        <f t="shared" si="216"/>
        <v>0</v>
      </c>
      <c r="K680" s="45">
        <f t="shared" si="217"/>
        <v>0.25</v>
      </c>
      <c r="L680" s="45">
        <f t="shared" si="218"/>
        <v>0</v>
      </c>
      <c r="M680" s="45">
        <f t="shared" si="219"/>
        <v>0.25</v>
      </c>
      <c r="N680" s="45">
        <f t="shared" si="220"/>
        <v>0</v>
      </c>
      <c r="O680" s="45">
        <f t="shared" si="221"/>
        <v>0.25</v>
      </c>
      <c r="P680" s="45">
        <f t="shared" si="222"/>
        <v>0</v>
      </c>
      <c r="Q680" s="45">
        <f t="shared" si="223"/>
        <v>0.25</v>
      </c>
      <c r="R680" s="45">
        <f t="shared" si="224"/>
        <v>0</v>
      </c>
      <c r="S680" s="45">
        <f t="shared" si="225"/>
        <v>0</v>
      </c>
      <c r="T680" s="45">
        <f t="shared" si="226"/>
        <v>0</v>
      </c>
    </row>
    <row r="681" spans="1:20" x14ac:dyDescent="0.3">
      <c r="A681">
        <f t="shared" si="207"/>
        <v>1</v>
      </c>
      <c r="B681">
        <f t="shared" si="208"/>
        <v>0</v>
      </c>
      <c r="C681">
        <f t="shared" si="209"/>
        <v>1</v>
      </c>
      <c r="D681">
        <f t="shared" si="210"/>
        <v>0</v>
      </c>
      <c r="E681">
        <f t="shared" si="211"/>
        <v>1</v>
      </c>
      <c r="F681">
        <f t="shared" si="212"/>
        <v>0</v>
      </c>
      <c r="G681">
        <f t="shared" si="213"/>
        <v>1</v>
      </c>
      <c r="H681">
        <f t="shared" si="214"/>
        <v>0</v>
      </c>
      <c r="I681">
        <f t="shared" si="215"/>
        <v>0</v>
      </c>
      <c r="J681">
        <f t="shared" si="216"/>
        <v>1</v>
      </c>
      <c r="K681" s="45">
        <f t="shared" si="217"/>
        <v>0.2</v>
      </c>
      <c r="L681" s="45">
        <f t="shared" si="218"/>
        <v>0</v>
      </c>
      <c r="M681" s="45">
        <f t="shared" si="219"/>
        <v>0.2</v>
      </c>
      <c r="N681" s="45">
        <f t="shared" si="220"/>
        <v>0</v>
      </c>
      <c r="O681" s="45">
        <f t="shared" si="221"/>
        <v>0.2</v>
      </c>
      <c r="P681" s="45">
        <f t="shared" si="222"/>
        <v>0</v>
      </c>
      <c r="Q681" s="45">
        <f t="shared" si="223"/>
        <v>0.2</v>
      </c>
      <c r="R681" s="45">
        <f t="shared" si="224"/>
        <v>0</v>
      </c>
      <c r="S681" s="45">
        <f t="shared" si="225"/>
        <v>0</v>
      </c>
      <c r="T681" s="45">
        <f t="shared" si="226"/>
        <v>0.2</v>
      </c>
    </row>
    <row r="682" spans="1:20" x14ac:dyDescent="0.3">
      <c r="A682">
        <f t="shared" si="207"/>
        <v>1</v>
      </c>
      <c r="B682">
        <f t="shared" si="208"/>
        <v>0</v>
      </c>
      <c r="C682">
        <f t="shared" si="209"/>
        <v>1</v>
      </c>
      <c r="D682">
        <f t="shared" si="210"/>
        <v>0</v>
      </c>
      <c r="E682">
        <f t="shared" si="211"/>
        <v>1</v>
      </c>
      <c r="F682">
        <f t="shared" si="212"/>
        <v>0</v>
      </c>
      <c r="G682">
        <f t="shared" si="213"/>
        <v>1</v>
      </c>
      <c r="H682">
        <f t="shared" si="214"/>
        <v>0</v>
      </c>
      <c r="I682">
        <f t="shared" si="215"/>
        <v>1</v>
      </c>
      <c r="J682">
        <f t="shared" si="216"/>
        <v>0</v>
      </c>
      <c r="K682" s="45">
        <f t="shared" si="217"/>
        <v>0.2</v>
      </c>
      <c r="L682" s="45">
        <f t="shared" si="218"/>
        <v>0</v>
      </c>
      <c r="M682" s="45">
        <f t="shared" si="219"/>
        <v>0.2</v>
      </c>
      <c r="N682" s="45">
        <f t="shared" si="220"/>
        <v>0</v>
      </c>
      <c r="O682" s="45">
        <f t="shared" si="221"/>
        <v>0.2</v>
      </c>
      <c r="P682" s="45">
        <f t="shared" si="222"/>
        <v>0</v>
      </c>
      <c r="Q682" s="45">
        <f t="shared" si="223"/>
        <v>0.2</v>
      </c>
      <c r="R682" s="45">
        <f t="shared" si="224"/>
        <v>0</v>
      </c>
      <c r="S682" s="45">
        <f t="shared" si="225"/>
        <v>0.2</v>
      </c>
      <c r="T682" s="45">
        <f t="shared" si="226"/>
        <v>0</v>
      </c>
    </row>
    <row r="683" spans="1:20" x14ac:dyDescent="0.3">
      <c r="A683">
        <f t="shared" si="207"/>
        <v>1</v>
      </c>
      <c r="B683">
        <f t="shared" si="208"/>
        <v>0</v>
      </c>
      <c r="C683">
        <f t="shared" si="209"/>
        <v>1</v>
      </c>
      <c r="D683">
        <f t="shared" si="210"/>
        <v>0</v>
      </c>
      <c r="E683">
        <f t="shared" si="211"/>
        <v>1</v>
      </c>
      <c r="F683">
        <f t="shared" si="212"/>
        <v>0</v>
      </c>
      <c r="G683">
        <f t="shared" si="213"/>
        <v>1</v>
      </c>
      <c r="H683">
        <f t="shared" si="214"/>
        <v>0</v>
      </c>
      <c r="I683">
        <f t="shared" si="215"/>
        <v>1</v>
      </c>
      <c r="J683">
        <f t="shared" si="216"/>
        <v>1</v>
      </c>
      <c r="K683" s="45">
        <f t="shared" si="217"/>
        <v>0.16666666666666666</v>
      </c>
      <c r="L683" s="45">
        <f t="shared" si="218"/>
        <v>0</v>
      </c>
      <c r="M683" s="45">
        <f t="shared" si="219"/>
        <v>0.16666666666666666</v>
      </c>
      <c r="N683" s="45">
        <f t="shared" si="220"/>
        <v>0</v>
      </c>
      <c r="O683" s="45">
        <f t="shared" si="221"/>
        <v>0.16666666666666666</v>
      </c>
      <c r="P683" s="45">
        <f t="shared" si="222"/>
        <v>0</v>
      </c>
      <c r="Q683" s="45">
        <f t="shared" si="223"/>
        <v>0.16666666666666666</v>
      </c>
      <c r="R683" s="45">
        <f t="shared" si="224"/>
        <v>0</v>
      </c>
      <c r="S683" s="45">
        <f t="shared" si="225"/>
        <v>0.16666666666666666</v>
      </c>
      <c r="T683" s="45">
        <f t="shared" si="226"/>
        <v>0.16666666666666666</v>
      </c>
    </row>
    <row r="684" spans="1:20" x14ac:dyDescent="0.3">
      <c r="A684">
        <f t="shared" si="207"/>
        <v>1</v>
      </c>
      <c r="B684">
        <f t="shared" si="208"/>
        <v>0</v>
      </c>
      <c r="C684">
        <f t="shared" si="209"/>
        <v>1</v>
      </c>
      <c r="D684">
        <f t="shared" si="210"/>
        <v>0</v>
      </c>
      <c r="E684">
        <f t="shared" si="211"/>
        <v>1</v>
      </c>
      <c r="F684">
        <f t="shared" si="212"/>
        <v>0</v>
      </c>
      <c r="G684">
        <f t="shared" si="213"/>
        <v>1</v>
      </c>
      <c r="H684">
        <f t="shared" si="214"/>
        <v>1</v>
      </c>
      <c r="I684">
        <f t="shared" si="215"/>
        <v>0</v>
      </c>
      <c r="J684">
        <f t="shared" si="216"/>
        <v>0</v>
      </c>
      <c r="K684" s="45">
        <f t="shared" si="217"/>
        <v>0.2</v>
      </c>
      <c r="L684" s="45">
        <f t="shared" si="218"/>
        <v>0</v>
      </c>
      <c r="M684" s="45">
        <f t="shared" si="219"/>
        <v>0.2</v>
      </c>
      <c r="N684" s="45">
        <f t="shared" si="220"/>
        <v>0</v>
      </c>
      <c r="O684" s="45">
        <f t="shared" si="221"/>
        <v>0.2</v>
      </c>
      <c r="P684" s="45">
        <f t="shared" si="222"/>
        <v>0</v>
      </c>
      <c r="Q684" s="45">
        <f t="shared" si="223"/>
        <v>0.2</v>
      </c>
      <c r="R684" s="45">
        <f t="shared" si="224"/>
        <v>0.2</v>
      </c>
      <c r="S684" s="45">
        <f t="shared" si="225"/>
        <v>0</v>
      </c>
      <c r="T684" s="45">
        <f t="shared" si="226"/>
        <v>0</v>
      </c>
    </row>
    <row r="685" spans="1:20" x14ac:dyDescent="0.3">
      <c r="A685">
        <f t="shared" si="207"/>
        <v>1</v>
      </c>
      <c r="B685">
        <f t="shared" si="208"/>
        <v>0</v>
      </c>
      <c r="C685">
        <f t="shared" si="209"/>
        <v>1</v>
      </c>
      <c r="D685">
        <f t="shared" si="210"/>
        <v>0</v>
      </c>
      <c r="E685">
        <f t="shared" si="211"/>
        <v>1</v>
      </c>
      <c r="F685">
        <f t="shared" si="212"/>
        <v>0</v>
      </c>
      <c r="G685">
        <f t="shared" si="213"/>
        <v>1</v>
      </c>
      <c r="H685">
        <f t="shared" si="214"/>
        <v>1</v>
      </c>
      <c r="I685">
        <f t="shared" si="215"/>
        <v>0</v>
      </c>
      <c r="J685">
        <f t="shared" si="216"/>
        <v>1</v>
      </c>
      <c r="K685" s="45">
        <f t="shared" si="217"/>
        <v>0.16666666666666666</v>
      </c>
      <c r="L685" s="45">
        <f t="shared" si="218"/>
        <v>0</v>
      </c>
      <c r="M685" s="45">
        <f t="shared" si="219"/>
        <v>0.16666666666666666</v>
      </c>
      <c r="N685" s="45">
        <f t="shared" si="220"/>
        <v>0</v>
      </c>
      <c r="O685" s="45">
        <f t="shared" si="221"/>
        <v>0.16666666666666666</v>
      </c>
      <c r="P685" s="45">
        <f t="shared" si="222"/>
        <v>0</v>
      </c>
      <c r="Q685" s="45">
        <f t="shared" si="223"/>
        <v>0.16666666666666666</v>
      </c>
      <c r="R685" s="45">
        <f t="shared" si="224"/>
        <v>0.16666666666666666</v>
      </c>
      <c r="S685" s="45">
        <f t="shared" si="225"/>
        <v>0</v>
      </c>
      <c r="T685" s="45">
        <f t="shared" si="226"/>
        <v>0.16666666666666666</v>
      </c>
    </row>
    <row r="686" spans="1:20" x14ac:dyDescent="0.3">
      <c r="A686">
        <f t="shared" si="207"/>
        <v>1</v>
      </c>
      <c r="B686">
        <f t="shared" si="208"/>
        <v>0</v>
      </c>
      <c r="C686">
        <f t="shared" si="209"/>
        <v>1</v>
      </c>
      <c r="D686">
        <f t="shared" si="210"/>
        <v>0</v>
      </c>
      <c r="E686">
        <f t="shared" si="211"/>
        <v>1</v>
      </c>
      <c r="F686">
        <f t="shared" si="212"/>
        <v>0</v>
      </c>
      <c r="G686">
        <f t="shared" si="213"/>
        <v>1</v>
      </c>
      <c r="H686">
        <f t="shared" si="214"/>
        <v>1</v>
      </c>
      <c r="I686">
        <f t="shared" si="215"/>
        <v>1</v>
      </c>
      <c r="J686">
        <f t="shared" si="216"/>
        <v>0</v>
      </c>
      <c r="K686" s="45">
        <f t="shared" si="217"/>
        <v>0.16666666666666666</v>
      </c>
      <c r="L686" s="45">
        <f t="shared" si="218"/>
        <v>0</v>
      </c>
      <c r="M686" s="45">
        <f t="shared" si="219"/>
        <v>0.16666666666666666</v>
      </c>
      <c r="N686" s="45">
        <f t="shared" si="220"/>
        <v>0</v>
      </c>
      <c r="O686" s="45">
        <f t="shared" si="221"/>
        <v>0.16666666666666666</v>
      </c>
      <c r="P686" s="45">
        <f t="shared" si="222"/>
        <v>0</v>
      </c>
      <c r="Q686" s="45">
        <f t="shared" si="223"/>
        <v>0.16666666666666666</v>
      </c>
      <c r="R686" s="45">
        <f t="shared" si="224"/>
        <v>0.16666666666666666</v>
      </c>
      <c r="S686" s="45">
        <f t="shared" si="225"/>
        <v>0.16666666666666666</v>
      </c>
      <c r="T686" s="45">
        <f t="shared" si="226"/>
        <v>0</v>
      </c>
    </row>
    <row r="687" spans="1:20" x14ac:dyDescent="0.3">
      <c r="A687">
        <f t="shared" si="207"/>
        <v>1</v>
      </c>
      <c r="B687">
        <f t="shared" si="208"/>
        <v>0</v>
      </c>
      <c r="C687">
        <f t="shared" si="209"/>
        <v>1</v>
      </c>
      <c r="D687">
        <f t="shared" si="210"/>
        <v>0</v>
      </c>
      <c r="E687">
        <f t="shared" si="211"/>
        <v>1</v>
      </c>
      <c r="F687">
        <f t="shared" si="212"/>
        <v>0</v>
      </c>
      <c r="G687">
        <f t="shared" si="213"/>
        <v>1</v>
      </c>
      <c r="H687">
        <f t="shared" si="214"/>
        <v>1</v>
      </c>
      <c r="I687">
        <f t="shared" si="215"/>
        <v>1</v>
      </c>
      <c r="J687">
        <f t="shared" si="216"/>
        <v>1</v>
      </c>
      <c r="K687" s="45">
        <f t="shared" si="217"/>
        <v>0.14285714285714285</v>
      </c>
      <c r="L687" s="45">
        <f t="shared" si="218"/>
        <v>0</v>
      </c>
      <c r="M687" s="45">
        <f t="shared" si="219"/>
        <v>0.14285714285714285</v>
      </c>
      <c r="N687" s="45">
        <f t="shared" si="220"/>
        <v>0</v>
      </c>
      <c r="O687" s="45">
        <f t="shared" si="221"/>
        <v>0.14285714285714285</v>
      </c>
      <c r="P687" s="45">
        <f t="shared" si="222"/>
        <v>0</v>
      </c>
      <c r="Q687" s="45">
        <f t="shared" si="223"/>
        <v>0.14285714285714285</v>
      </c>
      <c r="R687" s="45">
        <f t="shared" si="224"/>
        <v>0.14285714285714285</v>
      </c>
      <c r="S687" s="45">
        <f t="shared" si="225"/>
        <v>0.14285714285714285</v>
      </c>
      <c r="T687" s="45">
        <f t="shared" si="226"/>
        <v>0.14285714285714285</v>
      </c>
    </row>
    <row r="688" spans="1:20" x14ac:dyDescent="0.3">
      <c r="A688">
        <f t="shared" si="207"/>
        <v>1</v>
      </c>
      <c r="B688">
        <f t="shared" si="208"/>
        <v>0</v>
      </c>
      <c r="C688">
        <f t="shared" si="209"/>
        <v>1</v>
      </c>
      <c r="D688">
        <f t="shared" si="210"/>
        <v>0</v>
      </c>
      <c r="E688">
        <f t="shared" si="211"/>
        <v>1</v>
      </c>
      <c r="F688">
        <f t="shared" si="212"/>
        <v>1</v>
      </c>
      <c r="G688">
        <f t="shared" si="213"/>
        <v>0</v>
      </c>
      <c r="H688">
        <f t="shared" si="214"/>
        <v>0</v>
      </c>
      <c r="I688">
        <f t="shared" si="215"/>
        <v>0</v>
      </c>
      <c r="J688">
        <f t="shared" si="216"/>
        <v>0</v>
      </c>
      <c r="K688" s="45">
        <f t="shared" si="217"/>
        <v>0.25</v>
      </c>
      <c r="L688" s="45">
        <f t="shared" si="218"/>
        <v>0</v>
      </c>
      <c r="M688" s="45">
        <f t="shared" si="219"/>
        <v>0.25</v>
      </c>
      <c r="N688" s="45">
        <f t="shared" si="220"/>
        <v>0</v>
      </c>
      <c r="O688" s="45">
        <f t="shared" si="221"/>
        <v>0.25</v>
      </c>
      <c r="P688" s="45">
        <f t="shared" si="222"/>
        <v>0.25</v>
      </c>
      <c r="Q688" s="45">
        <f t="shared" si="223"/>
        <v>0</v>
      </c>
      <c r="R688" s="45">
        <f t="shared" si="224"/>
        <v>0</v>
      </c>
      <c r="S688" s="45">
        <f t="shared" si="225"/>
        <v>0</v>
      </c>
      <c r="T688" s="45">
        <f t="shared" si="226"/>
        <v>0</v>
      </c>
    </row>
    <row r="689" spans="1:20" x14ac:dyDescent="0.3">
      <c r="A689">
        <f t="shared" si="207"/>
        <v>1</v>
      </c>
      <c r="B689">
        <f t="shared" si="208"/>
        <v>0</v>
      </c>
      <c r="C689">
        <f t="shared" si="209"/>
        <v>1</v>
      </c>
      <c r="D689">
        <f t="shared" si="210"/>
        <v>0</v>
      </c>
      <c r="E689">
        <f t="shared" si="211"/>
        <v>1</v>
      </c>
      <c r="F689">
        <f t="shared" si="212"/>
        <v>1</v>
      </c>
      <c r="G689">
        <f t="shared" si="213"/>
        <v>0</v>
      </c>
      <c r="H689">
        <f t="shared" si="214"/>
        <v>0</v>
      </c>
      <c r="I689">
        <f t="shared" si="215"/>
        <v>0</v>
      </c>
      <c r="J689">
        <f t="shared" si="216"/>
        <v>1</v>
      </c>
      <c r="K689" s="45">
        <f t="shared" si="217"/>
        <v>0.2</v>
      </c>
      <c r="L689" s="45">
        <f t="shared" si="218"/>
        <v>0</v>
      </c>
      <c r="M689" s="45">
        <f t="shared" si="219"/>
        <v>0.2</v>
      </c>
      <c r="N689" s="45">
        <f t="shared" si="220"/>
        <v>0</v>
      </c>
      <c r="O689" s="45">
        <f t="shared" si="221"/>
        <v>0.2</v>
      </c>
      <c r="P689" s="45">
        <f t="shared" si="222"/>
        <v>0.2</v>
      </c>
      <c r="Q689" s="45">
        <f t="shared" si="223"/>
        <v>0</v>
      </c>
      <c r="R689" s="45">
        <f t="shared" si="224"/>
        <v>0</v>
      </c>
      <c r="S689" s="45">
        <f t="shared" si="225"/>
        <v>0</v>
      </c>
      <c r="T689" s="45">
        <f t="shared" si="226"/>
        <v>0.2</v>
      </c>
    </row>
    <row r="690" spans="1:20" x14ac:dyDescent="0.3">
      <c r="A690">
        <f t="shared" si="207"/>
        <v>1</v>
      </c>
      <c r="B690">
        <f t="shared" si="208"/>
        <v>0</v>
      </c>
      <c r="C690">
        <f t="shared" si="209"/>
        <v>1</v>
      </c>
      <c r="D690">
        <f t="shared" si="210"/>
        <v>0</v>
      </c>
      <c r="E690">
        <f t="shared" si="211"/>
        <v>1</v>
      </c>
      <c r="F690">
        <f t="shared" si="212"/>
        <v>1</v>
      </c>
      <c r="G690">
        <f t="shared" si="213"/>
        <v>0</v>
      </c>
      <c r="H690">
        <f t="shared" si="214"/>
        <v>0</v>
      </c>
      <c r="I690">
        <f t="shared" si="215"/>
        <v>1</v>
      </c>
      <c r="J690">
        <f t="shared" si="216"/>
        <v>0</v>
      </c>
      <c r="K690" s="45">
        <f t="shared" si="217"/>
        <v>0.2</v>
      </c>
      <c r="L690" s="45">
        <f t="shared" si="218"/>
        <v>0</v>
      </c>
      <c r="M690" s="45">
        <f t="shared" si="219"/>
        <v>0.2</v>
      </c>
      <c r="N690" s="45">
        <f t="shared" si="220"/>
        <v>0</v>
      </c>
      <c r="O690" s="45">
        <f t="shared" si="221"/>
        <v>0.2</v>
      </c>
      <c r="P690" s="45">
        <f t="shared" si="222"/>
        <v>0.2</v>
      </c>
      <c r="Q690" s="45">
        <f t="shared" si="223"/>
        <v>0</v>
      </c>
      <c r="R690" s="45">
        <f t="shared" si="224"/>
        <v>0</v>
      </c>
      <c r="S690" s="45">
        <f t="shared" si="225"/>
        <v>0.2</v>
      </c>
      <c r="T690" s="45">
        <f t="shared" si="226"/>
        <v>0</v>
      </c>
    </row>
    <row r="691" spans="1:20" x14ac:dyDescent="0.3">
      <c r="A691">
        <f t="shared" si="207"/>
        <v>1</v>
      </c>
      <c r="B691">
        <f t="shared" si="208"/>
        <v>0</v>
      </c>
      <c r="C691">
        <f t="shared" si="209"/>
        <v>1</v>
      </c>
      <c r="D691">
        <f t="shared" si="210"/>
        <v>0</v>
      </c>
      <c r="E691">
        <f t="shared" si="211"/>
        <v>1</v>
      </c>
      <c r="F691">
        <f t="shared" si="212"/>
        <v>1</v>
      </c>
      <c r="G691">
        <f t="shared" si="213"/>
        <v>0</v>
      </c>
      <c r="H691">
        <f t="shared" si="214"/>
        <v>0</v>
      </c>
      <c r="I691">
        <f t="shared" si="215"/>
        <v>1</v>
      </c>
      <c r="J691">
        <f t="shared" si="216"/>
        <v>1</v>
      </c>
      <c r="K691" s="45">
        <f t="shared" si="217"/>
        <v>0.16666666666666666</v>
      </c>
      <c r="L691" s="45">
        <f t="shared" si="218"/>
        <v>0</v>
      </c>
      <c r="M691" s="45">
        <f t="shared" si="219"/>
        <v>0.16666666666666666</v>
      </c>
      <c r="N691" s="45">
        <f t="shared" si="220"/>
        <v>0</v>
      </c>
      <c r="O691" s="45">
        <f t="shared" si="221"/>
        <v>0.16666666666666666</v>
      </c>
      <c r="P691" s="45">
        <f t="shared" si="222"/>
        <v>0.16666666666666666</v>
      </c>
      <c r="Q691" s="45">
        <f t="shared" si="223"/>
        <v>0</v>
      </c>
      <c r="R691" s="45">
        <f t="shared" si="224"/>
        <v>0</v>
      </c>
      <c r="S691" s="45">
        <f t="shared" si="225"/>
        <v>0.16666666666666666</v>
      </c>
      <c r="T691" s="45">
        <f t="shared" si="226"/>
        <v>0.16666666666666666</v>
      </c>
    </row>
    <row r="692" spans="1:20" x14ac:dyDescent="0.3">
      <c r="A692">
        <f t="shared" si="207"/>
        <v>1</v>
      </c>
      <c r="B692">
        <f t="shared" si="208"/>
        <v>0</v>
      </c>
      <c r="C692">
        <f t="shared" si="209"/>
        <v>1</v>
      </c>
      <c r="D692">
        <f t="shared" si="210"/>
        <v>0</v>
      </c>
      <c r="E692">
        <f t="shared" si="211"/>
        <v>1</v>
      </c>
      <c r="F692">
        <f t="shared" si="212"/>
        <v>1</v>
      </c>
      <c r="G692">
        <f t="shared" si="213"/>
        <v>0</v>
      </c>
      <c r="H692">
        <f t="shared" si="214"/>
        <v>1</v>
      </c>
      <c r="I692">
        <f t="shared" si="215"/>
        <v>0</v>
      </c>
      <c r="J692">
        <f t="shared" si="216"/>
        <v>0</v>
      </c>
      <c r="K692" s="45">
        <f t="shared" si="217"/>
        <v>0.2</v>
      </c>
      <c r="L692" s="45">
        <f t="shared" si="218"/>
        <v>0</v>
      </c>
      <c r="M692" s="45">
        <f t="shared" si="219"/>
        <v>0.2</v>
      </c>
      <c r="N692" s="45">
        <f t="shared" si="220"/>
        <v>0</v>
      </c>
      <c r="O692" s="45">
        <f t="shared" si="221"/>
        <v>0.2</v>
      </c>
      <c r="P692" s="45">
        <f t="shared" si="222"/>
        <v>0.2</v>
      </c>
      <c r="Q692" s="45">
        <f t="shared" si="223"/>
        <v>0</v>
      </c>
      <c r="R692" s="45">
        <f t="shared" si="224"/>
        <v>0.2</v>
      </c>
      <c r="S692" s="45">
        <f t="shared" si="225"/>
        <v>0</v>
      </c>
      <c r="T692" s="45">
        <f t="shared" si="226"/>
        <v>0</v>
      </c>
    </row>
    <row r="693" spans="1:20" x14ac:dyDescent="0.3">
      <c r="A693">
        <f t="shared" si="207"/>
        <v>1</v>
      </c>
      <c r="B693">
        <f t="shared" si="208"/>
        <v>0</v>
      </c>
      <c r="C693">
        <f t="shared" si="209"/>
        <v>1</v>
      </c>
      <c r="D693">
        <f t="shared" si="210"/>
        <v>0</v>
      </c>
      <c r="E693">
        <f t="shared" si="211"/>
        <v>1</v>
      </c>
      <c r="F693">
        <f t="shared" si="212"/>
        <v>1</v>
      </c>
      <c r="G693">
        <f t="shared" si="213"/>
        <v>0</v>
      </c>
      <c r="H693">
        <f t="shared" si="214"/>
        <v>1</v>
      </c>
      <c r="I693">
        <f t="shared" si="215"/>
        <v>0</v>
      </c>
      <c r="J693">
        <f t="shared" si="216"/>
        <v>1</v>
      </c>
      <c r="K693" s="45">
        <f t="shared" si="217"/>
        <v>0.16666666666666666</v>
      </c>
      <c r="L693" s="45">
        <f t="shared" si="218"/>
        <v>0</v>
      </c>
      <c r="M693" s="45">
        <f t="shared" si="219"/>
        <v>0.16666666666666666</v>
      </c>
      <c r="N693" s="45">
        <f t="shared" si="220"/>
        <v>0</v>
      </c>
      <c r="O693" s="45">
        <f t="shared" si="221"/>
        <v>0.16666666666666666</v>
      </c>
      <c r="P693" s="45">
        <f t="shared" si="222"/>
        <v>0.16666666666666666</v>
      </c>
      <c r="Q693" s="45">
        <f t="shared" si="223"/>
        <v>0</v>
      </c>
      <c r="R693" s="45">
        <f t="shared" si="224"/>
        <v>0.16666666666666666</v>
      </c>
      <c r="S693" s="45">
        <f t="shared" si="225"/>
        <v>0</v>
      </c>
      <c r="T693" s="45">
        <f t="shared" si="226"/>
        <v>0.16666666666666666</v>
      </c>
    </row>
    <row r="694" spans="1:20" x14ac:dyDescent="0.3">
      <c r="A694">
        <f t="shared" si="207"/>
        <v>1</v>
      </c>
      <c r="B694">
        <f t="shared" si="208"/>
        <v>0</v>
      </c>
      <c r="C694">
        <f t="shared" si="209"/>
        <v>1</v>
      </c>
      <c r="D694">
        <f t="shared" si="210"/>
        <v>0</v>
      </c>
      <c r="E694">
        <f t="shared" si="211"/>
        <v>1</v>
      </c>
      <c r="F694">
        <f t="shared" si="212"/>
        <v>1</v>
      </c>
      <c r="G694">
        <f t="shared" si="213"/>
        <v>0</v>
      </c>
      <c r="H694">
        <f t="shared" si="214"/>
        <v>1</v>
      </c>
      <c r="I694">
        <f t="shared" si="215"/>
        <v>1</v>
      </c>
      <c r="J694">
        <f t="shared" si="216"/>
        <v>0</v>
      </c>
      <c r="K694" s="45">
        <f t="shared" si="217"/>
        <v>0.16666666666666666</v>
      </c>
      <c r="L694" s="45">
        <f t="shared" si="218"/>
        <v>0</v>
      </c>
      <c r="M694" s="45">
        <f t="shared" si="219"/>
        <v>0.16666666666666666</v>
      </c>
      <c r="N694" s="45">
        <f t="shared" si="220"/>
        <v>0</v>
      </c>
      <c r="O694" s="45">
        <f t="shared" si="221"/>
        <v>0.16666666666666666</v>
      </c>
      <c r="P694" s="45">
        <f t="shared" si="222"/>
        <v>0.16666666666666666</v>
      </c>
      <c r="Q694" s="45">
        <f t="shared" si="223"/>
        <v>0</v>
      </c>
      <c r="R694" s="45">
        <f t="shared" si="224"/>
        <v>0.16666666666666666</v>
      </c>
      <c r="S694" s="45">
        <f t="shared" si="225"/>
        <v>0.16666666666666666</v>
      </c>
      <c r="T694" s="45">
        <f t="shared" si="226"/>
        <v>0</v>
      </c>
    </row>
    <row r="695" spans="1:20" x14ac:dyDescent="0.3">
      <c r="A695">
        <f t="shared" si="207"/>
        <v>1</v>
      </c>
      <c r="B695">
        <f t="shared" si="208"/>
        <v>0</v>
      </c>
      <c r="C695">
        <f t="shared" si="209"/>
        <v>1</v>
      </c>
      <c r="D695">
        <f t="shared" si="210"/>
        <v>0</v>
      </c>
      <c r="E695">
        <f t="shared" si="211"/>
        <v>1</v>
      </c>
      <c r="F695">
        <f t="shared" si="212"/>
        <v>1</v>
      </c>
      <c r="G695">
        <f t="shared" si="213"/>
        <v>0</v>
      </c>
      <c r="H695">
        <f t="shared" si="214"/>
        <v>1</v>
      </c>
      <c r="I695">
        <f t="shared" si="215"/>
        <v>1</v>
      </c>
      <c r="J695">
        <f t="shared" si="216"/>
        <v>1</v>
      </c>
      <c r="K695" s="45">
        <f t="shared" si="217"/>
        <v>0.14285714285714285</v>
      </c>
      <c r="L695" s="45">
        <f t="shared" si="218"/>
        <v>0</v>
      </c>
      <c r="M695" s="45">
        <f t="shared" si="219"/>
        <v>0.14285714285714285</v>
      </c>
      <c r="N695" s="45">
        <f t="shared" si="220"/>
        <v>0</v>
      </c>
      <c r="O695" s="45">
        <f t="shared" si="221"/>
        <v>0.14285714285714285</v>
      </c>
      <c r="P695" s="45">
        <f t="shared" si="222"/>
        <v>0.14285714285714285</v>
      </c>
      <c r="Q695" s="45">
        <f t="shared" si="223"/>
        <v>0</v>
      </c>
      <c r="R695" s="45">
        <f t="shared" si="224"/>
        <v>0.14285714285714285</v>
      </c>
      <c r="S695" s="45">
        <f t="shared" si="225"/>
        <v>0.14285714285714285</v>
      </c>
      <c r="T695" s="45">
        <f t="shared" si="226"/>
        <v>0.14285714285714285</v>
      </c>
    </row>
    <row r="696" spans="1:20" x14ac:dyDescent="0.3">
      <c r="A696">
        <f t="shared" si="207"/>
        <v>1</v>
      </c>
      <c r="B696">
        <f t="shared" si="208"/>
        <v>0</v>
      </c>
      <c r="C696">
        <f t="shared" si="209"/>
        <v>1</v>
      </c>
      <c r="D696">
        <f t="shared" si="210"/>
        <v>0</v>
      </c>
      <c r="E696">
        <f t="shared" si="211"/>
        <v>1</v>
      </c>
      <c r="F696">
        <f t="shared" si="212"/>
        <v>1</v>
      </c>
      <c r="G696">
        <f t="shared" si="213"/>
        <v>1</v>
      </c>
      <c r="H696">
        <f t="shared" si="214"/>
        <v>0</v>
      </c>
      <c r="I696">
        <f t="shared" si="215"/>
        <v>0</v>
      </c>
      <c r="J696">
        <f t="shared" si="216"/>
        <v>0</v>
      </c>
      <c r="K696" s="45">
        <f t="shared" si="217"/>
        <v>0.2</v>
      </c>
      <c r="L696" s="45">
        <f t="shared" si="218"/>
        <v>0</v>
      </c>
      <c r="M696" s="45">
        <f t="shared" si="219"/>
        <v>0.2</v>
      </c>
      <c r="N696" s="45">
        <f t="shared" si="220"/>
        <v>0</v>
      </c>
      <c r="O696" s="45">
        <f t="shared" si="221"/>
        <v>0.2</v>
      </c>
      <c r="P696" s="45">
        <f t="shared" si="222"/>
        <v>0.2</v>
      </c>
      <c r="Q696" s="45">
        <f t="shared" si="223"/>
        <v>0.2</v>
      </c>
      <c r="R696" s="45">
        <f t="shared" si="224"/>
        <v>0</v>
      </c>
      <c r="S696" s="45">
        <f t="shared" si="225"/>
        <v>0</v>
      </c>
      <c r="T696" s="45">
        <f t="shared" si="226"/>
        <v>0</v>
      </c>
    </row>
    <row r="697" spans="1:20" x14ac:dyDescent="0.3">
      <c r="A697">
        <f t="shared" si="207"/>
        <v>1</v>
      </c>
      <c r="B697">
        <f t="shared" si="208"/>
        <v>0</v>
      </c>
      <c r="C697">
        <f t="shared" si="209"/>
        <v>1</v>
      </c>
      <c r="D697">
        <f t="shared" si="210"/>
        <v>0</v>
      </c>
      <c r="E697">
        <f t="shared" si="211"/>
        <v>1</v>
      </c>
      <c r="F697">
        <f t="shared" si="212"/>
        <v>1</v>
      </c>
      <c r="G697">
        <f t="shared" si="213"/>
        <v>1</v>
      </c>
      <c r="H697">
        <f t="shared" si="214"/>
        <v>0</v>
      </c>
      <c r="I697">
        <f t="shared" si="215"/>
        <v>0</v>
      </c>
      <c r="J697">
        <f t="shared" si="216"/>
        <v>1</v>
      </c>
      <c r="K697" s="45">
        <f t="shared" si="217"/>
        <v>0.16666666666666666</v>
      </c>
      <c r="L697" s="45">
        <f t="shared" si="218"/>
        <v>0</v>
      </c>
      <c r="M697" s="45">
        <f t="shared" si="219"/>
        <v>0.16666666666666666</v>
      </c>
      <c r="N697" s="45">
        <f t="shared" si="220"/>
        <v>0</v>
      </c>
      <c r="O697" s="45">
        <f t="shared" si="221"/>
        <v>0.16666666666666666</v>
      </c>
      <c r="P697" s="45">
        <f t="shared" si="222"/>
        <v>0.16666666666666666</v>
      </c>
      <c r="Q697" s="45">
        <f t="shared" si="223"/>
        <v>0.16666666666666666</v>
      </c>
      <c r="R697" s="45">
        <f t="shared" si="224"/>
        <v>0</v>
      </c>
      <c r="S697" s="45">
        <f t="shared" si="225"/>
        <v>0</v>
      </c>
      <c r="T697" s="45">
        <f t="shared" si="226"/>
        <v>0.16666666666666666</v>
      </c>
    </row>
    <row r="698" spans="1:20" x14ac:dyDescent="0.3">
      <c r="A698">
        <f t="shared" si="207"/>
        <v>1</v>
      </c>
      <c r="B698">
        <f t="shared" si="208"/>
        <v>0</v>
      </c>
      <c r="C698">
        <f t="shared" si="209"/>
        <v>1</v>
      </c>
      <c r="D698">
        <f t="shared" si="210"/>
        <v>0</v>
      </c>
      <c r="E698">
        <f t="shared" si="211"/>
        <v>1</v>
      </c>
      <c r="F698">
        <f t="shared" si="212"/>
        <v>1</v>
      </c>
      <c r="G698">
        <f t="shared" si="213"/>
        <v>1</v>
      </c>
      <c r="H698">
        <f t="shared" si="214"/>
        <v>0</v>
      </c>
      <c r="I698">
        <f t="shared" si="215"/>
        <v>1</v>
      </c>
      <c r="J698">
        <f t="shared" si="216"/>
        <v>0</v>
      </c>
      <c r="K698" s="45">
        <f t="shared" si="217"/>
        <v>0.16666666666666666</v>
      </c>
      <c r="L698" s="45">
        <f t="shared" si="218"/>
        <v>0</v>
      </c>
      <c r="M698" s="45">
        <f t="shared" si="219"/>
        <v>0.16666666666666666</v>
      </c>
      <c r="N698" s="45">
        <f t="shared" si="220"/>
        <v>0</v>
      </c>
      <c r="O698" s="45">
        <f t="shared" si="221"/>
        <v>0.16666666666666666</v>
      </c>
      <c r="P698" s="45">
        <f t="shared" si="222"/>
        <v>0.16666666666666666</v>
      </c>
      <c r="Q698" s="45">
        <f t="shared" si="223"/>
        <v>0.16666666666666666</v>
      </c>
      <c r="R698" s="45">
        <f t="shared" si="224"/>
        <v>0</v>
      </c>
      <c r="S698" s="45">
        <f t="shared" si="225"/>
        <v>0.16666666666666666</v>
      </c>
      <c r="T698" s="45">
        <f t="shared" si="226"/>
        <v>0</v>
      </c>
    </row>
    <row r="699" spans="1:20" x14ac:dyDescent="0.3">
      <c r="A699">
        <f t="shared" si="207"/>
        <v>1</v>
      </c>
      <c r="B699">
        <f t="shared" si="208"/>
        <v>0</v>
      </c>
      <c r="C699">
        <f t="shared" si="209"/>
        <v>1</v>
      </c>
      <c r="D699">
        <f t="shared" si="210"/>
        <v>0</v>
      </c>
      <c r="E699">
        <f t="shared" si="211"/>
        <v>1</v>
      </c>
      <c r="F699">
        <f t="shared" si="212"/>
        <v>1</v>
      </c>
      <c r="G699">
        <f t="shared" si="213"/>
        <v>1</v>
      </c>
      <c r="H699">
        <f t="shared" si="214"/>
        <v>0</v>
      </c>
      <c r="I699">
        <f t="shared" si="215"/>
        <v>1</v>
      </c>
      <c r="J699">
        <f t="shared" si="216"/>
        <v>1</v>
      </c>
      <c r="K699" s="45">
        <f t="shared" si="217"/>
        <v>0.14285714285714285</v>
      </c>
      <c r="L699" s="45">
        <f t="shared" si="218"/>
        <v>0</v>
      </c>
      <c r="M699" s="45">
        <f t="shared" si="219"/>
        <v>0.14285714285714285</v>
      </c>
      <c r="N699" s="45">
        <f t="shared" si="220"/>
        <v>0</v>
      </c>
      <c r="O699" s="45">
        <f t="shared" si="221"/>
        <v>0.14285714285714285</v>
      </c>
      <c r="P699" s="45">
        <f t="shared" si="222"/>
        <v>0.14285714285714285</v>
      </c>
      <c r="Q699" s="45">
        <f t="shared" si="223"/>
        <v>0.14285714285714285</v>
      </c>
      <c r="R699" s="45">
        <f t="shared" si="224"/>
        <v>0</v>
      </c>
      <c r="S699" s="45">
        <f t="shared" si="225"/>
        <v>0.14285714285714285</v>
      </c>
      <c r="T699" s="45">
        <f t="shared" si="226"/>
        <v>0.14285714285714285</v>
      </c>
    </row>
    <row r="700" spans="1:20" x14ac:dyDescent="0.3">
      <c r="A700">
        <f t="shared" si="207"/>
        <v>1</v>
      </c>
      <c r="B700">
        <f t="shared" si="208"/>
        <v>0</v>
      </c>
      <c r="C700">
        <f t="shared" si="209"/>
        <v>1</v>
      </c>
      <c r="D700">
        <f t="shared" si="210"/>
        <v>0</v>
      </c>
      <c r="E700">
        <f t="shared" si="211"/>
        <v>1</v>
      </c>
      <c r="F700">
        <f t="shared" si="212"/>
        <v>1</v>
      </c>
      <c r="G700">
        <f t="shared" si="213"/>
        <v>1</v>
      </c>
      <c r="H700">
        <f t="shared" si="214"/>
        <v>1</v>
      </c>
      <c r="I700">
        <f t="shared" si="215"/>
        <v>0</v>
      </c>
      <c r="J700">
        <f t="shared" si="216"/>
        <v>0</v>
      </c>
      <c r="K700" s="45">
        <f t="shared" si="217"/>
        <v>0.16666666666666666</v>
      </c>
      <c r="L700" s="45">
        <f t="shared" si="218"/>
        <v>0</v>
      </c>
      <c r="M700" s="45">
        <f t="shared" si="219"/>
        <v>0.16666666666666666</v>
      </c>
      <c r="N700" s="45">
        <f t="shared" si="220"/>
        <v>0</v>
      </c>
      <c r="O700" s="45">
        <f t="shared" si="221"/>
        <v>0.16666666666666666</v>
      </c>
      <c r="P700" s="45">
        <f t="shared" si="222"/>
        <v>0.16666666666666666</v>
      </c>
      <c r="Q700" s="45">
        <f t="shared" si="223"/>
        <v>0.16666666666666666</v>
      </c>
      <c r="R700" s="45">
        <f t="shared" si="224"/>
        <v>0.16666666666666666</v>
      </c>
      <c r="S700" s="45">
        <f t="shared" si="225"/>
        <v>0</v>
      </c>
      <c r="T700" s="45">
        <f t="shared" si="226"/>
        <v>0</v>
      </c>
    </row>
    <row r="701" spans="1:20" x14ac:dyDescent="0.3">
      <c r="A701">
        <f t="shared" si="207"/>
        <v>1</v>
      </c>
      <c r="B701">
        <f t="shared" si="208"/>
        <v>0</v>
      </c>
      <c r="C701">
        <f t="shared" si="209"/>
        <v>1</v>
      </c>
      <c r="D701">
        <f t="shared" si="210"/>
        <v>0</v>
      </c>
      <c r="E701">
        <f t="shared" si="211"/>
        <v>1</v>
      </c>
      <c r="F701">
        <f t="shared" si="212"/>
        <v>1</v>
      </c>
      <c r="G701">
        <f t="shared" si="213"/>
        <v>1</v>
      </c>
      <c r="H701">
        <f t="shared" si="214"/>
        <v>1</v>
      </c>
      <c r="I701">
        <f t="shared" si="215"/>
        <v>0</v>
      </c>
      <c r="J701">
        <f t="shared" si="216"/>
        <v>1</v>
      </c>
      <c r="K701" s="45">
        <f t="shared" si="217"/>
        <v>0.14285714285714285</v>
      </c>
      <c r="L701" s="45">
        <f t="shared" si="218"/>
        <v>0</v>
      </c>
      <c r="M701" s="45">
        <f t="shared" si="219"/>
        <v>0.14285714285714285</v>
      </c>
      <c r="N701" s="45">
        <f t="shared" si="220"/>
        <v>0</v>
      </c>
      <c r="O701" s="45">
        <f t="shared" si="221"/>
        <v>0.14285714285714285</v>
      </c>
      <c r="P701" s="45">
        <f t="shared" si="222"/>
        <v>0.14285714285714285</v>
      </c>
      <c r="Q701" s="45">
        <f t="shared" si="223"/>
        <v>0.14285714285714285</v>
      </c>
      <c r="R701" s="45">
        <f t="shared" si="224"/>
        <v>0.14285714285714285</v>
      </c>
      <c r="S701" s="45">
        <f t="shared" si="225"/>
        <v>0</v>
      </c>
      <c r="T701" s="45">
        <f t="shared" si="226"/>
        <v>0.14285714285714285</v>
      </c>
    </row>
    <row r="702" spans="1:20" x14ac:dyDescent="0.3">
      <c r="A702">
        <f t="shared" si="207"/>
        <v>1</v>
      </c>
      <c r="B702">
        <f t="shared" si="208"/>
        <v>0</v>
      </c>
      <c r="C702">
        <f t="shared" si="209"/>
        <v>1</v>
      </c>
      <c r="D702">
        <f t="shared" si="210"/>
        <v>0</v>
      </c>
      <c r="E702">
        <f t="shared" si="211"/>
        <v>1</v>
      </c>
      <c r="F702">
        <f t="shared" si="212"/>
        <v>1</v>
      </c>
      <c r="G702">
        <f t="shared" si="213"/>
        <v>1</v>
      </c>
      <c r="H702">
        <f t="shared" si="214"/>
        <v>1</v>
      </c>
      <c r="I702">
        <f t="shared" si="215"/>
        <v>1</v>
      </c>
      <c r="J702">
        <f t="shared" si="216"/>
        <v>0</v>
      </c>
      <c r="K702" s="45">
        <f t="shared" si="217"/>
        <v>0.14285714285714285</v>
      </c>
      <c r="L702" s="45">
        <f t="shared" si="218"/>
        <v>0</v>
      </c>
      <c r="M702" s="45">
        <f t="shared" si="219"/>
        <v>0.14285714285714285</v>
      </c>
      <c r="N702" s="45">
        <f t="shared" si="220"/>
        <v>0</v>
      </c>
      <c r="O702" s="45">
        <f t="shared" si="221"/>
        <v>0.14285714285714285</v>
      </c>
      <c r="P702" s="45">
        <f t="shared" si="222"/>
        <v>0.14285714285714285</v>
      </c>
      <c r="Q702" s="45">
        <f t="shared" si="223"/>
        <v>0.14285714285714285</v>
      </c>
      <c r="R702" s="45">
        <f t="shared" si="224"/>
        <v>0.14285714285714285</v>
      </c>
      <c r="S702" s="45">
        <f t="shared" si="225"/>
        <v>0.14285714285714285</v>
      </c>
      <c r="T702" s="45">
        <f t="shared" si="226"/>
        <v>0</v>
      </c>
    </row>
    <row r="703" spans="1:20" x14ac:dyDescent="0.3">
      <c r="A703">
        <f t="shared" si="207"/>
        <v>1</v>
      </c>
      <c r="B703">
        <f t="shared" si="208"/>
        <v>0</v>
      </c>
      <c r="C703">
        <f t="shared" si="209"/>
        <v>1</v>
      </c>
      <c r="D703">
        <f t="shared" si="210"/>
        <v>0</v>
      </c>
      <c r="E703">
        <f t="shared" si="211"/>
        <v>1</v>
      </c>
      <c r="F703">
        <f t="shared" si="212"/>
        <v>1</v>
      </c>
      <c r="G703">
        <f t="shared" si="213"/>
        <v>1</v>
      </c>
      <c r="H703">
        <f t="shared" si="214"/>
        <v>1</v>
      </c>
      <c r="I703">
        <f t="shared" si="215"/>
        <v>1</v>
      </c>
      <c r="J703">
        <f t="shared" si="216"/>
        <v>1</v>
      </c>
      <c r="K703" s="45">
        <f t="shared" si="217"/>
        <v>0.125</v>
      </c>
      <c r="L703" s="45">
        <f t="shared" si="218"/>
        <v>0</v>
      </c>
      <c r="M703" s="45">
        <f t="shared" si="219"/>
        <v>0.125</v>
      </c>
      <c r="N703" s="45">
        <f t="shared" si="220"/>
        <v>0</v>
      </c>
      <c r="O703" s="45">
        <f t="shared" si="221"/>
        <v>0.125</v>
      </c>
      <c r="P703" s="45">
        <f t="shared" si="222"/>
        <v>0.125</v>
      </c>
      <c r="Q703" s="45">
        <f t="shared" si="223"/>
        <v>0.125</v>
      </c>
      <c r="R703" s="45">
        <f t="shared" si="224"/>
        <v>0.125</v>
      </c>
      <c r="S703" s="45">
        <f t="shared" si="225"/>
        <v>0.125</v>
      </c>
      <c r="T703" s="45">
        <f t="shared" si="226"/>
        <v>0.125</v>
      </c>
    </row>
    <row r="704" spans="1:20" x14ac:dyDescent="0.3">
      <c r="A704">
        <f t="shared" si="207"/>
        <v>1</v>
      </c>
      <c r="B704">
        <f t="shared" si="208"/>
        <v>0</v>
      </c>
      <c r="C704">
        <f t="shared" si="209"/>
        <v>1</v>
      </c>
      <c r="D704">
        <f t="shared" si="210"/>
        <v>1</v>
      </c>
      <c r="E704">
        <f t="shared" si="211"/>
        <v>0</v>
      </c>
      <c r="F704">
        <f t="shared" si="212"/>
        <v>0</v>
      </c>
      <c r="G704">
        <f t="shared" si="213"/>
        <v>0</v>
      </c>
      <c r="H704">
        <f t="shared" si="214"/>
        <v>0</v>
      </c>
      <c r="I704">
        <f t="shared" si="215"/>
        <v>0</v>
      </c>
      <c r="J704">
        <f t="shared" si="216"/>
        <v>0</v>
      </c>
      <c r="K704" s="45">
        <f t="shared" si="217"/>
        <v>0.33333333333333331</v>
      </c>
      <c r="L704" s="45">
        <f t="shared" si="218"/>
        <v>0</v>
      </c>
      <c r="M704" s="45">
        <f t="shared" si="219"/>
        <v>0.33333333333333331</v>
      </c>
      <c r="N704" s="45">
        <f t="shared" si="220"/>
        <v>0.33333333333333331</v>
      </c>
      <c r="O704" s="45">
        <f t="shared" si="221"/>
        <v>0</v>
      </c>
      <c r="P704" s="45">
        <f t="shared" si="222"/>
        <v>0</v>
      </c>
      <c r="Q704" s="45">
        <f t="shared" si="223"/>
        <v>0</v>
      </c>
      <c r="R704" s="45">
        <f t="shared" si="224"/>
        <v>0</v>
      </c>
      <c r="S704" s="45">
        <f t="shared" si="225"/>
        <v>0</v>
      </c>
      <c r="T704" s="45">
        <f t="shared" si="226"/>
        <v>0</v>
      </c>
    </row>
    <row r="705" spans="1:20" x14ac:dyDescent="0.3">
      <c r="A705">
        <f t="shared" si="207"/>
        <v>1</v>
      </c>
      <c r="B705">
        <f t="shared" si="208"/>
        <v>0</v>
      </c>
      <c r="C705">
        <f t="shared" si="209"/>
        <v>1</v>
      </c>
      <c r="D705">
        <f t="shared" si="210"/>
        <v>1</v>
      </c>
      <c r="E705">
        <f t="shared" si="211"/>
        <v>0</v>
      </c>
      <c r="F705">
        <f t="shared" si="212"/>
        <v>0</v>
      </c>
      <c r="G705">
        <f t="shared" si="213"/>
        <v>0</v>
      </c>
      <c r="H705">
        <f t="shared" si="214"/>
        <v>0</v>
      </c>
      <c r="I705">
        <f t="shared" si="215"/>
        <v>0</v>
      </c>
      <c r="J705">
        <f t="shared" si="216"/>
        <v>1</v>
      </c>
      <c r="K705" s="45">
        <f t="shared" si="217"/>
        <v>0.25</v>
      </c>
      <c r="L705" s="45">
        <f t="shared" si="218"/>
        <v>0</v>
      </c>
      <c r="M705" s="45">
        <f t="shared" si="219"/>
        <v>0.25</v>
      </c>
      <c r="N705" s="45">
        <f t="shared" si="220"/>
        <v>0.25</v>
      </c>
      <c r="O705" s="45">
        <f t="shared" si="221"/>
        <v>0</v>
      </c>
      <c r="P705" s="45">
        <f t="shared" si="222"/>
        <v>0</v>
      </c>
      <c r="Q705" s="45">
        <f t="shared" si="223"/>
        <v>0</v>
      </c>
      <c r="R705" s="45">
        <f t="shared" si="224"/>
        <v>0</v>
      </c>
      <c r="S705" s="45">
        <f t="shared" si="225"/>
        <v>0</v>
      </c>
      <c r="T705" s="45">
        <f t="shared" si="226"/>
        <v>0.25</v>
      </c>
    </row>
    <row r="706" spans="1:20" x14ac:dyDescent="0.3">
      <c r="A706">
        <f t="shared" ref="A706:A769" si="227">INT( MOD(ROW()+0,1024)/512)</f>
        <v>1</v>
      </c>
      <c r="B706">
        <f t="shared" ref="B706:B769" si="228">INT( MOD(ROW()+0,512)/256)</f>
        <v>0</v>
      </c>
      <c r="C706">
        <f t="shared" ref="C706:C769" si="229">INT( MOD(ROW()+0,256)/128)</f>
        <v>1</v>
      </c>
      <c r="D706">
        <f t="shared" ref="D706:D769" si="230">INT( MOD(ROW()+0,128)/64)</f>
        <v>1</v>
      </c>
      <c r="E706">
        <f t="shared" ref="E706:E769" si="231">INT( MOD(ROW()+0,64)/32)</f>
        <v>0</v>
      </c>
      <c r="F706">
        <f t="shared" ref="F706:F769" si="232">INT( MOD(ROW()+0,32)/16)</f>
        <v>0</v>
      </c>
      <c r="G706">
        <f t="shared" ref="G706:G769" si="233">INT( MOD(ROW()+0,16)/8)</f>
        <v>0</v>
      </c>
      <c r="H706">
        <f t="shared" ref="H706:H769" si="234">INT( MOD(ROW()+0,8)/4)</f>
        <v>0</v>
      </c>
      <c r="I706">
        <f t="shared" ref="I706:I769" si="235">INT( MOD(ROW()+0,4)/2)</f>
        <v>1</v>
      </c>
      <c r="J706">
        <f t="shared" ref="J706:J769" si="236">INT( MOD(ROW()+0,2)/1)</f>
        <v>0</v>
      </c>
      <c r="K706" s="45">
        <f t="shared" ref="K706:K769" si="237">A706/SUM($A706:$J706)</f>
        <v>0.25</v>
      </c>
      <c r="L706" s="45">
        <f t="shared" ref="L706:L769" si="238">B706/SUM($A706:$J706)</f>
        <v>0</v>
      </c>
      <c r="M706" s="45">
        <f t="shared" ref="M706:M769" si="239">C706/SUM($A706:$J706)</f>
        <v>0.25</v>
      </c>
      <c r="N706" s="45">
        <f t="shared" ref="N706:N769" si="240">D706/SUM($A706:$J706)</f>
        <v>0.25</v>
      </c>
      <c r="O706" s="45">
        <f t="shared" ref="O706:O769" si="241">E706/SUM($A706:$J706)</f>
        <v>0</v>
      </c>
      <c r="P706" s="45">
        <f t="shared" ref="P706:P769" si="242">F706/SUM($A706:$J706)</f>
        <v>0</v>
      </c>
      <c r="Q706" s="45">
        <f t="shared" ref="Q706:Q769" si="243">G706/SUM($A706:$J706)</f>
        <v>0</v>
      </c>
      <c r="R706" s="45">
        <f t="shared" ref="R706:R769" si="244">H706/SUM($A706:$J706)</f>
        <v>0</v>
      </c>
      <c r="S706" s="45">
        <f t="shared" ref="S706:S769" si="245">I706/SUM($A706:$J706)</f>
        <v>0.25</v>
      </c>
      <c r="T706" s="45">
        <f t="shared" ref="T706:T769" si="246">J706/SUM($A706:$J706)</f>
        <v>0</v>
      </c>
    </row>
    <row r="707" spans="1:20" x14ac:dyDescent="0.3">
      <c r="A707">
        <f t="shared" si="227"/>
        <v>1</v>
      </c>
      <c r="B707">
        <f t="shared" si="228"/>
        <v>0</v>
      </c>
      <c r="C707">
        <f t="shared" si="229"/>
        <v>1</v>
      </c>
      <c r="D707">
        <f t="shared" si="230"/>
        <v>1</v>
      </c>
      <c r="E707">
        <f t="shared" si="231"/>
        <v>0</v>
      </c>
      <c r="F707">
        <f t="shared" si="232"/>
        <v>0</v>
      </c>
      <c r="G707">
        <f t="shared" si="233"/>
        <v>0</v>
      </c>
      <c r="H707">
        <f t="shared" si="234"/>
        <v>0</v>
      </c>
      <c r="I707">
        <f t="shared" si="235"/>
        <v>1</v>
      </c>
      <c r="J707">
        <f t="shared" si="236"/>
        <v>1</v>
      </c>
      <c r="K707" s="45">
        <f t="shared" si="237"/>
        <v>0.2</v>
      </c>
      <c r="L707" s="45">
        <f t="shared" si="238"/>
        <v>0</v>
      </c>
      <c r="M707" s="45">
        <f t="shared" si="239"/>
        <v>0.2</v>
      </c>
      <c r="N707" s="45">
        <f t="shared" si="240"/>
        <v>0.2</v>
      </c>
      <c r="O707" s="45">
        <f t="shared" si="241"/>
        <v>0</v>
      </c>
      <c r="P707" s="45">
        <f t="shared" si="242"/>
        <v>0</v>
      </c>
      <c r="Q707" s="45">
        <f t="shared" si="243"/>
        <v>0</v>
      </c>
      <c r="R707" s="45">
        <f t="shared" si="244"/>
        <v>0</v>
      </c>
      <c r="S707" s="45">
        <f t="shared" si="245"/>
        <v>0.2</v>
      </c>
      <c r="T707" s="45">
        <f t="shared" si="246"/>
        <v>0.2</v>
      </c>
    </row>
    <row r="708" spans="1:20" x14ac:dyDescent="0.3">
      <c r="A708">
        <f t="shared" si="227"/>
        <v>1</v>
      </c>
      <c r="B708">
        <f t="shared" si="228"/>
        <v>0</v>
      </c>
      <c r="C708">
        <f t="shared" si="229"/>
        <v>1</v>
      </c>
      <c r="D708">
        <f t="shared" si="230"/>
        <v>1</v>
      </c>
      <c r="E708">
        <f t="shared" si="231"/>
        <v>0</v>
      </c>
      <c r="F708">
        <f t="shared" si="232"/>
        <v>0</v>
      </c>
      <c r="G708">
        <f t="shared" si="233"/>
        <v>0</v>
      </c>
      <c r="H708">
        <f t="shared" si="234"/>
        <v>1</v>
      </c>
      <c r="I708">
        <f t="shared" si="235"/>
        <v>0</v>
      </c>
      <c r="J708">
        <f t="shared" si="236"/>
        <v>0</v>
      </c>
      <c r="K708" s="45">
        <f t="shared" si="237"/>
        <v>0.25</v>
      </c>
      <c r="L708" s="45">
        <f t="shared" si="238"/>
        <v>0</v>
      </c>
      <c r="M708" s="45">
        <f t="shared" si="239"/>
        <v>0.25</v>
      </c>
      <c r="N708" s="45">
        <f t="shared" si="240"/>
        <v>0.25</v>
      </c>
      <c r="O708" s="45">
        <f t="shared" si="241"/>
        <v>0</v>
      </c>
      <c r="P708" s="45">
        <f t="shared" si="242"/>
        <v>0</v>
      </c>
      <c r="Q708" s="45">
        <f t="shared" si="243"/>
        <v>0</v>
      </c>
      <c r="R708" s="45">
        <f t="shared" si="244"/>
        <v>0.25</v>
      </c>
      <c r="S708" s="45">
        <f t="shared" si="245"/>
        <v>0</v>
      </c>
      <c r="T708" s="45">
        <f t="shared" si="246"/>
        <v>0</v>
      </c>
    </row>
    <row r="709" spans="1:20" x14ac:dyDescent="0.3">
      <c r="A709">
        <f t="shared" si="227"/>
        <v>1</v>
      </c>
      <c r="B709">
        <f t="shared" si="228"/>
        <v>0</v>
      </c>
      <c r="C709">
        <f t="shared" si="229"/>
        <v>1</v>
      </c>
      <c r="D709">
        <f t="shared" si="230"/>
        <v>1</v>
      </c>
      <c r="E709">
        <f t="shared" si="231"/>
        <v>0</v>
      </c>
      <c r="F709">
        <f t="shared" si="232"/>
        <v>0</v>
      </c>
      <c r="G709">
        <f t="shared" si="233"/>
        <v>0</v>
      </c>
      <c r="H709">
        <f t="shared" si="234"/>
        <v>1</v>
      </c>
      <c r="I709">
        <f t="shared" si="235"/>
        <v>0</v>
      </c>
      <c r="J709">
        <f t="shared" si="236"/>
        <v>1</v>
      </c>
      <c r="K709" s="45">
        <f t="shared" si="237"/>
        <v>0.2</v>
      </c>
      <c r="L709" s="45">
        <f t="shared" si="238"/>
        <v>0</v>
      </c>
      <c r="M709" s="45">
        <f t="shared" si="239"/>
        <v>0.2</v>
      </c>
      <c r="N709" s="45">
        <f t="shared" si="240"/>
        <v>0.2</v>
      </c>
      <c r="O709" s="45">
        <f t="shared" si="241"/>
        <v>0</v>
      </c>
      <c r="P709" s="45">
        <f t="shared" si="242"/>
        <v>0</v>
      </c>
      <c r="Q709" s="45">
        <f t="shared" si="243"/>
        <v>0</v>
      </c>
      <c r="R709" s="45">
        <f t="shared" si="244"/>
        <v>0.2</v>
      </c>
      <c r="S709" s="45">
        <f t="shared" si="245"/>
        <v>0</v>
      </c>
      <c r="T709" s="45">
        <f t="shared" si="246"/>
        <v>0.2</v>
      </c>
    </row>
    <row r="710" spans="1:20" x14ac:dyDescent="0.3">
      <c r="A710">
        <f t="shared" si="227"/>
        <v>1</v>
      </c>
      <c r="B710">
        <f t="shared" si="228"/>
        <v>0</v>
      </c>
      <c r="C710">
        <f t="shared" si="229"/>
        <v>1</v>
      </c>
      <c r="D710">
        <f t="shared" si="230"/>
        <v>1</v>
      </c>
      <c r="E710">
        <f t="shared" si="231"/>
        <v>0</v>
      </c>
      <c r="F710">
        <f t="shared" si="232"/>
        <v>0</v>
      </c>
      <c r="G710">
        <f t="shared" si="233"/>
        <v>0</v>
      </c>
      <c r="H710">
        <f t="shared" si="234"/>
        <v>1</v>
      </c>
      <c r="I710">
        <f t="shared" si="235"/>
        <v>1</v>
      </c>
      <c r="J710">
        <f t="shared" si="236"/>
        <v>0</v>
      </c>
      <c r="K710" s="45">
        <f t="shared" si="237"/>
        <v>0.2</v>
      </c>
      <c r="L710" s="45">
        <f t="shared" si="238"/>
        <v>0</v>
      </c>
      <c r="M710" s="45">
        <f t="shared" si="239"/>
        <v>0.2</v>
      </c>
      <c r="N710" s="45">
        <f t="shared" si="240"/>
        <v>0.2</v>
      </c>
      <c r="O710" s="45">
        <f t="shared" si="241"/>
        <v>0</v>
      </c>
      <c r="P710" s="45">
        <f t="shared" si="242"/>
        <v>0</v>
      </c>
      <c r="Q710" s="45">
        <f t="shared" si="243"/>
        <v>0</v>
      </c>
      <c r="R710" s="45">
        <f t="shared" si="244"/>
        <v>0.2</v>
      </c>
      <c r="S710" s="45">
        <f t="shared" si="245"/>
        <v>0.2</v>
      </c>
      <c r="T710" s="45">
        <f t="shared" si="246"/>
        <v>0</v>
      </c>
    </row>
    <row r="711" spans="1:20" x14ac:dyDescent="0.3">
      <c r="A711">
        <f t="shared" si="227"/>
        <v>1</v>
      </c>
      <c r="B711">
        <f t="shared" si="228"/>
        <v>0</v>
      </c>
      <c r="C711">
        <f t="shared" si="229"/>
        <v>1</v>
      </c>
      <c r="D711">
        <f t="shared" si="230"/>
        <v>1</v>
      </c>
      <c r="E711">
        <f t="shared" si="231"/>
        <v>0</v>
      </c>
      <c r="F711">
        <f t="shared" si="232"/>
        <v>0</v>
      </c>
      <c r="G711">
        <f t="shared" si="233"/>
        <v>0</v>
      </c>
      <c r="H711">
        <f t="shared" si="234"/>
        <v>1</v>
      </c>
      <c r="I711">
        <f t="shared" si="235"/>
        <v>1</v>
      </c>
      <c r="J711">
        <f t="shared" si="236"/>
        <v>1</v>
      </c>
      <c r="K711" s="45">
        <f t="shared" si="237"/>
        <v>0.16666666666666666</v>
      </c>
      <c r="L711" s="45">
        <f t="shared" si="238"/>
        <v>0</v>
      </c>
      <c r="M711" s="45">
        <f t="shared" si="239"/>
        <v>0.16666666666666666</v>
      </c>
      <c r="N711" s="45">
        <f t="shared" si="240"/>
        <v>0.16666666666666666</v>
      </c>
      <c r="O711" s="45">
        <f t="shared" si="241"/>
        <v>0</v>
      </c>
      <c r="P711" s="45">
        <f t="shared" si="242"/>
        <v>0</v>
      </c>
      <c r="Q711" s="45">
        <f t="shared" si="243"/>
        <v>0</v>
      </c>
      <c r="R711" s="45">
        <f t="shared" si="244"/>
        <v>0.16666666666666666</v>
      </c>
      <c r="S711" s="45">
        <f t="shared" si="245"/>
        <v>0.16666666666666666</v>
      </c>
      <c r="T711" s="45">
        <f t="shared" si="246"/>
        <v>0.16666666666666666</v>
      </c>
    </row>
    <row r="712" spans="1:20" x14ac:dyDescent="0.3">
      <c r="A712">
        <f t="shared" si="227"/>
        <v>1</v>
      </c>
      <c r="B712">
        <f t="shared" si="228"/>
        <v>0</v>
      </c>
      <c r="C712">
        <f t="shared" si="229"/>
        <v>1</v>
      </c>
      <c r="D712">
        <f t="shared" si="230"/>
        <v>1</v>
      </c>
      <c r="E712">
        <f t="shared" si="231"/>
        <v>0</v>
      </c>
      <c r="F712">
        <f t="shared" si="232"/>
        <v>0</v>
      </c>
      <c r="G712">
        <f t="shared" si="233"/>
        <v>1</v>
      </c>
      <c r="H712">
        <f t="shared" si="234"/>
        <v>0</v>
      </c>
      <c r="I712">
        <f t="shared" si="235"/>
        <v>0</v>
      </c>
      <c r="J712">
        <f t="shared" si="236"/>
        <v>0</v>
      </c>
      <c r="K712" s="45">
        <f t="shared" si="237"/>
        <v>0.25</v>
      </c>
      <c r="L712" s="45">
        <f t="shared" si="238"/>
        <v>0</v>
      </c>
      <c r="M712" s="45">
        <f t="shared" si="239"/>
        <v>0.25</v>
      </c>
      <c r="N712" s="45">
        <f t="shared" si="240"/>
        <v>0.25</v>
      </c>
      <c r="O712" s="45">
        <f t="shared" si="241"/>
        <v>0</v>
      </c>
      <c r="P712" s="45">
        <f t="shared" si="242"/>
        <v>0</v>
      </c>
      <c r="Q712" s="45">
        <f t="shared" si="243"/>
        <v>0.25</v>
      </c>
      <c r="R712" s="45">
        <f t="shared" si="244"/>
        <v>0</v>
      </c>
      <c r="S712" s="45">
        <f t="shared" si="245"/>
        <v>0</v>
      </c>
      <c r="T712" s="45">
        <f t="shared" si="246"/>
        <v>0</v>
      </c>
    </row>
    <row r="713" spans="1:20" x14ac:dyDescent="0.3">
      <c r="A713">
        <f t="shared" si="227"/>
        <v>1</v>
      </c>
      <c r="B713">
        <f t="shared" si="228"/>
        <v>0</v>
      </c>
      <c r="C713">
        <f t="shared" si="229"/>
        <v>1</v>
      </c>
      <c r="D713">
        <f t="shared" si="230"/>
        <v>1</v>
      </c>
      <c r="E713">
        <f t="shared" si="231"/>
        <v>0</v>
      </c>
      <c r="F713">
        <f t="shared" si="232"/>
        <v>0</v>
      </c>
      <c r="G713">
        <f t="shared" si="233"/>
        <v>1</v>
      </c>
      <c r="H713">
        <f t="shared" si="234"/>
        <v>0</v>
      </c>
      <c r="I713">
        <f t="shared" si="235"/>
        <v>0</v>
      </c>
      <c r="J713">
        <f t="shared" si="236"/>
        <v>1</v>
      </c>
      <c r="K713" s="45">
        <f t="shared" si="237"/>
        <v>0.2</v>
      </c>
      <c r="L713" s="45">
        <f t="shared" si="238"/>
        <v>0</v>
      </c>
      <c r="M713" s="45">
        <f t="shared" si="239"/>
        <v>0.2</v>
      </c>
      <c r="N713" s="45">
        <f t="shared" si="240"/>
        <v>0.2</v>
      </c>
      <c r="O713" s="45">
        <f t="shared" si="241"/>
        <v>0</v>
      </c>
      <c r="P713" s="45">
        <f t="shared" si="242"/>
        <v>0</v>
      </c>
      <c r="Q713" s="45">
        <f t="shared" si="243"/>
        <v>0.2</v>
      </c>
      <c r="R713" s="45">
        <f t="shared" si="244"/>
        <v>0</v>
      </c>
      <c r="S713" s="45">
        <f t="shared" si="245"/>
        <v>0</v>
      </c>
      <c r="T713" s="45">
        <f t="shared" si="246"/>
        <v>0.2</v>
      </c>
    </row>
    <row r="714" spans="1:20" x14ac:dyDescent="0.3">
      <c r="A714">
        <f t="shared" si="227"/>
        <v>1</v>
      </c>
      <c r="B714">
        <f t="shared" si="228"/>
        <v>0</v>
      </c>
      <c r="C714">
        <f t="shared" si="229"/>
        <v>1</v>
      </c>
      <c r="D714">
        <f t="shared" si="230"/>
        <v>1</v>
      </c>
      <c r="E714">
        <f t="shared" si="231"/>
        <v>0</v>
      </c>
      <c r="F714">
        <f t="shared" si="232"/>
        <v>0</v>
      </c>
      <c r="G714">
        <f t="shared" si="233"/>
        <v>1</v>
      </c>
      <c r="H714">
        <f t="shared" si="234"/>
        <v>0</v>
      </c>
      <c r="I714">
        <f t="shared" si="235"/>
        <v>1</v>
      </c>
      <c r="J714">
        <f t="shared" si="236"/>
        <v>0</v>
      </c>
      <c r="K714" s="45">
        <f t="shared" si="237"/>
        <v>0.2</v>
      </c>
      <c r="L714" s="45">
        <f t="shared" si="238"/>
        <v>0</v>
      </c>
      <c r="M714" s="45">
        <f t="shared" si="239"/>
        <v>0.2</v>
      </c>
      <c r="N714" s="45">
        <f t="shared" si="240"/>
        <v>0.2</v>
      </c>
      <c r="O714" s="45">
        <f t="shared" si="241"/>
        <v>0</v>
      </c>
      <c r="P714" s="45">
        <f t="shared" si="242"/>
        <v>0</v>
      </c>
      <c r="Q714" s="45">
        <f t="shared" si="243"/>
        <v>0.2</v>
      </c>
      <c r="R714" s="45">
        <f t="shared" si="244"/>
        <v>0</v>
      </c>
      <c r="S714" s="45">
        <f t="shared" si="245"/>
        <v>0.2</v>
      </c>
      <c r="T714" s="45">
        <f t="shared" si="246"/>
        <v>0</v>
      </c>
    </row>
    <row r="715" spans="1:20" x14ac:dyDescent="0.3">
      <c r="A715">
        <f t="shared" si="227"/>
        <v>1</v>
      </c>
      <c r="B715">
        <f t="shared" si="228"/>
        <v>0</v>
      </c>
      <c r="C715">
        <f t="shared" si="229"/>
        <v>1</v>
      </c>
      <c r="D715">
        <f t="shared" si="230"/>
        <v>1</v>
      </c>
      <c r="E715">
        <f t="shared" si="231"/>
        <v>0</v>
      </c>
      <c r="F715">
        <f t="shared" si="232"/>
        <v>0</v>
      </c>
      <c r="G715">
        <f t="shared" si="233"/>
        <v>1</v>
      </c>
      <c r="H715">
        <f t="shared" si="234"/>
        <v>0</v>
      </c>
      <c r="I715">
        <f t="shared" si="235"/>
        <v>1</v>
      </c>
      <c r="J715">
        <f t="shared" si="236"/>
        <v>1</v>
      </c>
      <c r="K715" s="45">
        <f t="shared" si="237"/>
        <v>0.16666666666666666</v>
      </c>
      <c r="L715" s="45">
        <f t="shared" si="238"/>
        <v>0</v>
      </c>
      <c r="M715" s="45">
        <f t="shared" si="239"/>
        <v>0.16666666666666666</v>
      </c>
      <c r="N715" s="45">
        <f t="shared" si="240"/>
        <v>0.16666666666666666</v>
      </c>
      <c r="O715" s="45">
        <f t="shared" si="241"/>
        <v>0</v>
      </c>
      <c r="P715" s="45">
        <f t="shared" si="242"/>
        <v>0</v>
      </c>
      <c r="Q715" s="45">
        <f t="shared" si="243"/>
        <v>0.16666666666666666</v>
      </c>
      <c r="R715" s="45">
        <f t="shared" si="244"/>
        <v>0</v>
      </c>
      <c r="S715" s="45">
        <f t="shared" si="245"/>
        <v>0.16666666666666666</v>
      </c>
      <c r="T715" s="45">
        <f t="shared" si="246"/>
        <v>0.16666666666666666</v>
      </c>
    </row>
    <row r="716" spans="1:20" x14ac:dyDescent="0.3">
      <c r="A716">
        <f t="shared" si="227"/>
        <v>1</v>
      </c>
      <c r="B716">
        <f t="shared" si="228"/>
        <v>0</v>
      </c>
      <c r="C716">
        <f t="shared" si="229"/>
        <v>1</v>
      </c>
      <c r="D716">
        <f t="shared" si="230"/>
        <v>1</v>
      </c>
      <c r="E716">
        <f t="shared" si="231"/>
        <v>0</v>
      </c>
      <c r="F716">
        <f t="shared" si="232"/>
        <v>0</v>
      </c>
      <c r="G716">
        <f t="shared" si="233"/>
        <v>1</v>
      </c>
      <c r="H716">
        <f t="shared" si="234"/>
        <v>1</v>
      </c>
      <c r="I716">
        <f t="shared" si="235"/>
        <v>0</v>
      </c>
      <c r="J716">
        <f t="shared" si="236"/>
        <v>0</v>
      </c>
      <c r="K716" s="45">
        <f t="shared" si="237"/>
        <v>0.2</v>
      </c>
      <c r="L716" s="45">
        <f t="shared" si="238"/>
        <v>0</v>
      </c>
      <c r="M716" s="45">
        <f t="shared" si="239"/>
        <v>0.2</v>
      </c>
      <c r="N716" s="45">
        <f t="shared" si="240"/>
        <v>0.2</v>
      </c>
      <c r="O716" s="45">
        <f t="shared" si="241"/>
        <v>0</v>
      </c>
      <c r="P716" s="45">
        <f t="shared" si="242"/>
        <v>0</v>
      </c>
      <c r="Q716" s="45">
        <f t="shared" si="243"/>
        <v>0.2</v>
      </c>
      <c r="R716" s="45">
        <f t="shared" si="244"/>
        <v>0.2</v>
      </c>
      <c r="S716" s="45">
        <f t="shared" si="245"/>
        <v>0</v>
      </c>
      <c r="T716" s="45">
        <f t="shared" si="246"/>
        <v>0</v>
      </c>
    </row>
    <row r="717" spans="1:20" x14ac:dyDescent="0.3">
      <c r="A717">
        <f t="shared" si="227"/>
        <v>1</v>
      </c>
      <c r="B717">
        <f t="shared" si="228"/>
        <v>0</v>
      </c>
      <c r="C717">
        <f t="shared" si="229"/>
        <v>1</v>
      </c>
      <c r="D717">
        <f t="shared" si="230"/>
        <v>1</v>
      </c>
      <c r="E717">
        <f t="shared" si="231"/>
        <v>0</v>
      </c>
      <c r="F717">
        <f t="shared" si="232"/>
        <v>0</v>
      </c>
      <c r="G717">
        <f t="shared" si="233"/>
        <v>1</v>
      </c>
      <c r="H717">
        <f t="shared" si="234"/>
        <v>1</v>
      </c>
      <c r="I717">
        <f t="shared" si="235"/>
        <v>0</v>
      </c>
      <c r="J717">
        <f t="shared" si="236"/>
        <v>1</v>
      </c>
      <c r="K717" s="45">
        <f t="shared" si="237"/>
        <v>0.16666666666666666</v>
      </c>
      <c r="L717" s="45">
        <f t="shared" si="238"/>
        <v>0</v>
      </c>
      <c r="M717" s="45">
        <f t="shared" si="239"/>
        <v>0.16666666666666666</v>
      </c>
      <c r="N717" s="45">
        <f t="shared" si="240"/>
        <v>0.16666666666666666</v>
      </c>
      <c r="O717" s="45">
        <f t="shared" si="241"/>
        <v>0</v>
      </c>
      <c r="P717" s="45">
        <f t="shared" si="242"/>
        <v>0</v>
      </c>
      <c r="Q717" s="45">
        <f t="shared" si="243"/>
        <v>0.16666666666666666</v>
      </c>
      <c r="R717" s="45">
        <f t="shared" si="244"/>
        <v>0.16666666666666666</v>
      </c>
      <c r="S717" s="45">
        <f t="shared" si="245"/>
        <v>0</v>
      </c>
      <c r="T717" s="45">
        <f t="shared" si="246"/>
        <v>0.16666666666666666</v>
      </c>
    </row>
    <row r="718" spans="1:20" x14ac:dyDescent="0.3">
      <c r="A718">
        <f t="shared" si="227"/>
        <v>1</v>
      </c>
      <c r="B718">
        <f t="shared" si="228"/>
        <v>0</v>
      </c>
      <c r="C718">
        <f t="shared" si="229"/>
        <v>1</v>
      </c>
      <c r="D718">
        <f t="shared" si="230"/>
        <v>1</v>
      </c>
      <c r="E718">
        <f t="shared" si="231"/>
        <v>0</v>
      </c>
      <c r="F718">
        <f t="shared" si="232"/>
        <v>0</v>
      </c>
      <c r="G718">
        <f t="shared" si="233"/>
        <v>1</v>
      </c>
      <c r="H718">
        <f t="shared" si="234"/>
        <v>1</v>
      </c>
      <c r="I718">
        <f t="shared" si="235"/>
        <v>1</v>
      </c>
      <c r="J718">
        <f t="shared" si="236"/>
        <v>0</v>
      </c>
      <c r="K718" s="45">
        <f t="shared" si="237"/>
        <v>0.16666666666666666</v>
      </c>
      <c r="L718" s="45">
        <f t="shared" si="238"/>
        <v>0</v>
      </c>
      <c r="M718" s="45">
        <f t="shared" si="239"/>
        <v>0.16666666666666666</v>
      </c>
      <c r="N718" s="45">
        <f t="shared" si="240"/>
        <v>0.16666666666666666</v>
      </c>
      <c r="O718" s="45">
        <f t="shared" si="241"/>
        <v>0</v>
      </c>
      <c r="P718" s="45">
        <f t="shared" si="242"/>
        <v>0</v>
      </c>
      <c r="Q718" s="45">
        <f t="shared" si="243"/>
        <v>0.16666666666666666</v>
      </c>
      <c r="R718" s="45">
        <f t="shared" si="244"/>
        <v>0.16666666666666666</v>
      </c>
      <c r="S718" s="45">
        <f t="shared" si="245"/>
        <v>0.16666666666666666</v>
      </c>
      <c r="T718" s="45">
        <f t="shared" si="246"/>
        <v>0</v>
      </c>
    </row>
    <row r="719" spans="1:20" x14ac:dyDescent="0.3">
      <c r="A719">
        <f t="shared" si="227"/>
        <v>1</v>
      </c>
      <c r="B719">
        <f t="shared" si="228"/>
        <v>0</v>
      </c>
      <c r="C719">
        <f t="shared" si="229"/>
        <v>1</v>
      </c>
      <c r="D719">
        <f t="shared" si="230"/>
        <v>1</v>
      </c>
      <c r="E719">
        <f t="shared" si="231"/>
        <v>0</v>
      </c>
      <c r="F719">
        <f t="shared" si="232"/>
        <v>0</v>
      </c>
      <c r="G719">
        <f t="shared" si="233"/>
        <v>1</v>
      </c>
      <c r="H719">
        <f t="shared" si="234"/>
        <v>1</v>
      </c>
      <c r="I719">
        <f t="shared" si="235"/>
        <v>1</v>
      </c>
      <c r="J719">
        <f t="shared" si="236"/>
        <v>1</v>
      </c>
      <c r="K719" s="45">
        <f t="shared" si="237"/>
        <v>0.14285714285714285</v>
      </c>
      <c r="L719" s="45">
        <f t="shared" si="238"/>
        <v>0</v>
      </c>
      <c r="M719" s="45">
        <f t="shared" si="239"/>
        <v>0.14285714285714285</v>
      </c>
      <c r="N719" s="45">
        <f t="shared" si="240"/>
        <v>0.14285714285714285</v>
      </c>
      <c r="O719" s="45">
        <f t="shared" si="241"/>
        <v>0</v>
      </c>
      <c r="P719" s="45">
        <f t="shared" si="242"/>
        <v>0</v>
      </c>
      <c r="Q719" s="45">
        <f t="shared" si="243"/>
        <v>0.14285714285714285</v>
      </c>
      <c r="R719" s="45">
        <f t="shared" si="244"/>
        <v>0.14285714285714285</v>
      </c>
      <c r="S719" s="45">
        <f t="shared" si="245"/>
        <v>0.14285714285714285</v>
      </c>
      <c r="T719" s="45">
        <f t="shared" si="246"/>
        <v>0.14285714285714285</v>
      </c>
    </row>
    <row r="720" spans="1:20" x14ac:dyDescent="0.3">
      <c r="A720">
        <f t="shared" si="227"/>
        <v>1</v>
      </c>
      <c r="B720">
        <f t="shared" si="228"/>
        <v>0</v>
      </c>
      <c r="C720">
        <f t="shared" si="229"/>
        <v>1</v>
      </c>
      <c r="D720">
        <f t="shared" si="230"/>
        <v>1</v>
      </c>
      <c r="E720">
        <f t="shared" si="231"/>
        <v>0</v>
      </c>
      <c r="F720">
        <f t="shared" si="232"/>
        <v>1</v>
      </c>
      <c r="G720">
        <f t="shared" si="233"/>
        <v>0</v>
      </c>
      <c r="H720">
        <f t="shared" si="234"/>
        <v>0</v>
      </c>
      <c r="I720">
        <f t="shared" si="235"/>
        <v>0</v>
      </c>
      <c r="J720">
        <f t="shared" si="236"/>
        <v>0</v>
      </c>
      <c r="K720" s="45">
        <f t="shared" si="237"/>
        <v>0.25</v>
      </c>
      <c r="L720" s="45">
        <f t="shared" si="238"/>
        <v>0</v>
      </c>
      <c r="M720" s="45">
        <f t="shared" si="239"/>
        <v>0.25</v>
      </c>
      <c r="N720" s="45">
        <f t="shared" si="240"/>
        <v>0.25</v>
      </c>
      <c r="O720" s="45">
        <f t="shared" si="241"/>
        <v>0</v>
      </c>
      <c r="P720" s="45">
        <f t="shared" si="242"/>
        <v>0.25</v>
      </c>
      <c r="Q720" s="45">
        <f t="shared" si="243"/>
        <v>0</v>
      </c>
      <c r="R720" s="45">
        <f t="shared" si="244"/>
        <v>0</v>
      </c>
      <c r="S720" s="45">
        <f t="shared" si="245"/>
        <v>0</v>
      </c>
      <c r="T720" s="45">
        <f t="shared" si="246"/>
        <v>0</v>
      </c>
    </row>
    <row r="721" spans="1:20" x14ac:dyDescent="0.3">
      <c r="A721">
        <f t="shared" si="227"/>
        <v>1</v>
      </c>
      <c r="B721">
        <f t="shared" si="228"/>
        <v>0</v>
      </c>
      <c r="C721">
        <f t="shared" si="229"/>
        <v>1</v>
      </c>
      <c r="D721">
        <f t="shared" si="230"/>
        <v>1</v>
      </c>
      <c r="E721">
        <f t="shared" si="231"/>
        <v>0</v>
      </c>
      <c r="F721">
        <f t="shared" si="232"/>
        <v>1</v>
      </c>
      <c r="G721">
        <f t="shared" si="233"/>
        <v>0</v>
      </c>
      <c r="H721">
        <f t="shared" si="234"/>
        <v>0</v>
      </c>
      <c r="I721">
        <f t="shared" si="235"/>
        <v>0</v>
      </c>
      <c r="J721">
        <f t="shared" si="236"/>
        <v>1</v>
      </c>
      <c r="K721" s="45">
        <f t="shared" si="237"/>
        <v>0.2</v>
      </c>
      <c r="L721" s="45">
        <f t="shared" si="238"/>
        <v>0</v>
      </c>
      <c r="M721" s="45">
        <f t="shared" si="239"/>
        <v>0.2</v>
      </c>
      <c r="N721" s="45">
        <f t="shared" si="240"/>
        <v>0.2</v>
      </c>
      <c r="O721" s="45">
        <f t="shared" si="241"/>
        <v>0</v>
      </c>
      <c r="P721" s="45">
        <f t="shared" si="242"/>
        <v>0.2</v>
      </c>
      <c r="Q721" s="45">
        <f t="shared" si="243"/>
        <v>0</v>
      </c>
      <c r="R721" s="45">
        <f t="shared" si="244"/>
        <v>0</v>
      </c>
      <c r="S721" s="45">
        <f t="shared" si="245"/>
        <v>0</v>
      </c>
      <c r="T721" s="45">
        <f t="shared" si="246"/>
        <v>0.2</v>
      </c>
    </row>
    <row r="722" spans="1:20" x14ac:dyDescent="0.3">
      <c r="A722">
        <f t="shared" si="227"/>
        <v>1</v>
      </c>
      <c r="B722">
        <f t="shared" si="228"/>
        <v>0</v>
      </c>
      <c r="C722">
        <f t="shared" si="229"/>
        <v>1</v>
      </c>
      <c r="D722">
        <f t="shared" si="230"/>
        <v>1</v>
      </c>
      <c r="E722">
        <f t="shared" si="231"/>
        <v>0</v>
      </c>
      <c r="F722">
        <f t="shared" si="232"/>
        <v>1</v>
      </c>
      <c r="G722">
        <f t="shared" si="233"/>
        <v>0</v>
      </c>
      <c r="H722">
        <f t="shared" si="234"/>
        <v>0</v>
      </c>
      <c r="I722">
        <f t="shared" si="235"/>
        <v>1</v>
      </c>
      <c r="J722">
        <f t="shared" si="236"/>
        <v>0</v>
      </c>
      <c r="K722" s="45">
        <f t="shared" si="237"/>
        <v>0.2</v>
      </c>
      <c r="L722" s="45">
        <f t="shared" si="238"/>
        <v>0</v>
      </c>
      <c r="M722" s="45">
        <f t="shared" si="239"/>
        <v>0.2</v>
      </c>
      <c r="N722" s="45">
        <f t="shared" si="240"/>
        <v>0.2</v>
      </c>
      <c r="O722" s="45">
        <f t="shared" si="241"/>
        <v>0</v>
      </c>
      <c r="P722" s="45">
        <f t="shared" si="242"/>
        <v>0.2</v>
      </c>
      <c r="Q722" s="45">
        <f t="shared" si="243"/>
        <v>0</v>
      </c>
      <c r="R722" s="45">
        <f t="shared" si="244"/>
        <v>0</v>
      </c>
      <c r="S722" s="45">
        <f t="shared" si="245"/>
        <v>0.2</v>
      </c>
      <c r="T722" s="45">
        <f t="shared" si="246"/>
        <v>0</v>
      </c>
    </row>
    <row r="723" spans="1:20" x14ac:dyDescent="0.3">
      <c r="A723">
        <f t="shared" si="227"/>
        <v>1</v>
      </c>
      <c r="B723">
        <f t="shared" si="228"/>
        <v>0</v>
      </c>
      <c r="C723">
        <f t="shared" si="229"/>
        <v>1</v>
      </c>
      <c r="D723">
        <f t="shared" si="230"/>
        <v>1</v>
      </c>
      <c r="E723">
        <f t="shared" si="231"/>
        <v>0</v>
      </c>
      <c r="F723">
        <f t="shared" si="232"/>
        <v>1</v>
      </c>
      <c r="G723">
        <f t="shared" si="233"/>
        <v>0</v>
      </c>
      <c r="H723">
        <f t="shared" si="234"/>
        <v>0</v>
      </c>
      <c r="I723">
        <f t="shared" si="235"/>
        <v>1</v>
      </c>
      <c r="J723">
        <f t="shared" si="236"/>
        <v>1</v>
      </c>
      <c r="K723" s="45">
        <f t="shared" si="237"/>
        <v>0.16666666666666666</v>
      </c>
      <c r="L723" s="45">
        <f t="shared" si="238"/>
        <v>0</v>
      </c>
      <c r="M723" s="45">
        <f t="shared" si="239"/>
        <v>0.16666666666666666</v>
      </c>
      <c r="N723" s="45">
        <f t="shared" si="240"/>
        <v>0.16666666666666666</v>
      </c>
      <c r="O723" s="45">
        <f t="shared" si="241"/>
        <v>0</v>
      </c>
      <c r="P723" s="45">
        <f t="shared" si="242"/>
        <v>0.16666666666666666</v>
      </c>
      <c r="Q723" s="45">
        <f t="shared" si="243"/>
        <v>0</v>
      </c>
      <c r="R723" s="45">
        <f t="shared" si="244"/>
        <v>0</v>
      </c>
      <c r="S723" s="45">
        <f t="shared" si="245"/>
        <v>0.16666666666666666</v>
      </c>
      <c r="T723" s="45">
        <f t="shared" si="246"/>
        <v>0.16666666666666666</v>
      </c>
    </row>
    <row r="724" spans="1:20" x14ac:dyDescent="0.3">
      <c r="A724">
        <f t="shared" si="227"/>
        <v>1</v>
      </c>
      <c r="B724">
        <f t="shared" si="228"/>
        <v>0</v>
      </c>
      <c r="C724">
        <f t="shared" si="229"/>
        <v>1</v>
      </c>
      <c r="D724">
        <f t="shared" si="230"/>
        <v>1</v>
      </c>
      <c r="E724">
        <f t="shared" si="231"/>
        <v>0</v>
      </c>
      <c r="F724">
        <f t="shared" si="232"/>
        <v>1</v>
      </c>
      <c r="G724">
        <f t="shared" si="233"/>
        <v>0</v>
      </c>
      <c r="H724">
        <f t="shared" si="234"/>
        <v>1</v>
      </c>
      <c r="I724">
        <f t="shared" si="235"/>
        <v>0</v>
      </c>
      <c r="J724">
        <f t="shared" si="236"/>
        <v>0</v>
      </c>
      <c r="K724" s="45">
        <f t="shared" si="237"/>
        <v>0.2</v>
      </c>
      <c r="L724" s="45">
        <f t="shared" si="238"/>
        <v>0</v>
      </c>
      <c r="M724" s="45">
        <f t="shared" si="239"/>
        <v>0.2</v>
      </c>
      <c r="N724" s="45">
        <f t="shared" si="240"/>
        <v>0.2</v>
      </c>
      <c r="O724" s="45">
        <f t="shared" si="241"/>
        <v>0</v>
      </c>
      <c r="P724" s="45">
        <f t="shared" si="242"/>
        <v>0.2</v>
      </c>
      <c r="Q724" s="45">
        <f t="shared" si="243"/>
        <v>0</v>
      </c>
      <c r="R724" s="45">
        <f t="shared" si="244"/>
        <v>0.2</v>
      </c>
      <c r="S724" s="45">
        <f t="shared" si="245"/>
        <v>0</v>
      </c>
      <c r="T724" s="45">
        <f t="shared" si="246"/>
        <v>0</v>
      </c>
    </row>
    <row r="725" spans="1:20" x14ac:dyDescent="0.3">
      <c r="A725">
        <f t="shared" si="227"/>
        <v>1</v>
      </c>
      <c r="B725">
        <f t="shared" si="228"/>
        <v>0</v>
      </c>
      <c r="C725">
        <f t="shared" si="229"/>
        <v>1</v>
      </c>
      <c r="D725">
        <f t="shared" si="230"/>
        <v>1</v>
      </c>
      <c r="E725">
        <f t="shared" si="231"/>
        <v>0</v>
      </c>
      <c r="F725">
        <f t="shared" si="232"/>
        <v>1</v>
      </c>
      <c r="G725">
        <f t="shared" si="233"/>
        <v>0</v>
      </c>
      <c r="H725">
        <f t="shared" si="234"/>
        <v>1</v>
      </c>
      <c r="I725">
        <f t="shared" si="235"/>
        <v>0</v>
      </c>
      <c r="J725">
        <f t="shared" si="236"/>
        <v>1</v>
      </c>
      <c r="K725" s="45">
        <f t="shared" si="237"/>
        <v>0.16666666666666666</v>
      </c>
      <c r="L725" s="45">
        <f t="shared" si="238"/>
        <v>0</v>
      </c>
      <c r="M725" s="45">
        <f t="shared" si="239"/>
        <v>0.16666666666666666</v>
      </c>
      <c r="N725" s="45">
        <f t="shared" si="240"/>
        <v>0.16666666666666666</v>
      </c>
      <c r="O725" s="45">
        <f t="shared" si="241"/>
        <v>0</v>
      </c>
      <c r="P725" s="45">
        <f t="shared" si="242"/>
        <v>0.16666666666666666</v>
      </c>
      <c r="Q725" s="45">
        <f t="shared" si="243"/>
        <v>0</v>
      </c>
      <c r="R725" s="45">
        <f t="shared" si="244"/>
        <v>0.16666666666666666</v>
      </c>
      <c r="S725" s="45">
        <f t="shared" si="245"/>
        <v>0</v>
      </c>
      <c r="T725" s="45">
        <f t="shared" si="246"/>
        <v>0.16666666666666666</v>
      </c>
    </row>
    <row r="726" spans="1:20" x14ac:dyDescent="0.3">
      <c r="A726">
        <f t="shared" si="227"/>
        <v>1</v>
      </c>
      <c r="B726">
        <f t="shared" si="228"/>
        <v>0</v>
      </c>
      <c r="C726">
        <f t="shared" si="229"/>
        <v>1</v>
      </c>
      <c r="D726">
        <f t="shared" si="230"/>
        <v>1</v>
      </c>
      <c r="E726">
        <f t="shared" si="231"/>
        <v>0</v>
      </c>
      <c r="F726">
        <f t="shared" si="232"/>
        <v>1</v>
      </c>
      <c r="G726">
        <f t="shared" si="233"/>
        <v>0</v>
      </c>
      <c r="H726">
        <f t="shared" si="234"/>
        <v>1</v>
      </c>
      <c r="I726">
        <f t="shared" si="235"/>
        <v>1</v>
      </c>
      <c r="J726">
        <f t="shared" si="236"/>
        <v>0</v>
      </c>
      <c r="K726" s="45">
        <f t="shared" si="237"/>
        <v>0.16666666666666666</v>
      </c>
      <c r="L726" s="45">
        <f t="shared" si="238"/>
        <v>0</v>
      </c>
      <c r="M726" s="45">
        <f t="shared" si="239"/>
        <v>0.16666666666666666</v>
      </c>
      <c r="N726" s="45">
        <f t="shared" si="240"/>
        <v>0.16666666666666666</v>
      </c>
      <c r="O726" s="45">
        <f t="shared" si="241"/>
        <v>0</v>
      </c>
      <c r="P726" s="45">
        <f t="shared" si="242"/>
        <v>0.16666666666666666</v>
      </c>
      <c r="Q726" s="45">
        <f t="shared" si="243"/>
        <v>0</v>
      </c>
      <c r="R726" s="45">
        <f t="shared" si="244"/>
        <v>0.16666666666666666</v>
      </c>
      <c r="S726" s="45">
        <f t="shared" si="245"/>
        <v>0.16666666666666666</v>
      </c>
      <c r="T726" s="45">
        <f t="shared" si="246"/>
        <v>0</v>
      </c>
    </row>
    <row r="727" spans="1:20" x14ac:dyDescent="0.3">
      <c r="A727">
        <f t="shared" si="227"/>
        <v>1</v>
      </c>
      <c r="B727">
        <f t="shared" si="228"/>
        <v>0</v>
      </c>
      <c r="C727">
        <f t="shared" si="229"/>
        <v>1</v>
      </c>
      <c r="D727">
        <f t="shared" si="230"/>
        <v>1</v>
      </c>
      <c r="E727">
        <f t="shared" si="231"/>
        <v>0</v>
      </c>
      <c r="F727">
        <f t="shared" si="232"/>
        <v>1</v>
      </c>
      <c r="G727">
        <f t="shared" si="233"/>
        <v>0</v>
      </c>
      <c r="H727">
        <f t="shared" si="234"/>
        <v>1</v>
      </c>
      <c r="I727">
        <f t="shared" si="235"/>
        <v>1</v>
      </c>
      <c r="J727">
        <f t="shared" si="236"/>
        <v>1</v>
      </c>
      <c r="K727" s="45">
        <f t="shared" si="237"/>
        <v>0.14285714285714285</v>
      </c>
      <c r="L727" s="45">
        <f t="shared" si="238"/>
        <v>0</v>
      </c>
      <c r="M727" s="45">
        <f t="shared" si="239"/>
        <v>0.14285714285714285</v>
      </c>
      <c r="N727" s="45">
        <f t="shared" si="240"/>
        <v>0.14285714285714285</v>
      </c>
      <c r="O727" s="45">
        <f t="shared" si="241"/>
        <v>0</v>
      </c>
      <c r="P727" s="45">
        <f t="shared" si="242"/>
        <v>0.14285714285714285</v>
      </c>
      <c r="Q727" s="45">
        <f t="shared" si="243"/>
        <v>0</v>
      </c>
      <c r="R727" s="45">
        <f t="shared" si="244"/>
        <v>0.14285714285714285</v>
      </c>
      <c r="S727" s="45">
        <f t="shared" si="245"/>
        <v>0.14285714285714285</v>
      </c>
      <c r="T727" s="45">
        <f t="shared" si="246"/>
        <v>0.14285714285714285</v>
      </c>
    </row>
    <row r="728" spans="1:20" x14ac:dyDescent="0.3">
      <c r="A728">
        <f t="shared" si="227"/>
        <v>1</v>
      </c>
      <c r="B728">
        <f t="shared" si="228"/>
        <v>0</v>
      </c>
      <c r="C728">
        <f t="shared" si="229"/>
        <v>1</v>
      </c>
      <c r="D728">
        <f t="shared" si="230"/>
        <v>1</v>
      </c>
      <c r="E728">
        <f t="shared" si="231"/>
        <v>0</v>
      </c>
      <c r="F728">
        <f t="shared" si="232"/>
        <v>1</v>
      </c>
      <c r="G728">
        <f t="shared" si="233"/>
        <v>1</v>
      </c>
      <c r="H728">
        <f t="shared" si="234"/>
        <v>0</v>
      </c>
      <c r="I728">
        <f t="shared" si="235"/>
        <v>0</v>
      </c>
      <c r="J728">
        <f t="shared" si="236"/>
        <v>0</v>
      </c>
      <c r="K728" s="45">
        <f t="shared" si="237"/>
        <v>0.2</v>
      </c>
      <c r="L728" s="45">
        <f t="shared" si="238"/>
        <v>0</v>
      </c>
      <c r="M728" s="45">
        <f t="shared" si="239"/>
        <v>0.2</v>
      </c>
      <c r="N728" s="45">
        <f t="shared" si="240"/>
        <v>0.2</v>
      </c>
      <c r="O728" s="45">
        <f t="shared" si="241"/>
        <v>0</v>
      </c>
      <c r="P728" s="45">
        <f t="shared" si="242"/>
        <v>0.2</v>
      </c>
      <c r="Q728" s="45">
        <f t="shared" si="243"/>
        <v>0.2</v>
      </c>
      <c r="R728" s="45">
        <f t="shared" si="244"/>
        <v>0</v>
      </c>
      <c r="S728" s="45">
        <f t="shared" si="245"/>
        <v>0</v>
      </c>
      <c r="T728" s="45">
        <f t="shared" si="246"/>
        <v>0</v>
      </c>
    </row>
    <row r="729" spans="1:20" x14ac:dyDescent="0.3">
      <c r="A729">
        <f t="shared" si="227"/>
        <v>1</v>
      </c>
      <c r="B729">
        <f t="shared" si="228"/>
        <v>0</v>
      </c>
      <c r="C729">
        <f t="shared" si="229"/>
        <v>1</v>
      </c>
      <c r="D729">
        <f t="shared" si="230"/>
        <v>1</v>
      </c>
      <c r="E729">
        <f t="shared" si="231"/>
        <v>0</v>
      </c>
      <c r="F729">
        <f t="shared" si="232"/>
        <v>1</v>
      </c>
      <c r="G729">
        <f t="shared" si="233"/>
        <v>1</v>
      </c>
      <c r="H729">
        <f t="shared" si="234"/>
        <v>0</v>
      </c>
      <c r="I729">
        <f t="shared" si="235"/>
        <v>0</v>
      </c>
      <c r="J729">
        <f t="shared" si="236"/>
        <v>1</v>
      </c>
      <c r="K729" s="45">
        <f t="shared" si="237"/>
        <v>0.16666666666666666</v>
      </c>
      <c r="L729" s="45">
        <f t="shared" si="238"/>
        <v>0</v>
      </c>
      <c r="M729" s="45">
        <f t="shared" si="239"/>
        <v>0.16666666666666666</v>
      </c>
      <c r="N729" s="45">
        <f t="shared" si="240"/>
        <v>0.16666666666666666</v>
      </c>
      <c r="O729" s="45">
        <f t="shared" si="241"/>
        <v>0</v>
      </c>
      <c r="P729" s="45">
        <f t="shared" si="242"/>
        <v>0.16666666666666666</v>
      </c>
      <c r="Q729" s="45">
        <f t="shared" si="243"/>
        <v>0.16666666666666666</v>
      </c>
      <c r="R729" s="45">
        <f t="shared" si="244"/>
        <v>0</v>
      </c>
      <c r="S729" s="45">
        <f t="shared" si="245"/>
        <v>0</v>
      </c>
      <c r="T729" s="45">
        <f t="shared" si="246"/>
        <v>0.16666666666666666</v>
      </c>
    </row>
    <row r="730" spans="1:20" x14ac:dyDescent="0.3">
      <c r="A730">
        <f t="shared" si="227"/>
        <v>1</v>
      </c>
      <c r="B730">
        <f t="shared" si="228"/>
        <v>0</v>
      </c>
      <c r="C730">
        <f t="shared" si="229"/>
        <v>1</v>
      </c>
      <c r="D730">
        <f t="shared" si="230"/>
        <v>1</v>
      </c>
      <c r="E730">
        <f t="shared" si="231"/>
        <v>0</v>
      </c>
      <c r="F730">
        <f t="shared" si="232"/>
        <v>1</v>
      </c>
      <c r="G730">
        <f t="shared" si="233"/>
        <v>1</v>
      </c>
      <c r="H730">
        <f t="shared" si="234"/>
        <v>0</v>
      </c>
      <c r="I730">
        <f t="shared" si="235"/>
        <v>1</v>
      </c>
      <c r="J730">
        <f t="shared" si="236"/>
        <v>0</v>
      </c>
      <c r="K730" s="45">
        <f t="shared" si="237"/>
        <v>0.16666666666666666</v>
      </c>
      <c r="L730" s="45">
        <f t="shared" si="238"/>
        <v>0</v>
      </c>
      <c r="M730" s="45">
        <f t="shared" si="239"/>
        <v>0.16666666666666666</v>
      </c>
      <c r="N730" s="45">
        <f t="shared" si="240"/>
        <v>0.16666666666666666</v>
      </c>
      <c r="O730" s="45">
        <f t="shared" si="241"/>
        <v>0</v>
      </c>
      <c r="P730" s="45">
        <f t="shared" si="242"/>
        <v>0.16666666666666666</v>
      </c>
      <c r="Q730" s="45">
        <f t="shared" si="243"/>
        <v>0.16666666666666666</v>
      </c>
      <c r="R730" s="45">
        <f t="shared" si="244"/>
        <v>0</v>
      </c>
      <c r="S730" s="45">
        <f t="shared" si="245"/>
        <v>0.16666666666666666</v>
      </c>
      <c r="T730" s="45">
        <f t="shared" si="246"/>
        <v>0</v>
      </c>
    </row>
    <row r="731" spans="1:20" x14ac:dyDescent="0.3">
      <c r="A731">
        <f t="shared" si="227"/>
        <v>1</v>
      </c>
      <c r="B731">
        <f t="shared" si="228"/>
        <v>0</v>
      </c>
      <c r="C731">
        <f t="shared" si="229"/>
        <v>1</v>
      </c>
      <c r="D731">
        <f t="shared" si="230"/>
        <v>1</v>
      </c>
      <c r="E731">
        <f t="shared" si="231"/>
        <v>0</v>
      </c>
      <c r="F731">
        <f t="shared" si="232"/>
        <v>1</v>
      </c>
      <c r="G731">
        <f t="shared" si="233"/>
        <v>1</v>
      </c>
      <c r="H731">
        <f t="shared" si="234"/>
        <v>0</v>
      </c>
      <c r="I731">
        <f t="shared" si="235"/>
        <v>1</v>
      </c>
      <c r="J731">
        <f t="shared" si="236"/>
        <v>1</v>
      </c>
      <c r="K731" s="45">
        <f t="shared" si="237"/>
        <v>0.14285714285714285</v>
      </c>
      <c r="L731" s="45">
        <f t="shared" si="238"/>
        <v>0</v>
      </c>
      <c r="M731" s="45">
        <f t="shared" si="239"/>
        <v>0.14285714285714285</v>
      </c>
      <c r="N731" s="45">
        <f t="shared" si="240"/>
        <v>0.14285714285714285</v>
      </c>
      <c r="O731" s="45">
        <f t="shared" si="241"/>
        <v>0</v>
      </c>
      <c r="P731" s="45">
        <f t="shared" si="242"/>
        <v>0.14285714285714285</v>
      </c>
      <c r="Q731" s="45">
        <f t="shared" si="243"/>
        <v>0.14285714285714285</v>
      </c>
      <c r="R731" s="45">
        <f t="shared" si="244"/>
        <v>0</v>
      </c>
      <c r="S731" s="45">
        <f t="shared" si="245"/>
        <v>0.14285714285714285</v>
      </c>
      <c r="T731" s="45">
        <f t="shared" si="246"/>
        <v>0.14285714285714285</v>
      </c>
    </row>
    <row r="732" spans="1:20" x14ac:dyDescent="0.3">
      <c r="A732">
        <f t="shared" si="227"/>
        <v>1</v>
      </c>
      <c r="B732">
        <f t="shared" si="228"/>
        <v>0</v>
      </c>
      <c r="C732">
        <f t="shared" si="229"/>
        <v>1</v>
      </c>
      <c r="D732">
        <f t="shared" si="230"/>
        <v>1</v>
      </c>
      <c r="E732">
        <f t="shared" si="231"/>
        <v>0</v>
      </c>
      <c r="F732">
        <f t="shared" si="232"/>
        <v>1</v>
      </c>
      <c r="G732">
        <f t="shared" si="233"/>
        <v>1</v>
      </c>
      <c r="H732">
        <f t="shared" si="234"/>
        <v>1</v>
      </c>
      <c r="I732">
        <f t="shared" si="235"/>
        <v>0</v>
      </c>
      <c r="J732">
        <f t="shared" si="236"/>
        <v>0</v>
      </c>
      <c r="K732" s="45">
        <f t="shared" si="237"/>
        <v>0.16666666666666666</v>
      </c>
      <c r="L732" s="45">
        <f t="shared" si="238"/>
        <v>0</v>
      </c>
      <c r="M732" s="45">
        <f t="shared" si="239"/>
        <v>0.16666666666666666</v>
      </c>
      <c r="N732" s="45">
        <f t="shared" si="240"/>
        <v>0.16666666666666666</v>
      </c>
      <c r="O732" s="45">
        <f t="shared" si="241"/>
        <v>0</v>
      </c>
      <c r="P732" s="45">
        <f t="shared" si="242"/>
        <v>0.16666666666666666</v>
      </c>
      <c r="Q732" s="45">
        <f t="shared" si="243"/>
        <v>0.16666666666666666</v>
      </c>
      <c r="R732" s="45">
        <f t="shared" si="244"/>
        <v>0.16666666666666666</v>
      </c>
      <c r="S732" s="45">
        <f t="shared" si="245"/>
        <v>0</v>
      </c>
      <c r="T732" s="45">
        <f t="shared" si="246"/>
        <v>0</v>
      </c>
    </row>
    <row r="733" spans="1:20" x14ac:dyDescent="0.3">
      <c r="A733">
        <f t="shared" si="227"/>
        <v>1</v>
      </c>
      <c r="B733">
        <f t="shared" si="228"/>
        <v>0</v>
      </c>
      <c r="C733">
        <f t="shared" si="229"/>
        <v>1</v>
      </c>
      <c r="D733">
        <f t="shared" si="230"/>
        <v>1</v>
      </c>
      <c r="E733">
        <f t="shared" si="231"/>
        <v>0</v>
      </c>
      <c r="F733">
        <f t="shared" si="232"/>
        <v>1</v>
      </c>
      <c r="G733">
        <f t="shared" si="233"/>
        <v>1</v>
      </c>
      <c r="H733">
        <f t="shared" si="234"/>
        <v>1</v>
      </c>
      <c r="I733">
        <f t="shared" si="235"/>
        <v>0</v>
      </c>
      <c r="J733">
        <f t="shared" si="236"/>
        <v>1</v>
      </c>
      <c r="K733" s="45">
        <f t="shared" si="237"/>
        <v>0.14285714285714285</v>
      </c>
      <c r="L733" s="45">
        <f t="shared" si="238"/>
        <v>0</v>
      </c>
      <c r="M733" s="45">
        <f t="shared" si="239"/>
        <v>0.14285714285714285</v>
      </c>
      <c r="N733" s="45">
        <f t="shared" si="240"/>
        <v>0.14285714285714285</v>
      </c>
      <c r="O733" s="45">
        <f t="shared" si="241"/>
        <v>0</v>
      </c>
      <c r="P733" s="45">
        <f t="shared" si="242"/>
        <v>0.14285714285714285</v>
      </c>
      <c r="Q733" s="45">
        <f t="shared" si="243"/>
        <v>0.14285714285714285</v>
      </c>
      <c r="R733" s="45">
        <f t="shared" si="244"/>
        <v>0.14285714285714285</v>
      </c>
      <c r="S733" s="45">
        <f t="shared" si="245"/>
        <v>0</v>
      </c>
      <c r="T733" s="45">
        <f t="shared" si="246"/>
        <v>0.14285714285714285</v>
      </c>
    </row>
    <row r="734" spans="1:20" x14ac:dyDescent="0.3">
      <c r="A734">
        <f t="shared" si="227"/>
        <v>1</v>
      </c>
      <c r="B734">
        <f t="shared" si="228"/>
        <v>0</v>
      </c>
      <c r="C734">
        <f t="shared" si="229"/>
        <v>1</v>
      </c>
      <c r="D734">
        <f t="shared" si="230"/>
        <v>1</v>
      </c>
      <c r="E734">
        <f t="shared" si="231"/>
        <v>0</v>
      </c>
      <c r="F734">
        <f t="shared" si="232"/>
        <v>1</v>
      </c>
      <c r="G734">
        <f t="shared" si="233"/>
        <v>1</v>
      </c>
      <c r="H734">
        <f t="shared" si="234"/>
        <v>1</v>
      </c>
      <c r="I734">
        <f t="shared" si="235"/>
        <v>1</v>
      </c>
      <c r="J734">
        <f t="shared" si="236"/>
        <v>0</v>
      </c>
      <c r="K734" s="45">
        <f t="shared" si="237"/>
        <v>0.14285714285714285</v>
      </c>
      <c r="L734" s="45">
        <f t="shared" si="238"/>
        <v>0</v>
      </c>
      <c r="M734" s="45">
        <f t="shared" si="239"/>
        <v>0.14285714285714285</v>
      </c>
      <c r="N734" s="45">
        <f t="shared" si="240"/>
        <v>0.14285714285714285</v>
      </c>
      <c r="O734" s="45">
        <f t="shared" si="241"/>
        <v>0</v>
      </c>
      <c r="P734" s="45">
        <f t="shared" si="242"/>
        <v>0.14285714285714285</v>
      </c>
      <c r="Q734" s="45">
        <f t="shared" si="243"/>
        <v>0.14285714285714285</v>
      </c>
      <c r="R734" s="45">
        <f t="shared" si="244"/>
        <v>0.14285714285714285</v>
      </c>
      <c r="S734" s="45">
        <f t="shared" si="245"/>
        <v>0.14285714285714285</v>
      </c>
      <c r="T734" s="45">
        <f t="shared" si="246"/>
        <v>0</v>
      </c>
    </row>
    <row r="735" spans="1:20" x14ac:dyDescent="0.3">
      <c r="A735">
        <f t="shared" si="227"/>
        <v>1</v>
      </c>
      <c r="B735">
        <f t="shared" si="228"/>
        <v>0</v>
      </c>
      <c r="C735">
        <f t="shared" si="229"/>
        <v>1</v>
      </c>
      <c r="D735">
        <f t="shared" si="230"/>
        <v>1</v>
      </c>
      <c r="E735">
        <f t="shared" si="231"/>
        <v>0</v>
      </c>
      <c r="F735">
        <f t="shared" si="232"/>
        <v>1</v>
      </c>
      <c r="G735">
        <f t="shared" si="233"/>
        <v>1</v>
      </c>
      <c r="H735">
        <f t="shared" si="234"/>
        <v>1</v>
      </c>
      <c r="I735">
        <f t="shared" si="235"/>
        <v>1</v>
      </c>
      <c r="J735">
        <f t="shared" si="236"/>
        <v>1</v>
      </c>
      <c r="K735" s="45">
        <f t="shared" si="237"/>
        <v>0.125</v>
      </c>
      <c r="L735" s="45">
        <f t="shared" si="238"/>
        <v>0</v>
      </c>
      <c r="M735" s="45">
        <f t="shared" si="239"/>
        <v>0.125</v>
      </c>
      <c r="N735" s="45">
        <f t="shared" si="240"/>
        <v>0.125</v>
      </c>
      <c r="O735" s="45">
        <f t="shared" si="241"/>
        <v>0</v>
      </c>
      <c r="P735" s="45">
        <f t="shared" si="242"/>
        <v>0.125</v>
      </c>
      <c r="Q735" s="45">
        <f t="shared" si="243"/>
        <v>0.125</v>
      </c>
      <c r="R735" s="45">
        <f t="shared" si="244"/>
        <v>0.125</v>
      </c>
      <c r="S735" s="45">
        <f t="shared" si="245"/>
        <v>0.125</v>
      </c>
      <c r="T735" s="45">
        <f t="shared" si="246"/>
        <v>0.125</v>
      </c>
    </row>
    <row r="736" spans="1:20" x14ac:dyDescent="0.3">
      <c r="A736">
        <f t="shared" si="227"/>
        <v>1</v>
      </c>
      <c r="B736">
        <f t="shared" si="228"/>
        <v>0</v>
      </c>
      <c r="C736">
        <f t="shared" si="229"/>
        <v>1</v>
      </c>
      <c r="D736">
        <f t="shared" si="230"/>
        <v>1</v>
      </c>
      <c r="E736">
        <f t="shared" si="231"/>
        <v>1</v>
      </c>
      <c r="F736">
        <f t="shared" si="232"/>
        <v>0</v>
      </c>
      <c r="G736">
        <f t="shared" si="233"/>
        <v>0</v>
      </c>
      <c r="H736">
        <f t="shared" si="234"/>
        <v>0</v>
      </c>
      <c r="I736">
        <f t="shared" si="235"/>
        <v>0</v>
      </c>
      <c r="J736">
        <f t="shared" si="236"/>
        <v>0</v>
      </c>
      <c r="K736" s="45">
        <f t="shared" si="237"/>
        <v>0.25</v>
      </c>
      <c r="L736" s="45">
        <f t="shared" si="238"/>
        <v>0</v>
      </c>
      <c r="M736" s="45">
        <f t="shared" si="239"/>
        <v>0.25</v>
      </c>
      <c r="N736" s="45">
        <f t="shared" si="240"/>
        <v>0.25</v>
      </c>
      <c r="O736" s="45">
        <f t="shared" si="241"/>
        <v>0.25</v>
      </c>
      <c r="P736" s="45">
        <f t="shared" si="242"/>
        <v>0</v>
      </c>
      <c r="Q736" s="45">
        <f t="shared" si="243"/>
        <v>0</v>
      </c>
      <c r="R736" s="45">
        <f t="shared" si="244"/>
        <v>0</v>
      </c>
      <c r="S736" s="45">
        <f t="shared" si="245"/>
        <v>0</v>
      </c>
      <c r="T736" s="45">
        <f t="shared" si="246"/>
        <v>0</v>
      </c>
    </row>
    <row r="737" spans="1:20" x14ac:dyDescent="0.3">
      <c r="A737">
        <f t="shared" si="227"/>
        <v>1</v>
      </c>
      <c r="B737">
        <f t="shared" si="228"/>
        <v>0</v>
      </c>
      <c r="C737">
        <f t="shared" si="229"/>
        <v>1</v>
      </c>
      <c r="D737">
        <f t="shared" si="230"/>
        <v>1</v>
      </c>
      <c r="E737">
        <f t="shared" si="231"/>
        <v>1</v>
      </c>
      <c r="F737">
        <f t="shared" si="232"/>
        <v>0</v>
      </c>
      <c r="G737">
        <f t="shared" si="233"/>
        <v>0</v>
      </c>
      <c r="H737">
        <f t="shared" si="234"/>
        <v>0</v>
      </c>
      <c r="I737">
        <f t="shared" si="235"/>
        <v>0</v>
      </c>
      <c r="J737">
        <f t="shared" si="236"/>
        <v>1</v>
      </c>
      <c r="K737" s="45">
        <f t="shared" si="237"/>
        <v>0.2</v>
      </c>
      <c r="L737" s="45">
        <f t="shared" si="238"/>
        <v>0</v>
      </c>
      <c r="M737" s="45">
        <f t="shared" si="239"/>
        <v>0.2</v>
      </c>
      <c r="N737" s="45">
        <f t="shared" si="240"/>
        <v>0.2</v>
      </c>
      <c r="O737" s="45">
        <f t="shared" si="241"/>
        <v>0.2</v>
      </c>
      <c r="P737" s="45">
        <f t="shared" si="242"/>
        <v>0</v>
      </c>
      <c r="Q737" s="45">
        <f t="shared" si="243"/>
        <v>0</v>
      </c>
      <c r="R737" s="45">
        <f t="shared" si="244"/>
        <v>0</v>
      </c>
      <c r="S737" s="45">
        <f t="shared" si="245"/>
        <v>0</v>
      </c>
      <c r="T737" s="45">
        <f t="shared" si="246"/>
        <v>0.2</v>
      </c>
    </row>
    <row r="738" spans="1:20" x14ac:dyDescent="0.3">
      <c r="A738">
        <f t="shared" si="227"/>
        <v>1</v>
      </c>
      <c r="B738">
        <f t="shared" si="228"/>
        <v>0</v>
      </c>
      <c r="C738">
        <f t="shared" si="229"/>
        <v>1</v>
      </c>
      <c r="D738">
        <f t="shared" si="230"/>
        <v>1</v>
      </c>
      <c r="E738">
        <f t="shared" si="231"/>
        <v>1</v>
      </c>
      <c r="F738">
        <f t="shared" si="232"/>
        <v>0</v>
      </c>
      <c r="G738">
        <f t="shared" si="233"/>
        <v>0</v>
      </c>
      <c r="H738">
        <f t="shared" si="234"/>
        <v>0</v>
      </c>
      <c r="I738">
        <f t="shared" si="235"/>
        <v>1</v>
      </c>
      <c r="J738">
        <f t="shared" si="236"/>
        <v>0</v>
      </c>
      <c r="K738" s="45">
        <f t="shared" si="237"/>
        <v>0.2</v>
      </c>
      <c r="L738" s="45">
        <f t="shared" si="238"/>
        <v>0</v>
      </c>
      <c r="M738" s="45">
        <f t="shared" si="239"/>
        <v>0.2</v>
      </c>
      <c r="N738" s="45">
        <f t="shared" si="240"/>
        <v>0.2</v>
      </c>
      <c r="O738" s="45">
        <f t="shared" si="241"/>
        <v>0.2</v>
      </c>
      <c r="P738" s="45">
        <f t="shared" si="242"/>
        <v>0</v>
      </c>
      <c r="Q738" s="45">
        <f t="shared" si="243"/>
        <v>0</v>
      </c>
      <c r="R738" s="45">
        <f t="shared" si="244"/>
        <v>0</v>
      </c>
      <c r="S738" s="45">
        <f t="shared" si="245"/>
        <v>0.2</v>
      </c>
      <c r="T738" s="45">
        <f t="shared" si="246"/>
        <v>0</v>
      </c>
    </row>
    <row r="739" spans="1:20" x14ac:dyDescent="0.3">
      <c r="A739">
        <f t="shared" si="227"/>
        <v>1</v>
      </c>
      <c r="B739">
        <f t="shared" si="228"/>
        <v>0</v>
      </c>
      <c r="C739">
        <f t="shared" si="229"/>
        <v>1</v>
      </c>
      <c r="D739">
        <f t="shared" si="230"/>
        <v>1</v>
      </c>
      <c r="E739">
        <f t="shared" si="231"/>
        <v>1</v>
      </c>
      <c r="F739">
        <f t="shared" si="232"/>
        <v>0</v>
      </c>
      <c r="G739">
        <f t="shared" si="233"/>
        <v>0</v>
      </c>
      <c r="H739">
        <f t="shared" si="234"/>
        <v>0</v>
      </c>
      <c r="I739">
        <f t="shared" si="235"/>
        <v>1</v>
      </c>
      <c r="J739">
        <f t="shared" si="236"/>
        <v>1</v>
      </c>
      <c r="K739" s="45">
        <f t="shared" si="237"/>
        <v>0.16666666666666666</v>
      </c>
      <c r="L739" s="45">
        <f t="shared" si="238"/>
        <v>0</v>
      </c>
      <c r="M739" s="45">
        <f t="shared" si="239"/>
        <v>0.16666666666666666</v>
      </c>
      <c r="N739" s="45">
        <f t="shared" si="240"/>
        <v>0.16666666666666666</v>
      </c>
      <c r="O739" s="45">
        <f t="shared" si="241"/>
        <v>0.16666666666666666</v>
      </c>
      <c r="P739" s="45">
        <f t="shared" si="242"/>
        <v>0</v>
      </c>
      <c r="Q739" s="45">
        <f t="shared" si="243"/>
        <v>0</v>
      </c>
      <c r="R739" s="45">
        <f t="shared" si="244"/>
        <v>0</v>
      </c>
      <c r="S739" s="45">
        <f t="shared" si="245"/>
        <v>0.16666666666666666</v>
      </c>
      <c r="T739" s="45">
        <f t="shared" si="246"/>
        <v>0.16666666666666666</v>
      </c>
    </row>
    <row r="740" spans="1:20" x14ac:dyDescent="0.3">
      <c r="A740">
        <f t="shared" si="227"/>
        <v>1</v>
      </c>
      <c r="B740">
        <f t="shared" si="228"/>
        <v>0</v>
      </c>
      <c r="C740">
        <f t="shared" si="229"/>
        <v>1</v>
      </c>
      <c r="D740">
        <f t="shared" si="230"/>
        <v>1</v>
      </c>
      <c r="E740">
        <f t="shared" si="231"/>
        <v>1</v>
      </c>
      <c r="F740">
        <f t="shared" si="232"/>
        <v>0</v>
      </c>
      <c r="G740">
        <f t="shared" si="233"/>
        <v>0</v>
      </c>
      <c r="H740">
        <f t="shared" si="234"/>
        <v>1</v>
      </c>
      <c r="I740">
        <f t="shared" si="235"/>
        <v>0</v>
      </c>
      <c r="J740">
        <f t="shared" si="236"/>
        <v>0</v>
      </c>
      <c r="K740" s="45">
        <f t="shared" si="237"/>
        <v>0.2</v>
      </c>
      <c r="L740" s="45">
        <f t="shared" si="238"/>
        <v>0</v>
      </c>
      <c r="M740" s="45">
        <f t="shared" si="239"/>
        <v>0.2</v>
      </c>
      <c r="N740" s="45">
        <f t="shared" si="240"/>
        <v>0.2</v>
      </c>
      <c r="O740" s="45">
        <f t="shared" si="241"/>
        <v>0.2</v>
      </c>
      <c r="P740" s="45">
        <f t="shared" si="242"/>
        <v>0</v>
      </c>
      <c r="Q740" s="45">
        <f t="shared" si="243"/>
        <v>0</v>
      </c>
      <c r="R740" s="45">
        <f t="shared" si="244"/>
        <v>0.2</v>
      </c>
      <c r="S740" s="45">
        <f t="shared" si="245"/>
        <v>0</v>
      </c>
      <c r="T740" s="45">
        <f t="shared" si="246"/>
        <v>0</v>
      </c>
    </row>
    <row r="741" spans="1:20" x14ac:dyDescent="0.3">
      <c r="A741">
        <f t="shared" si="227"/>
        <v>1</v>
      </c>
      <c r="B741">
        <f t="shared" si="228"/>
        <v>0</v>
      </c>
      <c r="C741">
        <f t="shared" si="229"/>
        <v>1</v>
      </c>
      <c r="D741">
        <f t="shared" si="230"/>
        <v>1</v>
      </c>
      <c r="E741">
        <f t="shared" si="231"/>
        <v>1</v>
      </c>
      <c r="F741">
        <f t="shared" si="232"/>
        <v>0</v>
      </c>
      <c r="G741">
        <f t="shared" si="233"/>
        <v>0</v>
      </c>
      <c r="H741">
        <f t="shared" si="234"/>
        <v>1</v>
      </c>
      <c r="I741">
        <f t="shared" si="235"/>
        <v>0</v>
      </c>
      <c r="J741">
        <f t="shared" si="236"/>
        <v>1</v>
      </c>
      <c r="K741" s="45">
        <f t="shared" si="237"/>
        <v>0.16666666666666666</v>
      </c>
      <c r="L741" s="45">
        <f t="shared" si="238"/>
        <v>0</v>
      </c>
      <c r="M741" s="45">
        <f t="shared" si="239"/>
        <v>0.16666666666666666</v>
      </c>
      <c r="N741" s="45">
        <f t="shared" si="240"/>
        <v>0.16666666666666666</v>
      </c>
      <c r="O741" s="45">
        <f t="shared" si="241"/>
        <v>0.16666666666666666</v>
      </c>
      <c r="P741" s="45">
        <f t="shared" si="242"/>
        <v>0</v>
      </c>
      <c r="Q741" s="45">
        <f t="shared" si="243"/>
        <v>0</v>
      </c>
      <c r="R741" s="45">
        <f t="shared" si="244"/>
        <v>0.16666666666666666</v>
      </c>
      <c r="S741" s="45">
        <f t="shared" si="245"/>
        <v>0</v>
      </c>
      <c r="T741" s="45">
        <f t="shared" si="246"/>
        <v>0.16666666666666666</v>
      </c>
    </row>
    <row r="742" spans="1:20" x14ac:dyDescent="0.3">
      <c r="A742">
        <f t="shared" si="227"/>
        <v>1</v>
      </c>
      <c r="B742">
        <f t="shared" si="228"/>
        <v>0</v>
      </c>
      <c r="C742">
        <f t="shared" si="229"/>
        <v>1</v>
      </c>
      <c r="D742">
        <f t="shared" si="230"/>
        <v>1</v>
      </c>
      <c r="E742">
        <f t="shared" si="231"/>
        <v>1</v>
      </c>
      <c r="F742">
        <f t="shared" si="232"/>
        <v>0</v>
      </c>
      <c r="G742">
        <f t="shared" si="233"/>
        <v>0</v>
      </c>
      <c r="H742">
        <f t="shared" si="234"/>
        <v>1</v>
      </c>
      <c r="I742">
        <f t="shared" si="235"/>
        <v>1</v>
      </c>
      <c r="J742">
        <f t="shared" si="236"/>
        <v>0</v>
      </c>
      <c r="K742" s="45">
        <f t="shared" si="237"/>
        <v>0.16666666666666666</v>
      </c>
      <c r="L742" s="45">
        <f t="shared" si="238"/>
        <v>0</v>
      </c>
      <c r="M742" s="45">
        <f t="shared" si="239"/>
        <v>0.16666666666666666</v>
      </c>
      <c r="N742" s="45">
        <f t="shared" si="240"/>
        <v>0.16666666666666666</v>
      </c>
      <c r="O742" s="45">
        <f t="shared" si="241"/>
        <v>0.16666666666666666</v>
      </c>
      <c r="P742" s="45">
        <f t="shared" si="242"/>
        <v>0</v>
      </c>
      <c r="Q742" s="45">
        <f t="shared" si="243"/>
        <v>0</v>
      </c>
      <c r="R742" s="45">
        <f t="shared" si="244"/>
        <v>0.16666666666666666</v>
      </c>
      <c r="S742" s="45">
        <f t="shared" si="245"/>
        <v>0.16666666666666666</v>
      </c>
      <c r="T742" s="45">
        <f t="shared" si="246"/>
        <v>0</v>
      </c>
    </row>
    <row r="743" spans="1:20" x14ac:dyDescent="0.3">
      <c r="A743">
        <f t="shared" si="227"/>
        <v>1</v>
      </c>
      <c r="B743">
        <f t="shared" si="228"/>
        <v>0</v>
      </c>
      <c r="C743">
        <f t="shared" si="229"/>
        <v>1</v>
      </c>
      <c r="D743">
        <f t="shared" si="230"/>
        <v>1</v>
      </c>
      <c r="E743">
        <f t="shared" si="231"/>
        <v>1</v>
      </c>
      <c r="F743">
        <f t="shared" si="232"/>
        <v>0</v>
      </c>
      <c r="G743">
        <f t="shared" si="233"/>
        <v>0</v>
      </c>
      <c r="H743">
        <f t="shared" si="234"/>
        <v>1</v>
      </c>
      <c r="I743">
        <f t="shared" si="235"/>
        <v>1</v>
      </c>
      <c r="J743">
        <f t="shared" si="236"/>
        <v>1</v>
      </c>
      <c r="K743" s="45">
        <f t="shared" si="237"/>
        <v>0.14285714285714285</v>
      </c>
      <c r="L743" s="45">
        <f t="shared" si="238"/>
        <v>0</v>
      </c>
      <c r="M743" s="45">
        <f t="shared" si="239"/>
        <v>0.14285714285714285</v>
      </c>
      <c r="N743" s="45">
        <f t="shared" si="240"/>
        <v>0.14285714285714285</v>
      </c>
      <c r="O743" s="45">
        <f t="shared" si="241"/>
        <v>0.14285714285714285</v>
      </c>
      <c r="P743" s="45">
        <f t="shared" si="242"/>
        <v>0</v>
      </c>
      <c r="Q743" s="45">
        <f t="shared" si="243"/>
        <v>0</v>
      </c>
      <c r="R743" s="45">
        <f t="shared" si="244"/>
        <v>0.14285714285714285</v>
      </c>
      <c r="S743" s="45">
        <f t="shared" si="245"/>
        <v>0.14285714285714285</v>
      </c>
      <c r="T743" s="45">
        <f t="shared" si="246"/>
        <v>0.14285714285714285</v>
      </c>
    </row>
    <row r="744" spans="1:20" x14ac:dyDescent="0.3">
      <c r="A744">
        <f t="shared" si="227"/>
        <v>1</v>
      </c>
      <c r="B744">
        <f t="shared" si="228"/>
        <v>0</v>
      </c>
      <c r="C744">
        <f t="shared" si="229"/>
        <v>1</v>
      </c>
      <c r="D744">
        <f t="shared" si="230"/>
        <v>1</v>
      </c>
      <c r="E744">
        <f t="shared" si="231"/>
        <v>1</v>
      </c>
      <c r="F744">
        <f t="shared" si="232"/>
        <v>0</v>
      </c>
      <c r="G744">
        <f t="shared" si="233"/>
        <v>1</v>
      </c>
      <c r="H744">
        <f t="shared" si="234"/>
        <v>0</v>
      </c>
      <c r="I744">
        <f t="shared" si="235"/>
        <v>0</v>
      </c>
      <c r="J744">
        <f t="shared" si="236"/>
        <v>0</v>
      </c>
      <c r="K744" s="45">
        <f t="shared" si="237"/>
        <v>0.2</v>
      </c>
      <c r="L744" s="45">
        <f t="shared" si="238"/>
        <v>0</v>
      </c>
      <c r="M744" s="45">
        <f t="shared" si="239"/>
        <v>0.2</v>
      </c>
      <c r="N744" s="45">
        <f t="shared" si="240"/>
        <v>0.2</v>
      </c>
      <c r="O744" s="45">
        <f t="shared" si="241"/>
        <v>0.2</v>
      </c>
      <c r="P744" s="45">
        <f t="shared" si="242"/>
        <v>0</v>
      </c>
      <c r="Q744" s="45">
        <f t="shared" si="243"/>
        <v>0.2</v>
      </c>
      <c r="R744" s="45">
        <f t="shared" si="244"/>
        <v>0</v>
      </c>
      <c r="S744" s="45">
        <f t="shared" si="245"/>
        <v>0</v>
      </c>
      <c r="T744" s="45">
        <f t="shared" si="246"/>
        <v>0</v>
      </c>
    </row>
    <row r="745" spans="1:20" x14ac:dyDescent="0.3">
      <c r="A745">
        <f t="shared" si="227"/>
        <v>1</v>
      </c>
      <c r="B745">
        <f t="shared" si="228"/>
        <v>0</v>
      </c>
      <c r="C745">
        <f t="shared" si="229"/>
        <v>1</v>
      </c>
      <c r="D745">
        <f t="shared" si="230"/>
        <v>1</v>
      </c>
      <c r="E745">
        <f t="shared" si="231"/>
        <v>1</v>
      </c>
      <c r="F745">
        <f t="shared" si="232"/>
        <v>0</v>
      </c>
      <c r="G745">
        <f t="shared" si="233"/>
        <v>1</v>
      </c>
      <c r="H745">
        <f t="shared" si="234"/>
        <v>0</v>
      </c>
      <c r="I745">
        <f t="shared" si="235"/>
        <v>0</v>
      </c>
      <c r="J745">
        <f t="shared" si="236"/>
        <v>1</v>
      </c>
      <c r="K745" s="45">
        <f t="shared" si="237"/>
        <v>0.16666666666666666</v>
      </c>
      <c r="L745" s="45">
        <f t="shared" si="238"/>
        <v>0</v>
      </c>
      <c r="M745" s="45">
        <f t="shared" si="239"/>
        <v>0.16666666666666666</v>
      </c>
      <c r="N745" s="45">
        <f t="shared" si="240"/>
        <v>0.16666666666666666</v>
      </c>
      <c r="O745" s="45">
        <f t="shared" si="241"/>
        <v>0.16666666666666666</v>
      </c>
      <c r="P745" s="45">
        <f t="shared" si="242"/>
        <v>0</v>
      </c>
      <c r="Q745" s="45">
        <f t="shared" si="243"/>
        <v>0.16666666666666666</v>
      </c>
      <c r="R745" s="45">
        <f t="shared" si="244"/>
        <v>0</v>
      </c>
      <c r="S745" s="45">
        <f t="shared" si="245"/>
        <v>0</v>
      </c>
      <c r="T745" s="45">
        <f t="shared" si="246"/>
        <v>0.16666666666666666</v>
      </c>
    </row>
    <row r="746" spans="1:20" x14ac:dyDescent="0.3">
      <c r="A746">
        <f t="shared" si="227"/>
        <v>1</v>
      </c>
      <c r="B746">
        <f t="shared" si="228"/>
        <v>0</v>
      </c>
      <c r="C746">
        <f t="shared" si="229"/>
        <v>1</v>
      </c>
      <c r="D746">
        <f t="shared" si="230"/>
        <v>1</v>
      </c>
      <c r="E746">
        <f t="shared" si="231"/>
        <v>1</v>
      </c>
      <c r="F746">
        <f t="shared" si="232"/>
        <v>0</v>
      </c>
      <c r="G746">
        <f t="shared" si="233"/>
        <v>1</v>
      </c>
      <c r="H746">
        <f t="shared" si="234"/>
        <v>0</v>
      </c>
      <c r="I746">
        <f t="shared" si="235"/>
        <v>1</v>
      </c>
      <c r="J746">
        <f t="shared" si="236"/>
        <v>0</v>
      </c>
      <c r="K746" s="45">
        <f t="shared" si="237"/>
        <v>0.16666666666666666</v>
      </c>
      <c r="L746" s="45">
        <f t="shared" si="238"/>
        <v>0</v>
      </c>
      <c r="M746" s="45">
        <f t="shared" si="239"/>
        <v>0.16666666666666666</v>
      </c>
      <c r="N746" s="45">
        <f t="shared" si="240"/>
        <v>0.16666666666666666</v>
      </c>
      <c r="O746" s="45">
        <f t="shared" si="241"/>
        <v>0.16666666666666666</v>
      </c>
      <c r="P746" s="45">
        <f t="shared" si="242"/>
        <v>0</v>
      </c>
      <c r="Q746" s="45">
        <f t="shared" si="243"/>
        <v>0.16666666666666666</v>
      </c>
      <c r="R746" s="45">
        <f t="shared" si="244"/>
        <v>0</v>
      </c>
      <c r="S746" s="45">
        <f t="shared" si="245"/>
        <v>0.16666666666666666</v>
      </c>
      <c r="T746" s="45">
        <f t="shared" si="246"/>
        <v>0</v>
      </c>
    </row>
    <row r="747" spans="1:20" x14ac:dyDescent="0.3">
      <c r="A747">
        <f t="shared" si="227"/>
        <v>1</v>
      </c>
      <c r="B747">
        <f t="shared" si="228"/>
        <v>0</v>
      </c>
      <c r="C747">
        <f t="shared" si="229"/>
        <v>1</v>
      </c>
      <c r="D747">
        <f t="shared" si="230"/>
        <v>1</v>
      </c>
      <c r="E747">
        <f t="shared" si="231"/>
        <v>1</v>
      </c>
      <c r="F747">
        <f t="shared" si="232"/>
        <v>0</v>
      </c>
      <c r="G747">
        <f t="shared" si="233"/>
        <v>1</v>
      </c>
      <c r="H747">
        <f t="shared" si="234"/>
        <v>0</v>
      </c>
      <c r="I747">
        <f t="shared" si="235"/>
        <v>1</v>
      </c>
      <c r="J747">
        <f t="shared" si="236"/>
        <v>1</v>
      </c>
      <c r="K747" s="45">
        <f t="shared" si="237"/>
        <v>0.14285714285714285</v>
      </c>
      <c r="L747" s="45">
        <f t="shared" si="238"/>
        <v>0</v>
      </c>
      <c r="M747" s="45">
        <f t="shared" si="239"/>
        <v>0.14285714285714285</v>
      </c>
      <c r="N747" s="45">
        <f t="shared" si="240"/>
        <v>0.14285714285714285</v>
      </c>
      <c r="O747" s="45">
        <f t="shared" si="241"/>
        <v>0.14285714285714285</v>
      </c>
      <c r="P747" s="45">
        <f t="shared" si="242"/>
        <v>0</v>
      </c>
      <c r="Q747" s="45">
        <f t="shared" si="243"/>
        <v>0.14285714285714285</v>
      </c>
      <c r="R747" s="45">
        <f t="shared" si="244"/>
        <v>0</v>
      </c>
      <c r="S747" s="45">
        <f t="shared" si="245"/>
        <v>0.14285714285714285</v>
      </c>
      <c r="T747" s="45">
        <f t="shared" si="246"/>
        <v>0.14285714285714285</v>
      </c>
    </row>
    <row r="748" spans="1:20" x14ac:dyDescent="0.3">
      <c r="A748">
        <f t="shared" si="227"/>
        <v>1</v>
      </c>
      <c r="B748">
        <f t="shared" si="228"/>
        <v>0</v>
      </c>
      <c r="C748">
        <f t="shared" si="229"/>
        <v>1</v>
      </c>
      <c r="D748">
        <f t="shared" si="230"/>
        <v>1</v>
      </c>
      <c r="E748">
        <f t="shared" si="231"/>
        <v>1</v>
      </c>
      <c r="F748">
        <f t="shared" si="232"/>
        <v>0</v>
      </c>
      <c r="G748">
        <f t="shared" si="233"/>
        <v>1</v>
      </c>
      <c r="H748">
        <f t="shared" si="234"/>
        <v>1</v>
      </c>
      <c r="I748">
        <f t="shared" si="235"/>
        <v>0</v>
      </c>
      <c r="J748">
        <f t="shared" si="236"/>
        <v>0</v>
      </c>
      <c r="K748" s="45">
        <f t="shared" si="237"/>
        <v>0.16666666666666666</v>
      </c>
      <c r="L748" s="45">
        <f t="shared" si="238"/>
        <v>0</v>
      </c>
      <c r="M748" s="45">
        <f t="shared" si="239"/>
        <v>0.16666666666666666</v>
      </c>
      <c r="N748" s="45">
        <f t="shared" si="240"/>
        <v>0.16666666666666666</v>
      </c>
      <c r="O748" s="45">
        <f t="shared" si="241"/>
        <v>0.16666666666666666</v>
      </c>
      <c r="P748" s="45">
        <f t="shared" si="242"/>
        <v>0</v>
      </c>
      <c r="Q748" s="45">
        <f t="shared" si="243"/>
        <v>0.16666666666666666</v>
      </c>
      <c r="R748" s="45">
        <f t="shared" si="244"/>
        <v>0.16666666666666666</v>
      </c>
      <c r="S748" s="45">
        <f t="shared" si="245"/>
        <v>0</v>
      </c>
      <c r="T748" s="45">
        <f t="shared" si="246"/>
        <v>0</v>
      </c>
    </row>
    <row r="749" spans="1:20" x14ac:dyDescent="0.3">
      <c r="A749">
        <f t="shared" si="227"/>
        <v>1</v>
      </c>
      <c r="B749">
        <f t="shared" si="228"/>
        <v>0</v>
      </c>
      <c r="C749">
        <f t="shared" si="229"/>
        <v>1</v>
      </c>
      <c r="D749">
        <f t="shared" si="230"/>
        <v>1</v>
      </c>
      <c r="E749">
        <f t="shared" si="231"/>
        <v>1</v>
      </c>
      <c r="F749">
        <f t="shared" si="232"/>
        <v>0</v>
      </c>
      <c r="G749">
        <f t="shared" si="233"/>
        <v>1</v>
      </c>
      <c r="H749">
        <f t="shared" si="234"/>
        <v>1</v>
      </c>
      <c r="I749">
        <f t="shared" si="235"/>
        <v>0</v>
      </c>
      <c r="J749">
        <f t="shared" si="236"/>
        <v>1</v>
      </c>
      <c r="K749" s="45">
        <f t="shared" si="237"/>
        <v>0.14285714285714285</v>
      </c>
      <c r="L749" s="45">
        <f t="shared" si="238"/>
        <v>0</v>
      </c>
      <c r="M749" s="45">
        <f t="shared" si="239"/>
        <v>0.14285714285714285</v>
      </c>
      <c r="N749" s="45">
        <f t="shared" si="240"/>
        <v>0.14285714285714285</v>
      </c>
      <c r="O749" s="45">
        <f t="shared" si="241"/>
        <v>0.14285714285714285</v>
      </c>
      <c r="P749" s="45">
        <f t="shared" si="242"/>
        <v>0</v>
      </c>
      <c r="Q749" s="45">
        <f t="shared" si="243"/>
        <v>0.14285714285714285</v>
      </c>
      <c r="R749" s="45">
        <f t="shared" si="244"/>
        <v>0.14285714285714285</v>
      </c>
      <c r="S749" s="45">
        <f t="shared" si="245"/>
        <v>0</v>
      </c>
      <c r="T749" s="45">
        <f t="shared" si="246"/>
        <v>0.14285714285714285</v>
      </c>
    </row>
    <row r="750" spans="1:20" x14ac:dyDescent="0.3">
      <c r="A750">
        <f t="shared" si="227"/>
        <v>1</v>
      </c>
      <c r="B750">
        <f t="shared" si="228"/>
        <v>0</v>
      </c>
      <c r="C750">
        <f t="shared" si="229"/>
        <v>1</v>
      </c>
      <c r="D750">
        <f t="shared" si="230"/>
        <v>1</v>
      </c>
      <c r="E750">
        <f t="shared" si="231"/>
        <v>1</v>
      </c>
      <c r="F750">
        <f t="shared" si="232"/>
        <v>0</v>
      </c>
      <c r="G750">
        <f t="shared" si="233"/>
        <v>1</v>
      </c>
      <c r="H750">
        <f t="shared" si="234"/>
        <v>1</v>
      </c>
      <c r="I750">
        <f t="shared" si="235"/>
        <v>1</v>
      </c>
      <c r="J750">
        <f t="shared" si="236"/>
        <v>0</v>
      </c>
      <c r="K750" s="45">
        <f t="shared" si="237"/>
        <v>0.14285714285714285</v>
      </c>
      <c r="L750" s="45">
        <f t="shared" si="238"/>
        <v>0</v>
      </c>
      <c r="M750" s="45">
        <f t="shared" si="239"/>
        <v>0.14285714285714285</v>
      </c>
      <c r="N750" s="45">
        <f t="shared" si="240"/>
        <v>0.14285714285714285</v>
      </c>
      <c r="O750" s="45">
        <f t="shared" si="241"/>
        <v>0.14285714285714285</v>
      </c>
      <c r="P750" s="45">
        <f t="shared" si="242"/>
        <v>0</v>
      </c>
      <c r="Q750" s="45">
        <f t="shared" si="243"/>
        <v>0.14285714285714285</v>
      </c>
      <c r="R750" s="45">
        <f t="shared" si="244"/>
        <v>0.14285714285714285</v>
      </c>
      <c r="S750" s="45">
        <f t="shared" si="245"/>
        <v>0.14285714285714285</v>
      </c>
      <c r="T750" s="45">
        <f t="shared" si="246"/>
        <v>0</v>
      </c>
    </row>
    <row r="751" spans="1:20" x14ac:dyDescent="0.3">
      <c r="A751">
        <f t="shared" si="227"/>
        <v>1</v>
      </c>
      <c r="B751">
        <f t="shared" si="228"/>
        <v>0</v>
      </c>
      <c r="C751">
        <f t="shared" si="229"/>
        <v>1</v>
      </c>
      <c r="D751">
        <f t="shared" si="230"/>
        <v>1</v>
      </c>
      <c r="E751">
        <f t="shared" si="231"/>
        <v>1</v>
      </c>
      <c r="F751">
        <f t="shared" si="232"/>
        <v>0</v>
      </c>
      <c r="G751">
        <f t="shared" si="233"/>
        <v>1</v>
      </c>
      <c r="H751">
        <f t="shared" si="234"/>
        <v>1</v>
      </c>
      <c r="I751">
        <f t="shared" si="235"/>
        <v>1</v>
      </c>
      <c r="J751">
        <f t="shared" si="236"/>
        <v>1</v>
      </c>
      <c r="K751" s="45">
        <f t="shared" si="237"/>
        <v>0.125</v>
      </c>
      <c r="L751" s="45">
        <f t="shared" si="238"/>
        <v>0</v>
      </c>
      <c r="M751" s="45">
        <f t="shared" si="239"/>
        <v>0.125</v>
      </c>
      <c r="N751" s="45">
        <f t="shared" si="240"/>
        <v>0.125</v>
      </c>
      <c r="O751" s="45">
        <f t="shared" si="241"/>
        <v>0.125</v>
      </c>
      <c r="P751" s="45">
        <f t="shared" si="242"/>
        <v>0</v>
      </c>
      <c r="Q751" s="45">
        <f t="shared" si="243"/>
        <v>0.125</v>
      </c>
      <c r="R751" s="45">
        <f t="shared" si="244"/>
        <v>0.125</v>
      </c>
      <c r="S751" s="45">
        <f t="shared" si="245"/>
        <v>0.125</v>
      </c>
      <c r="T751" s="45">
        <f t="shared" si="246"/>
        <v>0.125</v>
      </c>
    </row>
    <row r="752" spans="1:20" x14ac:dyDescent="0.3">
      <c r="A752">
        <f t="shared" si="227"/>
        <v>1</v>
      </c>
      <c r="B752">
        <f t="shared" si="228"/>
        <v>0</v>
      </c>
      <c r="C752">
        <f t="shared" si="229"/>
        <v>1</v>
      </c>
      <c r="D752">
        <f t="shared" si="230"/>
        <v>1</v>
      </c>
      <c r="E752">
        <f t="shared" si="231"/>
        <v>1</v>
      </c>
      <c r="F752">
        <f t="shared" si="232"/>
        <v>1</v>
      </c>
      <c r="G752">
        <f t="shared" si="233"/>
        <v>0</v>
      </c>
      <c r="H752">
        <f t="shared" si="234"/>
        <v>0</v>
      </c>
      <c r="I752">
        <f t="shared" si="235"/>
        <v>0</v>
      </c>
      <c r="J752">
        <f t="shared" si="236"/>
        <v>0</v>
      </c>
      <c r="K752" s="45">
        <f t="shared" si="237"/>
        <v>0.2</v>
      </c>
      <c r="L752" s="45">
        <f t="shared" si="238"/>
        <v>0</v>
      </c>
      <c r="M752" s="45">
        <f t="shared" si="239"/>
        <v>0.2</v>
      </c>
      <c r="N752" s="45">
        <f t="shared" si="240"/>
        <v>0.2</v>
      </c>
      <c r="O752" s="45">
        <f t="shared" si="241"/>
        <v>0.2</v>
      </c>
      <c r="P752" s="45">
        <f t="shared" si="242"/>
        <v>0.2</v>
      </c>
      <c r="Q752" s="45">
        <f t="shared" si="243"/>
        <v>0</v>
      </c>
      <c r="R752" s="45">
        <f t="shared" si="244"/>
        <v>0</v>
      </c>
      <c r="S752" s="45">
        <f t="shared" si="245"/>
        <v>0</v>
      </c>
      <c r="T752" s="45">
        <f t="shared" si="246"/>
        <v>0</v>
      </c>
    </row>
    <row r="753" spans="1:20" x14ac:dyDescent="0.3">
      <c r="A753">
        <f t="shared" si="227"/>
        <v>1</v>
      </c>
      <c r="B753">
        <f t="shared" si="228"/>
        <v>0</v>
      </c>
      <c r="C753">
        <f t="shared" si="229"/>
        <v>1</v>
      </c>
      <c r="D753">
        <f t="shared" si="230"/>
        <v>1</v>
      </c>
      <c r="E753">
        <f t="shared" si="231"/>
        <v>1</v>
      </c>
      <c r="F753">
        <f t="shared" si="232"/>
        <v>1</v>
      </c>
      <c r="G753">
        <f t="shared" si="233"/>
        <v>0</v>
      </c>
      <c r="H753">
        <f t="shared" si="234"/>
        <v>0</v>
      </c>
      <c r="I753">
        <f t="shared" si="235"/>
        <v>0</v>
      </c>
      <c r="J753">
        <f t="shared" si="236"/>
        <v>1</v>
      </c>
      <c r="K753" s="45">
        <f t="shared" si="237"/>
        <v>0.16666666666666666</v>
      </c>
      <c r="L753" s="45">
        <f t="shared" si="238"/>
        <v>0</v>
      </c>
      <c r="M753" s="45">
        <f t="shared" si="239"/>
        <v>0.16666666666666666</v>
      </c>
      <c r="N753" s="45">
        <f t="shared" si="240"/>
        <v>0.16666666666666666</v>
      </c>
      <c r="O753" s="45">
        <f t="shared" si="241"/>
        <v>0.16666666666666666</v>
      </c>
      <c r="P753" s="45">
        <f t="shared" si="242"/>
        <v>0.16666666666666666</v>
      </c>
      <c r="Q753" s="45">
        <f t="shared" si="243"/>
        <v>0</v>
      </c>
      <c r="R753" s="45">
        <f t="shared" si="244"/>
        <v>0</v>
      </c>
      <c r="S753" s="45">
        <f t="shared" si="245"/>
        <v>0</v>
      </c>
      <c r="T753" s="45">
        <f t="shared" si="246"/>
        <v>0.16666666666666666</v>
      </c>
    </row>
    <row r="754" spans="1:20" x14ac:dyDescent="0.3">
      <c r="A754">
        <f t="shared" si="227"/>
        <v>1</v>
      </c>
      <c r="B754">
        <f t="shared" si="228"/>
        <v>0</v>
      </c>
      <c r="C754">
        <f t="shared" si="229"/>
        <v>1</v>
      </c>
      <c r="D754">
        <f t="shared" si="230"/>
        <v>1</v>
      </c>
      <c r="E754">
        <f t="shared" si="231"/>
        <v>1</v>
      </c>
      <c r="F754">
        <f t="shared" si="232"/>
        <v>1</v>
      </c>
      <c r="G754">
        <f t="shared" si="233"/>
        <v>0</v>
      </c>
      <c r="H754">
        <f t="shared" si="234"/>
        <v>0</v>
      </c>
      <c r="I754">
        <f t="shared" si="235"/>
        <v>1</v>
      </c>
      <c r="J754">
        <f t="shared" si="236"/>
        <v>0</v>
      </c>
      <c r="K754" s="45">
        <f t="shared" si="237"/>
        <v>0.16666666666666666</v>
      </c>
      <c r="L754" s="45">
        <f t="shared" si="238"/>
        <v>0</v>
      </c>
      <c r="M754" s="45">
        <f t="shared" si="239"/>
        <v>0.16666666666666666</v>
      </c>
      <c r="N754" s="45">
        <f t="shared" si="240"/>
        <v>0.16666666666666666</v>
      </c>
      <c r="O754" s="45">
        <f t="shared" si="241"/>
        <v>0.16666666666666666</v>
      </c>
      <c r="P754" s="45">
        <f t="shared" si="242"/>
        <v>0.16666666666666666</v>
      </c>
      <c r="Q754" s="45">
        <f t="shared" si="243"/>
        <v>0</v>
      </c>
      <c r="R754" s="45">
        <f t="shared" si="244"/>
        <v>0</v>
      </c>
      <c r="S754" s="45">
        <f t="shared" si="245"/>
        <v>0.16666666666666666</v>
      </c>
      <c r="T754" s="45">
        <f t="shared" si="246"/>
        <v>0</v>
      </c>
    </row>
    <row r="755" spans="1:20" x14ac:dyDescent="0.3">
      <c r="A755">
        <f t="shared" si="227"/>
        <v>1</v>
      </c>
      <c r="B755">
        <f t="shared" si="228"/>
        <v>0</v>
      </c>
      <c r="C755">
        <f t="shared" si="229"/>
        <v>1</v>
      </c>
      <c r="D755">
        <f t="shared" si="230"/>
        <v>1</v>
      </c>
      <c r="E755">
        <f t="shared" si="231"/>
        <v>1</v>
      </c>
      <c r="F755">
        <f t="shared" si="232"/>
        <v>1</v>
      </c>
      <c r="G755">
        <f t="shared" si="233"/>
        <v>0</v>
      </c>
      <c r="H755">
        <f t="shared" si="234"/>
        <v>0</v>
      </c>
      <c r="I755">
        <f t="shared" si="235"/>
        <v>1</v>
      </c>
      <c r="J755">
        <f t="shared" si="236"/>
        <v>1</v>
      </c>
      <c r="K755" s="45">
        <f t="shared" si="237"/>
        <v>0.14285714285714285</v>
      </c>
      <c r="L755" s="45">
        <f t="shared" si="238"/>
        <v>0</v>
      </c>
      <c r="M755" s="45">
        <f t="shared" si="239"/>
        <v>0.14285714285714285</v>
      </c>
      <c r="N755" s="45">
        <f t="shared" si="240"/>
        <v>0.14285714285714285</v>
      </c>
      <c r="O755" s="45">
        <f t="shared" si="241"/>
        <v>0.14285714285714285</v>
      </c>
      <c r="P755" s="45">
        <f t="shared" si="242"/>
        <v>0.14285714285714285</v>
      </c>
      <c r="Q755" s="45">
        <f t="shared" si="243"/>
        <v>0</v>
      </c>
      <c r="R755" s="45">
        <f t="shared" si="244"/>
        <v>0</v>
      </c>
      <c r="S755" s="45">
        <f t="shared" si="245"/>
        <v>0.14285714285714285</v>
      </c>
      <c r="T755" s="45">
        <f t="shared" si="246"/>
        <v>0.14285714285714285</v>
      </c>
    </row>
    <row r="756" spans="1:20" x14ac:dyDescent="0.3">
      <c r="A756">
        <f t="shared" si="227"/>
        <v>1</v>
      </c>
      <c r="B756">
        <f t="shared" si="228"/>
        <v>0</v>
      </c>
      <c r="C756">
        <f t="shared" si="229"/>
        <v>1</v>
      </c>
      <c r="D756">
        <f t="shared" si="230"/>
        <v>1</v>
      </c>
      <c r="E756">
        <f t="shared" si="231"/>
        <v>1</v>
      </c>
      <c r="F756">
        <f t="shared" si="232"/>
        <v>1</v>
      </c>
      <c r="G756">
        <f t="shared" si="233"/>
        <v>0</v>
      </c>
      <c r="H756">
        <f t="shared" si="234"/>
        <v>1</v>
      </c>
      <c r="I756">
        <f t="shared" si="235"/>
        <v>0</v>
      </c>
      <c r="J756">
        <f t="shared" si="236"/>
        <v>0</v>
      </c>
      <c r="K756" s="45">
        <f t="shared" si="237"/>
        <v>0.16666666666666666</v>
      </c>
      <c r="L756" s="45">
        <f t="shared" si="238"/>
        <v>0</v>
      </c>
      <c r="M756" s="45">
        <f t="shared" si="239"/>
        <v>0.16666666666666666</v>
      </c>
      <c r="N756" s="45">
        <f t="shared" si="240"/>
        <v>0.16666666666666666</v>
      </c>
      <c r="O756" s="45">
        <f t="shared" si="241"/>
        <v>0.16666666666666666</v>
      </c>
      <c r="P756" s="45">
        <f t="shared" si="242"/>
        <v>0.16666666666666666</v>
      </c>
      <c r="Q756" s="45">
        <f t="shared" si="243"/>
        <v>0</v>
      </c>
      <c r="R756" s="45">
        <f t="shared" si="244"/>
        <v>0.16666666666666666</v>
      </c>
      <c r="S756" s="45">
        <f t="shared" si="245"/>
        <v>0</v>
      </c>
      <c r="T756" s="45">
        <f t="shared" si="246"/>
        <v>0</v>
      </c>
    </row>
    <row r="757" spans="1:20" x14ac:dyDescent="0.3">
      <c r="A757">
        <f t="shared" si="227"/>
        <v>1</v>
      </c>
      <c r="B757">
        <f t="shared" si="228"/>
        <v>0</v>
      </c>
      <c r="C757">
        <f t="shared" si="229"/>
        <v>1</v>
      </c>
      <c r="D757">
        <f t="shared" si="230"/>
        <v>1</v>
      </c>
      <c r="E757">
        <f t="shared" si="231"/>
        <v>1</v>
      </c>
      <c r="F757">
        <f t="shared" si="232"/>
        <v>1</v>
      </c>
      <c r="G757">
        <f t="shared" si="233"/>
        <v>0</v>
      </c>
      <c r="H757">
        <f t="shared" si="234"/>
        <v>1</v>
      </c>
      <c r="I757">
        <f t="shared" si="235"/>
        <v>0</v>
      </c>
      <c r="J757">
        <f t="shared" si="236"/>
        <v>1</v>
      </c>
      <c r="K757" s="45">
        <f t="shared" si="237"/>
        <v>0.14285714285714285</v>
      </c>
      <c r="L757" s="45">
        <f t="shared" si="238"/>
        <v>0</v>
      </c>
      <c r="M757" s="45">
        <f t="shared" si="239"/>
        <v>0.14285714285714285</v>
      </c>
      <c r="N757" s="45">
        <f t="shared" si="240"/>
        <v>0.14285714285714285</v>
      </c>
      <c r="O757" s="45">
        <f t="shared" si="241"/>
        <v>0.14285714285714285</v>
      </c>
      <c r="P757" s="45">
        <f t="shared" si="242"/>
        <v>0.14285714285714285</v>
      </c>
      <c r="Q757" s="45">
        <f t="shared" si="243"/>
        <v>0</v>
      </c>
      <c r="R757" s="45">
        <f t="shared" si="244"/>
        <v>0.14285714285714285</v>
      </c>
      <c r="S757" s="45">
        <f t="shared" si="245"/>
        <v>0</v>
      </c>
      <c r="T757" s="45">
        <f t="shared" si="246"/>
        <v>0.14285714285714285</v>
      </c>
    </row>
    <row r="758" spans="1:20" x14ac:dyDescent="0.3">
      <c r="A758">
        <f t="shared" si="227"/>
        <v>1</v>
      </c>
      <c r="B758">
        <f t="shared" si="228"/>
        <v>0</v>
      </c>
      <c r="C758">
        <f t="shared" si="229"/>
        <v>1</v>
      </c>
      <c r="D758">
        <f t="shared" si="230"/>
        <v>1</v>
      </c>
      <c r="E758">
        <f t="shared" si="231"/>
        <v>1</v>
      </c>
      <c r="F758">
        <f t="shared" si="232"/>
        <v>1</v>
      </c>
      <c r="G758">
        <f t="shared" si="233"/>
        <v>0</v>
      </c>
      <c r="H758">
        <f t="shared" si="234"/>
        <v>1</v>
      </c>
      <c r="I758">
        <f t="shared" si="235"/>
        <v>1</v>
      </c>
      <c r="J758">
        <f t="shared" si="236"/>
        <v>0</v>
      </c>
      <c r="K758" s="45">
        <f t="shared" si="237"/>
        <v>0.14285714285714285</v>
      </c>
      <c r="L758" s="45">
        <f t="shared" si="238"/>
        <v>0</v>
      </c>
      <c r="M758" s="45">
        <f t="shared" si="239"/>
        <v>0.14285714285714285</v>
      </c>
      <c r="N758" s="45">
        <f t="shared" si="240"/>
        <v>0.14285714285714285</v>
      </c>
      <c r="O758" s="45">
        <f t="shared" si="241"/>
        <v>0.14285714285714285</v>
      </c>
      <c r="P758" s="45">
        <f t="shared" si="242"/>
        <v>0.14285714285714285</v>
      </c>
      <c r="Q758" s="45">
        <f t="shared" si="243"/>
        <v>0</v>
      </c>
      <c r="R758" s="45">
        <f t="shared" si="244"/>
        <v>0.14285714285714285</v>
      </c>
      <c r="S758" s="45">
        <f t="shared" si="245"/>
        <v>0.14285714285714285</v>
      </c>
      <c r="T758" s="45">
        <f t="shared" si="246"/>
        <v>0</v>
      </c>
    </row>
    <row r="759" spans="1:20" x14ac:dyDescent="0.3">
      <c r="A759">
        <f t="shared" si="227"/>
        <v>1</v>
      </c>
      <c r="B759">
        <f t="shared" si="228"/>
        <v>0</v>
      </c>
      <c r="C759">
        <f t="shared" si="229"/>
        <v>1</v>
      </c>
      <c r="D759">
        <f t="shared" si="230"/>
        <v>1</v>
      </c>
      <c r="E759">
        <f t="shared" si="231"/>
        <v>1</v>
      </c>
      <c r="F759">
        <f t="shared" si="232"/>
        <v>1</v>
      </c>
      <c r="G759">
        <f t="shared" si="233"/>
        <v>0</v>
      </c>
      <c r="H759">
        <f t="shared" si="234"/>
        <v>1</v>
      </c>
      <c r="I759">
        <f t="shared" si="235"/>
        <v>1</v>
      </c>
      <c r="J759">
        <f t="shared" si="236"/>
        <v>1</v>
      </c>
      <c r="K759" s="45">
        <f t="shared" si="237"/>
        <v>0.125</v>
      </c>
      <c r="L759" s="45">
        <f t="shared" si="238"/>
        <v>0</v>
      </c>
      <c r="M759" s="45">
        <f t="shared" si="239"/>
        <v>0.125</v>
      </c>
      <c r="N759" s="45">
        <f t="shared" si="240"/>
        <v>0.125</v>
      </c>
      <c r="O759" s="45">
        <f t="shared" si="241"/>
        <v>0.125</v>
      </c>
      <c r="P759" s="45">
        <f t="shared" si="242"/>
        <v>0.125</v>
      </c>
      <c r="Q759" s="45">
        <f t="shared" si="243"/>
        <v>0</v>
      </c>
      <c r="R759" s="45">
        <f t="shared" si="244"/>
        <v>0.125</v>
      </c>
      <c r="S759" s="45">
        <f t="shared" si="245"/>
        <v>0.125</v>
      </c>
      <c r="T759" s="45">
        <f t="shared" si="246"/>
        <v>0.125</v>
      </c>
    </row>
    <row r="760" spans="1:20" x14ac:dyDescent="0.3">
      <c r="A760">
        <f t="shared" si="227"/>
        <v>1</v>
      </c>
      <c r="B760">
        <f t="shared" si="228"/>
        <v>0</v>
      </c>
      <c r="C760">
        <f t="shared" si="229"/>
        <v>1</v>
      </c>
      <c r="D760">
        <f t="shared" si="230"/>
        <v>1</v>
      </c>
      <c r="E760">
        <f t="shared" si="231"/>
        <v>1</v>
      </c>
      <c r="F760">
        <f t="shared" si="232"/>
        <v>1</v>
      </c>
      <c r="G760">
        <f t="shared" si="233"/>
        <v>1</v>
      </c>
      <c r="H760">
        <f t="shared" si="234"/>
        <v>0</v>
      </c>
      <c r="I760">
        <f t="shared" si="235"/>
        <v>0</v>
      </c>
      <c r="J760">
        <f t="shared" si="236"/>
        <v>0</v>
      </c>
      <c r="K760" s="45">
        <f t="shared" si="237"/>
        <v>0.16666666666666666</v>
      </c>
      <c r="L760" s="45">
        <f t="shared" si="238"/>
        <v>0</v>
      </c>
      <c r="M760" s="45">
        <f t="shared" si="239"/>
        <v>0.16666666666666666</v>
      </c>
      <c r="N760" s="45">
        <f t="shared" si="240"/>
        <v>0.16666666666666666</v>
      </c>
      <c r="O760" s="45">
        <f t="shared" si="241"/>
        <v>0.16666666666666666</v>
      </c>
      <c r="P760" s="45">
        <f t="shared" si="242"/>
        <v>0.16666666666666666</v>
      </c>
      <c r="Q760" s="45">
        <f t="shared" si="243"/>
        <v>0.16666666666666666</v>
      </c>
      <c r="R760" s="45">
        <f t="shared" si="244"/>
        <v>0</v>
      </c>
      <c r="S760" s="45">
        <f t="shared" si="245"/>
        <v>0</v>
      </c>
      <c r="T760" s="45">
        <f t="shared" si="246"/>
        <v>0</v>
      </c>
    </row>
    <row r="761" spans="1:20" x14ac:dyDescent="0.3">
      <c r="A761">
        <f t="shared" si="227"/>
        <v>1</v>
      </c>
      <c r="B761">
        <f t="shared" si="228"/>
        <v>0</v>
      </c>
      <c r="C761">
        <f t="shared" si="229"/>
        <v>1</v>
      </c>
      <c r="D761">
        <f t="shared" si="230"/>
        <v>1</v>
      </c>
      <c r="E761">
        <f t="shared" si="231"/>
        <v>1</v>
      </c>
      <c r="F761">
        <f t="shared" si="232"/>
        <v>1</v>
      </c>
      <c r="G761">
        <f t="shared" si="233"/>
        <v>1</v>
      </c>
      <c r="H761">
        <f t="shared" si="234"/>
        <v>0</v>
      </c>
      <c r="I761">
        <f t="shared" si="235"/>
        <v>0</v>
      </c>
      <c r="J761">
        <f t="shared" si="236"/>
        <v>1</v>
      </c>
      <c r="K761" s="45">
        <f t="shared" si="237"/>
        <v>0.14285714285714285</v>
      </c>
      <c r="L761" s="45">
        <f t="shared" si="238"/>
        <v>0</v>
      </c>
      <c r="M761" s="45">
        <f t="shared" si="239"/>
        <v>0.14285714285714285</v>
      </c>
      <c r="N761" s="45">
        <f t="shared" si="240"/>
        <v>0.14285714285714285</v>
      </c>
      <c r="O761" s="45">
        <f t="shared" si="241"/>
        <v>0.14285714285714285</v>
      </c>
      <c r="P761" s="45">
        <f t="shared" si="242"/>
        <v>0.14285714285714285</v>
      </c>
      <c r="Q761" s="45">
        <f t="shared" si="243"/>
        <v>0.14285714285714285</v>
      </c>
      <c r="R761" s="45">
        <f t="shared" si="244"/>
        <v>0</v>
      </c>
      <c r="S761" s="45">
        <f t="shared" si="245"/>
        <v>0</v>
      </c>
      <c r="T761" s="45">
        <f t="shared" si="246"/>
        <v>0.14285714285714285</v>
      </c>
    </row>
    <row r="762" spans="1:20" x14ac:dyDescent="0.3">
      <c r="A762">
        <f t="shared" si="227"/>
        <v>1</v>
      </c>
      <c r="B762">
        <f t="shared" si="228"/>
        <v>0</v>
      </c>
      <c r="C762">
        <f t="shared" si="229"/>
        <v>1</v>
      </c>
      <c r="D762">
        <f t="shared" si="230"/>
        <v>1</v>
      </c>
      <c r="E762">
        <f t="shared" si="231"/>
        <v>1</v>
      </c>
      <c r="F762">
        <f t="shared" si="232"/>
        <v>1</v>
      </c>
      <c r="G762">
        <f t="shared" si="233"/>
        <v>1</v>
      </c>
      <c r="H762">
        <f t="shared" si="234"/>
        <v>0</v>
      </c>
      <c r="I762">
        <f t="shared" si="235"/>
        <v>1</v>
      </c>
      <c r="J762">
        <f t="shared" si="236"/>
        <v>0</v>
      </c>
      <c r="K762" s="45">
        <f t="shared" si="237"/>
        <v>0.14285714285714285</v>
      </c>
      <c r="L762" s="45">
        <f t="shared" si="238"/>
        <v>0</v>
      </c>
      <c r="M762" s="45">
        <f t="shared" si="239"/>
        <v>0.14285714285714285</v>
      </c>
      <c r="N762" s="45">
        <f t="shared" si="240"/>
        <v>0.14285714285714285</v>
      </c>
      <c r="O762" s="45">
        <f t="shared" si="241"/>
        <v>0.14285714285714285</v>
      </c>
      <c r="P762" s="45">
        <f t="shared" si="242"/>
        <v>0.14285714285714285</v>
      </c>
      <c r="Q762" s="45">
        <f t="shared" si="243"/>
        <v>0.14285714285714285</v>
      </c>
      <c r="R762" s="45">
        <f t="shared" si="244"/>
        <v>0</v>
      </c>
      <c r="S762" s="45">
        <f t="shared" si="245"/>
        <v>0.14285714285714285</v>
      </c>
      <c r="T762" s="45">
        <f t="shared" si="246"/>
        <v>0</v>
      </c>
    </row>
    <row r="763" spans="1:20" x14ac:dyDescent="0.3">
      <c r="A763">
        <f t="shared" si="227"/>
        <v>1</v>
      </c>
      <c r="B763">
        <f t="shared" si="228"/>
        <v>0</v>
      </c>
      <c r="C763">
        <f t="shared" si="229"/>
        <v>1</v>
      </c>
      <c r="D763">
        <f t="shared" si="230"/>
        <v>1</v>
      </c>
      <c r="E763">
        <f t="shared" si="231"/>
        <v>1</v>
      </c>
      <c r="F763">
        <f t="shared" si="232"/>
        <v>1</v>
      </c>
      <c r="G763">
        <f t="shared" si="233"/>
        <v>1</v>
      </c>
      <c r="H763">
        <f t="shared" si="234"/>
        <v>0</v>
      </c>
      <c r="I763">
        <f t="shared" si="235"/>
        <v>1</v>
      </c>
      <c r="J763">
        <f t="shared" si="236"/>
        <v>1</v>
      </c>
      <c r="K763" s="45">
        <f t="shared" si="237"/>
        <v>0.125</v>
      </c>
      <c r="L763" s="45">
        <f t="shared" si="238"/>
        <v>0</v>
      </c>
      <c r="M763" s="45">
        <f t="shared" si="239"/>
        <v>0.125</v>
      </c>
      <c r="N763" s="45">
        <f t="shared" si="240"/>
        <v>0.125</v>
      </c>
      <c r="O763" s="45">
        <f t="shared" si="241"/>
        <v>0.125</v>
      </c>
      <c r="P763" s="45">
        <f t="shared" si="242"/>
        <v>0.125</v>
      </c>
      <c r="Q763" s="45">
        <f t="shared" si="243"/>
        <v>0.125</v>
      </c>
      <c r="R763" s="45">
        <f t="shared" si="244"/>
        <v>0</v>
      </c>
      <c r="S763" s="45">
        <f t="shared" si="245"/>
        <v>0.125</v>
      </c>
      <c r="T763" s="45">
        <f t="shared" si="246"/>
        <v>0.125</v>
      </c>
    </row>
    <row r="764" spans="1:20" x14ac:dyDescent="0.3">
      <c r="A764">
        <f t="shared" si="227"/>
        <v>1</v>
      </c>
      <c r="B764">
        <f t="shared" si="228"/>
        <v>0</v>
      </c>
      <c r="C764">
        <f t="shared" si="229"/>
        <v>1</v>
      </c>
      <c r="D764">
        <f t="shared" si="230"/>
        <v>1</v>
      </c>
      <c r="E764">
        <f t="shared" si="231"/>
        <v>1</v>
      </c>
      <c r="F764">
        <f t="shared" si="232"/>
        <v>1</v>
      </c>
      <c r="G764">
        <f t="shared" si="233"/>
        <v>1</v>
      </c>
      <c r="H764">
        <f t="shared" si="234"/>
        <v>1</v>
      </c>
      <c r="I764">
        <f t="shared" si="235"/>
        <v>0</v>
      </c>
      <c r="J764">
        <f t="shared" si="236"/>
        <v>0</v>
      </c>
      <c r="K764" s="45">
        <f t="shared" si="237"/>
        <v>0.14285714285714285</v>
      </c>
      <c r="L764" s="45">
        <f t="shared" si="238"/>
        <v>0</v>
      </c>
      <c r="M764" s="45">
        <f t="shared" si="239"/>
        <v>0.14285714285714285</v>
      </c>
      <c r="N764" s="45">
        <f t="shared" si="240"/>
        <v>0.14285714285714285</v>
      </c>
      <c r="O764" s="45">
        <f t="shared" si="241"/>
        <v>0.14285714285714285</v>
      </c>
      <c r="P764" s="45">
        <f t="shared" si="242"/>
        <v>0.14285714285714285</v>
      </c>
      <c r="Q764" s="45">
        <f t="shared" si="243"/>
        <v>0.14285714285714285</v>
      </c>
      <c r="R764" s="45">
        <f t="shared" si="244"/>
        <v>0.14285714285714285</v>
      </c>
      <c r="S764" s="45">
        <f t="shared" si="245"/>
        <v>0</v>
      </c>
      <c r="T764" s="45">
        <f t="shared" si="246"/>
        <v>0</v>
      </c>
    </row>
    <row r="765" spans="1:20" x14ac:dyDescent="0.3">
      <c r="A765">
        <f t="shared" si="227"/>
        <v>1</v>
      </c>
      <c r="B765">
        <f t="shared" si="228"/>
        <v>0</v>
      </c>
      <c r="C765">
        <f t="shared" si="229"/>
        <v>1</v>
      </c>
      <c r="D765">
        <f t="shared" si="230"/>
        <v>1</v>
      </c>
      <c r="E765">
        <f t="shared" si="231"/>
        <v>1</v>
      </c>
      <c r="F765">
        <f t="shared" si="232"/>
        <v>1</v>
      </c>
      <c r="G765">
        <f t="shared" si="233"/>
        <v>1</v>
      </c>
      <c r="H765">
        <f t="shared" si="234"/>
        <v>1</v>
      </c>
      <c r="I765">
        <f t="shared" si="235"/>
        <v>0</v>
      </c>
      <c r="J765">
        <f t="shared" si="236"/>
        <v>1</v>
      </c>
      <c r="K765" s="45">
        <f t="shared" si="237"/>
        <v>0.125</v>
      </c>
      <c r="L765" s="45">
        <f t="shared" si="238"/>
        <v>0</v>
      </c>
      <c r="M765" s="45">
        <f t="shared" si="239"/>
        <v>0.125</v>
      </c>
      <c r="N765" s="45">
        <f t="shared" si="240"/>
        <v>0.125</v>
      </c>
      <c r="O765" s="45">
        <f t="shared" si="241"/>
        <v>0.125</v>
      </c>
      <c r="P765" s="45">
        <f t="shared" si="242"/>
        <v>0.125</v>
      </c>
      <c r="Q765" s="45">
        <f t="shared" si="243"/>
        <v>0.125</v>
      </c>
      <c r="R765" s="45">
        <f t="shared" si="244"/>
        <v>0.125</v>
      </c>
      <c r="S765" s="45">
        <f t="shared" si="245"/>
        <v>0</v>
      </c>
      <c r="T765" s="45">
        <f t="shared" si="246"/>
        <v>0.125</v>
      </c>
    </row>
    <row r="766" spans="1:20" x14ac:dyDescent="0.3">
      <c r="A766">
        <f t="shared" si="227"/>
        <v>1</v>
      </c>
      <c r="B766">
        <f t="shared" si="228"/>
        <v>0</v>
      </c>
      <c r="C766">
        <f t="shared" si="229"/>
        <v>1</v>
      </c>
      <c r="D766">
        <f t="shared" si="230"/>
        <v>1</v>
      </c>
      <c r="E766">
        <f t="shared" si="231"/>
        <v>1</v>
      </c>
      <c r="F766">
        <f t="shared" si="232"/>
        <v>1</v>
      </c>
      <c r="G766">
        <f t="shared" si="233"/>
        <v>1</v>
      </c>
      <c r="H766">
        <f t="shared" si="234"/>
        <v>1</v>
      </c>
      <c r="I766">
        <f t="shared" si="235"/>
        <v>1</v>
      </c>
      <c r="J766">
        <f t="shared" si="236"/>
        <v>0</v>
      </c>
      <c r="K766" s="45">
        <f t="shared" si="237"/>
        <v>0.125</v>
      </c>
      <c r="L766" s="45">
        <f t="shared" si="238"/>
        <v>0</v>
      </c>
      <c r="M766" s="45">
        <f t="shared" si="239"/>
        <v>0.125</v>
      </c>
      <c r="N766" s="45">
        <f t="shared" si="240"/>
        <v>0.125</v>
      </c>
      <c r="O766" s="45">
        <f t="shared" si="241"/>
        <v>0.125</v>
      </c>
      <c r="P766" s="45">
        <f t="shared" si="242"/>
        <v>0.125</v>
      </c>
      <c r="Q766" s="45">
        <f t="shared" si="243"/>
        <v>0.125</v>
      </c>
      <c r="R766" s="45">
        <f t="shared" si="244"/>
        <v>0.125</v>
      </c>
      <c r="S766" s="45">
        <f t="shared" si="245"/>
        <v>0.125</v>
      </c>
      <c r="T766" s="45">
        <f t="shared" si="246"/>
        <v>0</v>
      </c>
    </row>
    <row r="767" spans="1:20" x14ac:dyDescent="0.3">
      <c r="A767">
        <f t="shared" si="227"/>
        <v>1</v>
      </c>
      <c r="B767">
        <f t="shared" si="228"/>
        <v>0</v>
      </c>
      <c r="C767">
        <f t="shared" si="229"/>
        <v>1</v>
      </c>
      <c r="D767">
        <f t="shared" si="230"/>
        <v>1</v>
      </c>
      <c r="E767">
        <f t="shared" si="231"/>
        <v>1</v>
      </c>
      <c r="F767">
        <f t="shared" si="232"/>
        <v>1</v>
      </c>
      <c r="G767">
        <f t="shared" si="233"/>
        <v>1</v>
      </c>
      <c r="H767">
        <f t="shared" si="234"/>
        <v>1</v>
      </c>
      <c r="I767">
        <f t="shared" si="235"/>
        <v>1</v>
      </c>
      <c r="J767">
        <f t="shared" si="236"/>
        <v>1</v>
      </c>
      <c r="K767" s="45">
        <f t="shared" si="237"/>
        <v>0.1111111111111111</v>
      </c>
      <c r="L767" s="45">
        <f t="shared" si="238"/>
        <v>0</v>
      </c>
      <c r="M767" s="45">
        <f t="shared" si="239"/>
        <v>0.1111111111111111</v>
      </c>
      <c r="N767" s="45">
        <f t="shared" si="240"/>
        <v>0.1111111111111111</v>
      </c>
      <c r="O767" s="45">
        <f t="shared" si="241"/>
        <v>0.1111111111111111</v>
      </c>
      <c r="P767" s="45">
        <f t="shared" si="242"/>
        <v>0.1111111111111111</v>
      </c>
      <c r="Q767" s="45">
        <f t="shared" si="243"/>
        <v>0.1111111111111111</v>
      </c>
      <c r="R767" s="45">
        <f t="shared" si="244"/>
        <v>0.1111111111111111</v>
      </c>
      <c r="S767" s="45">
        <f t="shared" si="245"/>
        <v>0.1111111111111111</v>
      </c>
      <c r="T767" s="45">
        <f t="shared" si="246"/>
        <v>0.1111111111111111</v>
      </c>
    </row>
    <row r="768" spans="1:20" x14ac:dyDescent="0.3">
      <c r="A768">
        <f t="shared" si="227"/>
        <v>1</v>
      </c>
      <c r="B768">
        <f t="shared" si="228"/>
        <v>1</v>
      </c>
      <c r="C768">
        <f t="shared" si="229"/>
        <v>0</v>
      </c>
      <c r="D768">
        <f t="shared" si="230"/>
        <v>0</v>
      </c>
      <c r="E768">
        <f t="shared" si="231"/>
        <v>0</v>
      </c>
      <c r="F768">
        <f t="shared" si="232"/>
        <v>0</v>
      </c>
      <c r="G768">
        <f t="shared" si="233"/>
        <v>0</v>
      </c>
      <c r="H768">
        <f t="shared" si="234"/>
        <v>0</v>
      </c>
      <c r="I768">
        <f t="shared" si="235"/>
        <v>0</v>
      </c>
      <c r="J768">
        <f t="shared" si="236"/>
        <v>0</v>
      </c>
      <c r="K768" s="45">
        <f t="shared" si="237"/>
        <v>0.5</v>
      </c>
      <c r="L768" s="45">
        <f t="shared" si="238"/>
        <v>0.5</v>
      </c>
      <c r="M768" s="45">
        <f t="shared" si="239"/>
        <v>0</v>
      </c>
      <c r="N768" s="45">
        <f t="shared" si="240"/>
        <v>0</v>
      </c>
      <c r="O768" s="45">
        <f t="shared" si="241"/>
        <v>0</v>
      </c>
      <c r="P768" s="45">
        <f t="shared" si="242"/>
        <v>0</v>
      </c>
      <c r="Q768" s="45">
        <f t="shared" si="243"/>
        <v>0</v>
      </c>
      <c r="R768" s="45">
        <f t="shared" si="244"/>
        <v>0</v>
      </c>
      <c r="S768" s="45">
        <f t="shared" si="245"/>
        <v>0</v>
      </c>
      <c r="T768" s="45">
        <f t="shared" si="246"/>
        <v>0</v>
      </c>
    </row>
    <row r="769" spans="1:20" x14ac:dyDescent="0.3">
      <c r="A769">
        <f t="shared" si="227"/>
        <v>1</v>
      </c>
      <c r="B769">
        <f t="shared" si="228"/>
        <v>1</v>
      </c>
      <c r="C769">
        <f t="shared" si="229"/>
        <v>0</v>
      </c>
      <c r="D769">
        <f t="shared" si="230"/>
        <v>0</v>
      </c>
      <c r="E769">
        <f t="shared" si="231"/>
        <v>0</v>
      </c>
      <c r="F769">
        <f t="shared" si="232"/>
        <v>0</v>
      </c>
      <c r="G769">
        <f t="shared" si="233"/>
        <v>0</v>
      </c>
      <c r="H769">
        <f t="shared" si="234"/>
        <v>0</v>
      </c>
      <c r="I769">
        <f t="shared" si="235"/>
        <v>0</v>
      </c>
      <c r="J769">
        <f t="shared" si="236"/>
        <v>1</v>
      </c>
      <c r="K769" s="45">
        <f t="shared" si="237"/>
        <v>0.33333333333333331</v>
      </c>
      <c r="L769" s="45">
        <f t="shared" si="238"/>
        <v>0.33333333333333331</v>
      </c>
      <c r="M769" s="45">
        <f t="shared" si="239"/>
        <v>0</v>
      </c>
      <c r="N769" s="45">
        <f t="shared" si="240"/>
        <v>0</v>
      </c>
      <c r="O769" s="45">
        <f t="shared" si="241"/>
        <v>0</v>
      </c>
      <c r="P769" s="45">
        <f t="shared" si="242"/>
        <v>0</v>
      </c>
      <c r="Q769" s="45">
        <f t="shared" si="243"/>
        <v>0</v>
      </c>
      <c r="R769" s="45">
        <f t="shared" si="244"/>
        <v>0</v>
      </c>
      <c r="S769" s="45">
        <f t="shared" si="245"/>
        <v>0</v>
      </c>
      <c r="T769" s="45">
        <f t="shared" si="246"/>
        <v>0.33333333333333331</v>
      </c>
    </row>
    <row r="770" spans="1:20" x14ac:dyDescent="0.3">
      <c r="A770">
        <f t="shared" ref="A770:A833" si="247">INT( MOD(ROW()+0,1024)/512)</f>
        <v>1</v>
      </c>
      <c r="B770">
        <f t="shared" ref="B770:B833" si="248">INT( MOD(ROW()+0,512)/256)</f>
        <v>1</v>
      </c>
      <c r="C770">
        <f t="shared" ref="C770:C833" si="249">INT( MOD(ROW()+0,256)/128)</f>
        <v>0</v>
      </c>
      <c r="D770">
        <f t="shared" ref="D770:D833" si="250">INT( MOD(ROW()+0,128)/64)</f>
        <v>0</v>
      </c>
      <c r="E770">
        <f t="shared" ref="E770:E833" si="251">INT( MOD(ROW()+0,64)/32)</f>
        <v>0</v>
      </c>
      <c r="F770">
        <f t="shared" ref="F770:F833" si="252">INT( MOD(ROW()+0,32)/16)</f>
        <v>0</v>
      </c>
      <c r="G770">
        <f t="shared" ref="G770:G833" si="253">INT( MOD(ROW()+0,16)/8)</f>
        <v>0</v>
      </c>
      <c r="H770">
        <f t="shared" ref="H770:H833" si="254">INT( MOD(ROW()+0,8)/4)</f>
        <v>0</v>
      </c>
      <c r="I770">
        <f t="shared" ref="I770:I833" si="255">INT( MOD(ROW()+0,4)/2)</f>
        <v>1</v>
      </c>
      <c r="J770">
        <f t="shared" ref="J770:J833" si="256">INT( MOD(ROW()+0,2)/1)</f>
        <v>0</v>
      </c>
      <c r="K770" s="45">
        <f t="shared" ref="K770:K833" si="257">A770/SUM($A770:$J770)</f>
        <v>0.33333333333333331</v>
      </c>
      <c r="L770" s="45">
        <f t="shared" ref="L770:L833" si="258">B770/SUM($A770:$J770)</f>
        <v>0.33333333333333331</v>
      </c>
      <c r="M770" s="45">
        <f t="shared" ref="M770:M833" si="259">C770/SUM($A770:$J770)</f>
        <v>0</v>
      </c>
      <c r="N770" s="45">
        <f t="shared" ref="N770:N833" si="260">D770/SUM($A770:$J770)</f>
        <v>0</v>
      </c>
      <c r="O770" s="45">
        <f t="shared" ref="O770:O833" si="261">E770/SUM($A770:$J770)</f>
        <v>0</v>
      </c>
      <c r="P770" s="45">
        <f t="shared" ref="P770:P833" si="262">F770/SUM($A770:$J770)</f>
        <v>0</v>
      </c>
      <c r="Q770" s="45">
        <f t="shared" ref="Q770:Q833" si="263">G770/SUM($A770:$J770)</f>
        <v>0</v>
      </c>
      <c r="R770" s="45">
        <f t="shared" ref="R770:R833" si="264">H770/SUM($A770:$J770)</f>
        <v>0</v>
      </c>
      <c r="S770" s="45">
        <f t="shared" ref="S770:S833" si="265">I770/SUM($A770:$J770)</f>
        <v>0.33333333333333331</v>
      </c>
      <c r="T770" s="45">
        <f t="shared" ref="T770:T833" si="266">J770/SUM($A770:$J770)</f>
        <v>0</v>
      </c>
    </row>
    <row r="771" spans="1:20" x14ac:dyDescent="0.3">
      <c r="A771">
        <f t="shared" si="247"/>
        <v>1</v>
      </c>
      <c r="B771">
        <f t="shared" si="248"/>
        <v>1</v>
      </c>
      <c r="C771">
        <f t="shared" si="249"/>
        <v>0</v>
      </c>
      <c r="D771">
        <f t="shared" si="250"/>
        <v>0</v>
      </c>
      <c r="E771">
        <f t="shared" si="251"/>
        <v>0</v>
      </c>
      <c r="F771">
        <f t="shared" si="252"/>
        <v>0</v>
      </c>
      <c r="G771">
        <f t="shared" si="253"/>
        <v>0</v>
      </c>
      <c r="H771">
        <f t="shared" si="254"/>
        <v>0</v>
      </c>
      <c r="I771">
        <f t="shared" si="255"/>
        <v>1</v>
      </c>
      <c r="J771">
        <f t="shared" si="256"/>
        <v>1</v>
      </c>
      <c r="K771" s="45">
        <f t="shared" si="257"/>
        <v>0.25</v>
      </c>
      <c r="L771" s="45">
        <f t="shared" si="258"/>
        <v>0.25</v>
      </c>
      <c r="M771" s="45">
        <f t="shared" si="259"/>
        <v>0</v>
      </c>
      <c r="N771" s="45">
        <f t="shared" si="260"/>
        <v>0</v>
      </c>
      <c r="O771" s="45">
        <f t="shared" si="261"/>
        <v>0</v>
      </c>
      <c r="P771" s="45">
        <f t="shared" si="262"/>
        <v>0</v>
      </c>
      <c r="Q771" s="45">
        <f t="shared" si="263"/>
        <v>0</v>
      </c>
      <c r="R771" s="45">
        <f t="shared" si="264"/>
        <v>0</v>
      </c>
      <c r="S771" s="45">
        <f t="shared" si="265"/>
        <v>0.25</v>
      </c>
      <c r="T771" s="45">
        <f t="shared" si="266"/>
        <v>0.25</v>
      </c>
    </row>
    <row r="772" spans="1:20" x14ac:dyDescent="0.3">
      <c r="A772">
        <f t="shared" si="247"/>
        <v>1</v>
      </c>
      <c r="B772">
        <f t="shared" si="248"/>
        <v>1</v>
      </c>
      <c r="C772">
        <f t="shared" si="249"/>
        <v>0</v>
      </c>
      <c r="D772">
        <f t="shared" si="250"/>
        <v>0</v>
      </c>
      <c r="E772">
        <f t="shared" si="251"/>
        <v>0</v>
      </c>
      <c r="F772">
        <f t="shared" si="252"/>
        <v>0</v>
      </c>
      <c r="G772">
        <f t="shared" si="253"/>
        <v>0</v>
      </c>
      <c r="H772">
        <f t="shared" si="254"/>
        <v>1</v>
      </c>
      <c r="I772">
        <f t="shared" si="255"/>
        <v>0</v>
      </c>
      <c r="J772">
        <f t="shared" si="256"/>
        <v>0</v>
      </c>
      <c r="K772" s="45">
        <f t="shared" si="257"/>
        <v>0.33333333333333331</v>
      </c>
      <c r="L772" s="45">
        <f t="shared" si="258"/>
        <v>0.33333333333333331</v>
      </c>
      <c r="M772" s="45">
        <f t="shared" si="259"/>
        <v>0</v>
      </c>
      <c r="N772" s="45">
        <f t="shared" si="260"/>
        <v>0</v>
      </c>
      <c r="O772" s="45">
        <f t="shared" si="261"/>
        <v>0</v>
      </c>
      <c r="P772" s="45">
        <f t="shared" si="262"/>
        <v>0</v>
      </c>
      <c r="Q772" s="45">
        <f t="shared" si="263"/>
        <v>0</v>
      </c>
      <c r="R772" s="45">
        <f t="shared" si="264"/>
        <v>0.33333333333333331</v>
      </c>
      <c r="S772" s="45">
        <f t="shared" si="265"/>
        <v>0</v>
      </c>
      <c r="T772" s="45">
        <f t="shared" si="266"/>
        <v>0</v>
      </c>
    </row>
    <row r="773" spans="1:20" x14ac:dyDescent="0.3">
      <c r="A773">
        <f t="shared" si="247"/>
        <v>1</v>
      </c>
      <c r="B773">
        <f t="shared" si="248"/>
        <v>1</v>
      </c>
      <c r="C773">
        <f t="shared" si="249"/>
        <v>0</v>
      </c>
      <c r="D773">
        <f t="shared" si="250"/>
        <v>0</v>
      </c>
      <c r="E773">
        <f t="shared" si="251"/>
        <v>0</v>
      </c>
      <c r="F773">
        <f t="shared" si="252"/>
        <v>0</v>
      </c>
      <c r="G773">
        <f t="shared" si="253"/>
        <v>0</v>
      </c>
      <c r="H773">
        <f t="shared" si="254"/>
        <v>1</v>
      </c>
      <c r="I773">
        <f t="shared" si="255"/>
        <v>0</v>
      </c>
      <c r="J773">
        <f t="shared" si="256"/>
        <v>1</v>
      </c>
      <c r="K773" s="45">
        <f t="shared" si="257"/>
        <v>0.25</v>
      </c>
      <c r="L773" s="45">
        <f t="shared" si="258"/>
        <v>0.25</v>
      </c>
      <c r="M773" s="45">
        <f t="shared" si="259"/>
        <v>0</v>
      </c>
      <c r="N773" s="45">
        <f t="shared" si="260"/>
        <v>0</v>
      </c>
      <c r="O773" s="45">
        <f t="shared" si="261"/>
        <v>0</v>
      </c>
      <c r="P773" s="45">
        <f t="shared" si="262"/>
        <v>0</v>
      </c>
      <c r="Q773" s="45">
        <f t="shared" si="263"/>
        <v>0</v>
      </c>
      <c r="R773" s="45">
        <f t="shared" si="264"/>
        <v>0.25</v>
      </c>
      <c r="S773" s="45">
        <f t="shared" si="265"/>
        <v>0</v>
      </c>
      <c r="T773" s="45">
        <f t="shared" si="266"/>
        <v>0.25</v>
      </c>
    </row>
    <row r="774" spans="1:20" x14ac:dyDescent="0.3">
      <c r="A774">
        <f t="shared" si="247"/>
        <v>1</v>
      </c>
      <c r="B774">
        <f t="shared" si="248"/>
        <v>1</v>
      </c>
      <c r="C774">
        <f t="shared" si="249"/>
        <v>0</v>
      </c>
      <c r="D774">
        <f t="shared" si="250"/>
        <v>0</v>
      </c>
      <c r="E774">
        <f t="shared" si="251"/>
        <v>0</v>
      </c>
      <c r="F774">
        <f t="shared" si="252"/>
        <v>0</v>
      </c>
      <c r="G774">
        <f t="shared" si="253"/>
        <v>0</v>
      </c>
      <c r="H774">
        <f t="shared" si="254"/>
        <v>1</v>
      </c>
      <c r="I774">
        <f t="shared" si="255"/>
        <v>1</v>
      </c>
      <c r="J774">
        <f t="shared" si="256"/>
        <v>0</v>
      </c>
      <c r="K774" s="45">
        <f t="shared" si="257"/>
        <v>0.25</v>
      </c>
      <c r="L774" s="45">
        <f t="shared" si="258"/>
        <v>0.25</v>
      </c>
      <c r="M774" s="45">
        <f t="shared" si="259"/>
        <v>0</v>
      </c>
      <c r="N774" s="45">
        <f t="shared" si="260"/>
        <v>0</v>
      </c>
      <c r="O774" s="45">
        <f t="shared" si="261"/>
        <v>0</v>
      </c>
      <c r="P774" s="45">
        <f t="shared" si="262"/>
        <v>0</v>
      </c>
      <c r="Q774" s="45">
        <f t="shared" si="263"/>
        <v>0</v>
      </c>
      <c r="R774" s="45">
        <f t="shared" si="264"/>
        <v>0.25</v>
      </c>
      <c r="S774" s="45">
        <f t="shared" si="265"/>
        <v>0.25</v>
      </c>
      <c r="T774" s="45">
        <f t="shared" si="266"/>
        <v>0</v>
      </c>
    </row>
    <row r="775" spans="1:20" x14ac:dyDescent="0.3">
      <c r="A775">
        <f t="shared" si="247"/>
        <v>1</v>
      </c>
      <c r="B775">
        <f t="shared" si="248"/>
        <v>1</v>
      </c>
      <c r="C775">
        <f t="shared" si="249"/>
        <v>0</v>
      </c>
      <c r="D775">
        <f t="shared" si="250"/>
        <v>0</v>
      </c>
      <c r="E775">
        <f t="shared" si="251"/>
        <v>0</v>
      </c>
      <c r="F775">
        <f t="shared" si="252"/>
        <v>0</v>
      </c>
      <c r="G775">
        <f t="shared" si="253"/>
        <v>0</v>
      </c>
      <c r="H775">
        <f t="shared" si="254"/>
        <v>1</v>
      </c>
      <c r="I775">
        <f t="shared" si="255"/>
        <v>1</v>
      </c>
      <c r="J775">
        <f t="shared" si="256"/>
        <v>1</v>
      </c>
      <c r="K775" s="45">
        <f t="shared" si="257"/>
        <v>0.2</v>
      </c>
      <c r="L775" s="45">
        <f t="shared" si="258"/>
        <v>0.2</v>
      </c>
      <c r="M775" s="45">
        <f t="shared" si="259"/>
        <v>0</v>
      </c>
      <c r="N775" s="45">
        <f t="shared" si="260"/>
        <v>0</v>
      </c>
      <c r="O775" s="45">
        <f t="shared" si="261"/>
        <v>0</v>
      </c>
      <c r="P775" s="45">
        <f t="shared" si="262"/>
        <v>0</v>
      </c>
      <c r="Q775" s="45">
        <f t="shared" si="263"/>
        <v>0</v>
      </c>
      <c r="R775" s="45">
        <f t="shared" si="264"/>
        <v>0.2</v>
      </c>
      <c r="S775" s="45">
        <f t="shared" si="265"/>
        <v>0.2</v>
      </c>
      <c r="T775" s="45">
        <f t="shared" si="266"/>
        <v>0.2</v>
      </c>
    </row>
    <row r="776" spans="1:20" x14ac:dyDescent="0.3">
      <c r="A776">
        <f t="shared" si="247"/>
        <v>1</v>
      </c>
      <c r="B776">
        <f t="shared" si="248"/>
        <v>1</v>
      </c>
      <c r="C776">
        <f t="shared" si="249"/>
        <v>0</v>
      </c>
      <c r="D776">
        <f t="shared" si="250"/>
        <v>0</v>
      </c>
      <c r="E776">
        <f t="shared" si="251"/>
        <v>0</v>
      </c>
      <c r="F776">
        <f t="shared" si="252"/>
        <v>0</v>
      </c>
      <c r="G776">
        <f t="shared" si="253"/>
        <v>1</v>
      </c>
      <c r="H776">
        <f t="shared" si="254"/>
        <v>0</v>
      </c>
      <c r="I776">
        <f t="shared" si="255"/>
        <v>0</v>
      </c>
      <c r="J776">
        <f t="shared" si="256"/>
        <v>0</v>
      </c>
      <c r="K776" s="45">
        <f t="shared" si="257"/>
        <v>0.33333333333333331</v>
      </c>
      <c r="L776" s="45">
        <f t="shared" si="258"/>
        <v>0.33333333333333331</v>
      </c>
      <c r="M776" s="45">
        <f t="shared" si="259"/>
        <v>0</v>
      </c>
      <c r="N776" s="45">
        <f t="shared" si="260"/>
        <v>0</v>
      </c>
      <c r="O776" s="45">
        <f t="shared" si="261"/>
        <v>0</v>
      </c>
      <c r="P776" s="45">
        <f t="shared" si="262"/>
        <v>0</v>
      </c>
      <c r="Q776" s="45">
        <f t="shared" si="263"/>
        <v>0.33333333333333331</v>
      </c>
      <c r="R776" s="45">
        <f t="shared" si="264"/>
        <v>0</v>
      </c>
      <c r="S776" s="45">
        <f t="shared" si="265"/>
        <v>0</v>
      </c>
      <c r="T776" s="45">
        <f t="shared" si="266"/>
        <v>0</v>
      </c>
    </row>
    <row r="777" spans="1:20" x14ac:dyDescent="0.3">
      <c r="A777">
        <f t="shared" si="247"/>
        <v>1</v>
      </c>
      <c r="B777">
        <f t="shared" si="248"/>
        <v>1</v>
      </c>
      <c r="C777">
        <f t="shared" si="249"/>
        <v>0</v>
      </c>
      <c r="D777">
        <f t="shared" si="250"/>
        <v>0</v>
      </c>
      <c r="E777">
        <f t="shared" si="251"/>
        <v>0</v>
      </c>
      <c r="F777">
        <f t="shared" si="252"/>
        <v>0</v>
      </c>
      <c r="G777">
        <f t="shared" si="253"/>
        <v>1</v>
      </c>
      <c r="H777">
        <f t="shared" si="254"/>
        <v>0</v>
      </c>
      <c r="I777">
        <f t="shared" si="255"/>
        <v>0</v>
      </c>
      <c r="J777">
        <f t="shared" si="256"/>
        <v>1</v>
      </c>
      <c r="K777" s="45">
        <f t="shared" si="257"/>
        <v>0.25</v>
      </c>
      <c r="L777" s="45">
        <f t="shared" si="258"/>
        <v>0.25</v>
      </c>
      <c r="M777" s="45">
        <f t="shared" si="259"/>
        <v>0</v>
      </c>
      <c r="N777" s="45">
        <f t="shared" si="260"/>
        <v>0</v>
      </c>
      <c r="O777" s="45">
        <f t="shared" si="261"/>
        <v>0</v>
      </c>
      <c r="P777" s="45">
        <f t="shared" si="262"/>
        <v>0</v>
      </c>
      <c r="Q777" s="45">
        <f t="shared" si="263"/>
        <v>0.25</v>
      </c>
      <c r="R777" s="45">
        <f t="shared" si="264"/>
        <v>0</v>
      </c>
      <c r="S777" s="45">
        <f t="shared" si="265"/>
        <v>0</v>
      </c>
      <c r="T777" s="45">
        <f t="shared" si="266"/>
        <v>0.25</v>
      </c>
    </row>
    <row r="778" spans="1:20" x14ac:dyDescent="0.3">
      <c r="A778">
        <f t="shared" si="247"/>
        <v>1</v>
      </c>
      <c r="B778">
        <f t="shared" si="248"/>
        <v>1</v>
      </c>
      <c r="C778">
        <f t="shared" si="249"/>
        <v>0</v>
      </c>
      <c r="D778">
        <f t="shared" si="250"/>
        <v>0</v>
      </c>
      <c r="E778">
        <f t="shared" si="251"/>
        <v>0</v>
      </c>
      <c r="F778">
        <f t="shared" si="252"/>
        <v>0</v>
      </c>
      <c r="G778">
        <f t="shared" si="253"/>
        <v>1</v>
      </c>
      <c r="H778">
        <f t="shared" si="254"/>
        <v>0</v>
      </c>
      <c r="I778">
        <f t="shared" si="255"/>
        <v>1</v>
      </c>
      <c r="J778">
        <f t="shared" si="256"/>
        <v>0</v>
      </c>
      <c r="K778" s="45">
        <f t="shared" si="257"/>
        <v>0.25</v>
      </c>
      <c r="L778" s="45">
        <f t="shared" si="258"/>
        <v>0.25</v>
      </c>
      <c r="M778" s="45">
        <f t="shared" si="259"/>
        <v>0</v>
      </c>
      <c r="N778" s="45">
        <f t="shared" si="260"/>
        <v>0</v>
      </c>
      <c r="O778" s="45">
        <f t="shared" si="261"/>
        <v>0</v>
      </c>
      <c r="P778" s="45">
        <f t="shared" si="262"/>
        <v>0</v>
      </c>
      <c r="Q778" s="45">
        <f t="shared" si="263"/>
        <v>0.25</v>
      </c>
      <c r="R778" s="45">
        <f t="shared" si="264"/>
        <v>0</v>
      </c>
      <c r="S778" s="45">
        <f t="shared" si="265"/>
        <v>0.25</v>
      </c>
      <c r="T778" s="45">
        <f t="shared" si="266"/>
        <v>0</v>
      </c>
    </row>
    <row r="779" spans="1:20" x14ac:dyDescent="0.3">
      <c r="A779">
        <f t="shared" si="247"/>
        <v>1</v>
      </c>
      <c r="B779">
        <f t="shared" si="248"/>
        <v>1</v>
      </c>
      <c r="C779">
        <f t="shared" si="249"/>
        <v>0</v>
      </c>
      <c r="D779">
        <f t="shared" si="250"/>
        <v>0</v>
      </c>
      <c r="E779">
        <f t="shared" si="251"/>
        <v>0</v>
      </c>
      <c r="F779">
        <f t="shared" si="252"/>
        <v>0</v>
      </c>
      <c r="G779">
        <f t="shared" si="253"/>
        <v>1</v>
      </c>
      <c r="H779">
        <f t="shared" si="254"/>
        <v>0</v>
      </c>
      <c r="I779">
        <f t="shared" si="255"/>
        <v>1</v>
      </c>
      <c r="J779">
        <f t="shared" si="256"/>
        <v>1</v>
      </c>
      <c r="K779" s="45">
        <f t="shared" si="257"/>
        <v>0.2</v>
      </c>
      <c r="L779" s="45">
        <f t="shared" si="258"/>
        <v>0.2</v>
      </c>
      <c r="M779" s="45">
        <f t="shared" si="259"/>
        <v>0</v>
      </c>
      <c r="N779" s="45">
        <f t="shared" si="260"/>
        <v>0</v>
      </c>
      <c r="O779" s="45">
        <f t="shared" si="261"/>
        <v>0</v>
      </c>
      <c r="P779" s="45">
        <f t="shared" si="262"/>
        <v>0</v>
      </c>
      <c r="Q779" s="45">
        <f t="shared" si="263"/>
        <v>0.2</v>
      </c>
      <c r="R779" s="45">
        <f t="shared" si="264"/>
        <v>0</v>
      </c>
      <c r="S779" s="45">
        <f t="shared" si="265"/>
        <v>0.2</v>
      </c>
      <c r="T779" s="45">
        <f t="shared" si="266"/>
        <v>0.2</v>
      </c>
    </row>
    <row r="780" spans="1:20" x14ac:dyDescent="0.3">
      <c r="A780">
        <f t="shared" si="247"/>
        <v>1</v>
      </c>
      <c r="B780">
        <f t="shared" si="248"/>
        <v>1</v>
      </c>
      <c r="C780">
        <f t="shared" si="249"/>
        <v>0</v>
      </c>
      <c r="D780">
        <f t="shared" si="250"/>
        <v>0</v>
      </c>
      <c r="E780">
        <f t="shared" si="251"/>
        <v>0</v>
      </c>
      <c r="F780">
        <f t="shared" si="252"/>
        <v>0</v>
      </c>
      <c r="G780">
        <f t="shared" si="253"/>
        <v>1</v>
      </c>
      <c r="H780">
        <f t="shared" si="254"/>
        <v>1</v>
      </c>
      <c r="I780">
        <f t="shared" si="255"/>
        <v>0</v>
      </c>
      <c r="J780">
        <f t="shared" si="256"/>
        <v>0</v>
      </c>
      <c r="K780" s="45">
        <f t="shared" si="257"/>
        <v>0.25</v>
      </c>
      <c r="L780" s="45">
        <f t="shared" si="258"/>
        <v>0.25</v>
      </c>
      <c r="M780" s="45">
        <f t="shared" si="259"/>
        <v>0</v>
      </c>
      <c r="N780" s="45">
        <f t="shared" si="260"/>
        <v>0</v>
      </c>
      <c r="O780" s="45">
        <f t="shared" si="261"/>
        <v>0</v>
      </c>
      <c r="P780" s="45">
        <f t="shared" si="262"/>
        <v>0</v>
      </c>
      <c r="Q780" s="45">
        <f t="shared" si="263"/>
        <v>0.25</v>
      </c>
      <c r="R780" s="45">
        <f t="shared" si="264"/>
        <v>0.25</v>
      </c>
      <c r="S780" s="45">
        <f t="shared" si="265"/>
        <v>0</v>
      </c>
      <c r="T780" s="45">
        <f t="shared" si="266"/>
        <v>0</v>
      </c>
    </row>
    <row r="781" spans="1:20" x14ac:dyDescent="0.3">
      <c r="A781">
        <f t="shared" si="247"/>
        <v>1</v>
      </c>
      <c r="B781">
        <f t="shared" si="248"/>
        <v>1</v>
      </c>
      <c r="C781">
        <f t="shared" si="249"/>
        <v>0</v>
      </c>
      <c r="D781">
        <f t="shared" si="250"/>
        <v>0</v>
      </c>
      <c r="E781">
        <f t="shared" si="251"/>
        <v>0</v>
      </c>
      <c r="F781">
        <f t="shared" si="252"/>
        <v>0</v>
      </c>
      <c r="G781">
        <f t="shared" si="253"/>
        <v>1</v>
      </c>
      <c r="H781">
        <f t="shared" si="254"/>
        <v>1</v>
      </c>
      <c r="I781">
        <f t="shared" si="255"/>
        <v>0</v>
      </c>
      <c r="J781">
        <f t="shared" si="256"/>
        <v>1</v>
      </c>
      <c r="K781" s="45">
        <f t="shared" si="257"/>
        <v>0.2</v>
      </c>
      <c r="L781" s="45">
        <f t="shared" si="258"/>
        <v>0.2</v>
      </c>
      <c r="M781" s="45">
        <f t="shared" si="259"/>
        <v>0</v>
      </c>
      <c r="N781" s="45">
        <f t="shared" si="260"/>
        <v>0</v>
      </c>
      <c r="O781" s="45">
        <f t="shared" si="261"/>
        <v>0</v>
      </c>
      <c r="P781" s="45">
        <f t="shared" si="262"/>
        <v>0</v>
      </c>
      <c r="Q781" s="45">
        <f t="shared" si="263"/>
        <v>0.2</v>
      </c>
      <c r="R781" s="45">
        <f t="shared" si="264"/>
        <v>0.2</v>
      </c>
      <c r="S781" s="45">
        <f t="shared" si="265"/>
        <v>0</v>
      </c>
      <c r="T781" s="45">
        <f t="shared" si="266"/>
        <v>0.2</v>
      </c>
    </row>
    <row r="782" spans="1:20" x14ac:dyDescent="0.3">
      <c r="A782">
        <f t="shared" si="247"/>
        <v>1</v>
      </c>
      <c r="B782">
        <f t="shared" si="248"/>
        <v>1</v>
      </c>
      <c r="C782">
        <f t="shared" si="249"/>
        <v>0</v>
      </c>
      <c r="D782">
        <f t="shared" si="250"/>
        <v>0</v>
      </c>
      <c r="E782">
        <f t="shared" si="251"/>
        <v>0</v>
      </c>
      <c r="F782">
        <f t="shared" si="252"/>
        <v>0</v>
      </c>
      <c r="G782">
        <f t="shared" si="253"/>
        <v>1</v>
      </c>
      <c r="H782">
        <f t="shared" si="254"/>
        <v>1</v>
      </c>
      <c r="I782">
        <f t="shared" si="255"/>
        <v>1</v>
      </c>
      <c r="J782">
        <f t="shared" si="256"/>
        <v>0</v>
      </c>
      <c r="K782" s="45">
        <f t="shared" si="257"/>
        <v>0.2</v>
      </c>
      <c r="L782" s="45">
        <f t="shared" si="258"/>
        <v>0.2</v>
      </c>
      <c r="M782" s="45">
        <f t="shared" si="259"/>
        <v>0</v>
      </c>
      <c r="N782" s="45">
        <f t="shared" si="260"/>
        <v>0</v>
      </c>
      <c r="O782" s="45">
        <f t="shared" si="261"/>
        <v>0</v>
      </c>
      <c r="P782" s="45">
        <f t="shared" si="262"/>
        <v>0</v>
      </c>
      <c r="Q782" s="45">
        <f t="shared" si="263"/>
        <v>0.2</v>
      </c>
      <c r="R782" s="45">
        <f t="shared" si="264"/>
        <v>0.2</v>
      </c>
      <c r="S782" s="45">
        <f t="shared" si="265"/>
        <v>0.2</v>
      </c>
      <c r="T782" s="45">
        <f t="shared" si="266"/>
        <v>0</v>
      </c>
    </row>
    <row r="783" spans="1:20" x14ac:dyDescent="0.3">
      <c r="A783">
        <f t="shared" si="247"/>
        <v>1</v>
      </c>
      <c r="B783">
        <f t="shared" si="248"/>
        <v>1</v>
      </c>
      <c r="C783">
        <f t="shared" si="249"/>
        <v>0</v>
      </c>
      <c r="D783">
        <f t="shared" si="250"/>
        <v>0</v>
      </c>
      <c r="E783">
        <f t="shared" si="251"/>
        <v>0</v>
      </c>
      <c r="F783">
        <f t="shared" si="252"/>
        <v>0</v>
      </c>
      <c r="G783">
        <f t="shared" si="253"/>
        <v>1</v>
      </c>
      <c r="H783">
        <f t="shared" si="254"/>
        <v>1</v>
      </c>
      <c r="I783">
        <f t="shared" si="255"/>
        <v>1</v>
      </c>
      <c r="J783">
        <f t="shared" si="256"/>
        <v>1</v>
      </c>
      <c r="K783" s="45">
        <f t="shared" si="257"/>
        <v>0.16666666666666666</v>
      </c>
      <c r="L783" s="45">
        <f t="shared" si="258"/>
        <v>0.16666666666666666</v>
      </c>
      <c r="M783" s="45">
        <f t="shared" si="259"/>
        <v>0</v>
      </c>
      <c r="N783" s="45">
        <f t="shared" si="260"/>
        <v>0</v>
      </c>
      <c r="O783" s="45">
        <f t="shared" si="261"/>
        <v>0</v>
      </c>
      <c r="P783" s="45">
        <f t="shared" si="262"/>
        <v>0</v>
      </c>
      <c r="Q783" s="45">
        <f t="shared" si="263"/>
        <v>0.16666666666666666</v>
      </c>
      <c r="R783" s="45">
        <f t="shared" si="264"/>
        <v>0.16666666666666666</v>
      </c>
      <c r="S783" s="45">
        <f t="shared" si="265"/>
        <v>0.16666666666666666</v>
      </c>
      <c r="T783" s="45">
        <f t="shared" si="266"/>
        <v>0.16666666666666666</v>
      </c>
    </row>
    <row r="784" spans="1:20" x14ac:dyDescent="0.3">
      <c r="A784">
        <f t="shared" si="247"/>
        <v>1</v>
      </c>
      <c r="B784">
        <f t="shared" si="248"/>
        <v>1</v>
      </c>
      <c r="C784">
        <f t="shared" si="249"/>
        <v>0</v>
      </c>
      <c r="D784">
        <f t="shared" si="250"/>
        <v>0</v>
      </c>
      <c r="E784">
        <f t="shared" si="251"/>
        <v>0</v>
      </c>
      <c r="F784">
        <f t="shared" si="252"/>
        <v>1</v>
      </c>
      <c r="G784">
        <f t="shared" si="253"/>
        <v>0</v>
      </c>
      <c r="H784">
        <f t="shared" si="254"/>
        <v>0</v>
      </c>
      <c r="I784">
        <f t="shared" si="255"/>
        <v>0</v>
      </c>
      <c r="J784">
        <f t="shared" si="256"/>
        <v>0</v>
      </c>
      <c r="K784" s="45">
        <f t="shared" si="257"/>
        <v>0.33333333333333331</v>
      </c>
      <c r="L784" s="45">
        <f t="shared" si="258"/>
        <v>0.33333333333333331</v>
      </c>
      <c r="M784" s="45">
        <f t="shared" si="259"/>
        <v>0</v>
      </c>
      <c r="N784" s="45">
        <f t="shared" si="260"/>
        <v>0</v>
      </c>
      <c r="O784" s="45">
        <f t="shared" si="261"/>
        <v>0</v>
      </c>
      <c r="P784" s="45">
        <f t="shared" si="262"/>
        <v>0.33333333333333331</v>
      </c>
      <c r="Q784" s="45">
        <f t="shared" si="263"/>
        <v>0</v>
      </c>
      <c r="R784" s="45">
        <f t="shared" si="264"/>
        <v>0</v>
      </c>
      <c r="S784" s="45">
        <f t="shared" si="265"/>
        <v>0</v>
      </c>
      <c r="T784" s="45">
        <f t="shared" si="266"/>
        <v>0</v>
      </c>
    </row>
    <row r="785" spans="1:20" x14ac:dyDescent="0.3">
      <c r="A785">
        <f t="shared" si="247"/>
        <v>1</v>
      </c>
      <c r="B785">
        <f t="shared" si="248"/>
        <v>1</v>
      </c>
      <c r="C785">
        <f t="shared" si="249"/>
        <v>0</v>
      </c>
      <c r="D785">
        <f t="shared" si="250"/>
        <v>0</v>
      </c>
      <c r="E785">
        <f t="shared" si="251"/>
        <v>0</v>
      </c>
      <c r="F785">
        <f t="shared" si="252"/>
        <v>1</v>
      </c>
      <c r="G785">
        <f t="shared" si="253"/>
        <v>0</v>
      </c>
      <c r="H785">
        <f t="shared" si="254"/>
        <v>0</v>
      </c>
      <c r="I785">
        <f t="shared" si="255"/>
        <v>0</v>
      </c>
      <c r="J785">
        <f t="shared" si="256"/>
        <v>1</v>
      </c>
      <c r="K785" s="45">
        <f t="shared" si="257"/>
        <v>0.25</v>
      </c>
      <c r="L785" s="45">
        <f t="shared" si="258"/>
        <v>0.25</v>
      </c>
      <c r="M785" s="45">
        <f t="shared" si="259"/>
        <v>0</v>
      </c>
      <c r="N785" s="45">
        <f t="shared" si="260"/>
        <v>0</v>
      </c>
      <c r="O785" s="45">
        <f t="shared" si="261"/>
        <v>0</v>
      </c>
      <c r="P785" s="45">
        <f t="shared" si="262"/>
        <v>0.25</v>
      </c>
      <c r="Q785" s="45">
        <f t="shared" si="263"/>
        <v>0</v>
      </c>
      <c r="R785" s="45">
        <f t="shared" si="264"/>
        <v>0</v>
      </c>
      <c r="S785" s="45">
        <f t="shared" si="265"/>
        <v>0</v>
      </c>
      <c r="T785" s="45">
        <f t="shared" si="266"/>
        <v>0.25</v>
      </c>
    </row>
    <row r="786" spans="1:20" x14ac:dyDescent="0.3">
      <c r="A786">
        <f t="shared" si="247"/>
        <v>1</v>
      </c>
      <c r="B786">
        <f t="shared" si="248"/>
        <v>1</v>
      </c>
      <c r="C786">
        <f t="shared" si="249"/>
        <v>0</v>
      </c>
      <c r="D786">
        <f t="shared" si="250"/>
        <v>0</v>
      </c>
      <c r="E786">
        <f t="shared" si="251"/>
        <v>0</v>
      </c>
      <c r="F786">
        <f t="shared" si="252"/>
        <v>1</v>
      </c>
      <c r="G786">
        <f t="shared" si="253"/>
        <v>0</v>
      </c>
      <c r="H786">
        <f t="shared" si="254"/>
        <v>0</v>
      </c>
      <c r="I786">
        <f t="shared" si="255"/>
        <v>1</v>
      </c>
      <c r="J786">
        <f t="shared" si="256"/>
        <v>0</v>
      </c>
      <c r="K786" s="45">
        <f t="shared" si="257"/>
        <v>0.25</v>
      </c>
      <c r="L786" s="45">
        <f t="shared" si="258"/>
        <v>0.25</v>
      </c>
      <c r="M786" s="45">
        <f t="shared" si="259"/>
        <v>0</v>
      </c>
      <c r="N786" s="45">
        <f t="shared" si="260"/>
        <v>0</v>
      </c>
      <c r="O786" s="45">
        <f t="shared" si="261"/>
        <v>0</v>
      </c>
      <c r="P786" s="45">
        <f t="shared" si="262"/>
        <v>0.25</v>
      </c>
      <c r="Q786" s="45">
        <f t="shared" si="263"/>
        <v>0</v>
      </c>
      <c r="R786" s="45">
        <f t="shared" si="264"/>
        <v>0</v>
      </c>
      <c r="S786" s="45">
        <f t="shared" si="265"/>
        <v>0.25</v>
      </c>
      <c r="T786" s="45">
        <f t="shared" si="266"/>
        <v>0</v>
      </c>
    </row>
    <row r="787" spans="1:20" x14ac:dyDescent="0.3">
      <c r="A787">
        <f t="shared" si="247"/>
        <v>1</v>
      </c>
      <c r="B787">
        <f t="shared" si="248"/>
        <v>1</v>
      </c>
      <c r="C787">
        <f t="shared" si="249"/>
        <v>0</v>
      </c>
      <c r="D787">
        <f t="shared" si="250"/>
        <v>0</v>
      </c>
      <c r="E787">
        <f t="shared" si="251"/>
        <v>0</v>
      </c>
      <c r="F787">
        <f t="shared" si="252"/>
        <v>1</v>
      </c>
      <c r="G787">
        <f t="shared" si="253"/>
        <v>0</v>
      </c>
      <c r="H787">
        <f t="shared" si="254"/>
        <v>0</v>
      </c>
      <c r="I787">
        <f t="shared" si="255"/>
        <v>1</v>
      </c>
      <c r="J787">
        <f t="shared" si="256"/>
        <v>1</v>
      </c>
      <c r="K787" s="45">
        <f t="shared" si="257"/>
        <v>0.2</v>
      </c>
      <c r="L787" s="45">
        <f t="shared" si="258"/>
        <v>0.2</v>
      </c>
      <c r="M787" s="45">
        <f t="shared" si="259"/>
        <v>0</v>
      </c>
      <c r="N787" s="45">
        <f t="shared" si="260"/>
        <v>0</v>
      </c>
      <c r="O787" s="45">
        <f t="shared" si="261"/>
        <v>0</v>
      </c>
      <c r="P787" s="45">
        <f t="shared" si="262"/>
        <v>0.2</v>
      </c>
      <c r="Q787" s="45">
        <f t="shared" si="263"/>
        <v>0</v>
      </c>
      <c r="R787" s="45">
        <f t="shared" si="264"/>
        <v>0</v>
      </c>
      <c r="S787" s="45">
        <f t="shared" si="265"/>
        <v>0.2</v>
      </c>
      <c r="T787" s="45">
        <f t="shared" si="266"/>
        <v>0.2</v>
      </c>
    </row>
    <row r="788" spans="1:20" x14ac:dyDescent="0.3">
      <c r="A788">
        <f t="shared" si="247"/>
        <v>1</v>
      </c>
      <c r="B788">
        <f t="shared" si="248"/>
        <v>1</v>
      </c>
      <c r="C788">
        <f t="shared" si="249"/>
        <v>0</v>
      </c>
      <c r="D788">
        <f t="shared" si="250"/>
        <v>0</v>
      </c>
      <c r="E788">
        <f t="shared" si="251"/>
        <v>0</v>
      </c>
      <c r="F788">
        <f t="shared" si="252"/>
        <v>1</v>
      </c>
      <c r="G788">
        <f t="shared" si="253"/>
        <v>0</v>
      </c>
      <c r="H788">
        <f t="shared" si="254"/>
        <v>1</v>
      </c>
      <c r="I788">
        <f t="shared" si="255"/>
        <v>0</v>
      </c>
      <c r="J788">
        <f t="shared" si="256"/>
        <v>0</v>
      </c>
      <c r="K788" s="45">
        <f t="shared" si="257"/>
        <v>0.25</v>
      </c>
      <c r="L788" s="45">
        <f t="shared" si="258"/>
        <v>0.25</v>
      </c>
      <c r="M788" s="45">
        <f t="shared" si="259"/>
        <v>0</v>
      </c>
      <c r="N788" s="45">
        <f t="shared" si="260"/>
        <v>0</v>
      </c>
      <c r="O788" s="45">
        <f t="shared" si="261"/>
        <v>0</v>
      </c>
      <c r="P788" s="45">
        <f t="shared" si="262"/>
        <v>0.25</v>
      </c>
      <c r="Q788" s="45">
        <f t="shared" si="263"/>
        <v>0</v>
      </c>
      <c r="R788" s="45">
        <f t="shared" si="264"/>
        <v>0.25</v>
      </c>
      <c r="S788" s="45">
        <f t="shared" si="265"/>
        <v>0</v>
      </c>
      <c r="T788" s="45">
        <f t="shared" si="266"/>
        <v>0</v>
      </c>
    </row>
    <row r="789" spans="1:20" x14ac:dyDescent="0.3">
      <c r="A789">
        <f t="shared" si="247"/>
        <v>1</v>
      </c>
      <c r="B789">
        <f t="shared" si="248"/>
        <v>1</v>
      </c>
      <c r="C789">
        <f t="shared" si="249"/>
        <v>0</v>
      </c>
      <c r="D789">
        <f t="shared" si="250"/>
        <v>0</v>
      </c>
      <c r="E789">
        <f t="shared" si="251"/>
        <v>0</v>
      </c>
      <c r="F789">
        <f t="shared" si="252"/>
        <v>1</v>
      </c>
      <c r="G789">
        <f t="shared" si="253"/>
        <v>0</v>
      </c>
      <c r="H789">
        <f t="shared" si="254"/>
        <v>1</v>
      </c>
      <c r="I789">
        <f t="shared" si="255"/>
        <v>0</v>
      </c>
      <c r="J789">
        <f t="shared" si="256"/>
        <v>1</v>
      </c>
      <c r="K789" s="45">
        <f t="shared" si="257"/>
        <v>0.2</v>
      </c>
      <c r="L789" s="45">
        <f t="shared" si="258"/>
        <v>0.2</v>
      </c>
      <c r="M789" s="45">
        <f t="shared" si="259"/>
        <v>0</v>
      </c>
      <c r="N789" s="45">
        <f t="shared" si="260"/>
        <v>0</v>
      </c>
      <c r="O789" s="45">
        <f t="shared" si="261"/>
        <v>0</v>
      </c>
      <c r="P789" s="45">
        <f t="shared" si="262"/>
        <v>0.2</v>
      </c>
      <c r="Q789" s="45">
        <f t="shared" si="263"/>
        <v>0</v>
      </c>
      <c r="R789" s="45">
        <f t="shared" si="264"/>
        <v>0.2</v>
      </c>
      <c r="S789" s="45">
        <f t="shared" si="265"/>
        <v>0</v>
      </c>
      <c r="T789" s="45">
        <f t="shared" si="266"/>
        <v>0.2</v>
      </c>
    </row>
    <row r="790" spans="1:20" x14ac:dyDescent="0.3">
      <c r="A790">
        <f t="shared" si="247"/>
        <v>1</v>
      </c>
      <c r="B790">
        <f t="shared" si="248"/>
        <v>1</v>
      </c>
      <c r="C790">
        <f t="shared" si="249"/>
        <v>0</v>
      </c>
      <c r="D790">
        <f t="shared" si="250"/>
        <v>0</v>
      </c>
      <c r="E790">
        <f t="shared" si="251"/>
        <v>0</v>
      </c>
      <c r="F790">
        <f t="shared" si="252"/>
        <v>1</v>
      </c>
      <c r="G790">
        <f t="shared" si="253"/>
        <v>0</v>
      </c>
      <c r="H790">
        <f t="shared" si="254"/>
        <v>1</v>
      </c>
      <c r="I790">
        <f t="shared" si="255"/>
        <v>1</v>
      </c>
      <c r="J790">
        <f t="shared" si="256"/>
        <v>0</v>
      </c>
      <c r="K790" s="45">
        <f t="shared" si="257"/>
        <v>0.2</v>
      </c>
      <c r="L790" s="45">
        <f t="shared" si="258"/>
        <v>0.2</v>
      </c>
      <c r="M790" s="45">
        <f t="shared" si="259"/>
        <v>0</v>
      </c>
      <c r="N790" s="45">
        <f t="shared" si="260"/>
        <v>0</v>
      </c>
      <c r="O790" s="45">
        <f t="shared" si="261"/>
        <v>0</v>
      </c>
      <c r="P790" s="45">
        <f t="shared" si="262"/>
        <v>0.2</v>
      </c>
      <c r="Q790" s="45">
        <f t="shared" si="263"/>
        <v>0</v>
      </c>
      <c r="R790" s="45">
        <f t="shared" si="264"/>
        <v>0.2</v>
      </c>
      <c r="S790" s="45">
        <f t="shared" si="265"/>
        <v>0.2</v>
      </c>
      <c r="T790" s="45">
        <f t="shared" si="266"/>
        <v>0</v>
      </c>
    </row>
    <row r="791" spans="1:20" x14ac:dyDescent="0.3">
      <c r="A791">
        <f t="shared" si="247"/>
        <v>1</v>
      </c>
      <c r="B791">
        <f t="shared" si="248"/>
        <v>1</v>
      </c>
      <c r="C791">
        <f t="shared" si="249"/>
        <v>0</v>
      </c>
      <c r="D791">
        <f t="shared" si="250"/>
        <v>0</v>
      </c>
      <c r="E791">
        <f t="shared" si="251"/>
        <v>0</v>
      </c>
      <c r="F791">
        <f t="shared" si="252"/>
        <v>1</v>
      </c>
      <c r="G791">
        <f t="shared" si="253"/>
        <v>0</v>
      </c>
      <c r="H791">
        <f t="shared" si="254"/>
        <v>1</v>
      </c>
      <c r="I791">
        <f t="shared" si="255"/>
        <v>1</v>
      </c>
      <c r="J791">
        <f t="shared" si="256"/>
        <v>1</v>
      </c>
      <c r="K791" s="45">
        <f t="shared" si="257"/>
        <v>0.16666666666666666</v>
      </c>
      <c r="L791" s="45">
        <f t="shared" si="258"/>
        <v>0.16666666666666666</v>
      </c>
      <c r="M791" s="45">
        <f t="shared" si="259"/>
        <v>0</v>
      </c>
      <c r="N791" s="45">
        <f t="shared" si="260"/>
        <v>0</v>
      </c>
      <c r="O791" s="45">
        <f t="shared" si="261"/>
        <v>0</v>
      </c>
      <c r="P791" s="45">
        <f t="shared" si="262"/>
        <v>0.16666666666666666</v>
      </c>
      <c r="Q791" s="45">
        <f t="shared" si="263"/>
        <v>0</v>
      </c>
      <c r="R791" s="45">
        <f t="shared" si="264"/>
        <v>0.16666666666666666</v>
      </c>
      <c r="S791" s="45">
        <f t="shared" si="265"/>
        <v>0.16666666666666666</v>
      </c>
      <c r="T791" s="45">
        <f t="shared" si="266"/>
        <v>0.16666666666666666</v>
      </c>
    </row>
    <row r="792" spans="1:20" x14ac:dyDescent="0.3">
      <c r="A792">
        <f t="shared" si="247"/>
        <v>1</v>
      </c>
      <c r="B792">
        <f t="shared" si="248"/>
        <v>1</v>
      </c>
      <c r="C792">
        <f t="shared" si="249"/>
        <v>0</v>
      </c>
      <c r="D792">
        <f t="shared" si="250"/>
        <v>0</v>
      </c>
      <c r="E792">
        <f t="shared" si="251"/>
        <v>0</v>
      </c>
      <c r="F792">
        <f t="shared" si="252"/>
        <v>1</v>
      </c>
      <c r="G792">
        <f t="shared" si="253"/>
        <v>1</v>
      </c>
      <c r="H792">
        <f t="shared" si="254"/>
        <v>0</v>
      </c>
      <c r="I792">
        <f t="shared" si="255"/>
        <v>0</v>
      </c>
      <c r="J792">
        <f t="shared" si="256"/>
        <v>0</v>
      </c>
      <c r="K792" s="45">
        <f t="shared" si="257"/>
        <v>0.25</v>
      </c>
      <c r="L792" s="45">
        <f t="shared" si="258"/>
        <v>0.25</v>
      </c>
      <c r="M792" s="45">
        <f t="shared" si="259"/>
        <v>0</v>
      </c>
      <c r="N792" s="45">
        <f t="shared" si="260"/>
        <v>0</v>
      </c>
      <c r="O792" s="45">
        <f t="shared" si="261"/>
        <v>0</v>
      </c>
      <c r="P792" s="45">
        <f t="shared" si="262"/>
        <v>0.25</v>
      </c>
      <c r="Q792" s="45">
        <f t="shared" si="263"/>
        <v>0.25</v>
      </c>
      <c r="R792" s="45">
        <f t="shared" si="264"/>
        <v>0</v>
      </c>
      <c r="S792" s="45">
        <f t="shared" si="265"/>
        <v>0</v>
      </c>
      <c r="T792" s="45">
        <f t="shared" si="266"/>
        <v>0</v>
      </c>
    </row>
    <row r="793" spans="1:20" x14ac:dyDescent="0.3">
      <c r="A793">
        <f t="shared" si="247"/>
        <v>1</v>
      </c>
      <c r="B793">
        <f t="shared" si="248"/>
        <v>1</v>
      </c>
      <c r="C793">
        <f t="shared" si="249"/>
        <v>0</v>
      </c>
      <c r="D793">
        <f t="shared" si="250"/>
        <v>0</v>
      </c>
      <c r="E793">
        <f t="shared" si="251"/>
        <v>0</v>
      </c>
      <c r="F793">
        <f t="shared" si="252"/>
        <v>1</v>
      </c>
      <c r="G793">
        <f t="shared" si="253"/>
        <v>1</v>
      </c>
      <c r="H793">
        <f t="shared" si="254"/>
        <v>0</v>
      </c>
      <c r="I793">
        <f t="shared" si="255"/>
        <v>0</v>
      </c>
      <c r="J793">
        <f t="shared" si="256"/>
        <v>1</v>
      </c>
      <c r="K793" s="45">
        <f t="shared" si="257"/>
        <v>0.2</v>
      </c>
      <c r="L793" s="45">
        <f t="shared" si="258"/>
        <v>0.2</v>
      </c>
      <c r="M793" s="45">
        <f t="shared" si="259"/>
        <v>0</v>
      </c>
      <c r="N793" s="45">
        <f t="shared" si="260"/>
        <v>0</v>
      </c>
      <c r="O793" s="45">
        <f t="shared" si="261"/>
        <v>0</v>
      </c>
      <c r="P793" s="45">
        <f t="shared" si="262"/>
        <v>0.2</v>
      </c>
      <c r="Q793" s="45">
        <f t="shared" si="263"/>
        <v>0.2</v>
      </c>
      <c r="R793" s="45">
        <f t="shared" si="264"/>
        <v>0</v>
      </c>
      <c r="S793" s="45">
        <f t="shared" si="265"/>
        <v>0</v>
      </c>
      <c r="T793" s="45">
        <f t="shared" si="266"/>
        <v>0.2</v>
      </c>
    </row>
    <row r="794" spans="1:20" x14ac:dyDescent="0.3">
      <c r="A794">
        <f t="shared" si="247"/>
        <v>1</v>
      </c>
      <c r="B794">
        <f t="shared" si="248"/>
        <v>1</v>
      </c>
      <c r="C794">
        <f t="shared" si="249"/>
        <v>0</v>
      </c>
      <c r="D794">
        <f t="shared" si="250"/>
        <v>0</v>
      </c>
      <c r="E794">
        <f t="shared" si="251"/>
        <v>0</v>
      </c>
      <c r="F794">
        <f t="shared" si="252"/>
        <v>1</v>
      </c>
      <c r="G794">
        <f t="shared" si="253"/>
        <v>1</v>
      </c>
      <c r="H794">
        <f t="shared" si="254"/>
        <v>0</v>
      </c>
      <c r="I794">
        <f t="shared" si="255"/>
        <v>1</v>
      </c>
      <c r="J794">
        <f t="shared" si="256"/>
        <v>0</v>
      </c>
      <c r="K794" s="45">
        <f t="shared" si="257"/>
        <v>0.2</v>
      </c>
      <c r="L794" s="45">
        <f t="shared" si="258"/>
        <v>0.2</v>
      </c>
      <c r="M794" s="45">
        <f t="shared" si="259"/>
        <v>0</v>
      </c>
      <c r="N794" s="45">
        <f t="shared" si="260"/>
        <v>0</v>
      </c>
      <c r="O794" s="45">
        <f t="shared" si="261"/>
        <v>0</v>
      </c>
      <c r="P794" s="45">
        <f t="shared" si="262"/>
        <v>0.2</v>
      </c>
      <c r="Q794" s="45">
        <f t="shared" si="263"/>
        <v>0.2</v>
      </c>
      <c r="R794" s="45">
        <f t="shared" si="264"/>
        <v>0</v>
      </c>
      <c r="S794" s="45">
        <f t="shared" si="265"/>
        <v>0.2</v>
      </c>
      <c r="T794" s="45">
        <f t="shared" si="266"/>
        <v>0</v>
      </c>
    </row>
    <row r="795" spans="1:20" x14ac:dyDescent="0.3">
      <c r="A795">
        <f t="shared" si="247"/>
        <v>1</v>
      </c>
      <c r="B795">
        <f t="shared" si="248"/>
        <v>1</v>
      </c>
      <c r="C795">
        <f t="shared" si="249"/>
        <v>0</v>
      </c>
      <c r="D795">
        <f t="shared" si="250"/>
        <v>0</v>
      </c>
      <c r="E795">
        <f t="shared" si="251"/>
        <v>0</v>
      </c>
      <c r="F795">
        <f t="shared" si="252"/>
        <v>1</v>
      </c>
      <c r="G795">
        <f t="shared" si="253"/>
        <v>1</v>
      </c>
      <c r="H795">
        <f t="shared" si="254"/>
        <v>0</v>
      </c>
      <c r="I795">
        <f t="shared" si="255"/>
        <v>1</v>
      </c>
      <c r="J795">
        <f t="shared" si="256"/>
        <v>1</v>
      </c>
      <c r="K795" s="45">
        <f t="shared" si="257"/>
        <v>0.16666666666666666</v>
      </c>
      <c r="L795" s="45">
        <f t="shared" si="258"/>
        <v>0.16666666666666666</v>
      </c>
      <c r="M795" s="45">
        <f t="shared" si="259"/>
        <v>0</v>
      </c>
      <c r="N795" s="45">
        <f t="shared" si="260"/>
        <v>0</v>
      </c>
      <c r="O795" s="45">
        <f t="shared" si="261"/>
        <v>0</v>
      </c>
      <c r="P795" s="45">
        <f t="shared" si="262"/>
        <v>0.16666666666666666</v>
      </c>
      <c r="Q795" s="45">
        <f t="shared" si="263"/>
        <v>0.16666666666666666</v>
      </c>
      <c r="R795" s="45">
        <f t="shared" si="264"/>
        <v>0</v>
      </c>
      <c r="S795" s="45">
        <f t="shared" si="265"/>
        <v>0.16666666666666666</v>
      </c>
      <c r="T795" s="45">
        <f t="shared" si="266"/>
        <v>0.16666666666666666</v>
      </c>
    </row>
    <row r="796" spans="1:20" x14ac:dyDescent="0.3">
      <c r="A796">
        <f t="shared" si="247"/>
        <v>1</v>
      </c>
      <c r="B796">
        <f t="shared" si="248"/>
        <v>1</v>
      </c>
      <c r="C796">
        <f t="shared" si="249"/>
        <v>0</v>
      </c>
      <c r="D796">
        <f t="shared" si="250"/>
        <v>0</v>
      </c>
      <c r="E796">
        <f t="shared" si="251"/>
        <v>0</v>
      </c>
      <c r="F796">
        <f t="shared" si="252"/>
        <v>1</v>
      </c>
      <c r="G796">
        <f t="shared" si="253"/>
        <v>1</v>
      </c>
      <c r="H796">
        <f t="shared" si="254"/>
        <v>1</v>
      </c>
      <c r="I796">
        <f t="shared" si="255"/>
        <v>0</v>
      </c>
      <c r="J796">
        <f t="shared" si="256"/>
        <v>0</v>
      </c>
      <c r="K796" s="45">
        <f t="shared" si="257"/>
        <v>0.2</v>
      </c>
      <c r="L796" s="45">
        <f t="shared" si="258"/>
        <v>0.2</v>
      </c>
      <c r="M796" s="45">
        <f t="shared" si="259"/>
        <v>0</v>
      </c>
      <c r="N796" s="45">
        <f t="shared" si="260"/>
        <v>0</v>
      </c>
      <c r="O796" s="45">
        <f t="shared" si="261"/>
        <v>0</v>
      </c>
      <c r="P796" s="45">
        <f t="shared" si="262"/>
        <v>0.2</v>
      </c>
      <c r="Q796" s="45">
        <f t="shared" si="263"/>
        <v>0.2</v>
      </c>
      <c r="R796" s="45">
        <f t="shared" si="264"/>
        <v>0.2</v>
      </c>
      <c r="S796" s="45">
        <f t="shared" si="265"/>
        <v>0</v>
      </c>
      <c r="T796" s="45">
        <f t="shared" si="266"/>
        <v>0</v>
      </c>
    </row>
    <row r="797" spans="1:20" x14ac:dyDescent="0.3">
      <c r="A797">
        <f t="shared" si="247"/>
        <v>1</v>
      </c>
      <c r="B797">
        <f t="shared" si="248"/>
        <v>1</v>
      </c>
      <c r="C797">
        <f t="shared" si="249"/>
        <v>0</v>
      </c>
      <c r="D797">
        <f t="shared" si="250"/>
        <v>0</v>
      </c>
      <c r="E797">
        <f t="shared" si="251"/>
        <v>0</v>
      </c>
      <c r="F797">
        <f t="shared" si="252"/>
        <v>1</v>
      </c>
      <c r="G797">
        <f t="shared" si="253"/>
        <v>1</v>
      </c>
      <c r="H797">
        <f t="shared" si="254"/>
        <v>1</v>
      </c>
      <c r="I797">
        <f t="shared" si="255"/>
        <v>0</v>
      </c>
      <c r="J797">
        <f t="shared" si="256"/>
        <v>1</v>
      </c>
      <c r="K797" s="45">
        <f t="shared" si="257"/>
        <v>0.16666666666666666</v>
      </c>
      <c r="L797" s="45">
        <f t="shared" si="258"/>
        <v>0.16666666666666666</v>
      </c>
      <c r="M797" s="45">
        <f t="shared" si="259"/>
        <v>0</v>
      </c>
      <c r="N797" s="45">
        <f t="shared" si="260"/>
        <v>0</v>
      </c>
      <c r="O797" s="45">
        <f t="shared" si="261"/>
        <v>0</v>
      </c>
      <c r="P797" s="45">
        <f t="shared" si="262"/>
        <v>0.16666666666666666</v>
      </c>
      <c r="Q797" s="45">
        <f t="shared" si="263"/>
        <v>0.16666666666666666</v>
      </c>
      <c r="R797" s="45">
        <f t="shared" si="264"/>
        <v>0.16666666666666666</v>
      </c>
      <c r="S797" s="45">
        <f t="shared" si="265"/>
        <v>0</v>
      </c>
      <c r="T797" s="45">
        <f t="shared" si="266"/>
        <v>0.16666666666666666</v>
      </c>
    </row>
    <row r="798" spans="1:20" x14ac:dyDescent="0.3">
      <c r="A798">
        <f t="shared" si="247"/>
        <v>1</v>
      </c>
      <c r="B798">
        <f t="shared" si="248"/>
        <v>1</v>
      </c>
      <c r="C798">
        <f t="shared" si="249"/>
        <v>0</v>
      </c>
      <c r="D798">
        <f t="shared" si="250"/>
        <v>0</v>
      </c>
      <c r="E798">
        <f t="shared" si="251"/>
        <v>0</v>
      </c>
      <c r="F798">
        <f t="shared" si="252"/>
        <v>1</v>
      </c>
      <c r="G798">
        <f t="shared" si="253"/>
        <v>1</v>
      </c>
      <c r="H798">
        <f t="shared" si="254"/>
        <v>1</v>
      </c>
      <c r="I798">
        <f t="shared" si="255"/>
        <v>1</v>
      </c>
      <c r="J798">
        <f t="shared" si="256"/>
        <v>0</v>
      </c>
      <c r="K798" s="45">
        <f t="shared" si="257"/>
        <v>0.16666666666666666</v>
      </c>
      <c r="L798" s="45">
        <f t="shared" si="258"/>
        <v>0.16666666666666666</v>
      </c>
      <c r="M798" s="45">
        <f t="shared" si="259"/>
        <v>0</v>
      </c>
      <c r="N798" s="45">
        <f t="shared" si="260"/>
        <v>0</v>
      </c>
      <c r="O798" s="45">
        <f t="shared" si="261"/>
        <v>0</v>
      </c>
      <c r="P798" s="45">
        <f t="shared" si="262"/>
        <v>0.16666666666666666</v>
      </c>
      <c r="Q798" s="45">
        <f t="shared" si="263"/>
        <v>0.16666666666666666</v>
      </c>
      <c r="R798" s="45">
        <f t="shared" si="264"/>
        <v>0.16666666666666666</v>
      </c>
      <c r="S798" s="45">
        <f t="shared" si="265"/>
        <v>0.16666666666666666</v>
      </c>
      <c r="T798" s="45">
        <f t="shared" si="266"/>
        <v>0</v>
      </c>
    </row>
    <row r="799" spans="1:20" x14ac:dyDescent="0.3">
      <c r="A799">
        <f t="shared" si="247"/>
        <v>1</v>
      </c>
      <c r="B799">
        <f t="shared" si="248"/>
        <v>1</v>
      </c>
      <c r="C799">
        <f t="shared" si="249"/>
        <v>0</v>
      </c>
      <c r="D799">
        <f t="shared" si="250"/>
        <v>0</v>
      </c>
      <c r="E799">
        <f t="shared" si="251"/>
        <v>0</v>
      </c>
      <c r="F799">
        <f t="shared" si="252"/>
        <v>1</v>
      </c>
      <c r="G799">
        <f t="shared" si="253"/>
        <v>1</v>
      </c>
      <c r="H799">
        <f t="shared" si="254"/>
        <v>1</v>
      </c>
      <c r="I799">
        <f t="shared" si="255"/>
        <v>1</v>
      </c>
      <c r="J799">
        <f t="shared" si="256"/>
        <v>1</v>
      </c>
      <c r="K799" s="45">
        <f t="shared" si="257"/>
        <v>0.14285714285714285</v>
      </c>
      <c r="L799" s="45">
        <f t="shared" si="258"/>
        <v>0.14285714285714285</v>
      </c>
      <c r="M799" s="45">
        <f t="shared" si="259"/>
        <v>0</v>
      </c>
      <c r="N799" s="45">
        <f t="shared" si="260"/>
        <v>0</v>
      </c>
      <c r="O799" s="45">
        <f t="shared" si="261"/>
        <v>0</v>
      </c>
      <c r="P799" s="45">
        <f t="shared" si="262"/>
        <v>0.14285714285714285</v>
      </c>
      <c r="Q799" s="45">
        <f t="shared" si="263"/>
        <v>0.14285714285714285</v>
      </c>
      <c r="R799" s="45">
        <f t="shared" si="264"/>
        <v>0.14285714285714285</v>
      </c>
      <c r="S799" s="45">
        <f t="shared" si="265"/>
        <v>0.14285714285714285</v>
      </c>
      <c r="T799" s="45">
        <f t="shared" si="266"/>
        <v>0.14285714285714285</v>
      </c>
    </row>
    <row r="800" spans="1:20" x14ac:dyDescent="0.3">
      <c r="A800">
        <f t="shared" si="247"/>
        <v>1</v>
      </c>
      <c r="B800">
        <f t="shared" si="248"/>
        <v>1</v>
      </c>
      <c r="C800">
        <f t="shared" si="249"/>
        <v>0</v>
      </c>
      <c r="D800">
        <f t="shared" si="250"/>
        <v>0</v>
      </c>
      <c r="E800">
        <f t="shared" si="251"/>
        <v>1</v>
      </c>
      <c r="F800">
        <f t="shared" si="252"/>
        <v>0</v>
      </c>
      <c r="G800">
        <f t="shared" si="253"/>
        <v>0</v>
      </c>
      <c r="H800">
        <f t="shared" si="254"/>
        <v>0</v>
      </c>
      <c r="I800">
        <f t="shared" si="255"/>
        <v>0</v>
      </c>
      <c r="J800">
        <f t="shared" si="256"/>
        <v>0</v>
      </c>
      <c r="K800" s="45">
        <f t="shared" si="257"/>
        <v>0.33333333333333331</v>
      </c>
      <c r="L800" s="45">
        <f t="shared" si="258"/>
        <v>0.33333333333333331</v>
      </c>
      <c r="M800" s="45">
        <f t="shared" si="259"/>
        <v>0</v>
      </c>
      <c r="N800" s="45">
        <f t="shared" si="260"/>
        <v>0</v>
      </c>
      <c r="O800" s="45">
        <f t="shared" si="261"/>
        <v>0.33333333333333331</v>
      </c>
      <c r="P800" s="45">
        <f t="shared" si="262"/>
        <v>0</v>
      </c>
      <c r="Q800" s="45">
        <f t="shared" si="263"/>
        <v>0</v>
      </c>
      <c r="R800" s="45">
        <f t="shared" si="264"/>
        <v>0</v>
      </c>
      <c r="S800" s="45">
        <f t="shared" si="265"/>
        <v>0</v>
      </c>
      <c r="T800" s="45">
        <f t="shared" si="266"/>
        <v>0</v>
      </c>
    </row>
    <row r="801" spans="1:20" x14ac:dyDescent="0.3">
      <c r="A801">
        <f t="shared" si="247"/>
        <v>1</v>
      </c>
      <c r="B801">
        <f t="shared" si="248"/>
        <v>1</v>
      </c>
      <c r="C801">
        <f t="shared" si="249"/>
        <v>0</v>
      </c>
      <c r="D801">
        <f t="shared" si="250"/>
        <v>0</v>
      </c>
      <c r="E801">
        <f t="shared" si="251"/>
        <v>1</v>
      </c>
      <c r="F801">
        <f t="shared" si="252"/>
        <v>0</v>
      </c>
      <c r="G801">
        <f t="shared" si="253"/>
        <v>0</v>
      </c>
      <c r="H801">
        <f t="shared" si="254"/>
        <v>0</v>
      </c>
      <c r="I801">
        <f t="shared" si="255"/>
        <v>0</v>
      </c>
      <c r="J801">
        <f t="shared" si="256"/>
        <v>1</v>
      </c>
      <c r="K801" s="45">
        <f t="shared" si="257"/>
        <v>0.25</v>
      </c>
      <c r="L801" s="45">
        <f t="shared" si="258"/>
        <v>0.25</v>
      </c>
      <c r="M801" s="45">
        <f t="shared" si="259"/>
        <v>0</v>
      </c>
      <c r="N801" s="45">
        <f t="shared" si="260"/>
        <v>0</v>
      </c>
      <c r="O801" s="45">
        <f t="shared" si="261"/>
        <v>0.25</v>
      </c>
      <c r="P801" s="45">
        <f t="shared" si="262"/>
        <v>0</v>
      </c>
      <c r="Q801" s="45">
        <f t="shared" si="263"/>
        <v>0</v>
      </c>
      <c r="R801" s="45">
        <f t="shared" si="264"/>
        <v>0</v>
      </c>
      <c r="S801" s="45">
        <f t="shared" si="265"/>
        <v>0</v>
      </c>
      <c r="T801" s="45">
        <f t="shared" si="266"/>
        <v>0.25</v>
      </c>
    </row>
    <row r="802" spans="1:20" x14ac:dyDescent="0.3">
      <c r="A802">
        <f t="shared" si="247"/>
        <v>1</v>
      </c>
      <c r="B802">
        <f t="shared" si="248"/>
        <v>1</v>
      </c>
      <c r="C802">
        <f t="shared" si="249"/>
        <v>0</v>
      </c>
      <c r="D802">
        <f t="shared" si="250"/>
        <v>0</v>
      </c>
      <c r="E802">
        <f t="shared" si="251"/>
        <v>1</v>
      </c>
      <c r="F802">
        <f t="shared" si="252"/>
        <v>0</v>
      </c>
      <c r="G802">
        <f t="shared" si="253"/>
        <v>0</v>
      </c>
      <c r="H802">
        <f t="shared" si="254"/>
        <v>0</v>
      </c>
      <c r="I802">
        <f t="shared" si="255"/>
        <v>1</v>
      </c>
      <c r="J802">
        <f t="shared" si="256"/>
        <v>0</v>
      </c>
      <c r="K802" s="45">
        <f t="shared" si="257"/>
        <v>0.25</v>
      </c>
      <c r="L802" s="45">
        <f t="shared" si="258"/>
        <v>0.25</v>
      </c>
      <c r="M802" s="45">
        <f t="shared" si="259"/>
        <v>0</v>
      </c>
      <c r="N802" s="45">
        <f t="shared" si="260"/>
        <v>0</v>
      </c>
      <c r="O802" s="45">
        <f t="shared" si="261"/>
        <v>0.25</v>
      </c>
      <c r="P802" s="45">
        <f t="shared" si="262"/>
        <v>0</v>
      </c>
      <c r="Q802" s="45">
        <f t="shared" si="263"/>
        <v>0</v>
      </c>
      <c r="R802" s="45">
        <f t="shared" si="264"/>
        <v>0</v>
      </c>
      <c r="S802" s="45">
        <f t="shared" si="265"/>
        <v>0.25</v>
      </c>
      <c r="T802" s="45">
        <f t="shared" si="266"/>
        <v>0</v>
      </c>
    </row>
    <row r="803" spans="1:20" x14ac:dyDescent="0.3">
      <c r="A803">
        <f t="shared" si="247"/>
        <v>1</v>
      </c>
      <c r="B803">
        <f t="shared" si="248"/>
        <v>1</v>
      </c>
      <c r="C803">
        <f t="shared" si="249"/>
        <v>0</v>
      </c>
      <c r="D803">
        <f t="shared" si="250"/>
        <v>0</v>
      </c>
      <c r="E803">
        <f t="shared" si="251"/>
        <v>1</v>
      </c>
      <c r="F803">
        <f t="shared" si="252"/>
        <v>0</v>
      </c>
      <c r="G803">
        <f t="shared" si="253"/>
        <v>0</v>
      </c>
      <c r="H803">
        <f t="shared" si="254"/>
        <v>0</v>
      </c>
      <c r="I803">
        <f t="shared" si="255"/>
        <v>1</v>
      </c>
      <c r="J803">
        <f t="shared" si="256"/>
        <v>1</v>
      </c>
      <c r="K803" s="45">
        <f t="shared" si="257"/>
        <v>0.2</v>
      </c>
      <c r="L803" s="45">
        <f t="shared" si="258"/>
        <v>0.2</v>
      </c>
      <c r="M803" s="45">
        <f t="shared" si="259"/>
        <v>0</v>
      </c>
      <c r="N803" s="45">
        <f t="shared" si="260"/>
        <v>0</v>
      </c>
      <c r="O803" s="45">
        <f t="shared" si="261"/>
        <v>0.2</v>
      </c>
      <c r="P803" s="45">
        <f t="shared" si="262"/>
        <v>0</v>
      </c>
      <c r="Q803" s="45">
        <f t="shared" si="263"/>
        <v>0</v>
      </c>
      <c r="R803" s="45">
        <f t="shared" si="264"/>
        <v>0</v>
      </c>
      <c r="S803" s="45">
        <f t="shared" si="265"/>
        <v>0.2</v>
      </c>
      <c r="T803" s="45">
        <f t="shared" si="266"/>
        <v>0.2</v>
      </c>
    </row>
    <row r="804" spans="1:20" x14ac:dyDescent="0.3">
      <c r="A804">
        <f t="shared" si="247"/>
        <v>1</v>
      </c>
      <c r="B804">
        <f t="shared" si="248"/>
        <v>1</v>
      </c>
      <c r="C804">
        <f t="shared" si="249"/>
        <v>0</v>
      </c>
      <c r="D804">
        <f t="shared" si="250"/>
        <v>0</v>
      </c>
      <c r="E804">
        <f t="shared" si="251"/>
        <v>1</v>
      </c>
      <c r="F804">
        <f t="shared" si="252"/>
        <v>0</v>
      </c>
      <c r="G804">
        <f t="shared" si="253"/>
        <v>0</v>
      </c>
      <c r="H804">
        <f t="shared" si="254"/>
        <v>1</v>
      </c>
      <c r="I804">
        <f t="shared" si="255"/>
        <v>0</v>
      </c>
      <c r="J804">
        <f t="shared" si="256"/>
        <v>0</v>
      </c>
      <c r="K804" s="45">
        <f t="shared" si="257"/>
        <v>0.25</v>
      </c>
      <c r="L804" s="45">
        <f t="shared" si="258"/>
        <v>0.25</v>
      </c>
      <c r="M804" s="45">
        <f t="shared" si="259"/>
        <v>0</v>
      </c>
      <c r="N804" s="45">
        <f t="shared" si="260"/>
        <v>0</v>
      </c>
      <c r="O804" s="45">
        <f t="shared" si="261"/>
        <v>0.25</v>
      </c>
      <c r="P804" s="45">
        <f t="shared" si="262"/>
        <v>0</v>
      </c>
      <c r="Q804" s="45">
        <f t="shared" si="263"/>
        <v>0</v>
      </c>
      <c r="R804" s="45">
        <f t="shared" si="264"/>
        <v>0.25</v>
      </c>
      <c r="S804" s="45">
        <f t="shared" si="265"/>
        <v>0</v>
      </c>
      <c r="T804" s="45">
        <f t="shared" si="266"/>
        <v>0</v>
      </c>
    </row>
    <row r="805" spans="1:20" x14ac:dyDescent="0.3">
      <c r="A805">
        <f t="shared" si="247"/>
        <v>1</v>
      </c>
      <c r="B805">
        <f t="shared" si="248"/>
        <v>1</v>
      </c>
      <c r="C805">
        <f t="shared" si="249"/>
        <v>0</v>
      </c>
      <c r="D805">
        <f t="shared" si="250"/>
        <v>0</v>
      </c>
      <c r="E805">
        <f t="shared" si="251"/>
        <v>1</v>
      </c>
      <c r="F805">
        <f t="shared" si="252"/>
        <v>0</v>
      </c>
      <c r="G805">
        <f t="shared" si="253"/>
        <v>0</v>
      </c>
      <c r="H805">
        <f t="shared" si="254"/>
        <v>1</v>
      </c>
      <c r="I805">
        <f t="shared" si="255"/>
        <v>0</v>
      </c>
      <c r="J805">
        <f t="shared" si="256"/>
        <v>1</v>
      </c>
      <c r="K805" s="45">
        <f t="shared" si="257"/>
        <v>0.2</v>
      </c>
      <c r="L805" s="45">
        <f t="shared" si="258"/>
        <v>0.2</v>
      </c>
      <c r="M805" s="45">
        <f t="shared" si="259"/>
        <v>0</v>
      </c>
      <c r="N805" s="45">
        <f t="shared" si="260"/>
        <v>0</v>
      </c>
      <c r="O805" s="45">
        <f t="shared" si="261"/>
        <v>0.2</v>
      </c>
      <c r="P805" s="45">
        <f t="shared" si="262"/>
        <v>0</v>
      </c>
      <c r="Q805" s="45">
        <f t="shared" si="263"/>
        <v>0</v>
      </c>
      <c r="R805" s="45">
        <f t="shared" si="264"/>
        <v>0.2</v>
      </c>
      <c r="S805" s="45">
        <f t="shared" si="265"/>
        <v>0</v>
      </c>
      <c r="T805" s="45">
        <f t="shared" si="266"/>
        <v>0.2</v>
      </c>
    </row>
    <row r="806" spans="1:20" x14ac:dyDescent="0.3">
      <c r="A806">
        <f t="shared" si="247"/>
        <v>1</v>
      </c>
      <c r="B806">
        <f t="shared" si="248"/>
        <v>1</v>
      </c>
      <c r="C806">
        <f t="shared" si="249"/>
        <v>0</v>
      </c>
      <c r="D806">
        <f t="shared" si="250"/>
        <v>0</v>
      </c>
      <c r="E806">
        <f t="shared" si="251"/>
        <v>1</v>
      </c>
      <c r="F806">
        <f t="shared" si="252"/>
        <v>0</v>
      </c>
      <c r="G806">
        <f t="shared" si="253"/>
        <v>0</v>
      </c>
      <c r="H806">
        <f t="shared" si="254"/>
        <v>1</v>
      </c>
      <c r="I806">
        <f t="shared" si="255"/>
        <v>1</v>
      </c>
      <c r="J806">
        <f t="shared" si="256"/>
        <v>0</v>
      </c>
      <c r="K806" s="45">
        <f t="shared" si="257"/>
        <v>0.2</v>
      </c>
      <c r="L806" s="45">
        <f t="shared" si="258"/>
        <v>0.2</v>
      </c>
      <c r="M806" s="45">
        <f t="shared" si="259"/>
        <v>0</v>
      </c>
      <c r="N806" s="45">
        <f t="shared" si="260"/>
        <v>0</v>
      </c>
      <c r="O806" s="45">
        <f t="shared" si="261"/>
        <v>0.2</v>
      </c>
      <c r="P806" s="45">
        <f t="shared" si="262"/>
        <v>0</v>
      </c>
      <c r="Q806" s="45">
        <f t="shared" si="263"/>
        <v>0</v>
      </c>
      <c r="R806" s="45">
        <f t="shared" si="264"/>
        <v>0.2</v>
      </c>
      <c r="S806" s="45">
        <f t="shared" si="265"/>
        <v>0.2</v>
      </c>
      <c r="T806" s="45">
        <f t="shared" si="266"/>
        <v>0</v>
      </c>
    </row>
    <row r="807" spans="1:20" x14ac:dyDescent="0.3">
      <c r="A807">
        <f t="shared" si="247"/>
        <v>1</v>
      </c>
      <c r="B807">
        <f t="shared" si="248"/>
        <v>1</v>
      </c>
      <c r="C807">
        <f t="shared" si="249"/>
        <v>0</v>
      </c>
      <c r="D807">
        <f t="shared" si="250"/>
        <v>0</v>
      </c>
      <c r="E807">
        <f t="shared" si="251"/>
        <v>1</v>
      </c>
      <c r="F807">
        <f t="shared" si="252"/>
        <v>0</v>
      </c>
      <c r="G807">
        <f t="shared" si="253"/>
        <v>0</v>
      </c>
      <c r="H807">
        <f t="shared" si="254"/>
        <v>1</v>
      </c>
      <c r="I807">
        <f t="shared" si="255"/>
        <v>1</v>
      </c>
      <c r="J807">
        <f t="shared" si="256"/>
        <v>1</v>
      </c>
      <c r="K807" s="45">
        <f t="shared" si="257"/>
        <v>0.16666666666666666</v>
      </c>
      <c r="L807" s="45">
        <f t="shared" si="258"/>
        <v>0.16666666666666666</v>
      </c>
      <c r="M807" s="45">
        <f t="shared" si="259"/>
        <v>0</v>
      </c>
      <c r="N807" s="45">
        <f t="shared" si="260"/>
        <v>0</v>
      </c>
      <c r="O807" s="45">
        <f t="shared" si="261"/>
        <v>0.16666666666666666</v>
      </c>
      <c r="P807" s="45">
        <f t="shared" si="262"/>
        <v>0</v>
      </c>
      <c r="Q807" s="45">
        <f t="shared" si="263"/>
        <v>0</v>
      </c>
      <c r="R807" s="45">
        <f t="shared" si="264"/>
        <v>0.16666666666666666</v>
      </c>
      <c r="S807" s="45">
        <f t="shared" si="265"/>
        <v>0.16666666666666666</v>
      </c>
      <c r="T807" s="45">
        <f t="shared" si="266"/>
        <v>0.16666666666666666</v>
      </c>
    </row>
    <row r="808" spans="1:20" x14ac:dyDescent="0.3">
      <c r="A808">
        <f t="shared" si="247"/>
        <v>1</v>
      </c>
      <c r="B808">
        <f t="shared" si="248"/>
        <v>1</v>
      </c>
      <c r="C808">
        <f t="shared" si="249"/>
        <v>0</v>
      </c>
      <c r="D808">
        <f t="shared" si="250"/>
        <v>0</v>
      </c>
      <c r="E808">
        <f t="shared" si="251"/>
        <v>1</v>
      </c>
      <c r="F808">
        <f t="shared" si="252"/>
        <v>0</v>
      </c>
      <c r="G808">
        <f t="shared" si="253"/>
        <v>1</v>
      </c>
      <c r="H808">
        <f t="shared" si="254"/>
        <v>0</v>
      </c>
      <c r="I808">
        <f t="shared" si="255"/>
        <v>0</v>
      </c>
      <c r="J808">
        <f t="shared" si="256"/>
        <v>0</v>
      </c>
      <c r="K808" s="45">
        <f t="shared" si="257"/>
        <v>0.25</v>
      </c>
      <c r="L808" s="45">
        <f t="shared" si="258"/>
        <v>0.25</v>
      </c>
      <c r="M808" s="45">
        <f t="shared" si="259"/>
        <v>0</v>
      </c>
      <c r="N808" s="45">
        <f t="shared" si="260"/>
        <v>0</v>
      </c>
      <c r="O808" s="45">
        <f t="shared" si="261"/>
        <v>0.25</v>
      </c>
      <c r="P808" s="45">
        <f t="shared" si="262"/>
        <v>0</v>
      </c>
      <c r="Q808" s="45">
        <f t="shared" si="263"/>
        <v>0.25</v>
      </c>
      <c r="R808" s="45">
        <f t="shared" si="264"/>
        <v>0</v>
      </c>
      <c r="S808" s="45">
        <f t="shared" si="265"/>
        <v>0</v>
      </c>
      <c r="T808" s="45">
        <f t="shared" si="266"/>
        <v>0</v>
      </c>
    </row>
    <row r="809" spans="1:20" x14ac:dyDescent="0.3">
      <c r="A809">
        <f t="shared" si="247"/>
        <v>1</v>
      </c>
      <c r="B809">
        <f t="shared" si="248"/>
        <v>1</v>
      </c>
      <c r="C809">
        <f t="shared" si="249"/>
        <v>0</v>
      </c>
      <c r="D809">
        <f t="shared" si="250"/>
        <v>0</v>
      </c>
      <c r="E809">
        <f t="shared" si="251"/>
        <v>1</v>
      </c>
      <c r="F809">
        <f t="shared" si="252"/>
        <v>0</v>
      </c>
      <c r="G809">
        <f t="shared" si="253"/>
        <v>1</v>
      </c>
      <c r="H809">
        <f t="shared" si="254"/>
        <v>0</v>
      </c>
      <c r="I809">
        <f t="shared" si="255"/>
        <v>0</v>
      </c>
      <c r="J809">
        <f t="shared" si="256"/>
        <v>1</v>
      </c>
      <c r="K809" s="45">
        <f t="shared" si="257"/>
        <v>0.2</v>
      </c>
      <c r="L809" s="45">
        <f t="shared" si="258"/>
        <v>0.2</v>
      </c>
      <c r="M809" s="45">
        <f t="shared" si="259"/>
        <v>0</v>
      </c>
      <c r="N809" s="45">
        <f t="shared" si="260"/>
        <v>0</v>
      </c>
      <c r="O809" s="45">
        <f t="shared" si="261"/>
        <v>0.2</v>
      </c>
      <c r="P809" s="45">
        <f t="shared" si="262"/>
        <v>0</v>
      </c>
      <c r="Q809" s="45">
        <f t="shared" si="263"/>
        <v>0.2</v>
      </c>
      <c r="R809" s="45">
        <f t="shared" si="264"/>
        <v>0</v>
      </c>
      <c r="S809" s="45">
        <f t="shared" si="265"/>
        <v>0</v>
      </c>
      <c r="T809" s="45">
        <f t="shared" si="266"/>
        <v>0.2</v>
      </c>
    </row>
    <row r="810" spans="1:20" x14ac:dyDescent="0.3">
      <c r="A810">
        <f t="shared" si="247"/>
        <v>1</v>
      </c>
      <c r="B810">
        <f t="shared" si="248"/>
        <v>1</v>
      </c>
      <c r="C810">
        <f t="shared" si="249"/>
        <v>0</v>
      </c>
      <c r="D810">
        <f t="shared" si="250"/>
        <v>0</v>
      </c>
      <c r="E810">
        <f t="shared" si="251"/>
        <v>1</v>
      </c>
      <c r="F810">
        <f t="shared" si="252"/>
        <v>0</v>
      </c>
      <c r="G810">
        <f t="shared" si="253"/>
        <v>1</v>
      </c>
      <c r="H810">
        <f t="shared" si="254"/>
        <v>0</v>
      </c>
      <c r="I810">
        <f t="shared" si="255"/>
        <v>1</v>
      </c>
      <c r="J810">
        <f t="shared" si="256"/>
        <v>0</v>
      </c>
      <c r="K810" s="45">
        <f t="shared" si="257"/>
        <v>0.2</v>
      </c>
      <c r="L810" s="45">
        <f t="shared" si="258"/>
        <v>0.2</v>
      </c>
      <c r="M810" s="45">
        <f t="shared" si="259"/>
        <v>0</v>
      </c>
      <c r="N810" s="45">
        <f t="shared" si="260"/>
        <v>0</v>
      </c>
      <c r="O810" s="45">
        <f t="shared" si="261"/>
        <v>0.2</v>
      </c>
      <c r="P810" s="45">
        <f t="shared" si="262"/>
        <v>0</v>
      </c>
      <c r="Q810" s="45">
        <f t="shared" si="263"/>
        <v>0.2</v>
      </c>
      <c r="R810" s="45">
        <f t="shared" si="264"/>
        <v>0</v>
      </c>
      <c r="S810" s="45">
        <f t="shared" si="265"/>
        <v>0.2</v>
      </c>
      <c r="T810" s="45">
        <f t="shared" si="266"/>
        <v>0</v>
      </c>
    </row>
    <row r="811" spans="1:20" x14ac:dyDescent="0.3">
      <c r="A811">
        <f t="shared" si="247"/>
        <v>1</v>
      </c>
      <c r="B811">
        <f t="shared" si="248"/>
        <v>1</v>
      </c>
      <c r="C811">
        <f t="shared" si="249"/>
        <v>0</v>
      </c>
      <c r="D811">
        <f t="shared" si="250"/>
        <v>0</v>
      </c>
      <c r="E811">
        <f t="shared" si="251"/>
        <v>1</v>
      </c>
      <c r="F811">
        <f t="shared" si="252"/>
        <v>0</v>
      </c>
      <c r="G811">
        <f t="shared" si="253"/>
        <v>1</v>
      </c>
      <c r="H811">
        <f t="shared" si="254"/>
        <v>0</v>
      </c>
      <c r="I811">
        <f t="shared" si="255"/>
        <v>1</v>
      </c>
      <c r="J811">
        <f t="shared" si="256"/>
        <v>1</v>
      </c>
      <c r="K811" s="45">
        <f t="shared" si="257"/>
        <v>0.16666666666666666</v>
      </c>
      <c r="L811" s="45">
        <f t="shared" si="258"/>
        <v>0.16666666666666666</v>
      </c>
      <c r="M811" s="45">
        <f t="shared" si="259"/>
        <v>0</v>
      </c>
      <c r="N811" s="45">
        <f t="shared" si="260"/>
        <v>0</v>
      </c>
      <c r="O811" s="45">
        <f t="shared" si="261"/>
        <v>0.16666666666666666</v>
      </c>
      <c r="P811" s="45">
        <f t="shared" si="262"/>
        <v>0</v>
      </c>
      <c r="Q811" s="45">
        <f t="shared" si="263"/>
        <v>0.16666666666666666</v>
      </c>
      <c r="R811" s="45">
        <f t="shared" si="264"/>
        <v>0</v>
      </c>
      <c r="S811" s="45">
        <f t="shared" si="265"/>
        <v>0.16666666666666666</v>
      </c>
      <c r="T811" s="45">
        <f t="shared" si="266"/>
        <v>0.16666666666666666</v>
      </c>
    </row>
    <row r="812" spans="1:20" x14ac:dyDescent="0.3">
      <c r="A812">
        <f t="shared" si="247"/>
        <v>1</v>
      </c>
      <c r="B812">
        <f t="shared" si="248"/>
        <v>1</v>
      </c>
      <c r="C812">
        <f t="shared" si="249"/>
        <v>0</v>
      </c>
      <c r="D812">
        <f t="shared" si="250"/>
        <v>0</v>
      </c>
      <c r="E812">
        <f t="shared" si="251"/>
        <v>1</v>
      </c>
      <c r="F812">
        <f t="shared" si="252"/>
        <v>0</v>
      </c>
      <c r="G812">
        <f t="shared" si="253"/>
        <v>1</v>
      </c>
      <c r="H812">
        <f t="shared" si="254"/>
        <v>1</v>
      </c>
      <c r="I812">
        <f t="shared" si="255"/>
        <v>0</v>
      </c>
      <c r="J812">
        <f t="shared" si="256"/>
        <v>0</v>
      </c>
      <c r="K812" s="45">
        <f t="shared" si="257"/>
        <v>0.2</v>
      </c>
      <c r="L812" s="45">
        <f t="shared" si="258"/>
        <v>0.2</v>
      </c>
      <c r="M812" s="45">
        <f t="shared" si="259"/>
        <v>0</v>
      </c>
      <c r="N812" s="45">
        <f t="shared" si="260"/>
        <v>0</v>
      </c>
      <c r="O812" s="45">
        <f t="shared" si="261"/>
        <v>0.2</v>
      </c>
      <c r="P812" s="45">
        <f t="shared" si="262"/>
        <v>0</v>
      </c>
      <c r="Q812" s="45">
        <f t="shared" si="263"/>
        <v>0.2</v>
      </c>
      <c r="R812" s="45">
        <f t="shared" si="264"/>
        <v>0.2</v>
      </c>
      <c r="S812" s="45">
        <f t="shared" si="265"/>
        <v>0</v>
      </c>
      <c r="T812" s="45">
        <f t="shared" si="266"/>
        <v>0</v>
      </c>
    </row>
    <row r="813" spans="1:20" x14ac:dyDescent="0.3">
      <c r="A813">
        <f t="shared" si="247"/>
        <v>1</v>
      </c>
      <c r="B813">
        <f t="shared" si="248"/>
        <v>1</v>
      </c>
      <c r="C813">
        <f t="shared" si="249"/>
        <v>0</v>
      </c>
      <c r="D813">
        <f t="shared" si="250"/>
        <v>0</v>
      </c>
      <c r="E813">
        <f t="shared" si="251"/>
        <v>1</v>
      </c>
      <c r="F813">
        <f t="shared" si="252"/>
        <v>0</v>
      </c>
      <c r="G813">
        <f t="shared" si="253"/>
        <v>1</v>
      </c>
      <c r="H813">
        <f t="shared" si="254"/>
        <v>1</v>
      </c>
      <c r="I813">
        <f t="shared" si="255"/>
        <v>0</v>
      </c>
      <c r="J813">
        <f t="shared" si="256"/>
        <v>1</v>
      </c>
      <c r="K813" s="45">
        <f t="shared" si="257"/>
        <v>0.16666666666666666</v>
      </c>
      <c r="L813" s="45">
        <f t="shared" si="258"/>
        <v>0.16666666666666666</v>
      </c>
      <c r="M813" s="45">
        <f t="shared" si="259"/>
        <v>0</v>
      </c>
      <c r="N813" s="45">
        <f t="shared" si="260"/>
        <v>0</v>
      </c>
      <c r="O813" s="45">
        <f t="shared" si="261"/>
        <v>0.16666666666666666</v>
      </c>
      <c r="P813" s="45">
        <f t="shared" si="262"/>
        <v>0</v>
      </c>
      <c r="Q813" s="45">
        <f t="shared" si="263"/>
        <v>0.16666666666666666</v>
      </c>
      <c r="R813" s="45">
        <f t="shared" si="264"/>
        <v>0.16666666666666666</v>
      </c>
      <c r="S813" s="45">
        <f t="shared" si="265"/>
        <v>0</v>
      </c>
      <c r="T813" s="45">
        <f t="shared" si="266"/>
        <v>0.16666666666666666</v>
      </c>
    </row>
    <row r="814" spans="1:20" x14ac:dyDescent="0.3">
      <c r="A814">
        <f t="shared" si="247"/>
        <v>1</v>
      </c>
      <c r="B814">
        <f t="shared" si="248"/>
        <v>1</v>
      </c>
      <c r="C814">
        <f t="shared" si="249"/>
        <v>0</v>
      </c>
      <c r="D814">
        <f t="shared" si="250"/>
        <v>0</v>
      </c>
      <c r="E814">
        <f t="shared" si="251"/>
        <v>1</v>
      </c>
      <c r="F814">
        <f t="shared" si="252"/>
        <v>0</v>
      </c>
      <c r="G814">
        <f t="shared" si="253"/>
        <v>1</v>
      </c>
      <c r="H814">
        <f t="shared" si="254"/>
        <v>1</v>
      </c>
      <c r="I814">
        <f t="shared" si="255"/>
        <v>1</v>
      </c>
      <c r="J814">
        <f t="shared" si="256"/>
        <v>0</v>
      </c>
      <c r="K814" s="45">
        <f t="shared" si="257"/>
        <v>0.16666666666666666</v>
      </c>
      <c r="L814" s="45">
        <f t="shared" si="258"/>
        <v>0.16666666666666666</v>
      </c>
      <c r="M814" s="45">
        <f t="shared" si="259"/>
        <v>0</v>
      </c>
      <c r="N814" s="45">
        <f t="shared" si="260"/>
        <v>0</v>
      </c>
      <c r="O814" s="45">
        <f t="shared" si="261"/>
        <v>0.16666666666666666</v>
      </c>
      <c r="P814" s="45">
        <f t="shared" si="262"/>
        <v>0</v>
      </c>
      <c r="Q814" s="45">
        <f t="shared" si="263"/>
        <v>0.16666666666666666</v>
      </c>
      <c r="R814" s="45">
        <f t="shared" si="264"/>
        <v>0.16666666666666666</v>
      </c>
      <c r="S814" s="45">
        <f t="shared" si="265"/>
        <v>0.16666666666666666</v>
      </c>
      <c r="T814" s="45">
        <f t="shared" si="266"/>
        <v>0</v>
      </c>
    </row>
    <row r="815" spans="1:20" x14ac:dyDescent="0.3">
      <c r="A815">
        <f t="shared" si="247"/>
        <v>1</v>
      </c>
      <c r="B815">
        <f t="shared" si="248"/>
        <v>1</v>
      </c>
      <c r="C815">
        <f t="shared" si="249"/>
        <v>0</v>
      </c>
      <c r="D815">
        <f t="shared" si="250"/>
        <v>0</v>
      </c>
      <c r="E815">
        <f t="shared" si="251"/>
        <v>1</v>
      </c>
      <c r="F815">
        <f t="shared" si="252"/>
        <v>0</v>
      </c>
      <c r="G815">
        <f t="shared" si="253"/>
        <v>1</v>
      </c>
      <c r="H815">
        <f t="shared" si="254"/>
        <v>1</v>
      </c>
      <c r="I815">
        <f t="shared" si="255"/>
        <v>1</v>
      </c>
      <c r="J815">
        <f t="shared" si="256"/>
        <v>1</v>
      </c>
      <c r="K815" s="45">
        <f t="shared" si="257"/>
        <v>0.14285714285714285</v>
      </c>
      <c r="L815" s="45">
        <f t="shared" si="258"/>
        <v>0.14285714285714285</v>
      </c>
      <c r="M815" s="45">
        <f t="shared" si="259"/>
        <v>0</v>
      </c>
      <c r="N815" s="45">
        <f t="shared" si="260"/>
        <v>0</v>
      </c>
      <c r="O815" s="45">
        <f t="shared" si="261"/>
        <v>0.14285714285714285</v>
      </c>
      <c r="P815" s="45">
        <f t="shared" si="262"/>
        <v>0</v>
      </c>
      <c r="Q815" s="45">
        <f t="shared" si="263"/>
        <v>0.14285714285714285</v>
      </c>
      <c r="R815" s="45">
        <f t="shared" si="264"/>
        <v>0.14285714285714285</v>
      </c>
      <c r="S815" s="45">
        <f t="shared" si="265"/>
        <v>0.14285714285714285</v>
      </c>
      <c r="T815" s="45">
        <f t="shared" si="266"/>
        <v>0.14285714285714285</v>
      </c>
    </row>
    <row r="816" spans="1:20" x14ac:dyDescent="0.3">
      <c r="A816">
        <f t="shared" si="247"/>
        <v>1</v>
      </c>
      <c r="B816">
        <f t="shared" si="248"/>
        <v>1</v>
      </c>
      <c r="C816">
        <f t="shared" si="249"/>
        <v>0</v>
      </c>
      <c r="D816">
        <f t="shared" si="250"/>
        <v>0</v>
      </c>
      <c r="E816">
        <f t="shared" si="251"/>
        <v>1</v>
      </c>
      <c r="F816">
        <f t="shared" si="252"/>
        <v>1</v>
      </c>
      <c r="G816">
        <f t="shared" si="253"/>
        <v>0</v>
      </c>
      <c r="H816">
        <f t="shared" si="254"/>
        <v>0</v>
      </c>
      <c r="I816">
        <f t="shared" si="255"/>
        <v>0</v>
      </c>
      <c r="J816">
        <f t="shared" si="256"/>
        <v>0</v>
      </c>
      <c r="K816" s="45">
        <f t="shared" si="257"/>
        <v>0.25</v>
      </c>
      <c r="L816" s="45">
        <f t="shared" si="258"/>
        <v>0.25</v>
      </c>
      <c r="M816" s="45">
        <f t="shared" si="259"/>
        <v>0</v>
      </c>
      <c r="N816" s="45">
        <f t="shared" si="260"/>
        <v>0</v>
      </c>
      <c r="O816" s="45">
        <f t="shared" si="261"/>
        <v>0.25</v>
      </c>
      <c r="P816" s="45">
        <f t="shared" si="262"/>
        <v>0.25</v>
      </c>
      <c r="Q816" s="45">
        <f t="shared" si="263"/>
        <v>0</v>
      </c>
      <c r="R816" s="45">
        <f t="shared" si="264"/>
        <v>0</v>
      </c>
      <c r="S816" s="45">
        <f t="shared" si="265"/>
        <v>0</v>
      </c>
      <c r="T816" s="45">
        <f t="shared" si="266"/>
        <v>0</v>
      </c>
    </row>
    <row r="817" spans="1:20" x14ac:dyDescent="0.3">
      <c r="A817">
        <f t="shared" si="247"/>
        <v>1</v>
      </c>
      <c r="B817">
        <f t="shared" si="248"/>
        <v>1</v>
      </c>
      <c r="C817">
        <f t="shared" si="249"/>
        <v>0</v>
      </c>
      <c r="D817">
        <f t="shared" si="250"/>
        <v>0</v>
      </c>
      <c r="E817">
        <f t="shared" si="251"/>
        <v>1</v>
      </c>
      <c r="F817">
        <f t="shared" si="252"/>
        <v>1</v>
      </c>
      <c r="G817">
        <f t="shared" si="253"/>
        <v>0</v>
      </c>
      <c r="H817">
        <f t="shared" si="254"/>
        <v>0</v>
      </c>
      <c r="I817">
        <f t="shared" si="255"/>
        <v>0</v>
      </c>
      <c r="J817">
        <f t="shared" si="256"/>
        <v>1</v>
      </c>
      <c r="K817" s="45">
        <f t="shared" si="257"/>
        <v>0.2</v>
      </c>
      <c r="L817" s="45">
        <f t="shared" si="258"/>
        <v>0.2</v>
      </c>
      <c r="M817" s="45">
        <f t="shared" si="259"/>
        <v>0</v>
      </c>
      <c r="N817" s="45">
        <f t="shared" si="260"/>
        <v>0</v>
      </c>
      <c r="O817" s="45">
        <f t="shared" si="261"/>
        <v>0.2</v>
      </c>
      <c r="P817" s="45">
        <f t="shared" si="262"/>
        <v>0.2</v>
      </c>
      <c r="Q817" s="45">
        <f t="shared" si="263"/>
        <v>0</v>
      </c>
      <c r="R817" s="45">
        <f t="shared" si="264"/>
        <v>0</v>
      </c>
      <c r="S817" s="45">
        <f t="shared" si="265"/>
        <v>0</v>
      </c>
      <c r="T817" s="45">
        <f t="shared" si="266"/>
        <v>0.2</v>
      </c>
    </row>
    <row r="818" spans="1:20" x14ac:dyDescent="0.3">
      <c r="A818">
        <f t="shared" si="247"/>
        <v>1</v>
      </c>
      <c r="B818">
        <f t="shared" si="248"/>
        <v>1</v>
      </c>
      <c r="C818">
        <f t="shared" si="249"/>
        <v>0</v>
      </c>
      <c r="D818">
        <f t="shared" si="250"/>
        <v>0</v>
      </c>
      <c r="E818">
        <f t="shared" si="251"/>
        <v>1</v>
      </c>
      <c r="F818">
        <f t="shared" si="252"/>
        <v>1</v>
      </c>
      <c r="G818">
        <f t="shared" si="253"/>
        <v>0</v>
      </c>
      <c r="H818">
        <f t="shared" si="254"/>
        <v>0</v>
      </c>
      <c r="I818">
        <f t="shared" si="255"/>
        <v>1</v>
      </c>
      <c r="J818">
        <f t="shared" si="256"/>
        <v>0</v>
      </c>
      <c r="K818" s="45">
        <f t="shared" si="257"/>
        <v>0.2</v>
      </c>
      <c r="L818" s="45">
        <f t="shared" si="258"/>
        <v>0.2</v>
      </c>
      <c r="M818" s="45">
        <f t="shared" si="259"/>
        <v>0</v>
      </c>
      <c r="N818" s="45">
        <f t="shared" si="260"/>
        <v>0</v>
      </c>
      <c r="O818" s="45">
        <f t="shared" si="261"/>
        <v>0.2</v>
      </c>
      <c r="P818" s="45">
        <f t="shared" si="262"/>
        <v>0.2</v>
      </c>
      <c r="Q818" s="45">
        <f t="shared" si="263"/>
        <v>0</v>
      </c>
      <c r="R818" s="45">
        <f t="shared" si="264"/>
        <v>0</v>
      </c>
      <c r="S818" s="45">
        <f t="shared" si="265"/>
        <v>0.2</v>
      </c>
      <c r="T818" s="45">
        <f t="shared" si="266"/>
        <v>0</v>
      </c>
    </row>
    <row r="819" spans="1:20" x14ac:dyDescent="0.3">
      <c r="A819">
        <f t="shared" si="247"/>
        <v>1</v>
      </c>
      <c r="B819">
        <f t="shared" si="248"/>
        <v>1</v>
      </c>
      <c r="C819">
        <f t="shared" si="249"/>
        <v>0</v>
      </c>
      <c r="D819">
        <f t="shared" si="250"/>
        <v>0</v>
      </c>
      <c r="E819">
        <f t="shared" si="251"/>
        <v>1</v>
      </c>
      <c r="F819">
        <f t="shared" si="252"/>
        <v>1</v>
      </c>
      <c r="G819">
        <f t="shared" si="253"/>
        <v>0</v>
      </c>
      <c r="H819">
        <f t="shared" si="254"/>
        <v>0</v>
      </c>
      <c r="I819">
        <f t="shared" si="255"/>
        <v>1</v>
      </c>
      <c r="J819">
        <f t="shared" si="256"/>
        <v>1</v>
      </c>
      <c r="K819" s="45">
        <f t="shared" si="257"/>
        <v>0.16666666666666666</v>
      </c>
      <c r="L819" s="45">
        <f t="shared" si="258"/>
        <v>0.16666666666666666</v>
      </c>
      <c r="M819" s="45">
        <f t="shared" si="259"/>
        <v>0</v>
      </c>
      <c r="N819" s="45">
        <f t="shared" si="260"/>
        <v>0</v>
      </c>
      <c r="O819" s="45">
        <f t="shared" si="261"/>
        <v>0.16666666666666666</v>
      </c>
      <c r="P819" s="45">
        <f t="shared" si="262"/>
        <v>0.16666666666666666</v>
      </c>
      <c r="Q819" s="45">
        <f t="shared" si="263"/>
        <v>0</v>
      </c>
      <c r="R819" s="45">
        <f t="shared" si="264"/>
        <v>0</v>
      </c>
      <c r="S819" s="45">
        <f t="shared" si="265"/>
        <v>0.16666666666666666</v>
      </c>
      <c r="T819" s="45">
        <f t="shared" si="266"/>
        <v>0.16666666666666666</v>
      </c>
    </row>
    <row r="820" spans="1:20" x14ac:dyDescent="0.3">
      <c r="A820">
        <f t="shared" si="247"/>
        <v>1</v>
      </c>
      <c r="B820">
        <f t="shared" si="248"/>
        <v>1</v>
      </c>
      <c r="C820">
        <f t="shared" si="249"/>
        <v>0</v>
      </c>
      <c r="D820">
        <f t="shared" si="250"/>
        <v>0</v>
      </c>
      <c r="E820">
        <f t="shared" si="251"/>
        <v>1</v>
      </c>
      <c r="F820">
        <f t="shared" si="252"/>
        <v>1</v>
      </c>
      <c r="G820">
        <f t="shared" si="253"/>
        <v>0</v>
      </c>
      <c r="H820">
        <f t="shared" si="254"/>
        <v>1</v>
      </c>
      <c r="I820">
        <f t="shared" si="255"/>
        <v>0</v>
      </c>
      <c r="J820">
        <f t="shared" si="256"/>
        <v>0</v>
      </c>
      <c r="K820" s="45">
        <f t="shared" si="257"/>
        <v>0.2</v>
      </c>
      <c r="L820" s="45">
        <f t="shared" si="258"/>
        <v>0.2</v>
      </c>
      <c r="M820" s="45">
        <f t="shared" si="259"/>
        <v>0</v>
      </c>
      <c r="N820" s="45">
        <f t="shared" si="260"/>
        <v>0</v>
      </c>
      <c r="O820" s="45">
        <f t="shared" si="261"/>
        <v>0.2</v>
      </c>
      <c r="P820" s="45">
        <f t="shared" si="262"/>
        <v>0.2</v>
      </c>
      <c r="Q820" s="45">
        <f t="shared" si="263"/>
        <v>0</v>
      </c>
      <c r="R820" s="45">
        <f t="shared" si="264"/>
        <v>0.2</v>
      </c>
      <c r="S820" s="45">
        <f t="shared" si="265"/>
        <v>0</v>
      </c>
      <c r="T820" s="45">
        <f t="shared" si="266"/>
        <v>0</v>
      </c>
    </row>
    <row r="821" spans="1:20" x14ac:dyDescent="0.3">
      <c r="A821">
        <f t="shared" si="247"/>
        <v>1</v>
      </c>
      <c r="B821">
        <f t="shared" si="248"/>
        <v>1</v>
      </c>
      <c r="C821">
        <f t="shared" si="249"/>
        <v>0</v>
      </c>
      <c r="D821">
        <f t="shared" si="250"/>
        <v>0</v>
      </c>
      <c r="E821">
        <f t="shared" si="251"/>
        <v>1</v>
      </c>
      <c r="F821">
        <f t="shared" si="252"/>
        <v>1</v>
      </c>
      <c r="G821">
        <f t="shared" si="253"/>
        <v>0</v>
      </c>
      <c r="H821">
        <f t="shared" si="254"/>
        <v>1</v>
      </c>
      <c r="I821">
        <f t="shared" si="255"/>
        <v>0</v>
      </c>
      <c r="J821">
        <f t="shared" si="256"/>
        <v>1</v>
      </c>
      <c r="K821" s="45">
        <f t="shared" si="257"/>
        <v>0.16666666666666666</v>
      </c>
      <c r="L821" s="45">
        <f t="shared" si="258"/>
        <v>0.16666666666666666</v>
      </c>
      <c r="M821" s="45">
        <f t="shared" si="259"/>
        <v>0</v>
      </c>
      <c r="N821" s="45">
        <f t="shared" si="260"/>
        <v>0</v>
      </c>
      <c r="O821" s="45">
        <f t="shared" si="261"/>
        <v>0.16666666666666666</v>
      </c>
      <c r="P821" s="45">
        <f t="shared" si="262"/>
        <v>0.16666666666666666</v>
      </c>
      <c r="Q821" s="45">
        <f t="shared" si="263"/>
        <v>0</v>
      </c>
      <c r="R821" s="45">
        <f t="shared" si="264"/>
        <v>0.16666666666666666</v>
      </c>
      <c r="S821" s="45">
        <f t="shared" si="265"/>
        <v>0</v>
      </c>
      <c r="T821" s="45">
        <f t="shared" si="266"/>
        <v>0.16666666666666666</v>
      </c>
    </row>
    <row r="822" spans="1:20" x14ac:dyDescent="0.3">
      <c r="A822">
        <f t="shared" si="247"/>
        <v>1</v>
      </c>
      <c r="B822">
        <f t="shared" si="248"/>
        <v>1</v>
      </c>
      <c r="C822">
        <f t="shared" si="249"/>
        <v>0</v>
      </c>
      <c r="D822">
        <f t="shared" si="250"/>
        <v>0</v>
      </c>
      <c r="E822">
        <f t="shared" si="251"/>
        <v>1</v>
      </c>
      <c r="F822">
        <f t="shared" si="252"/>
        <v>1</v>
      </c>
      <c r="G822">
        <f t="shared" si="253"/>
        <v>0</v>
      </c>
      <c r="H822">
        <f t="shared" si="254"/>
        <v>1</v>
      </c>
      <c r="I822">
        <f t="shared" si="255"/>
        <v>1</v>
      </c>
      <c r="J822">
        <f t="shared" si="256"/>
        <v>0</v>
      </c>
      <c r="K822" s="45">
        <f t="shared" si="257"/>
        <v>0.16666666666666666</v>
      </c>
      <c r="L822" s="45">
        <f t="shared" si="258"/>
        <v>0.16666666666666666</v>
      </c>
      <c r="M822" s="45">
        <f t="shared" si="259"/>
        <v>0</v>
      </c>
      <c r="N822" s="45">
        <f t="shared" si="260"/>
        <v>0</v>
      </c>
      <c r="O822" s="45">
        <f t="shared" si="261"/>
        <v>0.16666666666666666</v>
      </c>
      <c r="P822" s="45">
        <f t="shared" si="262"/>
        <v>0.16666666666666666</v>
      </c>
      <c r="Q822" s="45">
        <f t="shared" si="263"/>
        <v>0</v>
      </c>
      <c r="R822" s="45">
        <f t="shared" si="264"/>
        <v>0.16666666666666666</v>
      </c>
      <c r="S822" s="45">
        <f t="shared" si="265"/>
        <v>0.16666666666666666</v>
      </c>
      <c r="T822" s="45">
        <f t="shared" si="266"/>
        <v>0</v>
      </c>
    </row>
    <row r="823" spans="1:20" x14ac:dyDescent="0.3">
      <c r="A823">
        <f t="shared" si="247"/>
        <v>1</v>
      </c>
      <c r="B823">
        <f t="shared" si="248"/>
        <v>1</v>
      </c>
      <c r="C823">
        <f t="shared" si="249"/>
        <v>0</v>
      </c>
      <c r="D823">
        <f t="shared" si="250"/>
        <v>0</v>
      </c>
      <c r="E823">
        <f t="shared" si="251"/>
        <v>1</v>
      </c>
      <c r="F823">
        <f t="shared" si="252"/>
        <v>1</v>
      </c>
      <c r="G823">
        <f t="shared" si="253"/>
        <v>0</v>
      </c>
      <c r="H823">
        <f t="shared" si="254"/>
        <v>1</v>
      </c>
      <c r="I823">
        <f t="shared" si="255"/>
        <v>1</v>
      </c>
      <c r="J823">
        <f t="shared" si="256"/>
        <v>1</v>
      </c>
      <c r="K823" s="45">
        <f t="shared" si="257"/>
        <v>0.14285714285714285</v>
      </c>
      <c r="L823" s="45">
        <f t="shared" si="258"/>
        <v>0.14285714285714285</v>
      </c>
      <c r="M823" s="45">
        <f t="shared" si="259"/>
        <v>0</v>
      </c>
      <c r="N823" s="45">
        <f t="shared" si="260"/>
        <v>0</v>
      </c>
      <c r="O823" s="45">
        <f t="shared" si="261"/>
        <v>0.14285714285714285</v>
      </c>
      <c r="P823" s="45">
        <f t="shared" si="262"/>
        <v>0.14285714285714285</v>
      </c>
      <c r="Q823" s="45">
        <f t="shared" si="263"/>
        <v>0</v>
      </c>
      <c r="R823" s="45">
        <f t="shared" si="264"/>
        <v>0.14285714285714285</v>
      </c>
      <c r="S823" s="45">
        <f t="shared" si="265"/>
        <v>0.14285714285714285</v>
      </c>
      <c r="T823" s="45">
        <f t="shared" si="266"/>
        <v>0.14285714285714285</v>
      </c>
    </row>
    <row r="824" spans="1:20" x14ac:dyDescent="0.3">
      <c r="A824">
        <f t="shared" si="247"/>
        <v>1</v>
      </c>
      <c r="B824">
        <f t="shared" si="248"/>
        <v>1</v>
      </c>
      <c r="C824">
        <f t="shared" si="249"/>
        <v>0</v>
      </c>
      <c r="D824">
        <f t="shared" si="250"/>
        <v>0</v>
      </c>
      <c r="E824">
        <f t="shared" si="251"/>
        <v>1</v>
      </c>
      <c r="F824">
        <f t="shared" si="252"/>
        <v>1</v>
      </c>
      <c r="G824">
        <f t="shared" si="253"/>
        <v>1</v>
      </c>
      <c r="H824">
        <f t="shared" si="254"/>
        <v>0</v>
      </c>
      <c r="I824">
        <f t="shared" si="255"/>
        <v>0</v>
      </c>
      <c r="J824">
        <f t="shared" si="256"/>
        <v>0</v>
      </c>
      <c r="K824" s="45">
        <f t="shared" si="257"/>
        <v>0.2</v>
      </c>
      <c r="L824" s="45">
        <f t="shared" si="258"/>
        <v>0.2</v>
      </c>
      <c r="M824" s="45">
        <f t="shared" si="259"/>
        <v>0</v>
      </c>
      <c r="N824" s="45">
        <f t="shared" si="260"/>
        <v>0</v>
      </c>
      <c r="O824" s="45">
        <f t="shared" si="261"/>
        <v>0.2</v>
      </c>
      <c r="P824" s="45">
        <f t="shared" si="262"/>
        <v>0.2</v>
      </c>
      <c r="Q824" s="45">
        <f t="shared" si="263"/>
        <v>0.2</v>
      </c>
      <c r="R824" s="45">
        <f t="shared" si="264"/>
        <v>0</v>
      </c>
      <c r="S824" s="45">
        <f t="shared" si="265"/>
        <v>0</v>
      </c>
      <c r="T824" s="45">
        <f t="shared" si="266"/>
        <v>0</v>
      </c>
    </row>
    <row r="825" spans="1:20" x14ac:dyDescent="0.3">
      <c r="A825">
        <f t="shared" si="247"/>
        <v>1</v>
      </c>
      <c r="B825">
        <f t="shared" si="248"/>
        <v>1</v>
      </c>
      <c r="C825">
        <f t="shared" si="249"/>
        <v>0</v>
      </c>
      <c r="D825">
        <f t="shared" si="250"/>
        <v>0</v>
      </c>
      <c r="E825">
        <f t="shared" si="251"/>
        <v>1</v>
      </c>
      <c r="F825">
        <f t="shared" si="252"/>
        <v>1</v>
      </c>
      <c r="G825">
        <f t="shared" si="253"/>
        <v>1</v>
      </c>
      <c r="H825">
        <f t="shared" si="254"/>
        <v>0</v>
      </c>
      <c r="I825">
        <f t="shared" si="255"/>
        <v>0</v>
      </c>
      <c r="J825">
        <f t="shared" si="256"/>
        <v>1</v>
      </c>
      <c r="K825" s="45">
        <f t="shared" si="257"/>
        <v>0.16666666666666666</v>
      </c>
      <c r="L825" s="45">
        <f t="shared" si="258"/>
        <v>0.16666666666666666</v>
      </c>
      <c r="M825" s="45">
        <f t="shared" si="259"/>
        <v>0</v>
      </c>
      <c r="N825" s="45">
        <f t="shared" si="260"/>
        <v>0</v>
      </c>
      <c r="O825" s="45">
        <f t="shared" si="261"/>
        <v>0.16666666666666666</v>
      </c>
      <c r="P825" s="45">
        <f t="shared" si="262"/>
        <v>0.16666666666666666</v>
      </c>
      <c r="Q825" s="45">
        <f t="shared" si="263"/>
        <v>0.16666666666666666</v>
      </c>
      <c r="R825" s="45">
        <f t="shared" si="264"/>
        <v>0</v>
      </c>
      <c r="S825" s="45">
        <f t="shared" si="265"/>
        <v>0</v>
      </c>
      <c r="T825" s="45">
        <f t="shared" si="266"/>
        <v>0.16666666666666666</v>
      </c>
    </row>
    <row r="826" spans="1:20" x14ac:dyDescent="0.3">
      <c r="A826">
        <f t="shared" si="247"/>
        <v>1</v>
      </c>
      <c r="B826">
        <f t="shared" si="248"/>
        <v>1</v>
      </c>
      <c r="C826">
        <f t="shared" si="249"/>
        <v>0</v>
      </c>
      <c r="D826">
        <f t="shared" si="250"/>
        <v>0</v>
      </c>
      <c r="E826">
        <f t="shared" si="251"/>
        <v>1</v>
      </c>
      <c r="F826">
        <f t="shared" si="252"/>
        <v>1</v>
      </c>
      <c r="G826">
        <f t="shared" si="253"/>
        <v>1</v>
      </c>
      <c r="H826">
        <f t="shared" si="254"/>
        <v>0</v>
      </c>
      <c r="I826">
        <f t="shared" si="255"/>
        <v>1</v>
      </c>
      <c r="J826">
        <f t="shared" si="256"/>
        <v>0</v>
      </c>
      <c r="K826" s="45">
        <f t="shared" si="257"/>
        <v>0.16666666666666666</v>
      </c>
      <c r="L826" s="45">
        <f t="shared" si="258"/>
        <v>0.16666666666666666</v>
      </c>
      <c r="M826" s="45">
        <f t="shared" si="259"/>
        <v>0</v>
      </c>
      <c r="N826" s="45">
        <f t="shared" si="260"/>
        <v>0</v>
      </c>
      <c r="O826" s="45">
        <f t="shared" si="261"/>
        <v>0.16666666666666666</v>
      </c>
      <c r="P826" s="45">
        <f t="shared" si="262"/>
        <v>0.16666666666666666</v>
      </c>
      <c r="Q826" s="45">
        <f t="shared" si="263"/>
        <v>0.16666666666666666</v>
      </c>
      <c r="R826" s="45">
        <f t="shared" si="264"/>
        <v>0</v>
      </c>
      <c r="S826" s="45">
        <f t="shared" si="265"/>
        <v>0.16666666666666666</v>
      </c>
      <c r="T826" s="45">
        <f t="shared" si="266"/>
        <v>0</v>
      </c>
    </row>
    <row r="827" spans="1:20" x14ac:dyDescent="0.3">
      <c r="A827">
        <f t="shared" si="247"/>
        <v>1</v>
      </c>
      <c r="B827">
        <f t="shared" si="248"/>
        <v>1</v>
      </c>
      <c r="C827">
        <f t="shared" si="249"/>
        <v>0</v>
      </c>
      <c r="D827">
        <f t="shared" si="250"/>
        <v>0</v>
      </c>
      <c r="E827">
        <f t="shared" si="251"/>
        <v>1</v>
      </c>
      <c r="F827">
        <f t="shared" si="252"/>
        <v>1</v>
      </c>
      <c r="G827">
        <f t="shared" si="253"/>
        <v>1</v>
      </c>
      <c r="H827">
        <f t="shared" si="254"/>
        <v>0</v>
      </c>
      <c r="I827">
        <f t="shared" si="255"/>
        <v>1</v>
      </c>
      <c r="J827">
        <f t="shared" si="256"/>
        <v>1</v>
      </c>
      <c r="K827" s="45">
        <f t="shared" si="257"/>
        <v>0.14285714285714285</v>
      </c>
      <c r="L827" s="45">
        <f t="shared" si="258"/>
        <v>0.14285714285714285</v>
      </c>
      <c r="M827" s="45">
        <f t="shared" si="259"/>
        <v>0</v>
      </c>
      <c r="N827" s="45">
        <f t="shared" si="260"/>
        <v>0</v>
      </c>
      <c r="O827" s="45">
        <f t="shared" si="261"/>
        <v>0.14285714285714285</v>
      </c>
      <c r="P827" s="45">
        <f t="shared" si="262"/>
        <v>0.14285714285714285</v>
      </c>
      <c r="Q827" s="45">
        <f t="shared" si="263"/>
        <v>0.14285714285714285</v>
      </c>
      <c r="R827" s="45">
        <f t="shared" si="264"/>
        <v>0</v>
      </c>
      <c r="S827" s="45">
        <f t="shared" si="265"/>
        <v>0.14285714285714285</v>
      </c>
      <c r="T827" s="45">
        <f t="shared" si="266"/>
        <v>0.14285714285714285</v>
      </c>
    </row>
    <row r="828" spans="1:20" x14ac:dyDescent="0.3">
      <c r="A828">
        <f t="shared" si="247"/>
        <v>1</v>
      </c>
      <c r="B828">
        <f t="shared" si="248"/>
        <v>1</v>
      </c>
      <c r="C828">
        <f t="shared" si="249"/>
        <v>0</v>
      </c>
      <c r="D828">
        <f t="shared" si="250"/>
        <v>0</v>
      </c>
      <c r="E828">
        <f t="shared" si="251"/>
        <v>1</v>
      </c>
      <c r="F828">
        <f t="shared" si="252"/>
        <v>1</v>
      </c>
      <c r="G828">
        <f t="shared" si="253"/>
        <v>1</v>
      </c>
      <c r="H828">
        <f t="shared" si="254"/>
        <v>1</v>
      </c>
      <c r="I828">
        <f t="shared" si="255"/>
        <v>0</v>
      </c>
      <c r="J828">
        <f t="shared" si="256"/>
        <v>0</v>
      </c>
      <c r="K828" s="45">
        <f t="shared" si="257"/>
        <v>0.16666666666666666</v>
      </c>
      <c r="L828" s="45">
        <f t="shared" si="258"/>
        <v>0.16666666666666666</v>
      </c>
      <c r="M828" s="45">
        <f t="shared" si="259"/>
        <v>0</v>
      </c>
      <c r="N828" s="45">
        <f t="shared" si="260"/>
        <v>0</v>
      </c>
      <c r="O828" s="45">
        <f t="shared" si="261"/>
        <v>0.16666666666666666</v>
      </c>
      <c r="P828" s="45">
        <f t="shared" si="262"/>
        <v>0.16666666666666666</v>
      </c>
      <c r="Q828" s="45">
        <f t="shared" si="263"/>
        <v>0.16666666666666666</v>
      </c>
      <c r="R828" s="45">
        <f t="shared" si="264"/>
        <v>0.16666666666666666</v>
      </c>
      <c r="S828" s="45">
        <f t="shared" si="265"/>
        <v>0</v>
      </c>
      <c r="T828" s="45">
        <f t="shared" si="266"/>
        <v>0</v>
      </c>
    </row>
    <row r="829" spans="1:20" x14ac:dyDescent="0.3">
      <c r="A829">
        <f t="shared" si="247"/>
        <v>1</v>
      </c>
      <c r="B829">
        <f t="shared" si="248"/>
        <v>1</v>
      </c>
      <c r="C829">
        <f t="shared" si="249"/>
        <v>0</v>
      </c>
      <c r="D829">
        <f t="shared" si="250"/>
        <v>0</v>
      </c>
      <c r="E829">
        <f t="shared" si="251"/>
        <v>1</v>
      </c>
      <c r="F829">
        <f t="shared" si="252"/>
        <v>1</v>
      </c>
      <c r="G829">
        <f t="shared" si="253"/>
        <v>1</v>
      </c>
      <c r="H829">
        <f t="shared" si="254"/>
        <v>1</v>
      </c>
      <c r="I829">
        <f t="shared" si="255"/>
        <v>0</v>
      </c>
      <c r="J829">
        <f t="shared" si="256"/>
        <v>1</v>
      </c>
      <c r="K829" s="45">
        <f t="shared" si="257"/>
        <v>0.14285714285714285</v>
      </c>
      <c r="L829" s="45">
        <f t="shared" si="258"/>
        <v>0.14285714285714285</v>
      </c>
      <c r="M829" s="45">
        <f t="shared" si="259"/>
        <v>0</v>
      </c>
      <c r="N829" s="45">
        <f t="shared" si="260"/>
        <v>0</v>
      </c>
      <c r="O829" s="45">
        <f t="shared" si="261"/>
        <v>0.14285714285714285</v>
      </c>
      <c r="P829" s="45">
        <f t="shared" si="262"/>
        <v>0.14285714285714285</v>
      </c>
      <c r="Q829" s="45">
        <f t="shared" si="263"/>
        <v>0.14285714285714285</v>
      </c>
      <c r="R829" s="45">
        <f t="shared" si="264"/>
        <v>0.14285714285714285</v>
      </c>
      <c r="S829" s="45">
        <f t="shared" si="265"/>
        <v>0</v>
      </c>
      <c r="T829" s="45">
        <f t="shared" si="266"/>
        <v>0.14285714285714285</v>
      </c>
    </row>
    <row r="830" spans="1:20" x14ac:dyDescent="0.3">
      <c r="A830">
        <f t="shared" si="247"/>
        <v>1</v>
      </c>
      <c r="B830">
        <f t="shared" si="248"/>
        <v>1</v>
      </c>
      <c r="C830">
        <f t="shared" si="249"/>
        <v>0</v>
      </c>
      <c r="D830">
        <f t="shared" si="250"/>
        <v>0</v>
      </c>
      <c r="E830">
        <f t="shared" si="251"/>
        <v>1</v>
      </c>
      <c r="F830">
        <f t="shared" si="252"/>
        <v>1</v>
      </c>
      <c r="G830">
        <f t="shared" si="253"/>
        <v>1</v>
      </c>
      <c r="H830">
        <f t="shared" si="254"/>
        <v>1</v>
      </c>
      <c r="I830">
        <f t="shared" si="255"/>
        <v>1</v>
      </c>
      <c r="J830">
        <f t="shared" si="256"/>
        <v>0</v>
      </c>
      <c r="K830" s="45">
        <f t="shared" si="257"/>
        <v>0.14285714285714285</v>
      </c>
      <c r="L830" s="45">
        <f t="shared" si="258"/>
        <v>0.14285714285714285</v>
      </c>
      <c r="M830" s="45">
        <f t="shared" si="259"/>
        <v>0</v>
      </c>
      <c r="N830" s="45">
        <f t="shared" si="260"/>
        <v>0</v>
      </c>
      <c r="O830" s="45">
        <f t="shared" si="261"/>
        <v>0.14285714285714285</v>
      </c>
      <c r="P830" s="45">
        <f t="shared" si="262"/>
        <v>0.14285714285714285</v>
      </c>
      <c r="Q830" s="45">
        <f t="shared" si="263"/>
        <v>0.14285714285714285</v>
      </c>
      <c r="R830" s="45">
        <f t="shared" si="264"/>
        <v>0.14285714285714285</v>
      </c>
      <c r="S830" s="45">
        <f t="shared" si="265"/>
        <v>0.14285714285714285</v>
      </c>
      <c r="T830" s="45">
        <f t="shared" si="266"/>
        <v>0</v>
      </c>
    </row>
    <row r="831" spans="1:20" x14ac:dyDescent="0.3">
      <c r="A831">
        <f t="shared" si="247"/>
        <v>1</v>
      </c>
      <c r="B831">
        <f t="shared" si="248"/>
        <v>1</v>
      </c>
      <c r="C831">
        <f t="shared" si="249"/>
        <v>0</v>
      </c>
      <c r="D831">
        <f t="shared" si="250"/>
        <v>0</v>
      </c>
      <c r="E831">
        <f t="shared" si="251"/>
        <v>1</v>
      </c>
      <c r="F831">
        <f t="shared" si="252"/>
        <v>1</v>
      </c>
      <c r="G831">
        <f t="shared" si="253"/>
        <v>1</v>
      </c>
      <c r="H831">
        <f t="shared" si="254"/>
        <v>1</v>
      </c>
      <c r="I831">
        <f t="shared" si="255"/>
        <v>1</v>
      </c>
      <c r="J831">
        <f t="shared" si="256"/>
        <v>1</v>
      </c>
      <c r="K831" s="45">
        <f t="shared" si="257"/>
        <v>0.125</v>
      </c>
      <c r="L831" s="45">
        <f t="shared" si="258"/>
        <v>0.125</v>
      </c>
      <c r="M831" s="45">
        <f t="shared" si="259"/>
        <v>0</v>
      </c>
      <c r="N831" s="45">
        <f t="shared" si="260"/>
        <v>0</v>
      </c>
      <c r="O831" s="45">
        <f t="shared" si="261"/>
        <v>0.125</v>
      </c>
      <c r="P831" s="45">
        <f t="shared" si="262"/>
        <v>0.125</v>
      </c>
      <c r="Q831" s="45">
        <f t="shared" si="263"/>
        <v>0.125</v>
      </c>
      <c r="R831" s="45">
        <f t="shared" si="264"/>
        <v>0.125</v>
      </c>
      <c r="S831" s="45">
        <f t="shared" si="265"/>
        <v>0.125</v>
      </c>
      <c r="T831" s="45">
        <f t="shared" si="266"/>
        <v>0.125</v>
      </c>
    </row>
    <row r="832" spans="1:20" x14ac:dyDescent="0.3">
      <c r="A832">
        <f t="shared" si="247"/>
        <v>1</v>
      </c>
      <c r="B832">
        <f t="shared" si="248"/>
        <v>1</v>
      </c>
      <c r="C832">
        <f t="shared" si="249"/>
        <v>0</v>
      </c>
      <c r="D832">
        <f t="shared" si="250"/>
        <v>1</v>
      </c>
      <c r="E832">
        <f t="shared" si="251"/>
        <v>0</v>
      </c>
      <c r="F832">
        <f t="shared" si="252"/>
        <v>0</v>
      </c>
      <c r="G832">
        <f t="shared" si="253"/>
        <v>0</v>
      </c>
      <c r="H832">
        <f t="shared" si="254"/>
        <v>0</v>
      </c>
      <c r="I832">
        <f t="shared" si="255"/>
        <v>0</v>
      </c>
      <c r="J832">
        <f t="shared" si="256"/>
        <v>0</v>
      </c>
      <c r="K832" s="45">
        <f t="shared" si="257"/>
        <v>0.33333333333333331</v>
      </c>
      <c r="L832" s="45">
        <f t="shared" si="258"/>
        <v>0.33333333333333331</v>
      </c>
      <c r="M832" s="45">
        <f t="shared" si="259"/>
        <v>0</v>
      </c>
      <c r="N832" s="45">
        <f t="shared" si="260"/>
        <v>0.33333333333333331</v>
      </c>
      <c r="O832" s="45">
        <f t="shared" si="261"/>
        <v>0</v>
      </c>
      <c r="P832" s="45">
        <f t="shared" si="262"/>
        <v>0</v>
      </c>
      <c r="Q832" s="45">
        <f t="shared" si="263"/>
        <v>0</v>
      </c>
      <c r="R832" s="45">
        <f t="shared" si="264"/>
        <v>0</v>
      </c>
      <c r="S832" s="45">
        <f t="shared" si="265"/>
        <v>0</v>
      </c>
      <c r="T832" s="45">
        <f t="shared" si="266"/>
        <v>0</v>
      </c>
    </row>
    <row r="833" spans="1:20" x14ac:dyDescent="0.3">
      <c r="A833">
        <f t="shared" si="247"/>
        <v>1</v>
      </c>
      <c r="B833">
        <f t="shared" si="248"/>
        <v>1</v>
      </c>
      <c r="C833">
        <f t="shared" si="249"/>
        <v>0</v>
      </c>
      <c r="D833">
        <f t="shared" si="250"/>
        <v>1</v>
      </c>
      <c r="E833">
        <f t="shared" si="251"/>
        <v>0</v>
      </c>
      <c r="F833">
        <f t="shared" si="252"/>
        <v>0</v>
      </c>
      <c r="G833">
        <f t="shared" si="253"/>
        <v>0</v>
      </c>
      <c r="H833">
        <f t="shared" si="254"/>
        <v>0</v>
      </c>
      <c r="I833">
        <f t="shared" si="255"/>
        <v>0</v>
      </c>
      <c r="J833">
        <f t="shared" si="256"/>
        <v>1</v>
      </c>
      <c r="K833" s="45">
        <f t="shared" si="257"/>
        <v>0.25</v>
      </c>
      <c r="L833" s="45">
        <f t="shared" si="258"/>
        <v>0.25</v>
      </c>
      <c r="M833" s="45">
        <f t="shared" si="259"/>
        <v>0</v>
      </c>
      <c r="N833" s="45">
        <f t="shared" si="260"/>
        <v>0.25</v>
      </c>
      <c r="O833" s="45">
        <f t="shared" si="261"/>
        <v>0</v>
      </c>
      <c r="P833" s="45">
        <f t="shared" si="262"/>
        <v>0</v>
      </c>
      <c r="Q833" s="45">
        <f t="shared" si="263"/>
        <v>0</v>
      </c>
      <c r="R833" s="45">
        <f t="shared" si="264"/>
        <v>0</v>
      </c>
      <c r="S833" s="45">
        <f t="shared" si="265"/>
        <v>0</v>
      </c>
      <c r="T833" s="45">
        <f t="shared" si="266"/>
        <v>0.25</v>
      </c>
    </row>
    <row r="834" spans="1:20" x14ac:dyDescent="0.3">
      <c r="A834">
        <f t="shared" ref="A834:A897" si="267">INT( MOD(ROW()+0,1024)/512)</f>
        <v>1</v>
      </c>
      <c r="B834">
        <f t="shared" ref="B834:B897" si="268">INT( MOD(ROW()+0,512)/256)</f>
        <v>1</v>
      </c>
      <c r="C834">
        <f t="shared" ref="C834:C897" si="269">INT( MOD(ROW()+0,256)/128)</f>
        <v>0</v>
      </c>
      <c r="D834">
        <f t="shared" ref="D834:D897" si="270">INT( MOD(ROW()+0,128)/64)</f>
        <v>1</v>
      </c>
      <c r="E834">
        <f t="shared" ref="E834:E897" si="271">INT( MOD(ROW()+0,64)/32)</f>
        <v>0</v>
      </c>
      <c r="F834">
        <f t="shared" ref="F834:F897" si="272">INT( MOD(ROW()+0,32)/16)</f>
        <v>0</v>
      </c>
      <c r="G834">
        <f t="shared" ref="G834:G897" si="273">INT( MOD(ROW()+0,16)/8)</f>
        <v>0</v>
      </c>
      <c r="H834">
        <f t="shared" ref="H834:H897" si="274">INT( MOD(ROW()+0,8)/4)</f>
        <v>0</v>
      </c>
      <c r="I834">
        <f t="shared" ref="I834:I897" si="275">INT( MOD(ROW()+0,4)/2)</f>
        <v>1</v>
      </c>
      <c r="J834">
        <f t="shared" ref="J834:J897" si="276">INT( MOD(ROW()+0,2)/1)</f>
        <v>0</v>
      </c>
      <c r="K834" s="45">
        <f t="shared" ref="K834:K897" si="277">A834/SUM($A834:$J834)</f>
        <v>0.25</v>
      </c>
      <c r="L834" s="45">
        <f t="shared" ref="L834:L897" si="278">B834/SUM($A834:$J834)</f>
        <v>0.25</v>
      </c>
      <c r="M834" s="45">
        <f t="shared" ref="M834:M897" si="279">C834/SUM($A834:$J834)</f>
        <v>0</v>
      </c>
      <c r="N834" s="45">
        <f t="shared" ref="N834:N897" si="280">D834/SUM($A834:$J834)</f>
        <v>0.25</v>
      </c>
      <c r="O834" s="45">
        <f t="shared" ref="O834:O897" si="281">E834/SUM($A834:$J834)</f>
        <v>0</v>
      </c>
      <c r="P834" s="45">
        <f t="shared" ref="P834:P897" si="282">F834/SUM($A834:$J834)</f>
        <v>0</v>
      </c>
      <c r="Q834" s="45">
        <f t="shared" ref="Q834:Q897" si="283">G834/SUM($A834:$J834)</f>
        <v>0</v>
      </c>
      <c r="R834" s="45">
        <f t="shared" ref="R834:R897" si="284">H834/SUM($A834:$J834)</f>
        <v>0</v>
      </c>
      <c r="S834" s="45">
        <f t="shared" ref="S834:S897" si="285">I834/SUM($A834:$J834)</f>
        <v>0.25</v>
      </c>
      <c r="T834" s="45">
        <f t="shared" ref="T834:T897" si="286">J834/SUM($A834:$J834)</f>
        <v>0</v>
      </c>
    </row>
    <row r="835" spans="1:20" x14ac:dyDescent="0.3">
      <c r="A835">
        <f t="shared" si="267"/>
        <v>1</v>
      </c>
      <c r="B835">
        <f t="shared" si="268"/>
        <v>1</v>
      </c>
      <c r="C835">
        <f t="shared" si="269"/>
        <v>0</v>
      </c>
      <c r="D835">
        <f t="shared" si="270"/>
        <v>1</v>
      </c>
      <c r="E835">
        <f t="shared" si="271"/>
        <v>0</v>
      </c>
      <c r="F835">
        <f t="shared" si="272"/>
        <v>0</v>
      </c>
      <c r="G835">
        <f t="shared" si="273"/>
        <v>0</v>
      </c>
      <c r="H835">
        <f t="shared" si="274"/>
        <v>0</v>
      </c>
      <c r="I835">
        <f t="shared" si="275"/>
        <v>1</v>
      </c>
      <c r="J835">
        <f t="shared" si="276"/>
        <v>1</v>
      </c>
      <c r="K835" s="45">
        <f t="shared" si="277"/>
        <v>0.2</v>
      </c>
      <c r="L835" s="45">
        <f t="shared" si="278"/>
        <v>0.2</v>
      </c>
      <c r="M835" s="45">
        <f t="shared" si="279"/>
        <v>0</v>
      </c>
      <c r="N835" s="45">
        <f t="shared" si="280"/>
        <v>0.2</v>
      </c>
      <c r="O835" s="45">
        <f t="shared" si="281"/>
        <v>0</v>
      </c>
      <c r="P835" s="45">
        <f t="shared" si="282"/>
        <v>0</v>
      </c>
      <c r="Q835" s="45">
        <f t="shared" si="283"/>
        <v>0</v>
      </c>
      <c r="R835" s="45">
        <f t="shared" si="284"/>
        <v>0</v>
      </c>
      <c r="S835" s="45">
        <f t="shared" si="285"/>
        <v>0.2</v>
      </c>
      <c r="T835" s="45">
        <f t="shared" si="286"/>
        <v>0.2</v>
      </c>
    </row>
    <row r="836" spans="1:20" x14ac:dyDescent="0.3">
      <c r="A836">
        <f t="shared" si="267"/>
        <v>1</v>
      </c>
      <c r="B836">
        <f t="shared" si="268"/>
        <v>1</v>
      </c>
      <c r="C836">
        <f t="shared" si="269"/>
        <v>0</v>
      </c>
      <c r="D836">
        <f t="shared" si="270"/>
        <v>1</v>
      </c>
      <c r="E836">
        <f t="shared" si="271"/>
        <v>0</v>
      </c>
      <c r="F836">
        <f t="shared" si="272"/>
        <v>0</v>
      </c>
      <c r="G836">
        <f t="shared" si="273"/>
        <v>0</v>
      </c>
      <c r="H836">
        <f t="shared" si="274"/>
        <v>1</v>
      </c>
      <c r="I836">
        <f t="shared" si="275"/>
        <v>0</v>
      </c>
      <c r="J836">
        <f t="shared" si="276"/>
        <v>0</v>
      </c>
      <c r="K836" s="45">
        <f t="shared" si="277"/>
        <v>0.25</v>
      </c>
      <c r="L836" s="45">
        <f t="shared" si="278"/>
        <v>0.25</v>
      </c>
      <c r="M836" s="45">
        <f t="shared" si="279"/>
        <v>0</v>
      </c>
      <c r="N836" s="45">
        <f t="shared" si="280"/>
        <v>0.25</v>
      </c>
      <c r="O836" s="45">
        <f t="shared" si="281"/>
        <v>0</v>
      </c>
      <c r="P836" s="45">
        <f t="shared" si="282"/>
        <v>0</v>
      </c>
      <c r="Q836" s="45">
        <f t="shared" si="283"/>
        <v>0</v>
      </c>
      <c r="R836" s="45">
        <f t="shared" si="284"/>
        <v>0.25</v>
      </c>
      <c r="S836" s="45">
        <f t="shared" si="285"/>
        <v>0</v>
      </c>
      <c r="T836" s="45">
        <f t="shared" si="286"/>
        <v>0</v>
      </c>
    </row>
    <row r="837" spans="1:20" x14ac:dyDescent="0.3">
      <c r="A837">
        <f t="shared" si="267"/>
        <v>1</v>
      </c>
      <c r="B837">
        <f t="shared" si="268"/>
        <v>1</v>
      </c>
      <c r="C837">
        <f t="shared" si="269"/>
        <v>0</v>
      </c>
      <c r="D837">
        <f t="shared" si="270"/>
        <v>1</v>
      </c>
      <c r="E837">
        <f t="shared" si="271"/>
        <v>0</v>
      </c>
      <c r="F837">
        <f t="shared" si="272"/>
        <v>0</v>
      </c>
      <c r="G837">
        <f t="shared" si="273"/>
        <v>0</v>
      </c>
      <c r="H837">
        <f t="shared" si="274"/>
        <v>1</v>
      </c>
      <c r="I837">
        <f t="shared" si="275"/>
        <v>0</v>
      </c>
      <c r="J837">
        <f t="shared" si="276"/>
        <v>1</v>
      </c>
      <c r="K837" s="45">
        <f t="shared" si="277"/>
        <v>0.2</v>
      </c>
      <c r="L837" s="45">
        <f t="shared" si="278"/>
        <v>0.2</v>
      </c>
      <c r="M837" s="45">
        <f t="shared" si="279"/>
        <v>0</v>
      </c>
      <c r="N837" s="45">
        <f t="shared" si="280"/>
        <v>0.2</v>
      </c>
      <c r="O837" s="45">
        <f t="shared" si="281"/>
        <v>0</v>
      </c>
      <c r="P837" s="45">
        <f t="shared" si="282"/>
        <v>0</v>
      </c>
      <c r="Q837" s="45">
        <f t="shared" si="283"/>
        <v>0</v>
      </c>
      <c r="R837" s="45">
        <f t="shared" si="284"/>
        <v>0.2</v>
      </c>
      <c r="S837" s="45">
        <f t="shared" si="285"/>
        <v>0</v>
      </c>
      <c r="T837" s="45">
        <f t="shared" si="286"/>
        <v>0.2</v>
      </c>
    </row>
    <row r="838" spans="1:20" x14ac:dyDescent="0.3">
      <c r="A838">
        <f t="shared" si="267"/>
        <v>1</v>
      </c>
      <c r="B838">
        <f t="shared" si="268"/>
        <v>1</v>
      </c>
      <c r="C838">
        <f t="shared" si="269"/>
        <v>0</v>
      </c>
      <c r="D838">
        <f t="shared" si="270"/>
        <v>1</v>
      </c>
      <c r="E838">
        <f t="shared" si="271"/>
        <v>0</v>
      </c>
      <c r="F838">
        <f t="shared" si="272"/>
        <v>0</v>
      </c>
      <c r="G838">
        <f t="shared" si="273"/>
        <v>0</v>
      </c>
      <c r="H838">
        <f t="shared" si="274"/>
        <v>1</v>
      </c>
      <c r="I838">
        <f t="shared" si="275"/>
        <v>1</v>
      </c>
      <c r="J838">
        <f t="shared" si="276"/>
        <v>0</v>
      </c>
      <c r="K838" s="45">
        <f t="shared" si="277"/>
        <v>0.2</v>
      </c>
      <c r="L838" s="45">
        <f t="shared" si="278"/>
        <v>0.2</v>
      </c>
      <c r="M838" s="45">
        <f t="shared" si="279"/>
        <v>0</v>
      </c>
      <c r="N838" s="45">
        <f t="shared" si="280"/>
        <v>0.2</v>
      </c>
      <c r="O838" s="45">
        <f t="shared" si="281"/>
        <v>0</v>
      </c>
      <c r="P838" s="45">
        <f t="shared" si="282"/>
        <v>0</v>
      </c>
      <c r="Q838" s="45">
        <f t="shared" si="283"/>
        <v>0</v>
      </c>
      <c r="R838" s="45">
        <f t="shared" si="284"/>
        <v>0.2</v>
      </c>
      <c r="S838" s="45">
        <f t="shared" si="285"/>
        <v>0.2</v>
      </c>
      <c r="T838" s="45">
        <f t="shared" si="286"/>
        <v>0</v>
      </c>
    </row>
    <row r="839" spans="1:20" x14ac:dyDescent="0.3">
      <c r="A839">
        <f t="shared" si="267"/>
        <v>1</v>
      </c>
      <c r="B839">
        <f t="shared" si="268"/>
        <v>1</v>
      </c>
      <c r="C839">
        <f t="shared" si="269"/>
        <v>0</v>
      </c>
      <c r="D839">
        <f t="shared" si="270"/>
        <v>1</v>
      </c>
      <c r="E839">
        <f t="shared" si="271"/>
        <v>0</v>
      </c>
      <c r="F839">
        <f t="shared" si="272"/>
        <v>0</v>
      </c>
      <c r="G839">
        <f t="shared" si="273"/>
        <v>0</v>
      </c>
      <c r="H839">
        <f t="shared" si="274"/>
        <v>1</v>
      </c>
      <c r="I839">
        <f t="shared" si="275"/>
        <v>1</v>
      </c>
      <c r="J839">
        <f t="shared" si="276"/>
        <v>1</v>
      </c>
      <c r="K839" s="45">
        <f t="shared" si="277"/>
        <v>0.16666666666666666</v>
      </c>
      <c r="L839" s="45">
        <f t="shared" si="278"/>
        <v>0.16666666666666666</v>
      </c>
      <c r="M839" s="45">
        <f t="shared" si="279"/>
        <v>0</v>
      </c>
      <c r="N839" s="45">
        <f t="shared" si="280"/>
        <v>0.16666666666666666</v>
      </c>
      <c r="O839" s="45">
        <f t="shared" si="281"/>
        <v>0</v>
      </c>
      <c r="P839" s="45">
        <f t="shared" si="282"/>
        <v>0</v>
      </c>
      <c r="Q839" s="45">
        <f t="shared" si="283"/>
        <v>0</v>
      </c>
      <c r="R839" s="45">
        <f t="shared" si="284"/>
        <v>0.16666666666666666</v>
      </c>
      <c r="S839" s="45">
        <f t="shared" si="285"/>
        <v>0.16666666666666666</v>
      </c>
      <c r="T839" s="45">
        <f t="shared" si="286"/>
        <v>0.16666666666666666</v>
      </c>
    </row>
    <row r="840" spans="1:20" x14ac:dyDescent="0.3">
      <c r="A840">
        <f t="shared" si="267"/>
        <v>1</v>
      </c>
      <c r="B840">
        <f t="shared" si="268"/>
        <v>1</v>
      </c>
      <c r="C840">
        <f t="shared" si="269"/>
        <v>0</v>
      </c>
      <c r="D840">
        <f t="shared" si="270"/>
        <v>1</v>
      </c>
      <c r="E840">
        <f t="shared" si="271"/>
        <v>0</v>
      </c>
      <c r="F840">
        <f t="shared" si="272"/>
        <v>0</v>
      </c>
      <c r="G840">
        <f t="shared" si="273"/>
        <v>1</v>
      </c>
      <c r="H840">
        <f t="shared" si="274"/>
        <v>0</v>
      </c>
      <c r="I840">
        <f t="shared" si="275"/>
        <v>0</v>
      </c>
      <c r="J840">
        <f t="shared" si="276"/>
        <v>0</v>
      </c>
      <c r="K840" s="45">
        <f t="shared" si="277"/>
        <v>0.25</v>
      </c>
      <c r="L840" s="45">
        <f t="shared" si="278"/>
        <v>0.25</v>
      </c>
      <c r="M840" s="45">
        <f t="shared" si="279"/>
        <v>0</v>
      </c>
      <c r="N840" s="45">
        <f t="shared" si="280"/>
        <v>0.25</v>
      </c>
      <c r="O840" s="45">
        <f t="shared" si="281"/>
        <v>0</v>
      </c>
      <c r="P840" s="45">
        <f t="shared" si="282"/>
        <v>0</v>
      </c>
      <c r="Q840" s="45">
        <f t="shared" si="283"/>
        <v>0.25</v>
      </c>
      <c r="R840" s="45">
        <f t="shared" si="284"/>
        <v>0</v>
      </c>
      <c r="S840" s="45">
        <f t="shared" si="285"/>
        <v>0</v>
      </c>
      <c r="T840" s="45">
        <f t="shared" si="286"/>
        <v>0</v>
      </c>
    </row>
    <row r="841" spans="1:20" x14ac:dyDescent="0.3">
      <c r="A841">
        <f t="shared" si="267"/>
        <v>1</v>
      </c>
      <c r="B841">
        <f t="shared" si="268"/>
        <v>1</v>
      </c>
      <c r="C841">
        <f t="shared" si="269"/>
        <v>0</v>
      </c>
      <c r="D841">
        <f t="shared" si="270"/>
        <v>1</v>
      </c>
      <c r="E841">
        <f t="shared" si="271"/>
        <v>0</v>
      </c>
      <c r="F841">
        <f t="shared" si="272"/>
        <v>0</v>
      </c>
      <c r="G841">
        <f t="shared" si="273"/>
        <v>1</v>
      </c>
      <c r="H841">
        <f t="shared" si="274"/>
        <v>0</v>
      </c>
      <c r="I841">
        <f t="shared" si="275"/>
        <v>0</v>
      </c>
      <c r="J841">
        <f t="shared" si="276"/>
        <v>1</v>
      </c>
      <c r="K841" s="45">
        <f t="shared" si="277"/>
        <v>0.2</v>
      </c>
      <c r="L841" s="45">
        <f t="shared" si="278"/>
        <v>0.2</v>
      </c>
      <c r="M841" s="45">
        <f t="shared" si="279"/>
        <v>0</v>
      </c>
      <c r="N841" s="45">
        <f t="shared" si="280"/>
        <v>0.2</v>
      </c>
      <c r="O841" s="45">
        <f t="shared" si="281"/>
        <v>0</v>
      </c>
      <c r="P841" s="45">
        <f t="shared" si="282"/>
        <v>0</v>
      </c>
      <c r="Q841" s="45">
        <f t="shared" si="283"/>
        <v>0.2</v>
      </c>
      <c r="R841" s="45">
        <f t="shared" si="284"/>
        <v>0</v>
      </c>
      <c r="S841" s="45">
        <f t="shared" si="285"/>
        <v>0</v>
      </c>
      <c r="T841" s="45">
        <f t="shared" si="286"/>
        <v>0.2</v>
      </c>
    </row>
    <row r="842" spans="1:20" x14ac:dyDescent="0.3">
      <c r="A842">
        <f t="shared" si="267"/>
        <v>1</v>
      </c>
      <c r="B842">
        <f t="shared" si="268"/>
        <v>1</v>
      </c>
      <c r="C842">
        <f t="shared" si="269"/>
        <v>0</v>
      </c>
      <c r="D842">
        <f t="shared" si="270"/>
        <v>1</v>
      </c>
      <c r="E842">
        <f t="shared" si="271"/>
        <v>0</v>
      </c>
      <c r="F842">
        <f t="shared" si="272"/>
        <v>0</v>
      </c>
      <c r="G842">
        <f t="shared" si="273"/>
        <v>1</v>
      </c>
      <c r="H842">
        <f t="shared" si="274"/>
        <v>0</v>
      </c>
      <c r="I842">
        <f t="shared" si="275"/>
        <v>1</v>
      </c>
      <c r="J842">
        <f t="shared" si="276"/>
        <v>0</v>
      </c>
      <c r="K842" s="45">
        <f t="shared" si="277"/>
        <v>0.2</v>
      </c>
      <c r="L842" s="45">
        <f t="shared" si="278"/>
        <v>0.2</v>
      </c>
      <c r="M842" s="45">
        <f t="shared" si="279"/>
        <v>0</v>
      </c>
      <c r="N842" s="45">
        <f t="shared" si="280"/>
        <v>0.2</v>
      </c>
      <c r="O842" s="45">
        <f t="shared" si="281"/>
        <v>0</v>
      </c>
      <c r="P842" s="45">
        <f t="shared" si="282"/>
        <v>0</v>
      </c>
      <c r="Q842" s="45">
        <f t="shared" si="283"/>
        <v>0.2</v>
      </c>
      <c r="R842" s="45">
        <f t="shared" si="284"/>
        <v>0</v>
      </c>
      <c r="S842" s="45">
        <f t="shared" si="285"/>
        <v>0.2</v>
      </c>
      <c r="T842" s="45">
        <f t="shared" si="286"/>
        <v>0</v>
      </c>
    </row>
    <row r="843" spans="1:20" x14ac:dyDescent="0.3">
      <c r="A843">
        <f t="shared" si="267"/>
        <v>1</v>
      </c>
      <c r="B843">
        <f t="shared" si="268"/>
        <v>1</v>
      </c>
      <c r="C843">
        <f t="shared" si="269"/>
        <v>0</v>
      </c>
      <c r="D843">
        <f t="shared" si="270"/>
        <v>1</v>
      </c>
      <c r="E843">
        <f t="shared" si="271"/>
        <v>0</v>
      </c>
      <c r="F843">
        <f t="shared" si="272"/>
        <v>0</v>
      </c>
      <c r="G843">
        <f t="shared" si="273"/>
        <v>1</v>
      </c>
      <c r="H843">
        <f t="shared" si="274"/>
        <v>0</v>
      </c>
      <c r="I843">
        <f t="shared" si="275"/>
        <v>1</v>
      </c>
      <c r="J843">
        <f t="shared" si="276"/>
        <v>1</v>
      </c>
      <c r="K843" s="45">
        <f t="shared" si="277"/>
        <v>0.16666666666666666</v>
      </c>
      <c r="L843" s="45">
        <f t="shared" si="278"/>
        <v>0.16666666666666666</v>
      </c>
      <c r="M843" s="45">
        <f t="shared" si="279"/>
        <v>0</v>
      </c>
      <c r="N843" s="45">
        <f t="shared" si="280"/>
        <v>0.16666666666666666</v>
      </c>
      <c r="O843" s="45">
        <f t="shared" si="281"/>
        <v>0</v>
      </c>
      <c r="P843" s="45">
        <f t="shared" si="282"/>
        <v>0</v>
      </c>
      <c r="Q843" s="45">
        <f t="shared" si="283"/>
        <v>0.16666666666666666</v>
      </c>
      <c r="R843" s="45">
        <f t="shared" si="284"/>
        <v>0</v>
      </c>
      <c r="S843" s="45">
        <f t="shared" si="285"/>
        <v>0.16666666666666666</v>
      </c>
      <c r="T843" s="45">
        <f t="shared" si="286"/>
        <v>0.16666666666666666</v>
      </c>
    </row>
    <row r="844" spans="1:20" x14ac:dyDescent="0.3">
      <c r="A844">
        <f t="shared" si="267"/>
        <v>1</v>
      </c>
      <c r="B844">
        <f t="shared" si="268"/>
        <v>1</v>
      </c>
      <c r="C844">
        <f t="shared" si="269"/>
        <v>0</v>
      </c>
      <c r="D844">
        <f t="shared" si="270"/>
        <v>1</v>
      </c>
      <c r="E844">
        <f t="shared" si="271"/>
        <v>0</v>
      </c>
      <c r="F844">
        <f t="shared" si="272"/>
        <v>0</v>
      </c>
      <c r="G844">
        <f t="shared" si="273"/>
        <v>1</v>
      </c>
      <c r="H844">
        <f t="shared" si="274"/>
        <v>1</v>
      </c>
      <c r="I844">
        <f t="shared" si="275"/>
        <v>0</v>
      </c>
      <c r="J844">
        <f t="shared" si="276"/>
        <v>0</v>
      </c>
      <c r="K844" s="45">
        <f t="shared" si="277"/>
        <v>0.2</v>
      </c>
      <c r="L844" s="45">
        <f t="shared" si="278"/>
        <v>0.2</v>
      </c>
      <c r="M844" s="45">
        <f t="shared" si="279"/>
        <v>0</v>
      </c>
      <c r="N844" s="45">
        <f t="shared" si="280"/>
        <v>0.2</v>
      </c>
      <c r="O844" s="45">
        <f t="shared" si="281"/>
        <v>0</v>
      </c>
      <c r="P844" s="45">
        <f t="shared" si="282"/>
        <v>0</v>
      </c>
      <c r="Q844" s="45">
        <f t="shared" si="283"/>
        <v>0.2</v>
      </c>
      <c r="R844" s="45">
        <f t="shared" si="284"/>
        <v>0.2</v>
      </c>
      <c r="S844" s="45">
        <f t="shared" si="285"/>
        <v>0</v>
      </c>
      <c r="T844" s="45">
        <f t="shared" si="286"/>
        <v>0</v>
      </c>
    </row>
    <row r="845" spans="1:20" x14ac:dyDescent="0.3">
      <c r="A845">
        <f t="shared" si="267"/>
        <v>1</v>
      </c>
      <c r="B845">
        <f t="shared" si="268"/>
        <v>1</v>
      </c>
      <c r="C845">
        <f t="shared" si="269"/>
        <v>0</v>
      </c>
      <c r="D845">
        <f t="shared" si="270"/>
        <v>1</v>
      </c>
      <c r="E845">
        <f t="shared" si="271"/>
        <v>0</v>
      </c>
      <c r="F845">
        <f t="shared" si="272"/>
        <v>0</v>
      </c>
      <c r="G845">
        <f t="shared" si="273"/>
        <v>1</v>
      </c>
      <c r="H845">
        <f t="shared" si="274"/>
        <v>1</v>
      </c>
      <c r="I845">
        <f t="shared" si="275"/>
        <v>0</v>
      </c>
      <c r="J845">
        <f t="shared" si="276"/>
        <v>1</v>
      </c>
      <c r="K845" s="45">
        <f t="shared" si="277"/>
        <v>0.16666666666666666</v>
      </c>
      <c r="L845" s="45">
        <f t="shared" si="278"/>
        <v>0.16666666666666666</v>
      </c>
      <c r="M845" s="45">
        <f t="shared" si="279"/>
        <v>0</v>
      </c>
      <c r="N845" s="45">
        <f t="shared" si="280"/>
        <v>0.16666666666666666</v>
      </c>
      <c r="O845" s="45">
        <f t="shared" si="281"/>
        <v>0</v>
      </c>
      <c r="P845" s="45">
        <f t="shared" si="282"/>
        <v>0</v>
      </c>
      <c r="Q845" s="45">
        <f t="shared" si="283"/>
        <v>0.16666666666666666</v>
      </c>
      <c r="R845" s="45">
        <f t="shared" si="284"/>
        <v>0.16666666666666666</v>
      </c>
      <c r="S845" s="45">
        <f t="shared" si="285"/>
        <v>0</v>
      </c>
      <c r="T845" s="45">
        <f t="shared" si="286"/>
        <v>0.16666666666666666</v>
      </c>
    </row>
    <row r="846" spans="1:20" x14ac:dyDescent="0.3">
      <c r="A846">
        <f t="shared" si="267"/>
        <v>1</v>
      </c>
      <c r="B846">
        <f t="shared" si="268"/>
        <v>1</v>
      </c>
      <c r="C846">
        <f t="shared" si="269"/>
        <v>0</v>
      </c>
      <c r="D846">
        <f t="shared" si="270"/>
        <v>1</v>
      </c>
      <c r="E846">
        <f t="shared" si="271"/>
        <v>0</v>
      </c>
      <c r="F846">
        <f t="shared" si="272"/>
        <v>0</v>
      </c>
      <c r="G846">
        <f t="shared" si="273"/>
        <v>1</v>
      </c>
      <c r="H846">
        <f t="shared" si="274"/>
        <v>1</v>
      </c>
      <c r="I846">
        <f t="shared" si="275"/>
        <v>1</v>
      </c>
      <c r="J846">
        <f t="shared" si="276"/>
        <v>0</v>
      </c>
      <c r="K846" s="45">
        <f t="shared" si="277"/>
        <v>0.16666666666666666</v>
      </c>
      <c r="L846" s="45">
        <f t="shared" si="278"/>
        <v>0.16666666666666666</v>
      </c>
      <c r="M846" s="45">
        <f t="shared" si="279"/>
        <v>0</v>
      </c>
      <c r="N846" s="45">
        <f t="shared" si="280"/>
        <v>0.16666666666666666</v>
      </c>
      <c r="O846" s="45">
        <f t="shared" si="281"/>
        <v>0</v>
      </c>
      <c r="P846" s="45">
        <f t="shared" si="282"/>
        <v>0</v>
      </c>
      <c r="Q846" s="45">
        <f t="shared" si="283"/>
        <v>0.16666666666666666</v>
      </c>
      <c r="R846" s="45">
        <f t="shared" si="284"/>
        <v>0.16666666666666666</v>
      </c>
      <c r="S846" s="45">
        <f t="shared" si="285"/>
        <v>0.16666666666666666</v>
      </c>
      <c r="T846" s="45">
        <f t="shared" si="286"/>
        <v>0</v>
      </c>
    </row>
    <row r="847" spans="1:20" x14ac:dyDescent="0.3">
      <c r="A847">
        <f t="shared" si="267"/>
        <v>1</v>
      </c>
      <c r="B847">
        <f t="shared" si="268"/>
        <v>1</v>
      </c>
      <c r="C847">
        <f t="shared" si="269"/>
        <v>0</v>
      </c>
      <c r="D847">
        <f t="shared" si="270"/>
        <v>1</v>
      </c>
      <c r="E847">
        <f t="shared" si="271"/>
        <v>0</v>
      </c>
      <c r="F847">
        <f t="shared" si="272"/>
        <v>0</v>
      </c>
      <c r="G847">
        <f t="shared" si="273"/>
        <v>1</v>
      </c>
      <c r="H847">
        <f t="shared" si="274"/>
        <v>1</v>
      </c>
      <c r="I847">
        <f t="shared" si="275"/>
        <v>1</v>
      </c>
      <c r="J847">
        <f t="shared" si="276"/>
        <v>1</v>
      </c>
      <c r="K847" s="45">
        <f t="shared" si="277"/>
        <v>0.14285714285714285</v>
      </c>
      <c r="L847" s="45">
        <f t="shared" si="278"/>
        <v>0.14285714285714285</v>
      </c>
      <c r="M847" s="45">
        <f t="shared" si="279"/>
        <v>0</v>
      </c>
      <c r="N847" s="45">
        <f t="shared" si="280"/>
        <v>0.14285714285714285</v>
      </c>
      <c r="O847" s="45">
        <f t="shared" si="281"/>
        <v>0</v>
      </c>
      <c r="P847" s="45">
        <f t="shared" si="282"/>
        <v>0</v>
      </c>
      <c r="Q847" s="45">
        <f t="shared" si="283"/>
        <v>0.14285714285714285</v>
      </c>
      <c r="R847" s="45">
        <f t="shared" si="284"/>
        <v>0.14285714285714285</v>
      </c>
      <c r="S847" s="45">
        <f t="shared" si="285"/>
        <v>0.14285714285714285</v>
      </c>
      <c r="T847" s="45">
        <f t="shared" si="286"/>
        <v>0.14285714285714285</v>
      </c>
    </row>
    <row r="848" spans="1:20" x14ac:dyDescent="0.3">
      <c r="A848">
        <f t="shared" si="267"/>
        <v>1</v>
      </c>
      <c r="B848">
        <f t="shared" si="268"/>
        <v>1</v>
      </c>
      <c r="C848">
        <f t="shared" si="269"/>
        <v>0</v>
      </c>
      <c r="D848">
        <f t="shared" si="270"/>
        <v>1</v>
      </c>
      <c r="E848">
        <f t="shared" si="271"/>
        <v>0</v>
      </c>
      <c r="F848">
        <f t="shared" si="272"/>
        <v>1</v>
      </c>
      <c r="G848">
        <f t="shared" si="273"/>
        <v>0</v>
      </c>
      <c r="H848">
        <f t="shared" si="274"/>
        <v>0</v>
      </c>
      <c r="I848">
        <f t="shared" si="275"/>
        <v>0</v>
      </c>
      <c r="J848">
        <f t="shared" si="276"/>
        <v>0</v>
      </c>
      <c r="K848" s="45">
        <f t="shared" si="277"/>
        <v>0.25</v>
      </c>
      <c r="L848" s="45">
        <f t="shared" si="278"/>
        <v>0.25</v>
      </c>
      <c r="M848" s="45">
        <f t="shared" si="279"/>
        <v>0</v>
      </c>
      <c r="N848" s="45">
        <f t="shared" si="280"/>
        <v>0.25</v>
      </c>
      <c r="O848" s="45">
        <f t="shared" si="281"/>
        <v>0</v>
      </c>
      <c r="P848" s="45">
        <f t="shared" si="282"/>
        <v>0.25</v>
      </c>
      <c r="Q848" s="45">
        <f t="shared" si="283"/>
        <v>0</v>
      </c>
      <c r="R848" s="45">
        <f t="shared" si="284"/>
        <v>0</v>
      </c>
      <c r="S848" s="45">
        <f t="shared" si="285"/>
        <v>0</v>
      </c>
      <c r="T848" s="45">
        <f t="shared" si="286"/>
        <v>0</v>
      </c>
    </row>
    <row r="849" spans="1:20" x14ac:dyDescent="0.3">
      <c r="A849">
        <f t="shared" si="267"/>
        <v>1</v>
      </c>
      <c r="B849">
        <f t="shared" si="268"/>
        <v>1</v>
      </c>
      <c r="C849">
        <f t="shared" si="269"/>
        <v>0</v>
      </c>
      <c r="D849">
        <f t="shared" si="270"/>
        <v>1</v>
      </c>
      <c r="E849">
        <f t="shared" si="271"/>
        <v>0</v>
      </c>
      <c r="F849">
        <f t="shared" si="272"/>
        <v>1</v>
      </c>
      <c r="G849">
        <f t="shared" si="273"/>
        <v>0</v>
      </c>
      <c r="H849">
        <f t="shared" si="274"/>
        <v>0</v>
      </c>
      <c r="I849">
        <f t="shared" si="275"/>
        <v>0</v>
      </c>
      <c r="J849">
        <f t="shared" si="276"/>
        <v>1</v>
      </c>
      <c r="K849" s="45">
        <f t="shared" si="277"/>
        <v>0.2</v>
      </c>
      <c r="L849" s="45">
        <f t="shared" si="278"/>
        <v>0.2</v>
      </c>
      <c r="M849" s="45">
        <f t="shared" si="279"/>
        <v>0</v>
      </c>
      <c r="N849" s="45">
        <f t="shared" si="280"/>
        <v>0.2</v>
      </c>
      <c r="O849" s="45">
        <f t="shared" si="281"/>
        <v>0</v>
      </c>
      <c r="P849" s="45">
        <f t="shared" si="282"/>
        <v>0.2</v>
      </c>
      <c r="Q849" s="45">
        <f t="shared" si="283"/>
        <v>0</v>
      </c>
      <c r="R849" s="45">
        <f t="shared" si="284"/>
        <v>0</v>
      </c>
      <c r="S849" s="45">
        <f t="shared" si="285"/>
        <v>0</v>
      </c>
      <c r="T849" s="45">
        <f t="shared" si="286"/>
        <v>0.2</v>
      </c>
    </row>
    <row r="850" spans="1:20" x14ac:dyDescent="0.3">
      <c r="A850">
        <f t="shared" si="267"/>
        <v>1</v>
      </c>
      <c r="B850">
        <f t="shared" si="268"/>
        <v>1</v>
      </c>
      <c r="C850">
        <f t="shared" si="269"/>
        <v>0</v>
      </c>
      <c r="D850">
        <f t="shared" si="270"/>
        <v>1</v>
      </c>
      <c r="E850">
        <f t="shared" si="271"/>
        <v>0</v>
      </c>
      <c r="F850">
        <f t="shared" si="272"/>
        <v>1</v>
      </c>
      <c r="G850">
        <f t="shared" si="273"/>
        <v>0</v>
      </c>
      <c r="H850">
        <f t="shared" si="274"/>
        <v>0</v>
      </c>
      <c r="I850">
        <f t="shared" si="275"/>
        <v>1</v>
      </c>
      <c r="J850">
        <f t="shared" si="276"/>
        <v>0</v>
      </c>
      <c r="K850" s="45">
        <f t="shared" si="277"/>
        <v>0.2</v>
      </c>
      <c r="L850" s="45">
        <f t="shared" si="278"/>
        <v>0.2</v>
      </c>
      <c r="M850" s="45">
        <f t="shared" si="279"/>
        <v>0</v>
      </c>
      <c r="N850" s="45">
        <f t="shared" si="280"/>
        <v>0.2</v>
      </c>
      <c r="O850" s="45">
        <f t="shared" si="281"/>
        <v>0</v>
      </c>
      <c r="P850" s="45">
        <f t="shared" si="282"/>
        <v>0.2</v>
      </c>
      <c r="Q850" s="45">
        <f t="shared" si="283"/>
        <v>0</v>
      </c>
      <c r="R850" s="45">
        <f t="shared" si="284"/>
        <v>0</v>
      </c>
      <c r="S850" s="45">
        <f t="shared" si="285"/>
        <v>0.2</v>
      </c>
      <c r="T850" s="45">
        <f t="shared" si="286"/>
        <v>0</v>
      </c>
    </row>
    <row r="851" spans="1:20" x14ac:dyDescent="0.3">
      <c r="A851">
        <f t="shared" si="267"/>
        <v>1</v>
      </c>
      <c r="B851">
        <f t="shared" si="268"/>
        <v>1</v>
      </c>
      <c r="C851">
        <f t="shared" si="269"/>
        <v>0</v>
      </c>
      <c r="D851">
        <f t="shared" si="270"/>
        <v>1</v>
      </c>
      <c r="E851">
        <f t="shared" si="271"/>
        <v>0</v>
      </c>
      <c r="F851">
        <f t="shared" si="272"/>
        <v>1</v>
      </c>
      <c r="G851">
        <f t="shared" si="273"/>
        <v>0</v>
      </c>
      <c r="H851">
        <f t="shared" si="274"/>
        <v>0</v>
      </c>
      <c r="I851">
        <f t="shared" si="275"/>
        <v>1</v>
      </c>
      <c r="J851">
        <f t="shared" si="276"/>
        <v>1</v>
      </c>
      <c r="K851" s="45">
        <f t="shared" si="277"/>
        <v>0.16666666666666666</v>
      </c>
      <c r="L851" s="45">
        <f t="shared" si="278"/>
        <v>0.16666666666666666</v>
      </c>
      <c r="M851" s="45">
        <f t="shared" si="279"/>
        <v>0</v>
      </c>
      <c r="N851" s="45">
        <f t="shared" si="280"/>
        <v>0.16666666666666666</v>
      </c>
      <c r="O851" s="45">
        <f t="shared" si="281"/>
        <v>0</v>
      </c>
      <c r="P851" s="45">
        <f t="shared" si="282"/>
        <v>0.16666666666666666</v>
      </c>
      <c r="Q851" s="45">
        <f t="shared" si="283"/>
        <v>0</v>
      </c>
      <c r="R851" s="45">
        <f t="shared" si="284"/>
        <v>0</v>
      </c>
      <c r="S851" s="45">
        <f t="shared" si="285"/>
        <v>0.16666666666666666</v>
      </c>
      <c r="T851" s="45">
        <f t="shared" si="286"/>
        <v>0.16666666666666666</v>
      </c>
    </row>
    <row r="852" spans="1:20" x14ac:dyDescent="0.3">
      <c r="A852">
        <f t="shared" si="267"/>
        <v>1</v>
      </c>
      <c r="B852">
        <f t="shared" si="268"/>
        <v>1</v>
      </c>
      <c r="C852">
        <f t="shared" si="269"/>
        <v>0</v>
      </c>
      <c r="D852">
        <f t="shared" si="270"/>
        <v>1</v>
      </c>
      <c r="E852">
        <f t="shared" si="271"/>
        <v>0</v>
      </c>
      <c r="F852">
        <f t="shared" si="272"/>
        <v>1</v>
      </c>
      <c r="G852">
        <f t="shared" si="273"/>
        <v>0</v>
      </c>
      <c r="H852">
        <f t="shared" si="274"/>
        <v>1</v>
      </c>
      <c r="I852">
        <f t="shared" si="275"/>
        <v>0</v>
      </c>
      <c r="J852">
        <f t="shared" si="276"/>
        <v>0</v>
      </c>
      <c r="K852" s="45">
        <f t="shared" si="277"/>
        <v>0.2</v>
      </c>
      <c r="L852" s="45">
        <f t="shared" si="278"/>
        <v>0.2</v>
      </c>
      <c r="M852" s="45">
        <f t="shared" si="279"/>
        <v>0</v>
      </c>
      <c r="N852" s="45">
        <f t="shared" si="280"/>
        <v>0.2</v>
      </c>
      <c r="O852" s="45">
        <f t="shared" si="281"/>
        <v>0</v>
      </c>
      <c r="P852" s="45">
        <f t="shared" si="282"/>
        <v>0.2</v>
      </c>
      <c r="Q852" s="45">
        <f t="shared" si="283"/>
        <v>0</v>
      </c>
      <c r="R852" s="45">
        <f t="shared" si="284"/>
        <v>0.2</v>
      </c>
      <c r="S852" s="45">
        <f t="shared" si="285"/>
        <v>0</v>
      </c>
      <c r="T852" s="45">
        <f t="shared" si="286"/>
        <v>0</v>
      </c>
    </row>
    <row r="853" spans="1:20" x14ac:dyDescent="0.3">
      <c r="A853">
        <f t="shared" si="267"/>
        <v>1</v>
      </c>
      <c r="B853">
        <f t="shared" si="268"/>
        <v>1</v>
      </c>
      <c r="C853">
        <f t="shared" si="269"/>
        <v>0</v>
      </c>
      <c r="D853">
        <f t="shared" si="270"/>
        <v>1</v>
      </c>
      <c r="E853">
        <f t="shared" si="271"/>
        <v>0</v>
      </c>
      <c r="F853">
        <f t="shared" si="272"/>
        <v>1</v>
      </c>
      <c r="G853">
        <f t="shared" si="273"/>
        <v>0</v>
      </c>
      <c r="H853">
        <f t="shared" si="274"/>
        <v>1</v>
      </c>
      <c r="I853">
        <f t="shared" si="275"/>
        <v>0</v>
      </c>
      <c r="J853">
        <f t="shared" si="276"/>
        <v>1</v>
      </c>
      <c r="K853" s="45">
        <f t="shared" si="277"/>
        <v>0.16666666666666666</v>
      </c>
      <c r="L853" s="45">
        <f t="shared" si="278"/>
        <v>0.16666666666666666</v>
      </c>
      <c r="M853" s="45">
        <f t="shared" si="279"/>
        <v>0</v>
      </c>
      <c r="N853" s="45">
        <f t="shared" si="280"/>
        <v>0.16666666666666666</v>
      </c>
      <c r="O853" s="45">
        <f t="shared" si="281"/>
        <v>0</v>
      </c>
      <c r="P853" s="45">
        <f t="shared" si="282"/>
        <v>0.16666666666666666</v>
      </c>
      <c r="Q853" s="45">
        <f t="shared" si="283"/>
        <v>0</v>
      </c>
      <c r="R853" s="45">
        <f t="shared" si="284"/>
        <v>0.16666666666666666</v>
      </c>
      <c r="S853" s="45">
        <f t="shared" si="285"/>
        <v>0</v>
      </c>
      <c r="T853" s="45">
        <f t="shared" si="286"/>
        <v>0.16666666666666666</v>
      </c>
    </row>
    <row r="854" spans="1:20" x14ac:dyDescent="0.3">
      <c r="A854">
        <f t="shared" si="267"/>
        <v>1</v>
      </c>
      <c r="B854">
        <f t="shared" si="268"/>
        <v>1</v>
      </c>
      <c r="C854">
        <f t="shared" si="269"/>
        <v>0</v>
      </c>
      <c r="D854">
        <f t="shared" si="270"/>
        <v>1</v>
      </c>
      <c r="E854">
        <f t="shared" si="271"/>
        <v>0</v>
      </c>
      <c r="F854">
        <f t="shared" si="272"/>
        <v>1</v>
      </c>
      <c r="G854">
        <f t="shared" si="273"/>
        <v>0</v>
      </c>
      <c r="H854">
        <f t="shared" si="274"/>
        <v>1</v>
      </c>
      <c r="I854">
        <f t="shared" si="275"/>
        <v>1</v>
      </c>
      <c r="J854">
        <f t="shared" si="276"/>
        <v>0</v>
      </c>
      <c r="K854" s="45">
        <f t="shared" si="277"/>
        <v>0.16666666666666666</v>
      </c>
      <c r="L854" s="45">
        <f t="shared" si="278"/>
        <v>0.16666666666666666</v>
      </c>
      <c r="M854" s="45">
        <f t="shared" si="279"/>
        <v>0</v>
      </c>
      <c r="N854" s="45">
        <f t="shared" si="280"/>
        <v>0.16666666666666666</v>
      </c>
      <c r="O854" s="45">
        <f t="shared" si="281"/>
        <v>0</v>
      </c>
      <c r="P854" s="45">
        <f t="shared" si="282"/>
        <v>0.16666666666666666</v>
      </c>
      <c r="Q854" s="45">
        <f t="shared" si="283"/>
        <v>0</v>
      </c>
      <c r="R854" s="45">
        <f t="shared" si="284"/>
        <v>0.16666666666666666</v>
      </c>
      <c r="S854" s="45">
        <f t="shared" si="285"/>
        <v>0.16666666666666666</v>
      </c>
      <c r="T854" s="45">
        <f t="shared" si="286"/>
        <v>0</v>
      </c>
    </row>
    <row r="855" spans="1:20" x14ac:dyDescent="0.3">
      <c r="A855">
        <f t="shared" si="267"/>
        <v>1</v>
      </c>
      <c r="B855">
        <f t="shared" si="268"/>
        <v>1</v>
      </c>
      <c r="C855">
        <f t="shared" si="269"/>
        <v>0</v>
      </c>
      <c r="D855">
        <f t="shared" si="270"/>
        <v>1</v>
      </c>
      <c r="E855">
        <f t="shared" si="271"/>
        <v>0</v>
      </c>
      <c r="F855">
        <f t="shared" si="272"/>
        <v>1</v>
      </c>
      <c r="G855">
        <f t="shared" si="273"/>
        <v>0</v>
      </c>
      <c r="H855">
        <f t="shared" si="274"/>
        <v>1</v>
      </c>
      <c r="I855">
        <f t="shared" si="275"/>
        <v>1</v>
      </c>
      <c r="J855">
        <f t="shared" si="276"/>
        <v>1</v>
      </c>
      <c r="K855" s="45">
        <f t="shared" si="277"/>
        <v>0.14285714285714285</v>
      </c>
      <c r="L855" s="45">
        <f t="shared" si="278"/>
        <v>0.14285714285714285</v>
      </c>
      <c r="M855" s="45">
        <f t="shared" si="279"/>
        <v>0</v>
      </c>
      <c r="N855" s="45">
        <f t="shared" si="280"/>
        <v>0.14285714285714285</v>
      </c>
      <c r="O855" s="45">
        <f t="shared" si="281"/>
        <v>0</v>
      </c>
      <c r="P855" s="45">
        <f t="shared" si="282"/>
        <v>0.14285714285714285</v>
      </c>
      <c r="Q855" s="45">
        <f t="shared" si="283"/>
        <v>0</v>
      </c>
      <c r="R855" s="45">
        <f t="shared" si="284"/>
        <v>0.14285714285714285</v>
      </c>
      <c r="S855" s="45">
        <f t="shared" si="285"/>
        <v>0.14285714285714285</v>
      </c>
      <c r="T855" s="45">
        <f t="shared" si="286"/>
        <v>0.14285714285714285</v>
      </c>
    </row>
    <row r="856" spans="1:20" x14ac:dyDescent="0.3">
      <c r="A856">
        <f t="shared" si="267"/>
        <v>1</v>
      </c>
      <c r="B856">
        <f t="shared" si="268"/>
        <v>1</v>
      </c>
      <c r="C856">
        <f t="shared" si="269"/>
        <v>0</v>
      </c>
      <c r="D856">
        <f t="shared" si="270"/>
        <v>1</v>
      </c>
      <c r="E856">
        <f t="shared" si="271"/>
        <v>0</v>
      </c>
      <c r="F856">
        <f t="shared" si="272"/>
        <v>1</v>
      </c>
      <c r="G856">
        <f t="shared" si="273"/>
        <v>1</v>
      </c>
      <c r="H856">
        <f t="shared" si="274"/>
        <v>0</v>
      </c>
      <c r="I856">
        <f t="shared" si="275"/>
        <v>0</v>
      </c>
      <c r="J856">
        <f t="shared" si="276"/>
        <v>0</v>
      </c>
      <c r="K856" s="45">
        <f t="shared" si="277"/>
        <v>0.2</v>
      </c>
      <c r="L856" s="45">
        <f t="shared" si="278"/>
        <v>0.2</v>
      </c>
      <c r="M856" s="45">
        <f t="shared" si="279"/>
        <v>0</v>
      </c>
      <c r="N856" s="45">
        <f t="shared" si="280"/>
        <v>0.2</v>
      </c>
      <c r="O856" s="45">
        <f t="shared" si="281"/>
        <v>0</v>
      </c>
      <c r="P856" s="45">
        <f t="shared" si="282"/>
        <v>0.2</v>
      </c>
      <c r="Q856" s="45">
        <f t="shared" si="283"/>
        <v>0.2</v>
      </c>
      <c r="R856" s="45">
        <f t="shared" si="284"/>
        <v>0</v>
      </c>
      <c r="S856" s="45">
        <f t="shared" si="285"/>
        <v>0</v>
      </c>
      <c r="T856" s="45">
        <f t="shared" si="286"/>
        <v>0</v>
      </c>
    </row>
    <row r="857" spans="1:20" x14ac:dyDescent="0.3">
      <c r="A857">
        <f t="shared" si="267"/>
        <v>1</v>
      </c>
      <c r="B857">
        <f t="shared" si="268"/>
        <v>1</v>
      </c>
      <c r="C857">
        <f t="shared" si="269"/>
        <v>0</v>
      </c>
      <c r="D857">
        <f t="shared" si="270"/>
        <v>1</v>
      </c>
      <c r="E857">
        <f t="shared" si="271"/>
        <v>0</v>
      </c>
      <c r="F857">
        <f t="shared" si="272"/>
        <v>1</v>
      </c>
      <c r="G857">
        <f t="shared" si="273"/>
        <v>1</v>
      </c>
      <c r="H857">
        <f t="shared" si="274"/>
        <v>0</v>
      </c>
      <c r="I857">
        <f t="shared" si="275"/>
        <v>0</v>
      </c>
      <c r="J857">
        <f t="shared" si="276"/>
        <v>1</v>
      </c>
      <c r="K857" s="45">
        <f t="shared" si="277"/>
        <v>0.16666666666666666</v>
      </c>
      <c r="L857" s="45">
        <f t="shared" si="278"/>
        <v>0.16666666666666666</v>
      </c>
      <c r="M857" s="45">
        <f t="shared" si="279"/>
        <v>0</v>
      </c>
      <c r="N857" s="45">
        <f t="shared" si="280"/>
        <v>0.16666666666666666</v>
      </c>
      <c r="O857" s="45">
        <f t="shared" si="281"/>
        <v>0</v>
      </c>
      <c r="P857" s="45">
        <f t="shared" si="282"/>
        <v>0.16666666666666666</v>
      </c>
      <c r="Q857" s="45">
        <f t="shared" si="283"/>
        <v>0.16666666666666666</v>
      </c>
      <c r="R857" s="45">
        <f t="shared" si="284"/>
        <v>0</v>
      </c>
      <c r="S857" s="45">
        <f t="shared" si="285"/>
        <v>0</v>
      </c>
      <c r="T857" s="45">
        <f t="shared" si="286"/>
        <v>0.16666666666666666</v>
      </c>
    </row>
    <row r="858" spans="1:20" x14ac:dyDescent="0.3">
      <c r="A858">
        <f t="shared" si="267"/>
        <v>1</v>
      </c>
      <c r="B858">
        <f t="shared" si="268"/>
        <v>1</v>
      </c>
      <c r="C858">
        <f t="shared" si="269"/>
        <v>0</v>
      </c>
      <c r="D858">
        <f t="shared" si="270"/>
        <v>1</v>
      </c>
      <c r="E858">
        <f t="shared" si="271"/>
        <v>0</v>
      </c>
      <c r="F858">
        <f t="shared" si="272"/>
        <v>1</v>
      </c>
      <c r="G858">
        <f t="shared" si="273"/>
        <v>1</v>
      </c>
      <c r="H858">
        <f t="shared" si="274"/>
        <v>0</v>
      </c>
      <c r="I858">
        <f t="shared" si="275"/>
        <v>1</v>
      </c>
      <c r="J858">
        <f t="shared" si="276"/>
        <v>0</v>
      </c>
      <c r="K858" s="45">
        <f t="shared" si="277"/>
        <v>0.16666666666666666</v>
      </c>
      <c r="L858" s="45">
        <f t="shared" si="278"/>
        <v>0.16666666666666666</v>
      </c>
      <c r="M858" s="45">
        <f t="shared" si="279"/>
        <v>0</v>
      </c>
      <c r="N858" s="45">
        <f t="shared" si="280"/>
        <v>0.16666666666666666</v>
      </c>
      <c r="O858" s="45">
        <f t="shared" si="281"/>
        <v>0</v>
      </c>
      <c r="P858" s="45">
        <f t="shared" si="282"/>
        <v>0.16666666666666666</v>
      </c>
      <c r="Q858" s="45">
        <f t="shared" si="283"/>
        <v>0.16666666666666666</v>
      </c>
      <c r="R858" s="45">
        <f t="shared" si="284"/>
        <v>0</v>
      </c>
      <c r="S858" s="45">
        <f t="shared" si="285"/>
        <v>0.16666666666666666</v>
      </c>
      <c r="T858" s="45">
        <f t="shared" si="286"/>
        <v>0</v>
      </c>
    </row>
    <row r="859" spans="1:20" x14ac:dyDescent="0.3">
      <c r="A859">
        <f t="shared" si="267"/>
        <v>1</v>
      </c>
      <c r="B859">
        <f t="shared" si="268"/>
        <v>1</v>
      </c>
      <c r="C859">
        <f t="shared" si="269"/>
        <v>0</v>
      </c>
      <c r="D859">
        <f t="shared" si="270"/>
        <v>1</v>
      </c>
      <c r="E859">
        <f t="shared" si="271"/>
        <v>0</v>
      </c>
      <c r="F859">
        <f t="shared" si="272"/>
        <v>1</v>
      </c>
      <c r="G859">
        <f t="shared" si="273"/>
        <v>1</v>
      </c>
      <c r="H859">
        <f t="shared" si="274"/>
        <v>0</v>
      </c>
      <c r="I859">
        <f t="shared" si="275"/>
        <v>1</v>
      </c>
      <c r="J859">
        <f t="shared" si="276"/>
        <v>1</v>
      </c>
      <c r="K859" s="45">
        <f t="shared" si="277"/>
        <v>0.14285714285714285</v>
      </c>
      <c r="L859" s="45">
        <f t="shared" si="278"/>
        <v>0.14285714285714285</v>
      </c>
      <c r="M859" s="45">
        <f t="shared" si="279"/>
        <v>0</v>
      </c>
      <c r="N859" s="45">
        <f t="shared" si="280"/>
        <v>0.14285714285714285</v>
      </c>
      <c r="O859" s="45">
        <f t="shared" si="281"/>
        <v>0</v>
      </c>
      <c r="P859" s="45">
        <f t="shared" si="282"/>
        <v>0.14285714285714285</v>
      </c>
      <c r="Q859" s="45">
        <f t="shared" si="283"/>
        <v>0.14285714285714285</v>
      </c>
      <c r="R859" s="45">
        <f t="shared" si="284"/>
        <v>0</v>
      </c>
      <c r="S859" s="45">
        <f t="shared" si="285"/>
        <v>0.14285714285714285</v>
      </c>
      <c r="T859" s="45">
        <f t="shared" si="286"/>
        <v>0.14285714285714285</v>
      </c>
    </row>
    <row r="860" spans="1:20" x14ac:dyDescent="0.3">
      <c r="A860">
        <f t="shared" si="267"/>
        <v>1</v>
      </c>
      <c r="B860">
        <f t="shared" si="268"/>
        <v>1</v>
      </c>
      <c r="C860">
        <f t="shared" si="269"/>
        <v>0</v>
      </c>
      <c r="D860">
        <f t="shared" si="270"/>
        <v>1</v>
      </c>
      <c r="E860">
        <f t="shared" si="271"/>
        <v>0</v>
      </c>
      <c r="F860">
        <f t="shared" si="272"/>
        <v>1</v>
      </c>
      <c r="G860">
        <f t="shared" si="273"/>
        <v>1</v>
      </c>
      <c r="H860">
        <f t="shared" si="274"/>
        <v>1</v>
      </c>
      <c r="I860">
        <f t="shared" si="275"/>
        <v>0</v>
      </c>
      <c r="J860">
        <f t="shared" si="276"/>
        <v>0</v>
      </c>
      <c r="K860" s="45">
        <f t="shared" si="277"/>
        <v>0.16666666666666666</v>
      </c>
      <c r="L860" s="45">
        <f t="shared" si="278"/>
        <v>0.16666666666666666</v>
      </c>
      <c r="M860" s="45">
        <f t="shared" si="279"/>
        <v>0</v>
      </c>
      <c r="N860" s="45">
        <f t="shared" si="280"/>
        <v>0.16666666666666666</v>
      </c>
      <c r="O860" s="45">
        <f t="shared" si="281"/>
        <v>0</v>
      </c>
      <c r="P860" s="45">
        <f t="shared" si="282"/>
        <v>0.16666666666666666</v>
      </c>
      <c r="Q860" s="45">
        <f t="shared" si="283"/>
        <v>0.16666666666666666</v>
      </c>
      <c r="R860" s="45">
        <f t="shared" si="284"/>
        <v>0.16666666666666666</v>
      </c>
      <c r="S860" s="45">
        <f t="shared" si="285"/>
        <v>0</v>
      </c>
      <c r="T860" s="45">
        <f t="shared" si="286"/>
        <v>0</v>
      </c>
    </row>
    <row r="861" spans="1:20" x14ac:dyDescent="0.3">
      <c r="A861">
        <f t="shared" si="267"/>
        <v>1</v>
      </c>
      <c r="B861">
        <f t="shared" si="268"/>
        <v>1</v>
      </c>
      <c r="C861">
        <f t="shared" si="269"/>
        <v>0</v>
      </c>
      <c r="D861">
        <f t="shared" si="270"/>
        <v>1</v>
      </c>
      <c r="E861">
        <f t="shared" si="271"/>
        <v>0</v>
      </c>
      <c r="F861">
        <f t="shared" si="272"/>
        <v>1</v>
      </c>
      <c r="G861">
        <f t="shared" si="273"/>
        <v>1</v>
      </c>
      <c r="H861">
        <f t="shared" si="274"/>
        <v>1</v>
      </c>
      <c r="I861">
        <f t="shared" si="275"/>
        <v>0</v>
      </c>
      <c r="J861">
        <f t="shared" si="276"/>
        <v>1</v>
      </c>
      <c r="K861" s="45">
        <f t="shared" si="277"/>
        <v>0.14285714285714285</v>
      </c>
      <c r="L861" s="45">
        <f t="shared" si="278"/>
        <v>0.14285714285714285</v>
      </c>
      <c r="M861" s="45">
        <f t="shared" si="279"/>
        <v>0</v>
      </c>
      <c r="N861" s="45">
        <f t="shared" si="280"/>
        <v>0.14285714285714285</v>
      </c>
      <c r="O861" s="45">
        <f t="shared" si="281"/>
        <v>0</v>
      </c>
      <c r="P861" s="45">
        <f t="shared" si="282"/>
        <v>0.14285714285714285</v>
      </c>
      <c r="Q861" s="45">
        <f t="shared" si="283"/>
        <v>0.14285714285714285</v>
      </c>
      <c r="R861" s="45">
        <f t="shared" si="284"/>
        <v>0.14285714285714285</v>
      </c>
      <c r="S861" s="45">
        <f t="shared" si="285"/>
        <v>0</v>
      </c>
      <c r="T861" s="45">
        <f t="shared" si="286"/>
        <v>0.14285714285714285</v>
      </c>
    </row>
    <row r="862" spans="1:20" x14ac:dyDescent="0.3">
      <c r="A862">
        <f t="shared" si="267"/>
        <v>1</v>
      </c>
      <c r="B862">
        <f t="shared" si="268"/>
        <v>1</v>
      </c>
      <c r="C862">
        <f t="shared" si="269"/>
        <v>0</v>
      </c>
      <c r="D862">
        <f t="shared" si="270"/>
        <v>1</v>
      </c>
      <c r="E862">
        <f t="shared" si="271"/>
        <v>0</v>
      </c>
      <c r="F862">
        <f t="shared" si="272"/>
        <v>1</v>
      </c>
      <c r="G862">
        <f t="shared" si="273"/>
        <v>1</v>
      </c>
      <c r="H862">
        <f t="shared" si="274"/>
        <v>1</v>
      </c>
      <c r="I862">
        <f t="shared" si="275"/>
        <v>1</v>
      </c>
      <c r="J862">
        <f t="shared" si="276"/>
        <v>0</v>
      </c>
      <c r="K862" s="45">
        <f t="shared" si="277"/>
        <v>0.14285714285714285</v>
      </c>
      <c r="L862" s="45">
        <f t="shared" si="278"/>
        <v>0.14285714285714285</v>
      </c>
      <c r="M862" s="45">
        <f t="shared" si="279"/>
        <v>0</v>
      </c>
      <c r="N862" s="45">
        <f t="shared" si="280"/>
        <v>0.14285714285714285</v>
      </c>
      <c r="O862" s="45">
        <f t="shared" si="281"/>
        <v>0</v>
      </c>
      <c r="P862" s="45">
        <f t="shared" si="282"/>
        <v>0.14285714285714285</v>
      </c>
      <c r="Q862" s="45">
        <f t="shared" si="283"/>
        <v>0.14285714285714285</v>
      </c>
      <c r="R862" s="45">
        <f t="shared" si="284"/>
        <v>0.14285714285714285</v>
      </c>
      <c r="S862" s="45">
        <f t="shared" si="285"/>
        <v>0.14285714285714285</v>
      </c>
      <c r="T862" s="45">
        <f t="shared" si="286"/>
        <v>0</v>
      </c>
    </row>
    <row r="863" spans="1:20" x14ac:dyDescent="0.3">
      <c r="A863">
        <f t="shared" si="267"/>
        <v>1</v>
      </c>
      <c r="B863">
        <f t="shared" si="268"/>
        <v>1</v>
      </c>
      <c r="C863">
        <f t="shared" si="269"/>
        <v>0</v>
      </c>
      <c r="D863">
        <f t="shared" si="270"/>
        <v>1</v>
      </c>
      <c r="E863">
        <f t="shared" si="271"/>
        <v>0</v>
      </c>
      <c r="F863">
        <f t="shared" si="272"/>
        <v>1</v>
      </c>
      <c r="G863">
        <f t="shared" si="273"/>
        <v>1</v>
      </c>
      <c r="H863">
        <f t="shared" si="274"/>
        <v>1</v>
      </c>
      <c r="I863">
        <f t="shared" si="275"/>
        <v>1</v>
      </c>
      <c r="J863">
        <f t="shared" si="276"/>
        <v>1</v>
      </c>
      <c r="K863" s="45">
        <f t="shared" si="277"/>
        <v>0.125</v>
      </c>
      <c r="L863" s="45">
        <f t="shared" si="278"/>
        <v>0.125</v>
      </c>
      <c r="M863" s="45">
        <f t="shared" si="279"/>
        <v>0</v>
      </c>
      <c r="N863" s="45">
        <f t="shared" si="280"/>
        <v>0.125</v>
      </c>
      <c r="O863" s="45">
        <f t="shared" si="281"/>
        <v>0</v>
      </c>
      <c r="P863" s="45">
        <f t="shared" si="282"/>
        <v>0.125</v>
      </c>
      <c r="Q863" s="45">
        <f t="shared" si="283"/>
        <v>0.125</v>
      </c>
      <c r="R863" s="45">
        <f t="shared" si="284"/>
        <v>0.125</v>
      </c>
      <c r="S863" s="45">
        <f t="shared" si="285"/>
        <v>0.125</v>
      </c>
      <c r="T863" s="45">
        <f t="shared" si="286"/>
        <v>0.125</v>
      </c>
    </row>
    <row r="864" spans="1:20" x14ac:dyDescent="0.3">
      <c r="A864">
        <f t="shared" si="267"/>
        <v>1</v>
      </c>
      <c r="B864">
        <f t="shared" si="268"/>
        <v>1</v>
      </c>
      <c r="C864">
        <f t="shared" si="269"/>
        <v>0</v>
      </c>
      <c r="D864">
        <f t="shared" si="270"/>
        <v>1</v>
      </c>
      <c r="E864">
        <f t="shared" si="271"/>
        <v>1</v>
      </c>
      <c r="F864">
        <f t="shared" si="272"/>
        <v>0</v>
      </c>
      <c r="G864">
        <f t="shared" si="273"/>
        <v>0</v>
      </c>
      <c r="H864">
        <f t="shared" si="274"/>
        <v>0</v>
      </c>
      <c r="I864">
        <f t="shared" si="275"/>
        <v>0</v>
      </c>
      <c r="J864">
        <f t="shared" si="276"/>
        <v>0</v>
      </c>
      <c r="K864" s="45">
        <f t="shared" si="277"/>
        <v>0.25</v>
      </c>
      <c r="L864" s="45">
        <f t="shared" si="278"/>
        <v>0.25</v>
      </c>
      <c r="M864" s="45">
        <f t="shared" si="279"/>
        <v>0</v>
      </c>
      <c r="N864" s="45">
        <f t="shared" si="280"/>
        <v>0.25</v>
      </c>
      <c r="O864" s="45">
        <f t="shared" si="281"/>
        <v>0.25</v>
      </c>
      <c r="P864" s="45">
        <f t="shared" si="282"/>
        <v>0</v>
      </c>
      <c r="Q864" s="45">
        <f t="shared" si="283"/>
        <v>0</v>
      </c>
      <c r="R864" s="45">
        <f t="shared" si="284"/>
        <v>0</v>
      </c>
      <c r="S864" s="45">
        <f t="shared" si="285"/>
        <v>0</v>
      </c>
      <c r="T864" s="45">
        <f t="shared" si="286"/>
        <v>0</v>
      </c>
    </row>
    <row r="865" spans="1:20" x14ac:dyDescent="0.3">
      <c r="A865">
        <f t="shared" si="267"/>
        <v>1</v>
      </c>
      <c r="B865">
        <f t="shared" si="268"/>
        <v>1</v>
      </c>
      <c r="C865">
        <f t="shared" si="269"/>
        <v>0</v>
      </c>
      <c r="D865">
        <f t="shared" si="270"/>
        <v>1</v>
      </c>
      <c r="E865">
        <f t="shared" si="271"/>
        <v>1</v>
      </c>
      <c r="F865">
        <f t="shared" si="272"/>
        <v>0</v>
      </c>
      <c r="G865">
        <f t="shared" si="273"/>
        <v>0</v>
      </c>
      <c r="H865">
        <f t="shared" si="274"/>
        <v>0</v>
      </c>
      <c r="I865">
        <f t="shared" si="275"/>
        <v>0</v>
      </c>
      <c r="J865">
        <f t="shared" si="276"/>
        <v>1</v>
      </c>
      <c r="K865" s="45">
        <f t="shared" si="277"/>
        <v>0.2</v>
      </c>
      <c r="L865" s="45">
        <f t="shared" si="278"/>
        <v>0.2</v>
      </c>
      <c r="M865" s="45">
        <f t="shared" si="279"/>
        <v>0</v>
      </c>
      <c r="N865" s="45">
        <f t="shared" si="280"/>
        <v>0.2</v>
      </c>
      <c r="O865" s="45">
        <f t="shared" si="281"/>
        <v>0.2</v>
      </c>
      <c r="P865" s="45">
        <f t="shared" si="282"/>
        <v>0</v>
      </c>
      <c r="Q865" s="45">
        <f t="shared" si="283"/>
        <v>0</v>
      </c>
      <c r="R865" s="45">
        <f t="shared" si="284"/>
        <v>0</v>
      </c>
      <c r="S865" s="45">
        <f t="shared" si="285"/>
        <v>0</v>
      </c>
      <c r="T865" s="45">
        <f t="shared" si="286"/>
        <v>0.2</v>
      </c>
    </row>
    <row r="866" spans="1:20" x14ac:dyDescent="0.3">
      <c r="A866">
        <f t="shared" si="267"/>
        <v>1</v>
      </c>
      <c r="B866">
        <f t="shared" si="268"/>
        <v>1</v>
      </c>
      <c r="C866">
        <f t="shared" si="269"/>
        <v>0</v>
      </c>
      <c r="D866">
        <f t="shared" si="270"/>
        <v>1</v>
      </c>
      <c r="E866">
        <f t="shared" si="271"/>
        <v>1</v>
      </c>
      <c r="F866">
        <f t="shared" si="272"/>
        <v>0</v>
      </c>
      <c r="G866">
        <f t="shared" si="273"/>
        <v>0</v>
      </c>
      <c r="H866">
        <f t="shared" si="274"/>
        <v>0</v>
      </c>
      <c r="I866">
        <f t="shared" si="275"/>
        <v>1</v>
      </c>
      <c r="J866">
        <f t="shared" si="276"/>
        <v>0</v>
      </c>
      <c r="K866" s="45">
        <f t="shared" si="277"/>
        <v>0.2</v>
      </c>
      <c r="L866" s="45">
        <f t="shared" si="278"/>
        <v>0.2</v>
      </c>
      <c r="M866" s="45">
        <f t="shared" si="279"/>
        <v>0</v>
      </c>
      <c r="N866" s="45">
        <f t="shared" si="280"/>
        <v>0.2</v>
      </c>
      <c r="O866" s="45">
        <f t="shared" si="281"/>
        <v>0.2</v>
      </c>
      <c r="P866" s="45">
        <f t="shared" si="282"/>
        <v>0</v>
      </c>
      <c r="Q866" s="45">
        <f t="shared" si="283"/>
        <v>0</v>
      </c>
      <c r="R866" s="45">
        <f t="shared" si="284"/>
        <v>0</v>
      </c>
      <c r="S866" s="45">
        <f t="shared" si="285"/>
        <v>0.2</v>
      </c>
      <c r="T866" s="45">
        <f t="shared" si="286"/>
        <v>0</v>
      </c>
    </row>
    <row r="867" spans="1:20" x14ac:dyDescent="0.3">
      <c r="A867">
        <f t="shared" si="267"/>
        <v>1</v>
      </c>
      <c r="B867">
        <f t="shared" si="268"/>
        <v>1</v>
      </c>
      <c r="C867">
        <f t="shared" si="269"/>
        <v>0</v>
      </c>
      <c r="D867">
        <f t="shared" si="270"/>
        <v>1</v>
      </c>
      <c r="E867">
        <f t="shared" si="271"/>
        <v>1</v>
      </c>
      <c r="F867">
        <f t="shared" si="272"/>
        <v>0</v>
      </c>
      <c r="G867">
        <f t="shared" si="273"/>
        <v>0</v>
      </c>
      <c r="H867">
        <f t="shared" si="274"/>
        <v>0</v>
      </c>
      <c r="I867">
        <f t="shared" si="275"/>
        <v>1</v>
      </c>
      <c r="J867">
        <f t="shared" si="276"/>
        <v>1</v>
      </c>
      <c r="K867" s="45">
        <f t="shared" si="277"/>
        <v>0.16666666666666666</v>
      </c>
      <c r="L867" s="45">
        <f t="shared" si="278"/>
        <v>0.16666666666666666</v>
      </c>
      <c r="M867" s="45">
        <f t="shared" si="279"/>
        <v>0</v>
      </c>
      <c r="N867" s="45">
        <f t="shared" si="280"/>
        <v>0.16666666666666666</v>
      </c>
      <c r="O867" s="45">
        <f t="shared" si="281"/>
        <v>0.16666666666666666</v>
      </c>
      <c r="P867" s="45">
        <f t="shared" si="282"/>
        <v>0</v>
      </c>
      <c r="Q867" s="45">
        <f t="shared" si="283"/>
        <v>0</v>
      </c>
      <c r="R867" s="45">
        <f t="shared" si="284"/>
        <v>0</v>
      </c>
      <c r="S867" s="45">
        <f t="shared" si="285"/>
        <v>0.16666666666666666</v>
      </c>
      <c r="T867" s="45">
        <f t="shared" si="286"/>
        <v>0.16666666666666666</v>
      </c>
    </row>
    <row r="868" spans="1:20" x14ac:dyDescent="0.3">
      <c r="A868">
        <f t="shared" si="267"/>
        <v>1</v>
      </c>
      <c r="B868">
        <f t="shared" si="268"/>
        <v>1</v>
      </c>
      <c r="C868">
        <f t="shared" si="269"/>
        <v>0</v>
      </c>
      <c r="D868">
        <f t="shared" si="270"/>
        <v>1</v>
      </c>
      <c r="E868">
        <f t="shared" si="271"/>
        <v>1</v>
      </c>
      <c r="F868">
        <f t="shared" si="272"/>
        <v>0</v>
      </c>
      <c r="G868">
        <f t="shared" si="273"/>
        <v>0</v>
      </c>
      <c r="H868">
        <f t="shared" si="274"/>
        <v>1</v>
      </c>
      <c r="I868">
        <f t="shared" si="275"/>
        <v>0</v>
      </c>
      <c r="J868">
        <f t="shared" si="276"/>
        <v>0</v>
      </c>
      <c r="K868" s="45">
        <f t="shared" si="277"/>
        <v>0.2</v>
      </c>
      <c r="L868" s="45">
        <f t="shared" si="278"/>
        <v>0.2</v>
      </c>
      <c r="M868" s="45">
        <f t="shared" si="279"/>
        <v>0</v>
      </c>
      <c r="N868" s="45">
        <f t="shared" si="280"/>
        <v>0.2</v>
      </c>
      <c r="O868" s="45">
        <f t="shared" si="281"/>
        <v>0.2</v>
      </c>
      <c r="P868" s="45">
        <f t="shared" si="282"/>
        <v>0</v>
      </c>
      <c r="Q868" s="45">
        <f t="shared" si="283"/>
        <v>0</v>
      </c>
      <c r="R868" s="45">
        <f t="shared" si="284"/>
        <v>0.2</v>
      </c>
      <c r="S868" s="45">
        <f t="shared" si="285"/>
        <v>0</v>
      </c>
      <c r="T868" s="45">
        <f t="shared" si="286"/>
        <v>0</v>
      </c>
    </row>
    <row r="869" spans="1:20" x14ac:dyDescent="0.3">
      <c r="A869">
        <f t="shared" si="267"/>
        <v>1</v>
      </c>
      <c r="B869">
        <f t="shared" si="268"/>
        <v>1</v>
      </c>
      <c r="C869">
        <f t="shared" si="269"/>
        <v>0</v>
      </c>
      <c r="D869">
        <f t="shared" si="270"/>
        <v>1</v>
      </c>
      <c r="E869">
        <f t="shared" si="271"/>
        <v>1</v>
      </c>
      <c r="F869">
        <f t="shared" si="272"/>
        <v>0</v>
      </c>
      <c r="G869">
        <f t="shared" si="273"/>
        <v>0</v>
      </c>
      <c r="H869">
        <f t="shared" si="274"/>
        <v>1</v>
      </c>
      <c r="I869">
        <f t="shared" si="275"/>
        <v>0</v>
      </c>
      <c r="J869">
        <f t="shared" si="276"/>
        <v>1</v>
      </c>
      <c r="K869" s="45">
        <f t="shared" si="277"/>
        <v>0.16666666666666666</v>
      </c>
      <c r="L869" s="45">
        <f t="shared" si="278"/>
        <v>0.16666666666666666</v>
      </c>
      <c r="M869" s="45">
        <f t="shared" si="279"/>
        <v>0</v>
      </c>
      <c r="N869" s="45">
        <f t="shared" si="280"/>
        <v>0.16666666666666666</v>
      </c>
      <c r="O869" s="45">
        <f t="shared" si="281"/>
        <v>0.16666666666666666</v>
      </c>
      <c r="P869" s="45">
        <f t="shared" si="282"/>
        <v>0</v>
      </c>
      <c r="Q869" s="45">
        <f t="shared" si="283"/>
        <v>0</v>
      </c>
      <c r="R869" s="45">
        <f t="shared" si="284"/>
        <v>0.16666666666666666</v>
      </c>
      <c r="S869" s="45">
        <f t="shared" si="285"/>
        <v>0</v>
      </c>
      <c r="T869" s="45">
        <f t="shared" si="286"/>
        <v>0.16666666666666666</v>
      </c>
    </row>
    <row r="870" spans="1:20" x14ac:dyDescent="0.3">
      <c r="A870">
        <f t="shared" si="267"/>
        <v>1</v>
      </c>
      <c r="B870">
        <f t="shared" si="268"/>
        <v>1</v>
      </c>
      <c r="C870">
        <f t="shared" si="269"/>
        <v>0</v>
      </c>
      <c r="D870">
        <f t="shared" si="270"/>
        <v>1</v>
      </c>
      <c r="E870">
        <f t="shared" si="271"/>
        <v>1</v>
      </c>
      <c r="F870">
        <f t="shared" si="272"/>
        <v>0</v>
      </c>
      <c r="G870">
        <f t="shared" si="273"/>
        <v>0</v>
      </c>
      <c r="H870">
        <f t="shared" si="274"/>
        <v>1</v>
      </c>
      <c r="I870">
        <f t="shared" si="275"/>
        <v>1</v>
      </c>
      <c r="J870">
        <f t="shared" si="276"/>
        <v>0</v>
      </c>
      <c r="K870" s="45">
        <f t="shared" si="277"/>
        <v>0.16666666666666666</v>
      </c>
      <c r="L870" s="45">
        <f t="shared" si="278"/>
        <v>0.16666666666666666</v>
      </c>
      <c r="M870" s="45">
        <f t="shared" si="279"/>
        <v>0</v>
      </c>
      <c r="N870" s="45">
        <f t="shared" si="280"/>
        <v>0.16666666666666666</v>
      </c>
      <c r="O870" s="45">
        <f t="shared" si="281"/>
        <v>0.16666666666666666</v>
      </c>
      <c r="P870" s="45">
        <f t="shared" si="282"/>
        <v>0</v>
      </c>
      <c r="Q870" s="45">
        <f t="shared" si="283"/>
        <v>0</v>
      </c>
      <c r="R870" s="45">
        <f t="shared" si="284"/>
        <v>0.16666666666666666</v>
      </c>
      <c r="S870" s="45">
        <f t="shared" si="285"/>
        <v>0.16666666666666666</v>
      </c>
      <c r="T870" s="45">
        <f t="shared" si="286"/>
        <v>0</v>
      </c>
    </row>
    <row r="871" spans="1:20" x14ac:dyDescent="0.3">
      <c r="A871">
        <f t="shared" si="267"/>
        <v>1</v>
      </c>
      <c r="B871">
        <f t="shared" si="268"/>
        <v>1</v>
      </c>
      <c r="C871">
        <f t="shared" si="269"/>
        <v>0</v>
      </c>
      <c r="D871">
        <f t="shared" si="270"/>
        <v>1</v>
      </c>
      <c r="E871">
        <f t="shared" si="271"/>
        <v>1</v>
      </c>
      <c r="F871">
        <f t="shared" si="272"/>
        <v>0</v>
      </c>
      <c r="G871">
        <f t="shared" si="273"/>
        <v>0</v>
      </c>
      <c r="H871">
        <f t="shared" si="274"/>
        <v>1</v>
      </c>
      <c r="I871">
        <f t="shared" si="275"/>
        <v>1</v>
      </c>
      <c r="J871">
        <f t="shared" si="276"/>
        <v>1</v>
      </c>
      <c r="K871" s="45">
        <f t="shared" si="277"/>
        <v>0.14285714285714285</v>
      </c>
      <c r="L871" s="45">
        <f t="shared" si="278"/>
        <v>0.14285714285714285</v>
      </c>
      <c r="M871" s="45">
        <f t="shared" si="279"/>
        <v>0</v>
      </c>
      <c r="N871" s="45">
        <f t="shared" si="280"/>
        <v>0.14285714285714285</v>
      </c>
      <c r="O871" s="45">
        <f t="shared" si="281"/>
        <v>0.14285714285714285</v>
      </c>
      <c r="P871" s="45">
        <f t="shared" si="282"/>
        <v>0</v>
      </c>
      <c r="Q871" s="45">
        <f t="shared" si="283"/>
        <v>0</v>
      </c>
      <c r="R871" s="45">
        <f t="shared" si="284"/>
        <v>0.14285714285714285</v>
      </c>
      <c r="S871" s="45">
        <f t="shared" si="285"/>
        <v>0.14285714285714285</v>
      </c>
      <c r="T871" s="45">
        <f t="shared" si="286"/>
        <v>0.14285714285714285</v>
      </c>
    </row>
    <row r="872" spans="1:20" x14ac:dyDescent="0.3">
      <c r="A872">
        <f t="shared" si="267"/>
        <v>1</v>
      </c>
      <c r="B872">
        <f t="shared" si="268"/>
        <v>1</v>
      </c>
      <c r="C872">
        <f t="shared" si="269"/>
        <v>0</v>
      </c>
      <c r="D872">
        <f t="shared" si="270"/>
        <v>1</v>
      </c>
      <c r="E872">
        <f t="shared" si="271"/>
        <v>1</v>
      </c>
      <c r="F872">
        <f t="shared" si="272"/>
        <v>0</v>
      </c>
      <c r="G872">
        <f t="shared" si="273"/>
        <v>1</v>
      </c>
      <c r="H872">
        <f t="shared" si="274"/>
        <v>0</v>
      </c>
      <c r="I872">
        <f t="shared" si="275"/>
        <v>0</v>
      </c>
      <c r="J872">
        <f t="shared" si="276"/>
        <v>0</v>
      </c>
      <c r="K872" s="45">
        <f t="shared" si="277"/>
        <v>0.2</v>
      </c>
      <c r="L872" s="45">
        <f t="shared" si="278"/>
        <v>0.2</v>
      </c>
      <c r="M872" s="45">
        <f t="shared" si="279"/>
        <v>0</v>
      </c>
      <c r="N872" s="45">
        <f t="shared" si="280"/>
        <v>0.2</v>
      </c>
      <c r="O872" s="45">
        <f t="shared" si="281"/>
        <v>0.2</v>
      </c>
      <c r="P872" s="45">
        <f t="shared" si="282"/>
        <v>0</v>
      </c>
      <c r="Q872" s="45">
        <f t="shared" si="283"/>
        <v>0.2</v>
      </c>
      <c r="R872" s="45">
        <f t="shared" si="284"/>
        <v>0</v>
      </c>
      <c r="S872" s="45">
        <f t="shared" si="285"/>
        <v>0</v>
      </c>
      <c r="T872" s="45">
        <f t="shared" si="286"/>
        <v>0</v>
      </c>
    </row>
    <row r="873" spans="1:20" x14ac:dyDescent="0.3">
      <c r="A873">
        <f t="shared" si="267"/>
        <v>1</v>
      </c>
      <c r="B873">
        <f t="shared" si="268"/>
        <v>1</v>
      </c>
      <c r="C873">
        <f t="shared" si="269"/>
        <v>0</v>
      </c>
      <c r="D873">
        <f t="shared" si="270"/>
        <v>1</v>
      </c>
      <c r="E873">
        <f t="shared" si="271"/>
        <v>1</v>
      </c>
      <c r="F873">
        <f t="shared" si="272"/>
        <v>0</v>
      </c>
      <c r="G873">
        <f t="shared" si="273"/>
        <v>1</v>
      </c>
      <c r="H873">
        <f t="shared" si="274"/>
        <v>0</v>
      </c>
      <c r="I873">
        <f t="shared" si="275"/>
        <v>0</v>
      </c>
      <c r="J873">
        <f t="shared" si="276"/>
        <v>1</v>
      </c>
      <c r="K873" s="45">
        <f t="shared" si="277"/>
        <v>0.16666666666666666</v>
      </c>
      <c r="L873" s="45">
        <f t="shared" si="278"/>
        <v>0.16666666666666666</v>
      </c>
      <c r="M873" s="45">
        <f t="shared" si="279"/>
        <v>0</v>
      </c>
      <c r="N873" s="45">
        <f t="shared" si="280"/>
        <v>0.16666666666666666</v>
      </c>
      <c r="O873" s="45">
        <f t="shared" si="281"/>
        <v>0.16666666666666666</v>
      </c>
      <c r="P873" s="45">
        <f t="shared" si="282"/>
        <v>0</v>
      </c>
      <c r="Q873" s="45">
        <f t="shared" si="283"/>
        <v>0.16666666666666666</v>
      </c>
      <c r="R873" s="45">
        <f t="shared" si="284"/>
        <v>0</v>
      </c>
      <c r="S873" s="45">
        <f t="shared" si="285"/>
        <v>0</v>
      </c>
      <c r="T873" s="45">
        <f t="shared" si="286"/>
        <v>0.16666666666666666</v>
      </c>
    </row>
    <row r="874" spans="1:20" x14ac:dyDescent="0.3">
      <c r="A874">
        <f t="shared" si="267"/>
        <v>1</v>
      </c>
      <c r="B874">
        <f t="shared" si="268"/>
        <v>1</v>
      </c>
      <c r="C874">
        <f t="shared" si="269"/>
        <v>0</v>
      </c>
      <c r="D874">
        <f t="shared" si="270"/>
        <v>1</v>
      </c>
      <c r="E874">
        <f t="shared" si="271"/>
        <v>1</v>
      </c>
      <c r="F874">
        <f t="shared" si="272"/>
        <v>0</v>
      </c>
      <c r="G874">
        <f t="shared" si="273"/>
        <v>1</v>
      </c>
      <c r="H874">
        <f t="shared" si="274"/>
        <v>0</v>
      </c>
      <c r="I874">
        <f t="shared" si="275"/>
        <v>1</v>
      </c>
      <c r="J874">
        <f t="shared" si="276"/>
        <v>0</v>
      </c>
      <c r="K874" s="45">
        <f t="shared" si="277"/>
        <v>0.16666666666666666</v>
      </c>
      <c r="L874" s="45">
        <f t="shared" si="278"/>
        <v>0.16666666666666666</v>
      </c>
      <c r="M874" s="45">
        <f t="shared" si="279"/>
        <v>0</v>
      </c>
      <c r="N874" s="45">
        <f t="shared" si="280"/>
        <v>0.16666666666666666</v>
      </c>
      <c r="O874" s="45">
        <f t="shared" si="281"/>
        <v>0.16666666666666666</v>
      </c>
      <c r="P874" s="45">
        <f t="shared" si="282"/>
        <v>0</v>
      </c>
      <c r="Q874" s="45">
        <f t="shared" si="283"/>
        <v>0.16666666666666666</v>
      </c>
      <c r="R874" s="45">
        <f t="shared" si="284"/>
        <v>0</v>
      </c>
      <c r="S874" s="45">
        <f t="shared" si="285"/>
        <v>0.16666666666666666</v>
      </c>
      <c r="T874" s="45">
        <f t="shared" si="286"/>
        <v>0</v>
      </c>
    </row>
    <row r="875" spans="1:20" x14ac:dyDescent="0.3">
      <c r="A875">
        <f t="shared" si="267"/>
        <v>1</v>
      </c>
      <c r="B875">
        <f t="shared" si="268"/>
        <v>1</v>
      </c>
      <c r="C875">
        <f t="shared" si="269"/>
        <v>0</v>
      </c>
      <c r="D875">
        <f t="shared" si="270"/>
        <v>1</v>
      </c>
      <c r="E875">
        <f t="shared" si="271"/>
        <v>1</v>
      </c>
      <c r="F875">
        <f t="shared" si="272"/>
        <v>0</v>
      </c>
      <c r="G875">
        <f t="shared" si="273"/>
        <v>1</v>
      </c>
      <c r="H875">
        <f t="shared" si="274"/>
        <v>0</v>
      </c>
      <c r="I875">
        <f t="shared" si="275"/>
        <v>1</v>
      </c>
      <c r="J875">
        <f t="shared" si="276"/>
        <v>1</v>
      </c>
      <c r="K875" s="45">
        <f t="shared" si="277"/>
        <v>0.14285714285714285</v>
      </c>
      <c r="L875" s="45">
        <f t="shared" si="278"/>
        <v>0.14285714285714285</v>
      </c>
      <c r="M875" s="45">
        <f t="shared" si="279"/>
        <v>0</v>
      </c>
      <c r="N875" s="45">
        <f t="shared" si="280"/>
        <v>0.14285714285714285</v>
      </c>
      <c r="O875" s="45">
        <f t="shared" si="281"/>
        <v>0.14285714285714285</v>
      </c>
      <c r="P875" s="45">
        <f t="shared" si="282"/>
        <v>0</v>
      </c>
      <c r="Q875" s="45">
        <f t="shared" si="283"/>
        <v>0.14285714285714285</v>
      </c>
      <c r="R875" s="45">
        <f t="shared" si="284"/>
        <v>0</v>
      </c>
      <c r="S875" s="45">
        <f t="shared" si="285"/>
        <v>0.14285714285714285</v>
      </c>
      <c r="T875" s="45">
        <f t="shared" si="286"/>
        <v>0.14285714285714285</v>
      </c>
    </row>
    <row r="876" spans="1:20" x14ac:dyDescent="0.3">
      <c r="A876">
        <f t="shared" si="267"/>
        <v>1</v>
      </c>
      <c r="B876">
        <f t="shared" si="268"/>
        <v>1</v>
      </c>
      <c r="C876">
        <f t="shared" si="269"/>
        <v>0</v>
      </c>
      <c r="D876">
        <f t="shared" si="270"/>
        <v>1</v>
      </c>
      <c r="E876">
        <f t="shared" si="271"/>
        <v>1</v>
      </c>
      <c r="F876">
        <f t="shared" si="272"/>
        <v>0</v>
      </c>
      <c r="G876">
        <f t="shared" si="273"/>
        <v>1</v>
      </c>
      <c r="H876">
        <f t="shared" si="274"/>
        <v>1</v>
      </c>
      <c r="I876">
        <f t="shared" si="275"/>
        <v>0</v>
      </c>
      <c r="J876">
        <f t="shared" si="276"/>
        <v>0</v>
      </c>
      <c r="K876" s="45">
        <f t="shared" si="277"/>
        <v>0.16666666666666666</v>
      </c>
      <c r="L876" s="45">
        <f t="shared" si="278"/>
        <v>0.16666666666666666</v>
      </c>
      <c r="M876" s="45">
        <f t="shared" si="279"/>
        <v>0</v>
      </c>
      <c r="N876" s="45">
        <f t="shared" si="280"/>
        <v>0.16666666666666666</v>
      </c>
      <c r="O876" s="45">
        <f t="shared" si="281"/>
        <v>0.16666666666666666</v>
      </c>
      <c r="P876" s="45">
        <f t="shared" si="282"/>
        <v>0</v>
      </c>
      <c r="Q876" s="45">
        <f t="shared" si="283"/>
        <v>0.16666666666666666</v>
      </c>
      <c r="R876" s="45">
        <f t="shared" si="284"/>
        <v>0.16666666666666666</v>
      </c>
      <c r="S876" s="45">
        <f t="shared" si="285"/>
        <v>0</v>
      </c>
      <c r="T876" s="45">
        <f t="shared" si="286"/>
        <v>0</v>
      </c>
    </row>
    <row r="877" spans="1:20" x14ac:dyDescent="0.3">
      <c r="A877">
        <f t="shared" si="267"/>
        <v>1</v>
      </c>
      <c r="B877">
        <f t="shared" si="268"/>
        <v>1</v>
      </c>
      <c r="C877">
        <f t="shared" si="269"/>
        <v>0</v>
      </c>
      <c r="D877">
        <f t="shared" si="270"/>
        <v>1</v>
      </c>
      <c r="E877">
        <f t="shared" si="271"/>
        <v>1</v>
      </c>
      <c r="F877">
        <f t="shared" si="272"/>
        <v>0</v>
      </c>
      <c r="G877">
        <f t="shared" si="273"/>
        <v>1</v>
      </c>
      <c r="H877">
        <f t="shared" si="274"/>
        <v>1</v>
      </c>
      <c r="I877">
        <f t="shared" si="275"/>
        <v>0</v>
      </c>
      <c r="J877">
        <f t="shared" si="276"/>
        <v>1</v>
      </c>
      <c r="K877" s="45">
        <f t="shared" si="277"/>
        <v>0.14285714285714285</v>
      </c>
      <c r="L877" s="45">
        <f t="shared" si="278"/>
        <v>0.14285714285714285</v>
      </c>
      <c r="M877" s="45">
        <f t="shared" si="279"/>
        <v>0</v>
      </c>
      <c r="N877" s="45">
        <f t="shared" si="280"/>
        <v>0.14285714285714285</v>
      </c>
      <c r="O877" s="45">
        <f t="shared" si="281"/>
        <v>0.14285714285714285</v>
      </c>
      <c r="P877" s="45">
        <f t="shared" si="282"/>
        <v>0</v>
      </c>
      <c r="Q877" s="45">
        <f t="shared" si="283"/>
        <v>0.14285714285714285</v>
      </c>
      <c r="R877" s="45">
        <f t="shared" si="284"/>
        <v>0.14285714285714285</v>
      </c>
      <c r="S877" s="45">
        <f t="shared" si="285"/>
        <v>0</v>
      </c>
      <c r="T877" s="45">
        <f t="shared" si="286"/>
        <v>0.14285714285714285</v>
      </c>
    </row>
    <row r="878" spans="1:20" x14ac:dyDescent="0.3">
      <c r="A878">
        <f t="shared" si="267"/>
        <v>1</v>
      </c>
      <c r="B878">
        <f t="shared" si="268"/>
        <v>1</v>
      </c>
      <c r="C878">
        <f t="shared" si="269"/>
        <v>0</v>
      </c>
      <c r="D878">
        <f t="shared" si="270"/>
        <v>1</v>
      </c>
      <c r="E878">
        <f t="shared" si="271"/>
        <v>1</v>
      </c>
      <c r="F878">
        <f t="shared" si="272"/>
        <v>0</v>
      </c>
      <c r="G878">
        <f t="shared" si="273"/>
        <v>1</v>
      </c>
      <c r="H878">
        <f t="shared" si="274"/>
        <v>1</v>
      </c>
      <c r="I878">
        <f t="shared" si="275"/>
        <v>1</v>
      </c>
      <c r="J878">
        <f t="shared" si="276"/>
        <v>0</v>
      </c>
      <c r="K878" s="45">
        <f t="shared" si="277"/>
        <v>0.14285714285714285</v>
      </c>
      <c r="L878" s="45">
        <f t="shared" si="278"/>
        <v>0.14285714285714285</v>
      </c>
      <c r="M878" s="45">
        <f t="shared" si="279"/>
        <v>0</v>
      </c>
      <c r="N878" s="45">
        <f t="shared" si="280"/>
        <v>0.14285714285714285</v>
      </c>
      <c r="O878" s="45">
        <f t="shared" si="281"/>
        <v>0.14285714285714285</v>
      </c>
      <c r="P878" s="45">
        <f t="shared" si="282"/>
        <v>0</v>
      </c>
      <c r="Q878" s="45">
        <f t="shared" si="283"/>
        <v>0.14285714285714285</v>
      </c>
      <c r="R878" s="45">
        <f t="shared" si="284"/>
        <v>0.14285714285714285</v>
      </c>
      <c r="S878" s="45">
        <f t="shared" si="285"/>
        <v>0.14285714285714285</v>
      </c>
      <c r="T878" s="45">
        <f t="shared" si="286"/>
        <v>0</v>
      </c>
    </row>
    <row r="879" spans="1:20" x14ac:dyDescent="0.3">
      <c r="A879">
        <f t="shared" si="267"/>
        <v>1</v>
      </c>
      <c r="B879">
        <f t="shared" si="268"/>
        <v>1</v>
      </c>
      <c r="C879">
        <f t="shared" si="269"/>
        <v>0</v>
      </c>
      <c r="D879">
        <f t="shared" si="270"/>
        <v>1</v>
      </c>
      <c r="E879">
        <f t="shared" si="271"/>
        <v>1</v>
      </c>
      <c r="F879">
        <f t="shared" si="272"/>
        <v>0</v>
      </c>
      <c r="G879">
        <f t="shared" si="273"/>
        <v>1</v>
      </c>
      <c r="H879">
        <f t="shared" si="274"/>
        <v>1</v>
      </c>
      <c r="I879">
        <f t="shared" si="275"/>
        <v>1</v>
      </c>
      <c r="J879">
        <f t="shared" si="276"/>
        <v>1</v>
      </c>
      <c r="K879" s="45">
        <f t="shared" si="277"/>
        <v>0.125</v>
      </c>
      <c r="L879" s="45">
        <f t="shared" si="278"/>
        <v>0.125</v>
      </c>
      <c r="M879" s="45">
        <f t="shared" si="279"/>
        <v>0</v>
      </c>
      <c r="N879" s="45">
        <f t="shared" si="280"/>
        <v>0.125</v>
      </c>
      <c r="O879" s="45">
        <f t="shared" si="281"/>
        <v>0.125</v>
      </c>
      <c r="P879" s="45">
        <f t="shared" si="282"/>
        <v>0</v>
      </c>
      <c r="Q879" s="45">
        <f t="shared" si="283"/>
        <v>0.125</v>
      </c>
      <c r="R879" s="45">
        <f t="shared" si="284"/>
        <v>0.125</v>
      </c>
      <c r="S879" s="45">
        <f t="shared" si="285"/>
        <v>0.125</v>
      </c>
      <c r="T879" s="45">
        <f t="shared" si="286"/>
        <v>0.125</v>
      </c>
    </row>
    <row r="880" spans="1:20" x14ac:dyDescent="0.3">
      <c r="A880">
        <f t="shared" si="267"/>
        <v>1</v>
      </c>
      <c r="B880">
        <f t="shared" si="268"/>
        <v>1</v>
      </c>
      <c r="C880">
        <f t="shared" si="269"/>
        <v>0</v>
      </c>
      <c r="D880">
        <f t="shared" si="270"/>
        <v>1</v>
      </c>
      <c r="E880">
        <f t="shared" si="271"/>
        <v>1</v>
      </c>
      <c r="F880">
        <f t="shared" si="272"/>
        <v>1</v>
      </c>
      <c r="G880">
        <f t="shared" si="273"/>
        <v>0</v>
      </c>
      <c r="H880">
        <f t="shared" si="274"/>
        <v>0</v>
      </c>
      <c r="I880">
        <f t="shared" si="275"/>
        <v>0</v>
      </c>
      <c r="J880">
        <f t="shared" si="276"/>
        <v>0</v>
      </c>
      <c r="K880" s="45">
        <f t="shared" si="277"/>
        <v>0.2</v>
      </c>
      <c r="L880" s="45">
        <f t="shared" si="278"/>
        <v>0.2</v>
      </c>
      <c r="M880" s="45">
        <f t="shared" si="279"/>
        <v>0</v>
      </c>
      <c r="N880" s="45">
        <f t="shared" si="280"/>
        <v>0.2</v>
      </c>
      <c r="O880" s="45">
        <f t="shared" si="281"/>
        <v>0.2</v>
      </c>
      <c r="P880" s="45">
        <f t="shared" si="282"/>
        <v>0.2</v>
      </c>
      <c r="Q880" s="45">
        <f t="shared" si="283"/>
        <v>0</v>
      </c>
      <c r="R880" s="45">
        <f t="shared" si="284"/>
        <v>0</v>
      </c>
      <c r="S880" s="45">
        <f t="shared" si="285"/>
        <v>0</v>
      </c>
      <c r="T880" s="45">
        <f t="shared" si="286"/>
        <v>0</v>
      </c>
    </row>
    <row r="881" spans="1:20" x14ac:dyDescent="0.3">
      <c r="A881">
        <f t="shared" si="267"/>
        <v>1</v>
      </c>
      <c r="B881">
        <f t="shared" si="268"/>
        <v>1</v>
      </c>
      <c r="C881">
        <f t="shared" si="269"/>
        <v>0</v>
      </c>
      <c r="D881">
        <f t="shared" si="270"/>
        <v>1</v>
      </c>
      <c r="E881">
        <f t="shared" si="271"/>
        <v>1</v>
      </c>
      <c r="F881">
        <f t="shared" si="272"/>
        <v>1</v>
      </c>
      <c r="G881">
        <f t="shared" si="273"/>
        <v>0</v>
      </c>
      <c r="H881">
        <f t="shared" si="274"/>
        <v>0</v>
      </c>
      <c r="I881">
        <f t="shared" si="275"/>
        <v>0</v>
      </c>
      <c r="J881">
        <f t="shared" si="276"/>
        <v>1</v>
      </c>
      <c r="K881" s="45">
        <f t="shared" si="277"/>
        <v>0.16666666666666666</v>
      </c>
      <c r="L881" s="45">
        <f t="shared" si="278"/>
        <v>0.16666666666666666</v>
      </c>
      <c r="M881" s="45">
        <f t="shared" si="279"/>
        <v>0</v>
      </c>
      <c r="N881" s="45">
        <f t="shared" si="280"/>
        <v>0.16666666666666666</v>
      </c>
      <c r="O881" s="45">
        <f t="shared" si="281"/>
        <v>0.16666666666666666</v>
      </c>
      <c r="P881" s="45">
        <f t="shared" si="282"/>
        <v>0.16666666666666666</v>
      </c>
      <c r="Q881" s="45">
        <f t="shared" si="283"/>
        <v>0</v>
      </c>
      <c r="R881" s="45">
        <f t="shared" si="284"/>
        <v>0</v>
      </c>
      <c r="S881" s="45">
        <f t="shared" si="285"/>
        <v>0</v>
      </c>
      <c r="T881" s="45">
        <f t="shared" si="286"/>
        <v>0.16666666666666666</v>
      </c>
    </row>
    <row r="882" spans="1:20" x14ac:dyDescent="0.3">
      <c r="A882">
        <f t="shared" si="267"/>
        <v>1</v>
      </c>
      <c r="B882">
        <f t="shared" si="268"/>
        <v>1</v>
      </c>
      <c r="C882">
        <f t="shared" si="269"/>
        <v>0</v>
      </c>
      <c r="D882">
        <f t="shared" si="270"/>
        <v>1</v>
      </c>
      <c r="E882">
        <f t="shared" si="271"/>
        <v>1</v>
      </c>
      <c r="F882">
        <f t="shared" si="272"/>
        <v>1</v>
      </c>
      <c r="G882">
        <f t="shared" si="273"/>
        <v>0</v>
      </c>
      <c r="H882">
        <f t="shared" si="274"/>
        <v>0</v>
      </c>
      <c r="I882">
        <f t="shared" si="275"/>
        <v>1</v>
      </c>
      <c r="J882">
        <f t="shared" si="276"/>
        <v>0</v>
      </c>
      <c r="K882" s="45">
        <f t="shared" si="277"/>
        <v>0.16666666666666666</v>
      </c>
      <c r="L882" s="45">
        <f t="shared" si="278"/>
        <v>0.16666666666666666</v>
      </c>
      <c r="M882" s="45">
        <f t="shared" si="279"/>
        <v>0</v>
      </c>
      <c r="N882" s="45">
        <f t="shared" si="280"/>
        <v>0.16666666666666666</v>
      </c>
      <c r="O882" s="45">
        <f t="shared" si="281"/>
        <v>0.16666666666666666</v>
      </c>
      <c r="P882" s="45">
        <f t="shared" si="282"/>
        <v>0.16666666666666666</v>
      </c>
      <c r="Q882" s="45">
        <f t="shared" si="283"/>
        <v>0</v>
      </c>
      <c r="R882" s="45">
        <f t="shared" si="284"/>
        <v>0</v>
      </c>
      <c r="S882" s="45">
        <f t="shared" si="285"/>
        <v>0.16666666666666666</v>
      </c>
      <c r="T882" s="45">
        <f t="shared" si="286"/>
        <v>0</v>
      </c>
    </row>
    <row r="883" spans="1:20" x14ac:dyDescent="0.3">
      <c r="A883">
        <f t="shared" si="267"/>
        <v>1</v>
      </c>
      <c r="B883">
        <f t="shared" si="268"/>
        <v>1</v>
      </c>
      <c r="C883">
        <f t="shared" si="269"/>
        <v>0</v>
      </c>
      <c r="D883">
        <f t="shared" si="270"/>
        <v>1</v>
      </c>
      <c r="E883">
        <f t="shared" si="271"/>
        <v>1</v>
      </c>
      <c r="F883">
        <f t="shared" si="272"/>
        <v>1</v>
      </c>
      <c r="G883">
        <f t="shared" si="273"/>
        <v>0</v>
      </c>
      <c r="H883">
        <f t="shared" si="274"/>
        <v>0</v>
      </c>
      <c r="I883">
        <f t="shared" si="275"/>
        <v>1</v>
      </c>
      <c r="J883">
        <f t="shared" si="276"/>
        <v>1</v>
      </c>
      <c r="K883" s="45">
        <f t="shared" si="277"/>
        <v>0.14285714285714285</v>
      </c>
      <c r="L883" s="45">
        <f t="shared" si="278"/>
        <v>0.14285714285714285</v>
      </c>
      <c r="M883" s="45">
        <f t="shared" si="279"/>
        <v>0</v>
      </c>
      <c r="N883" s="45">
        <f t="shared" si="280"/>
        <v>0.14285714285714285</v>
      </c>
      <c r="O883" s="45">
        <f t="shared" si="281"/>
        <v>0.14285714285714285</v>
      </c>
      <c r="P883" s="45">
        <f t="shared" si="282"/>
        <v>0.14285714285714285</v>
      </c>
      <c r="Q883" s="45">
        <f t="shared" si="283"/>
        <v>0</v>
      </c>
      <c r="R883" s="45">
        <f t="shared" si="284"/>
        <v>0</v>
      </c>
      <c r="S883" s="45">
        <f t="shared" si="285"/>
        <v>0.14285714285714285</v>
      </c>
      <c r="T883" s="45">
        <f t="shared" si="286"/>
        <v>0.14285714285714285</v>
      </c>
    </row>
    <row r="884" spans="1:20" x14ac:dyDescent="0.3">
      <c r="A884">
        <f t="shared" si="267"/>
        <v>1</v>
      </c>
      <c r="B884">
        <f t="shared" si="268"/>
        <v>1</v>
      </c>
      <c r="C884">
        <f t="shared" si="269"/>
        <v>0</v>
      </c>
      <c r="D884">
        <f t="shared" si="270"/>
        <v>1</v>
      </c>
      <c r="E884">
        <f t="shared" si="271"/>
        <v>1</v>
      </c>
      <c r="F884">
        <f t="shared" si="272"/>
        <v>1</v>
      </c>
      <c r="G884">
        <f t="shared" si="273"/>
        <v>0</v>
      </c>
      <c r="H884">
        <f t="shared" si="274"/>
        <v>1</v>
      </c>
      <c r="I884">
        <f t="shared" si="275"/>
        <v>0</v>
      </c>
      <c r="J884">
        <f t="shared" si="276"/>
        <v>0</v>
      </c>
      <c r="K884" s="45">
        <f t="shared" si="277"/>
        <v>0.16666666666666666</v>
      </c>
      <c r="L884" s="45">
        <f t="shared" si="278"/>
        <v>0.16666666666666666</v>
      </c>
      <c r="M884" s="45">
        <f t="shared" si="279"/>
        <v>0</v>
      </c>
      <c r="N884" s="45">
        <f t="shared" si="280"/>
        <v>0.16666666666666666</v>
      </c>
      <c r="O884" s="45">
        <f t="shared" si="281"/>
        <v>0.16666666666666666</v>
      </c>
      <c r="P884" s="45">
        <f t="shared" si="282"/>
        <v>0.16666666666666666</v>
      </c>
      <c r="Q884" s="45">
        <f t="shared" si="283"/>
        <v>0</v>
      </c>
      <c r="R884" s="45">
        <f t="shared" si="284"/>
        <v>0.16666666666666666</v>
      </c>
      <c r="S884" s="45">
        <f t="shared" si="285"/>
        <v>0</v>
      </c>
      <c r="T884" s="45">
        <f t="shared" si="286"/>
        <v>0</v>
      </c>
    </row>
    <row r="885" spans="1:20" x14ac:dyDescent="0.3">
      <c r="A885">
        <f t="shared" si="267"/>
        <v>1</v>
      </c>
      <c r="B885">
        <f t="shared" si="268"/>
        <v>1</v>
      </c>
      <c r="C885">
        <f t="shared" si="269"/>
        <v>0</v>
      </c>
      <c r="D885">
        <f t="shared" si="270"/>
        <v>1</v>
      </c>
      <c r="E885">
        <f t="shared" si="271"/>
        <v>1</v>
      </c>
      <c r="F885">
        <f t="shared" si="272"/>
        <v>1</v>
      </c>
      <c r="G885">
        <f t="shared" si="273"/>
        <v>0</v>
      </c>
      <c r="H885">
        <f t="shared" si="274"/>
        <v>1</v>
      </c>
      <c r="I885">
        <f t="shared" si="275"/>
        <v>0</v>
      </c>
      <c r="J885">
        <f t="shared" si="276"/>
        <v>1</v>
      </c>
      <c r="K885" s="45">
        <f t="shared" si="277"/>
        <v>0.14285714285714285</v>
      </c>
      <c r="L885" s="45">
        <f t="shared" si="278"/>
        <v>0.14285714285714285</v>
      </c>
      <c r="M885" s="45">
        <f t="shared" si="279"/>
        <v>0</v>
      </c>
      <c r="N885" s="45">
        <f t="shared" si="280"/>
        <v>0.14285714285714285</v>
      </c>
      <c r="O885" s="45">
        <f t="shared" si="281"/>
        <v>0.14285714285714285</v>
      </c>
      <c r="P885" s="45">
        <f t="shared" si="282"/>
        <v>0.14285714285714285</v>
      </c>
      <c r="Q885" s="45">
        <f t="shared" si="283"/>
        <v>0</v>
      </c>
      <c r="R885" s="45">
        <f t="shared" si="284"/>
        <v>0.14285714285714285</v>
      </c>
      <c r="S885" s="45">
        <f t="shared" si="285"/>
        <v>0</v>
      </c>
      <c r="T885" s="45">
        <f t="shared" si="286"/>
        <v>0.14285714285714285</v>
      </c>
    </row>
    <row r="886" spans="1:20" x14ac:dyDescent="0.3">
      <c r="A886">
        <f t="shared" si="267"/>
        <v>1</v>
      </c>
      <c r="B886">
        <f t="shared" si="268"/>
        <v>1</v>
      </c>
      <c r="C886">
        <f t="shared" si="269"/>
        <v>0</v>
      </c>
      <c r="D886">
        <f t="shared" si="270"/>
        <v>1</v>
      </c>
      <c r="E886">
        <f t="shared" si="271"/>
        <v>1</v>
      </c>
      <c r="F886">
        <f t="shared" si="272"/>
        <v>1</v>
      </c>
      <c r="G886">
        <f t="shared" si="273"/>
        <v>0</v>
      </c>
      <c r="H886">
        <f t="shared" si="274"/>
        <v>1</v>
      </c>
      <c r="I886">
        <f t="shared" si="275"/>
        <v>1</v>
      </c>
      <c r="J886">
        <f t="shared" si="276"/>
        <v>0</v>
      </c>
      <c r="K886" s="45">
        <f t="shared" si="277"/>
        <v>0.14285714285714285</v>
      </c>
      <c r="L886" s="45">
        <f t="shared" si="278"/>
        <v>0.14285714285714285</v>
      </c>
      <c r="M886" s="45">
        <f t="shared" si="279"/>
        <v>0</v>
      </c>
      <c r="N886" s="45">
        <f t="shared" si="280"/>
        <v>0.14285714285714285</v>
      </c>
      <c r="O886" s="45">
        <f t="shared" si="281"/>
        <v>0.14285714285714285</v>
      </c>
      <c r="P886" s="45">
        <f t="shared" si="282"/>
        <v>0.14285714285714285</v>
      </c>
      <c r="Q886" s="45">
        <f t="shared" si="283"/>
        <v>0</v>
      </c>
      <c r="R886" s="45">
        <f t="shared" si="284"/>
        <v>0.14285714285714285</v>
      </c>
      <c r="S886" s="45">
        <f t="shared" si="285"/>
        <v>0.14285714285714285</v>
      </c>
      <c r="T886" s="45">
        <f t="shared" si="286"/>
        <v>0</v>
      </c>
    </row>
    <row r="887" spans="1:20" x14ac:dyDescent="0.3">
      <c r="A887">
        <f t="shared" si="267"/>
        <v>1</v>
      </c>
      <c r="B887">
        <f t="shared" si="268"/>
        <v>1</v>
      </c>
      <c r="C887">
        <f t="shared" si="269"/>
        <v>0</v>
      </c>
      <c r="D887">
        <f t="shared" si="270"/>
        <v>1</v>
      </c>
      <c r="E887">
        <f t="shared" si="271"/>
        <v>1</v>
      </c>
      <c r="F887">
        <f t="shared" si="272"/>
        <v>1</v>
      </c>
      <c r="G887">
        <f t="shared" si="273"/>
        <v>0</v>
      </c>
      <c r="H887">
        <f t="shared" si="274"/>
        <v>1</v>
      </c>
      <c r="I887">
        <f t="shared" si="275"/>
        <v>1</v>
      </c>
      <c r="J887">
        <f t="shared" si="276"/>
        <v>1</v>
      </c>
      <c r="K887" s="45">
        <f t="shared" si="277"/>
        <v>0.125</v>
      </c>
      <c r="L887" s="45">
        <f t="shared" si="278"/>
        <v>0.125</v>
      </c>
      <c r="M887" s="45">
        <f t="shared" si="279"/>
        <v>0</v>
      </c>
      <c r="N887" s="45">
        <f t="shared" si="280"/>
        <v>0.125</v>
      </c>
      <c r="O887" s="45">
        <f t="shared" si="281"/>
        <v>0.125</v>
      </c>
      <c r="P887" s="45">
        <f t="shared" si="282"/>
        <v>0.125</v>
      </c>
      <c r="Q887" s="45">
        <f t="shared" si="283"/>
        <v>0</v>
      </c>
      <c r="R887" s="45">
        <f t="shared" si="284"/>
        <v>0.125</v>
      </c>
      <c r="S887" s="45">
        <f t="shared" si="285"/>
        <v>0.125</v>
      </c>
      <c r="T887" s="45">
        <f t="shared" si="286"/>
        <v>0.125</v>
      </c>
    </row>
    <row r="888" spans="1:20" x14ac:dyDescent="0.3">
      <c r="A888">
        <f t="shared" si="267"/>
        <v>1</v>
      </c>
      <c r="B888">
        <f t="shared" si="268"/>
        <v>1</v>
      </c>
      <c r="C888">
        <f t="shared" si="269"/>
        <v>0</v>
      </c>
      <c r="D888">
        <f t="shared" si="270"/>
        <v>1</v>
      </c>
      <c r="E888">
        <f t="shared" si="271"/>
        <v>1</v>
      </c>
      <c r="F888">
        <f t="shared" si="272"/>
        <v>1</v>
      </c>
      <c r="G888">
        <f t="shared" si="273"/>
        <v>1</v>
      </c>
      <c r="H888">
        <f t="shared" si="274"/>
        <v>0</v>
      </c>
      <c r="I888">
        <f t="shared" si="275"/>
        <v>0</v>
      </c>
      <c r="J888">
        <f t="shared" si="276"/>
        <v>0</v>
      </c>
      <c r="K888" s="45">
        <f t="shared" si="277"/>
        <v>0.16666666666666666</v>
      </c>
      <c r="L888" s="45">
        <f t="shared" si="278"/>
        <v>0.16666666666666666</v>
      </c>
      <c r="M888" s="45">
        <f t="shared" si="279"/>
        <v>0</v>
      </c>
      <c r="N888" s="45">
        <f t="shared" si="280"/>
        <v>0.16666666666666666</v>
      </c>
      <c r="O888" s="45">
        <f t="shared" si="281"/>
        <v>0.16666666666666666</v>
      </c>
      <c r="P888" s="45">
        <f t="shared" si="282"/>
        <v>0.16666666666666666</v>
      </c>
      <c r="Q888" s="45">
        <f t="shared" si="283"/>
        <v>0.16666666666666666</v>
      </c>
      <c r="R888" s="45">
        <f t="shared" si="284"/>
        <v>0</v>
      </c>
      <c r="S888" s="45">
        <f t="shared" si="285"/>
        <v>0</v>
      </c>
      <c r="T888" s="45">
        <f t="shared" si="286"/>
        <v>0</v>
      </c>
    </row>
    <row r="889" spans="1:20" x14ac:dyDescent="0.3">
      <c r="A889">
        <f t="shared" si="267"/>
        <v>1</v>
      </c>
      <c r="B889">
        <f t="shared" si="268"/>
        <v>1</v>
      </c>
      <c r="C889">
        <f t="shared" si="269"/>
        <v>0</v>
      </c>
      <c r="D889">
        <f t="shared" si="270"/>
        <v>1</v>
      </c>
      <c r="E889">
        <f t="shared" si="271"/>
        <v>1</v>
      </c>
      <c r="F889">
        <f t="shared" si="272"/>
        <v>1</v>
      </c>
      <c r="G889">
        <f t="shared" si="273"/>
        <v>1</v>
      </c>
      <c r="H889">
        <f t="shared" si="274"/>
        <v>0</v>
      </c>
      <c r="I889">
        <f t="shared" si="275"/>
        <v>0</v>
      </c>
      <c r="J889">
        <f t="shared" si="276"/>
        <v>1</v>
      </c>
      <c r="K889" s="45">
        <f t="shared" si="277"/>
        <v>0.14285714285714285</v>
      </c>
      <c r="L889" s="45">
        <f t="shared" si="278"/>
        <v>0.14285714285714285</v>
      </c>
      <c r="M889" s="45">
        <f t="shared" si="279"/>
        <v>0</v>
      </c>
      <c r="N889" s="45">
        <f t="shared" si="280"/>
        <v>0.14285714285714285</v>
      </c>
      <c r="O889" s="45">
        <f t="shared" si="281"/>
        <v>0.14285714285714285</v>
      </c>
      <c r="P889" s="45">
        <f t="shared" si="282"/>
        <v>0.14285714285714285</v>
      </c>
      <c r="Q889" s="45">
        <f t="shared" si="283"/>
        <v>0.14285714285714285</v>
      </c>
      <c r="R889" s="45">
        <f t="shared" si="284"/>
        <v>0</v>
      </c>
      <c r="S889" s="45">
        <f t="shared" si="285"/>
        <v>0</v>
      </c>
      <c r="T889" s="45">
        <f t="shared" si="286"/>
        <v>0.14285714285714285</v>
      </c>
    </row>
    <row r="890" spans="1:20" x14ac:dyDescent="0.3">
      <c r="A890">
        <f t="shared" si="267"/>
        <v>1</v>
      </c>
      <c r="B890">
        <f t="shared" si="268"/>
        <v>1</v>
      </c>
      <c r="C890">
        <f t="shared" si="269"/>
        <v>0</v>
      </c>
      <c r="D890">
        <f t="shared" si="270"/>
        <v>1</v>
      </c>
      <c r="E890">
        <f t="shared" si="271"/>
        <v>1</v>
      </c>
      <c r="F890">
        <f t="shared" si="272"/>
        <v>1</v>
      </c>
      <c r="G890">
        <f t="shared" si="273"/>
        <v>1</v>
      </c>
      <c r="H890">
        <f t="shared" si="274"/>
        <v>0</v>
      </c>
      <c r="I890">
        <f t="shared" si="275"/>
        <v>1</v>
      </c>
      <c r="J890">
        <f t="shared" si="276"/>
        <v>0</v>
      </c>
      <c r="K890" s="45">
        <f t="shared" si="277"/>
        <v>0.14285714285714285</v>
      </c>
      <c r="L890" s="45">
        <f t="shared" si="278"/>
        <v>0.14285714285714285</v>
      </c>
      <c r="M890" s="45">
        <f t="shared" si="279"/>
        <v>0</v>
      </c>
      <c r="N890" s="45">
        <f t="shared" si="280"/>
        <v>0.14285714285714285</v>
      </c>
      <c r="O890" s="45">
        <f t="shared" si="281"/>
        <v>0.14285714285714285</v>
      </c>
      <c r="P890" s="45">
        <f t="shared" si="282"/>
        <v>0.14285714285714285</v>
      </c>
      <c r="Q890" s="45">
        <f t="shared" si="283"/>
        <v>0.14285714285714285</v>
      </c>
      <c r="R890" s="45">
        <f t="shared" si="284"/>
        <v>0</v>
      </c>
      <c r="S890" s="45">
        <f t="shared" si="285"/>
        <v>0.14285714285714285</v>
      </c>
      <c r="T890" s="45">
        <f t="shared" si="286"/>
        <v>0</v>
      </c>
    </row>
    <row r="891" spans="1:20" x14ac:dyDescent="0.3">
      <c r="A891">
        <f t="shared" si="267"/>
        <v>1</v>
      </c>
      <c r="B891">
        <f t="shared" si="268"/>
        <v>1</v>
      </c>
      <c r="C891">
        <f t="shared" si="269"/>
        <v>0</v>
      </c>
      <c r="D891">
        <f t="shared" si="270"/>
        <v>1</v>
      </c>
      <c r="E891">
        <f t="shared" si="271"/>
        <v>1</v>
      </c>
      <c r="F891">
        <f t="shared" si="272"/>
        <v>1</v>
      </c>
      <c r="G891">
        <f t="shared" si="273"/>
        <v>1</v>
      </c>
      <c r="H891">
        <f t="shared" si="274"/>
        <v>0</v>
      </c>
      <c r="I891">
        <f t="shared" si="275"/>
        <v>1</v>
      </c>
      <c r="J891">
        <f t="shared" si="276"/>
        <v>1</v>
      </c>
      <c r="K891" s="45">
        <f t="shared" si="277"/>
        <v>0.125</v>
      </c>
      <c r="L891" s="45">
        <f t="shared" si="278"/>
        <v>0.125</v>
      </c>
      <c r="M891" s="45">
        <f t="shared" si="279"/>
        <v>0</v>
      </c>
      <c r="N891" s="45">
        <f t="shared" si="280"/>
        <v>0.125</v>
      </c>
      <c r="O891" s="45">
        <f t="shared" si="281"/>
        <v>0.125</v>
      </c>
      <c r="P891" s="45">
        <f t="shared" si="282"/>
        <v>0.125</v>
      </c>
      <c r="Q891" s="45">
        <f t="shared" si="283"/>
        <v>0.125</v>
      </c>
      <c r="R891" s="45">
        <f t="shared" si="284"/>
        <v>0</v>
      </c>
      <c r="S891" s="45">
        <f t="shared" si="285"/>
        <v>0.125</v>
      </c>
      <c r="T891" s="45">
        <f t="shared" si="286"/>
        <v>0.125</v>
      </c>
    </row>
    <row r="892" spans="1:20" x14ac:dyDescent="0.3">
      <c r="A892">
        <f t="shared" si="267"/>
        <v>1</v>
      </c>
      <c r="B892">
        <f t="shared" si="268"/>
        <v>1</v>
      </c>
      <c r="C892">
        <f t="shared" si="269"/>
        <v>0</v>
      </c>
      <c r="D892">
        <f t="shared" si="270"/>
        <v>1</v>
      </c>
      <c r="E892">
        <f t="shared" si="271"/>
        <v>1</v>
      </c>
      <c r="F892">
        <f t="shared" si="272"/>
        <v>1</v>
      </c>
      <c r="G892">
        <f t="shared" si="273"/>
        <v>1</v>
      </c>
      <c r="H892">
        <f t="shared" si="274"/>
        <v>1</v>
      </c>
      <c r="I892">
        <f t="shared" si="275"/>
        <v>0</v>
      </c>
      <c r="J892">
        <f t="shared" si="276"/>
        <v>0</v>
      </c>
      <c r="K892" s="45">
        <f t="shared" si="277"/>
        <v>0.14285714285714285</v>
      </c>
      <c r="L892" s="45">
        <f t="shared" si="278"/>
        <v>0.14285714285714285</v>
      </c>
      <c r="M892" s="45">
        <f t="shared" si="279"/>
        <v>0</v>
      </c>
      <c r="N892" s="45">
        <f t="shared" si="280"/>
        <v>0.14285714285714285</v>
      </c>
      <c r="O892" s="45">
        <f t="shared" si="281"/>
        <v>0.14285714285714285</v>
      </c>
      <c r="P892" s="45">
        <f t="shared" si="282"/>
        <v>0.14285714285714285</v>
      </c>
      <c r="Q892" s="45">
        <f t="shared" si="283"/>
        <v>0.14285714285714285</v>
      </c>
      <c r="R892" s="45">
        <f t="shared" si="284"/>
        <v>0.14285714285714285</v>
      </c>
      <c r="S892" s="45">
        <f t="shared" si="285"/>
        <v>0</v>
      </c>
      <c r="T892" s="45">
        <f t="shared" si="286"/>
        <v>0</v>
      </c>
    </row>
    <row r="893" spans="1:20" x14ac:dyDescent="0.3">
      <c r="A893">
        <f t="shared" si="267"/>
        <v>1</v>
      </c>
      <c r="B893">
        <f t="shared" si="268"/>
        <v>1</v>
      </c>
      <c r="C893">
        <f t="shared" si="269"/>
        <v>0</v>
      </c>
      <c r="D893">
        <f t="shared" si="270"/>
        <v>1</v>
      </c>
      <c r="E893">
        <f t="shared" si="271"/>
        <v>1</v>
      </c>
      <c r="F893">
        <f t="shared" si="272"/>
        <v>1</v>
      </c>
      <c r="G893">
        <f t="shared" si="273"/>
        <v>1</v>
      </c>
      <c r="H893">
        <f t="shared" si="274"/>
        <v>1</v>
      </c>
      <c r="I893">
        <f t="shared" si="275"/>
        <v>0</v>
      </c>
      <c r="J893">
        <f t="shared" si="276"/>
        <v>1</v>
      </c>
      <c r="K893" s="45">
        <f t="shared" si="277"/>
        <v>0.125</v>
      </c>
      <c r="L893" s="45">
        <f t="shared" si="278"/>
        <v>0.125</v>
      </c>
      <c r="M893" s="45">
        <f t="shared" si="279"/>
        <v>0</v>
      </c>
      <c r="N893" s="45">
        <f t="shared" si="280"/>
        <v>0.125</v>
      </c>
      <c r="O893" s="45">
        <f t="shared" si="281"/>
        <v>0.125</v>
      </c>
      <c r="P893" s="45">
        <f t="shared" si="282"/>
        <v>0.125</v>
      </c>
      <c r="Q893" s="45">
        <f t="shared" si="283"/>
        <v>0.125</v>
      </c>
      <c r="R893" s="45">
        <f t="shared" si="284"/>
        <v>0.125</v>
      </c>
      <c r="S893" s="45">
        <f t="shared" si="285"/>
        <v>0</v>
      </c>
      <c r="T893" s="45">
        <f t="shared" si="286"/>
        <v>0.125</v>
      </c>
    </row>
    <row r="894" spans="1:20" x14ac:dyDescent="0.3">
      <c r="A894">
        <f t="shared" si="267"/>
        <v>1</v>
      </c>
      <c r="B894">
        <f t="shared" si="268"/>
        <v>1</v>
      </c>
      <c r="C894">
        <f t="shared" si="269"/>
        <v>0</v>
      </c>
      <c r="D894">
        <f t="shared" si="270"/>
        <v>1</v>
      </c>
      <c r="E894">
        <f t="shared" si="271"/>
        <v>1</v>
      </c>
      <c r="F894">
        <f t="shared" si="272"/>
        <v>1</v>
      </c>
      <c r="G894">
        <f t="shared" si="273"/>
        <v>1</v>
      </c>
      <c r="H894">
        <f t="shared" si="274"/>
        <v>1</v>
      </c>
      <c r="I894">
        <f t="shared" si="275"/>
        <v>1</v>
      </c>
      <c r="J894">
        <f t="shared" si="276"/>
        <v>0</v>
      </c>
      <c r="K894" s="45">
        <f t="shared" si="277"/>
        <v>0.125</v>
      </c>
      <c r="L894" s="45">
        <f t="shared" si="278"/>
        <v>0.125</v>
      </c>
      <c r="M894" s="45">
        <f t="shared" si="279"/>
        <v>0</v>
      </c>
      <c r="N894" s="45">
        <f t="shared" si="280"/>
        <v>0.125</v>
      </c>
      <c r="O894" s="45">
        <f t="shared" si="281"/>
        <v>0.125</v>
      </c>
      <c r="P894" s="45">
        <f t="shared" si="282"/>
        <v>0.125</v>
      </c>
      <c r="Q894" s="45">
        <f t="shared" si="283"/>
        <v>0.125</v>
      </c>
      <c r="R894" s="45">
        <f t="shared" si="284"/>
        <v>0.125</v>
      </c>
      <c r="S894" s="45">
        <f t="shared" si="285"/>
        <v>0.125</v>
      </c>
      <c r="T894" s="45">
        <f t="shared" si="286"/>
        <v>0</v>
      </c>
    </row>
    <row r="895" spans="1:20" x14ac:dyDescent="0.3">
      <c r="A895">
        <f t="shared" si="267"/>
        <v>1</v>
      </c>
      <c r="B895">
        <f t="shared" si="268"/>
        <v>1</v>
      </c>
      <c r="C895">
        <f t="shared" si="269"/>
        <v>0</v>
      </c>
      <c r="D895">
        <f t="shared" si="270"/>
        <v>1</v>
      </c>
      <c r="E895">
        <f t="shared" si="271"/>
        <v>1</v>
      </c>
      <c r="F895">
        <f t="shared" si="272"/>
        <v>1</v>
      </c>
      <c r="G895">
        <f t="shared" si="273"/>
        <v>1</v>
      </c>
      <c r="H895">
        <f t="shared" si="274"/>
        <v>1</v>
      </c>
      <c r="I895">
        <f t="shared" si="275"/>
        <v>1</v>
      </c>
      <c r="J895">
        <f t="shared" si="276"/>
        <v>1</v>
      </c>
      <c r="K895" s="45">
        <f t="shared" si="277"/>
        <v>0.1111111111111111</v>
      </c>
      <c r="L895" s="45">
        <f t="shared" si="278"/>
        <v>0.1111111111111111</v>
      </c>
      <c r="M895" s="45">
        <f t="shared" si="279"/>
        <v>0</v>
      </c>
      <c r="N895" s="45">
        <f t="shared" si="280"/>
        <v>0.1111111111111111</v>
      </c>
      <c r="O895" s="45">
        <f t="shared" si="281"/>
        <v>0.1111111111111111</v>
      </c>
      <c r="P895" s="45">
        <f t="shared" si="282"/>
        <v>0.1111111111111111</v>
      </c>
      <c r="Q895" s="45">
        <f t="shared" si="283"/>
        <v>0.1111111111111111</v>
      </c>
      <c r="R895" s="45">
        <f t="shared" si="284"/>
        <v>0.1111111111111111</v>
      </c>
      <c r="S895" s="45">
        <f t="shared" si="285"/>
        <v>0.1111111111111111</v>
      </c>
      <c r="T895" s="45">
        <f t="shared" si="286"/>
        <v>0.1111111111111111</v>
      </c>
    </row>
    <row r="896" spans="1:20" x14ac:dyDescent="0.3">
      <c r="A896">
        <f t="shared" si="267"/>
        <v>1</v>
      </c>
      <c r="B896">
        <f t="shared" si="268"/>
        <v>1</v>
      </c>
      <c r="C896">
        <f t="shared" si="269"/>
        <v>1</v>
      </c>
      <c r="D896">
        <f t="shared" si="270"/>
        <v>0</v>
      </c>
      <c r="E896">
        <f t="shared" si="271"/>
        <v>0</v>
      </c>
      <c r="F896">
        <f t="shared" si="272"/>
        <v>0</v>
      </c>
      <c r="G896">
        <f t="shared" si="273"/>
        <v>0</v>
      </c>
      <c r="H896">
        <f t="shared" si="274"/>
        <v>0</v>
      </c>
      <c r="I896">
        <f t="shared" si="275"/>
        <v>0</v>
      </c>
      <c r="J896">
        <f t="shared" si="276"/>
        <v>0</v>
      </c>
      <c r="K896" s="45">
        <f t="shared" si="277"/>
        <v>0.33333333333333331</v>
      </c>
      <c r="L896" s="45">
        <f t="shared" si="278"/>
        <v>0.33333333333333331</v>
      </c>
      <c r="M896" s="45">
        <f t="shared" si="279"/>
        <v>0.33333333333333331</v>
      </c>
      <c r="N896" s="45">
        <f t="shared" si="280"/>
        <v>0</v>
      </c>
      <c r="O896" s="45">
        <f t="shared" si="281"/>
        <v>0</v>
      </c>
      <c r="P896" s="45">
        <f t="shared" si="282"/>
        <v>0</v>
      </c>
      <c r="Q896" s="45">
        <f t="shared" si="283"/>
        <v>0</v>
      </c>
      <c r="R896" s="45">
        <f t="shared" si="284"/>
        <v>0</v>
      </c>
      <c r="S896" s="45">
        <f t="shared" si="285"/>
        <v>0</v>
      </c>
      <c r="T896" s="45">
        <f t="shared" si="286"/>
        <v>0</v>
      </c>
    </row>
    <row r="897" spans="1:20" x14ac:dyDescent="0.3">
      <c r="A897">
        <f t="shared" si="267"/>
        <v>1</v>
      </c>
      <c r="B897">
        <f t="shared" si="268"/>
        <v>1</v>
      </c>
      <c r="C897">
        <f t="shared" si="269"/>
        <v>1</v>
      </c>
      <c r="D897">
        <f t="shared" si="270"/>
        <v>0</v>
      </c>
      <c r="E897">
        <f t="shared" si="271"/>
        <v>0</v>
      </c>
      <c r="F897">
        <f t="shared" si="272"/>
        <v>0</v>
      </c>
      <c r="G897">
        <f t="shared" si="273"/>
        <v>0</v>
      </c>
      <c r="H897">
        <f t="shared" si="274"/>
        <v>0</v>
      </c>
      <c r="I897">
        <f t="shared" si="275"/>
        <v>0</v>
      </c>
      <c r="J897">
        <f t="shared" si="276"/>
        <v>1</v>
      </c>
      <c r="K897" s="45">
        <f t="shared" si="277"/>
        <v>0.25</v>
      </c>
      <c r="L897" s="45">
        <f t="shared" si="278"/>
        <v>0.25</v>
      </c>
      <c r="M897" s="45">
        <f t="shared" si="279"/>
        <v>0.25</v>
      </c>
      <c r="N897" s="45">
        <f t="shared" si="280"/>
        <v>0</v>
      </c>
      <c r="O897" s="45">
        <f t="shared" si="281"/>
        <v>0</v>
      </c>
      <c r="P897" s="45">
        <f t="shared" si="282"/>
        <v>0</v>
      </c>
      <c r="Q897" s="45">
        <f t="shared" si="283"/>
        <v>0</v>
      </c>
      <c r="R897" s="45">
        <f t="shared" si="284"/>
        <v>0</v>
      </c>
      <c r="S897" s="45">
        <f t="shared" si="285"/>
        <v>0</v>
      </c>
      <c r="T897" s="45">
        <f t="shared" si="286"/>
        <v>0.25</v>
      </c>
    </row>
    <row r="898" spans="1:20" x14ac:dyDescent="0.3">
      <c r="A898">
        <f t="shared" ref="A898:A961" si="287">INT( MOD(ROW()+0,1024)/512)</f>
        <v>1</v>
      </c>
      <c r="B898">
        <f t="shared" ref="B898:B961" si="288">INT( MOD(ROW()+0,512)/256)</f>
        <v>1</v>
      </c>
      <c r="C898">
        <f t="shared" ref="C898:C961" si="289">INT( MOD(ROW()+0,256)/128)</f>
        <v>1</v>
      </c>
      <c r="D898">
        <f t="shared" ref="D898:D961" si="290">INT( MOD(ROW()+0,128)/64)</f>
        <v>0</v>
      </c>
      <c r="E898">
        <f t="shared" ref="E898:E961" si="291">INT( MOD(ROW()+0,64)/32)</f>
        <v>0</v>
      </c>
      <c r="F898">
        <f t="shared" ref="F898:F961" si="292">INT( MOD(ROW()+0,32)/16)</f>
        <v>0</v>
      </c>
      <c r="G898">
        <f t="shared" ref="G898:G961" si="293">INT( MOD(ROW()+0,16)/8)</f>
        <v>0</v>
      </c>
      <c r="H898">
        <f t="shared" ref="H898:H961" si="294">INT( MOD(ROW()+0,8)/4)</f>
        <v>0</v>
      </c>
      <c r="I898">
        <f t="shared" ref="I898:I961" si="295">INT( MOD(ROW()+0,4)/2)</f>
        <v>1</v>
      </c>
      <c r="J898">
        <f t="shared" ref="J898:J961" si="296">INT( MOD(ROW()+0,2)/1)</f>
        <v>0</v>
      </c>
      <c r="K898" s="45">
        <f t="shared" ref="K898:K961" si="297">A898/SUM($A898:$J898)</f>
        <v>0.25</v>
      </c>
      <c r="L898" s="45">
        <f t="shared" ref="L898:L961" si="298">B898/SUM($A898:$J898)</f>
        <v>0.25</v>
      </c>
      <c r="M898" s="45">
        <f t="shared" ref="M898:M961" si="299">C898/SUM($A898:$J898)</f>
        <v>0.25</v>
      </c>
      <c r="N898" s="45">
        <f t="shared" ref="N898:N961" si="300">D898/SUM($A898:$J898)</f>
        <v>0</v>
      </c>
      <c r="O898" s="45">
        <f t="shared" ref="O898:O961" si="301">E898/SUM($A898:$J898)</f>
        <v>0</v>
      </c>
      <c r="P898" s="45">
        <f t="shared" ref="P898:P961" si="302">F898/SUM($A898:$J898)</f>
        <v>0</v>
      </c>
      <c r="Q898" s="45">
        <f t="shared" ref="Q898:Q961" si="303">G898/SUM($A898:$J898)</f>
        <v>0</v>
      </c>
      <c r="R898" s="45">
        <f t="shared" ref="R898:R961" si="304">H898/SUM($A898:$J898)</f>
        <v>0</v>
      </c>
      <c r="S898" s="45">
        <f t="shared" ref="S898:S961" si="305">I898/SUM($A898:$J898)</f>
        <v>0.25</v>
      </c>
      <c r="T898" s="45">
        <f t="shared" ref="T898:T961" si="306">J898/SUM($A898:$J898)</f>
        <v>0</v>
      </c>
    </row>
    <row r="899" spans="1:20" x14ac:dyDescent="0.3">
      <c r="A899">
        <f t="shared" si="287"/>
        <v>1</v>
      </c>
      <c r="B899">
        <f t="shared" si="288"/>
        <v>1</v>
      </c>
      <c r="C899">
        <f t="shared" si="289"/>
        <v>1</v>
      </c>
      <c r="D899">
        <f t="shared" si="290"/>
        <v>0</v>
      </c>
      <c r="E899">
        <f t="shared" si="291"/>
        <v>0</v>
      </c>
      <c r="F899">
        <f t="shared" si="292"/>
        <v>0</v>
      </c>
      <c r="G899">
        <f t="shared" si="293"/>
        <v>0</v>
      </c>
      <c r="H899">
        <f t="shared" si="294"/>
        <v>0</v>
      </c>
      <c r="I899">
        <f t="shared" si="295"/>
        <v>1</v>
      </c>
      <c r="J899">
        <f t="shared" si="296"/>
        <v>1</v>
      </c>
      <c r="K899" s="45">
        <f t="shared" si="297"/>
        <v>0.2</v>
      </c>
      <c r="L899" s="45">
        <f t="shared" si="298"/>
        <v>0.2</v>
      </c>
      <c r="M899" s="45">
        <f t="shared" si="299"/>
        <v>0.2</v>
      </c>
      <c r="N899" s="45">
        <f t="shared" si="300"/>
        <v>0</v>
      </c>
      <c r="O899" s="45">
        <f t="shared" si="301"/>
        <v>0</v>
      </c>
      <c r="P899" s="45">
        <f t="shared" si="302"/>
        <v>0</v>
      </c>
      <c r="Q899" s="45">
        <f t="shared" si="303"/>
        <v>0</v>
      </c>
      <c r="R899" s="45">
        <f t="shared" si="304"/>
        <v>0</v>
      </c>
      <c r="S899" s="45">
        <f t="shared" si="305"/>
        <v>0.2</v>
      </c>
      <c r="T899" s="45">
        <f t="shared" si="306"/>
        <v>0.2</v>
      </c>
    </row>
    <row r="900" spans="1:20" x14ac:dyDescent="0.3">
      <c r="A900">
        <f t="shared" si="287"/>
        <v>1</v>
      </c>
      <c r="B900">
        <f t="shared" si="288"/>
        <v>1</v>
      </c>
      <c r="C900">
        <f t="shared" si="289"/>
        <v>1</v>
      </c>
      <c r="D900">
        <f t="shared" si="290"/>
        <v>0</v>
      </c>
      <c r="E900">
        <f t="shared" si="291"/>
        <v>0</v>
      </c>
      <c r="F900">
        <f t="shared" si="292"/>
        <v>0</v>
      </c>
      <c r="G900">
        <f t="shared" si="293"/>
        <v>0</v>
      </c>
      <c r="H900">
        <f t="shared" si="294"/>
        <v>1</v>
      </c>
      <c r="I900">
        <f t="shared" si="295"/>
        <v>0</v>
      </c>
      <c r="J900">
        <f t="shared" si="296"/>
        <v>0</v>
      </c>
      <c r="K900" s="45">
        <f t="shared" si="297"/>
        <v>0.25</v>
      </c>
      <c r="L900" s="45">
        <f t="shared" si="298"/>
        <v>0.25</v>
      </c>
      <c r="M900" s="45">
        <f t="shared" si="299"/>
        <v>0.25</v>
      </c>
      <c r="N900" s="45">
        <f t="shared" si="300"/>
        <v>0</v>
      </c>
      <c r="O900" s="45">
        <f t="shared" si="301"/>
        <v>0</v>
      </c>
      <c r="P900" s="45">
        <f t="shared" si="302"/>
        <v>0</v>
      </c>
      <c r="Q900" s="45">
        <f t="shared" si="303"/>
        <v>0</v>
      </c>
      <c r="R900" s="45">
        <f t="shared" si="304"/>
        <v>0.25</v>
      </c>
      <c r="S900" s="45">
        <f t="shared" si="305"/>
        <v>0</v>
      </c>
      <c r="T900" s="45">
        <f t="shared" si="306"/>
        <v>0</v>
      </c>
    </row>
    <row r="901" spans="1:20" x14ac:dyDescent="0.3">
      <c r="A901">
        <f t="shared" si="287"/>
        <v>1</v>
      </c>
      <c r="B901">
        <f t="shared" si="288"/>
        <v>1</v>
      </c>
      <c r="C901">
        <f t="shared" si="289"/>
        <v>1</v>
      </c>
      <c r="D901">
        <f t="shared" si="290"/>
        <v>0</v>
      </c>
      <c r="E901">
        <f t="shared" si="291"/>
        <v>0</v>
      </c>
      <c r="F901">
        <f t="shared" si="292"/>
        <v>0</v>
      </c>
      <c r="G901">
        <f t="shared" si="293"/>
        <v>0</v>
      </c>
      <c r="H901">
        <f t="shared" si="294"/>
        <v>1</v>
      </c>
      <c r="I901">
        <f t="shared" si="295"/>
        <v>0</v>
      </c>
      <c r="J901">
        <f t="shared" si="296"/>
        <v>1</v>
      </c>
      <c r="K901" s="45">
        <f t="shared" si="297"/>
        <v>0.2</v>
      </c>
      <c r="L901" s="45">
        <f t="shared" si="298"/>
        <v>0.2</v>
      </c>
      <c r="M901" s="45">
        <f t="shared" si="299"/>
        <v>0.2</v>
      </c>
      <c r="N901" s="45">
        <f t="shared" si="300"/>
        <v>0</v>
      </c>
      <c r="O901" s="45">
        <f t="shared" si="301"/>
        <v>0</v>
      </c>
      <c r="P901" s="45">
        <f t="shared" si="302"/>
        <v>0</v>
      </c>
      <c r="Q901" s="45">
        <f t="shared" si="303"/>
        <v>0</v>
      </c>
      <c r="R901" s="45">
        <f t="shared" si="304"/>
        <v>0.2</v>
      </c>
      <c r="S901" s="45">
        <f t="shared" si="305"/>
        <v>0</v>
      </c>
      <c r="T901" s="45">
        <f t="shared" si="306"/>
        <v>0.2</v>
      </c>
    </row>
    <row r="902" spans="1:20" x14ac:dyDescent="0.3">
      <c r="A902">
        <f t="shared" si="287"/>
        <v>1</v>
      </c>
      <c r="B902">
        <f t="shared" si="288"/>
        <v>1</v>
      </c>
      <c r="C902">
        <f t="shared" si="289"/>
        <v>1</v>
      </c>
      <c r="D902">
        <f t="shared" si="290"/>
        <v>0</v>
      </c>
      <c r="E902">
        <f t="shared" si="291"/>
        <v>0</v>
      </c>
      <c r="F902">
        <f t="shared" si="292"/>
        <v>0</v>
      </c>
      <c r="G902">
        <f t="shared" si="293"/>
        <v>0</v>
      </c>
      <c r="H902">
        <f t="shared" si="294"/>
        <v>1</v>
      </c>
      <c r="I902">
        <f t="shared" si="295"/>
        <v>1</v>
      </c>
      <c r="J902">
        <f t="shared" si="296"/>
        <v>0</v>
      </c>
      <c r="K902" s="45">
        <f t="shared" si="297"/>
        <v>0.2</v>
      </c>
      <c r="L902" s="45">
        <f t="shared" si="298"/>
        <v>0.2</v>
      </c>
      <c r="M902" s="45">
        <f t="shared" si="299"/>
        <v>0.2</v>
      </c>
      <c r="N902" s="45">
        <f t="shared" si="300"/>
        <v>0</v>
      </c>
      <c r="O902" s="45">
        <f t="shared" si="301"/>
        <v>0</v>
      </c>
      <c r="P902" s="45">
        <f t="shared" si="302"/>
        <v>0</v>
      </c>
      <c r="Q902" s="45">
        <f t="shared" si="303"/>
        <v>0</v>
      </c>
      <c r="R902" s="45">
        <f t="shared" si="304"/>
        <v>0.2</v>
      </c>
      <c r="S902" s="45">
        <f t="shared" si="305"/>
        <v>0.2</v>
      </c>
      <c r="T902" s="45">
        <f t="shared" si="306"/>
        <v>0</v>
      </c>
    </row>
    <row r="903" spans="1:20" x14ac:dyDescent="0.3">
      <c r="A903">
        <f t="shared" si="287"/>
        <v>1</v>
      </c>
      <c r="B903">
        <f t="shared" si="288"/>
        <v>1</v>
      </c>
      <c r="C903">
        <f t="shared" si="289"/>
        <v>1</v>
      </c>
      <c r="D903">
        <f t="shared" si="290"/>
        <v>0</v>
      </c>
      <c r="E903">
        <f t="shared" si="291"/>
        <v>0</v>
      </c>
      <c r="F903">
        <f t="shared" si="292"/>
        <v>0</v>
      </c>
      <c r="G903">
        <f t="shared" si="293"/>
        <v>0</v>
      </c>
      <c r="H903">
        <f t="shared" si="294"/>
        <v>1</v>
      </c>
      <c r="I903">
        <f t="shared" si="295"/>
        <v>1</v>
      </c>
      <c r="J903">
        <f t="shared" si="296"/>
        <v>1</v>
      </c>
      <c r="K903" s="45">
        <f t="shared" si="297"/>
        <v>0.16666666666666666</v>
      </c>
      <c r="L903" s="45">
        <f t="shared" si="298"/>
        <v>0.16666666666666666</v>
      </c>
      <c r="M903" s="45">
        <f t="shared" si="299"/>
        <v>0.16666666666666666</v>
      </c>
      <c r="N903" s="45">
        <f t="shared" si="300"/>
        <v>0</v>
      </c>
      <c r="O903" s="45">
        <f t="shared" si="301"/>
        <v>0</v>
      </c>
      <c r="P903" s="45">
        <f t="shared" si="302"/>
        <v>0</v>
      </c>
      <c r="Q903" s="45">
        <f t="shared" si="303"/>
        <v>0</v>
      </c>
      <c r="R903" s="45">
        <f t="shared" si="304"/>
        <v>0.16666666666666666</v>
      </c>
      <c r="S903" s="45">
        <f t="shared" si="305"/>
        <v>0.16666666666666666</v>
      </c>
      <c r="T903" s="45">
        <f t="shared" si="306"/>
        <v>0.16666666666666666</v>
      </c>
    </row>
    <row r="904" spans="1:20" x14ac:dyDescent="0.3">
      <c r="A904">
        <f t="shared" si="287"/>
        <v>1</v>
      </c>
      <c r="B904">
        <f t="shared" si="288"/>
        <v>1</v>
      </c>
      <c r="C904">
        <f t="shared" si="289"/>
        <v>1</v>
      </c>
      <c r="D904">
        <f t="shared" si="290"/>
        <v>0</v>
      </c>
      <c r="E904">
        <f t="shared" si="291"/>
        <v>0</v>
      </c>
      <c r="F904">
        <f t="shared" si="292"/>
        <v>0</v>
      </c>
      <c r="G904">
        <f t="shared" si="293"/>
        <v>1</v>
      </c>
      <c r="H904">
        <f t="shared" si="294"/>
        <v>0</v>
      </c>
      <c r="I904">
        <f t="shared" si="295"/>
        <v>0</v>
      </c>
      <c r="J904">
        <f t="shared" si="296"/>
        <v>0</v>
      </c>
      <c r="K904" s="45">
        <f t="shared" si="297"/>
        <v>0.25</v>
      </c>
      <c r="L904" s="45">
        <f t="shared" si="298"/>
        <v>0.25</v>
      </c>
      <c r="M904" s="45">
        <f t="shared" si="299"/>
        <v>0.25</v>
      </c>
      <c r="N904" s="45">
        <f t="shared" si="300"/>
        <v>0</v>
      </c>
      <c r="O904" s="45">
        <f t="shared" si="301"/>
        <v>0</v>
      </c>
      <c r="P904" s="45">
        <f t="shared" si="302"/>
        <v>0</v>
      </c>
      <c r="Q904" s="45">
        <f t="shared" si="303"/>
        <v>0.25</v>
      </c>
      <c r="R904" s="45">
        <f t="shared" si="304"/>
        <v>0</v>
      </c>
      <c r="S904" s="45">
        <f t="shared" si="305"/>
        <v>0</v>
      </c>
      <c r="T904" s="45">
        <f t="shared" si="306"/>
        <v>0</v>
      </c>
    </row>
    <row r="905" spans="1:20" x14ac:dyDescent="0.3">
      <c r="A905">
        <f t="shared" si="287"/>
        <v>1</v>
      </c>
      <c r="B905">
        <f t="shared" si="288"/>
        <v>1</v>
      </c>
      <c r="C905">
        <f t="shared" si="289"/>
        <v>1</v>
      </c>
      <c r="D905">
        <f t="shared" si="290"/>
        <v>0</v>
      </c>
      <c r="E905">
        <f t="shared" si="291"/>
        <v>0</v>
      </c>
      <c r="F905">
        <f t="shared" si="292"/>
        <v>0</v>
      </c>
      <c r="G905">
        <f t="shared" si="293"/>
        <v>1</v>
      </c>
      <c r="H905">
        <f t="shared" si="294"/>
        <v>0</v>
      </c>
      <c r="I905">
        <f t="shared" si="295"/>
        <v>0</v>
      </c>
      <c r="J905">
        <f t="shared" si="296"/>
        <v>1</v>
      </c>
      <c r="K905" s="45">
        <f t="shared" si="297"/>
        <v>0.2</v>
      </c>
      <c r="L905" s="45">
        <f t="shared" si="298"/>
        <v>0.2</v>
      </c>
      <c r="M905" s="45">
        <f t="shared" si="299"/>
        <v>0.2</v>
      </c>
      <c r="N905" s="45">
        <f t="shared" si="300"/>
        <v>0</v>
      </c>
      <c r="O905" s="45">
        <f t="shared" si="301"/>
        <v>0</v>
      </c>
      <c r="P905" s="45">
        <f t="shared" si="302"/>
        <v>0</v>
      </c>
      <c r="Q905" s="45">
        <f t="shared" si="303"/>
        <v>0.2</v>
      </c>
      <c r="R905" s="45">
        <f t="shared" si="304"/>
        <v>0</v>
      </c>
      <c r="S905" s="45">
        <f t="shared" si="305"/>
        <v>0</v>
      </c>
      <c r="T905" s="45">
        <f t="shared" si="306"/>
        <v>0.2</v>
      </c>
    </row>
    <row r="906" spans="1:20" x14ac:dyDescent="0.3">
      <c r="A906">
        <f t="shared" si="287"/>
        <v>1</v>
      </c>
      <c r="B906">
        <f t="shared" si="288"/>
        <v>1</v>
      </c>
      <c r="C906">
        <f t="shared" si="289"/>
        <v>1</v>
      </c>
      <c r="D906">
        <f t="shared" si="290"/>
        <v>0</v>
      </c>
      <c r="E906">
        <f t="shared" si="291"/>
        <v>0</v>
      </c>
      <c r="F906">
        <f t="shared" si="292"/>
        <v>0</v>
      </c>
      <c r="G906">
        <f t="shared" si="293"/>
        <v>1</v>
      </c>
      <c r="H906">
        <f t="shared" si="294"/>
        <v>0</v>
      </c>
      <c r="I906">
        <f t="shared" si="295"/>
        <v>1</v>
      </c>
      <c r="J906">
        <f t="shared" si="296"/>
        <v>0</v>
      </c>
      <c r="K906" s="45">
        <f t="shared" si="297"/>
        <v>0.2</v>
      </c>
      <c r="L906" s="45">
        <f t="shared" si="298"/>
        <v>0.2</v>
      </c>
      <c r="M906" s="45">
        <f t="shared" si="299"/>
        <v>0.2</v>
      </c>
      <c r="N906" s="45">
        <f t="shared" si="300"/>
        <v>0</v>
      </c>
      <c r="O906" s="45">
        <f t="shared" si="301"/>
        <v>0</v>
      </c>
      <c r="P906" s="45">
        <f t="shared" si="302"/>
        <v>0</v>
      </c>
      <c r="Q906" s="45">
        <f t="shared" si="303"/>
        <v>0.2</v>
      </c>
      <c r="R906" s="45">
        <f t="shared" si="304"/>
        <v>0</v>
      </c>
      <c r="S906" s="45">
        <f t="shared" si="305"/>
        <v>0.2</v>
      </c>
      <c r="T906" s="45">
        <f t="shared" si="306"/>
        <v>0</v>
      </c>
    </row>
    <row r="907" spans="1:20" x14ac:dyDescent="0.3">
      <c r="A907">
        <f t="shared" si="287"/>
        <v>1</v>
      </c>
      <c r="B907">
        <f t="shared" si="288"/>
        <v>1</v>
      </c>
      <c r="C907">
        <f t="shared" si="289"/>
        <v>1</v>
      </c>
      <c r="D907">
        <f t="shared" si="290"/>
        <v>0</v>
      </c>
      <c r="E907">
        <f t="shared" si="291"/>
        <v>0</v>
      </c>
      <c r="F907">
        <f t="shared" si="292"/>
        <v>0</v>
      </c>
      <c r="G907">
        <f t="shared" si="293"/>
        <v>1</v>
      </c>
      <c r="H907">
        <f t="shared" si="294"/>
        <v>0</v>
      </c>
      <c r="I907">
        <f t="shared" si="295"/>
        <v>1</v>
      </c>
      <c r="J907">
        <f t="shared" si="296"/>
        <v>1</v>
      </c>
      <c r="K907" s="45">
        <f t="shared" si="297"/>
        <v>0.16666666666666666</v>
      </c>
      <c r="L907" s="45">
        <f t="shared" si="298"/>
        <v>0.16666666666666666</v>
      </c>
      <c r="M907" s="45">
        <f t="shared" si="299"/>
        <v>0.16666666666666666</v>
      </c>
      <c r="N907" s="45">
        <f t="shared" si="300"/>
        <v>0</v>
      </c>
      <c r="O907" s="45">
        <f t="shared" si="301"/>
        <v>0</v>
      </c>
      <c r="P907" s="45">
        <f t="shared" si="302"/>
        <v>0</v>
      </c>
      <c r="Q907" s="45">
        <f t="shared" si="303"/>
        <v>0.16666666666666666</v>
      </c>
      <c r="R907" s="45">
        <f t="shared" si="304"/>
        <v>0</v>
      </c>
      <c r="S907" s="45">
        <f t="shared" si="305"/>
        <v>0.16666666666666666</v>
      </c>
      <c r="T907" s="45">
        <f t="shared" si="306"/>
        <v>0.16666666666666666</v>
      </c>
    </row>
    <row r="908" spans="1:20" x14ac:dyDescent="0.3">
      <c r="A908">
        <f t="shared" si="287"/>
        <v>1</v>
      </c>
      <c r="B908">
        <f t="shared" si="288"/>
        <v>1</v>
      </c>
      <c r="C908">
        <f t="shared" si="289"/>
        <v>1</v>
      </c>
      <c r="D908">
        <f t="shared" si="290"/>
        <v>0</v>
      </c>
      <c r="E908">
        <f t="shared" si="291"/>
        <v>0</v>
      </c>
      <c r="F908">
        <f t="shared" si="292"/>
        <v>0</v>
      </c>
      <c r="G908">
        <f t="shared" si="293"/>
        <v>1</v>
      </c>
      <c r="H908">
        <f t="shared" si="294"/>
        <v>1</v>
      </c>
      <c r="I908">
        <f t="shared" si="295"/>
        <v>0</v>
      </c>
      <c r="J908">
        <f t="shared" si="296"/>
        <v>0</v>
      </c>
      <c r="K908" s="45">
        <f t="shared" si="297"/>
        <v>0.2</v>
      </c>
      <c r="L908" s="45">
        <f t="shared" si="298"/>
        <v>0.2</v>
      </c>
      <c r="M908" s="45">
        <f t="shared" si="299"/>
        <v>0.2</v>
      </c>
      <c r="N908" s="45">
        <f t="shared" si="300"/>
        <v>0</v>
      </c>
      <c r="O908" s="45">
        <f t="shared" si="301"/>
        <v>0</v>
      </c>
      <c r="P908" s="45">
        <f t="shared" si="302"/>
        <v>0</v>
      </c>
      <c r="Q908" s="45">
        <f t="shared" si="303"/>
        <v>0.2</v>
      </c>
      <c r="R908" s="45">
        <f t="shared" si="304"/>
        <v>0.2</v>
      </c>
      <c r="S908" s="45">
        <f t="shared" si="305"/>
        <v>0</v>
      </c>
      <c r="T908" s="45">
        <f t="shared" si="306"/>
        <v>0</v>
      </c>
    </row>
    <row r="909" spans="1:20" x14ac:dyDescent="0.3">
      <c r="A909">
        <f t="shared" si="287"/>
        <v>1</v>
      </c>
      <c r="B909">
        <f t="shared" si="288"/>
        <v>1</v>
      </c>
      <c r="C909">
        <f t="shared" si="289"/>
        <v>1</v>
      </c>
      <c r="D909">
        <f t="shared" si="290"/>
        <v>0</v>
      </c>
      <c r="E909">
        <f t="shared" si="291"/>
        <v>0</v>
      </c>
      <c r="F909">
        <f t="shared" si="292"/>
        <v>0</v>
      </c>
      <c r="G909">
        <f t="shared" si="293"/>
        <v>1</v>
      </c>
      <c r="H909">
        <f t="shared" si="294"/>
        <v>1</v>
      </c>
      <c r="I909">
        <f t="shared" si="295"/>
        <v>0</v>
      </c>
      <c r="J909">
        <f t="shared" si="296"/>
        <v>1</v>
      </c>
      <c r="K909" s="45">
        <f t="shared" si="297"/>
        <v>0.16666666666666666</v>
      </c>
      <c r="L909" s="45">
        <f t="shared" si="298"/>
        <v>0.16666666666666666</v>
      </c>
      <c r="M909" s="45">
        <f t="shared" si="299"/>
        <v>0.16666666666666666</v>
      </c>
      <c r="N909" s="45">
        <f t="shared" si="300"/>
        <v>0</v>
      </c>
      <c r="O909" s="45">
        <f t="shared" si="301"/>
        <v>0</v>
      </c>
      <c r="P909" s="45">
        <f t="shared" si="302"/>
        <v>0</v>
      </c>
      <c r="Q909" s="45">
        <f t="shared" si="303"/>
        <v>0.16666666666666666</v>
      </c>
      <c r="R909" s="45">
        <f t="shared" si="304"/>
        <v>0.16666666666666666</v>
      </c>
      <c r="S909" s="45">
        <f t="shared" si="305"/>
        <v>0</v>
      </c>
      <c r="T909" s="45">
        <f t="shared" si="306"/>
        <v>0.16666666666666666</v>
      </c>
    </row>
    <row r="910" spans="1:20" x14ac:dyDescent="0.3">
      <c r="A910">
        <f t="shared" si="287"/>
        <v>1</v>
      </c>
      <c r="B910">
        <f t="shared" si="288"/>
        <v>1</v>
      </c>
      <c r="C910">
        <f t="shared" si="289"/>
        <v>1</v>
      </c>
      <c r="D910">
        <f t="shared" si="290"/>
        <v>0</v>
      </c>
      <c r="E910">
        <f t="shared" si="291"/>
        <v>0</v>
      </c>
      <c r="F910">
        <f t="shared" si="292"/>
        <v>0</v>
      </c>
      <c r="G910">
        <f t="shared" si="293"/>
        <v>1</v>
      </c>
      <c r="H910">
        <f t="shared" si="294"/>
        <v>1</v>
      </c>
      <c r="I910">
        <f t="shared" si="295"/>
        <v>1</v>
      </c>
      <c r="J910">
        <f t="shared" si="296"/>
        <v>0</v>
      </c>
      <c r="K910" s="45">
        <f t="shared" si="297"/>
        <v>0.16666666666666666</v>
      </c>
      <c r="L910" s="45">
        <f t="shared" si="298"/>
        <v>0.16666666666666666</v>
      </c>
      <c r="M910" s="45">
        <f t="shared" si="299"/>
        <v>0.16666666666666666</v>
      </c>
      <c r="N910" s="45">
        <f t="shared" si="300"/>
        <v>0</v>
      </c>
      <c r="O910" s="45">
        <f t="shared" si="301"/>
        <v>0</v>
      </c>
      <c r="P910" s="45">
        <f t="shared" si="302"/>
        <v>0</v>
      </c>
      <c r="Q910" s="45">
        <f t="shared" si="303"/>
        <v>0.16666666666666666</v>
      </c>
      <c r="R910" s="45">
        <f t="shared" si="304"/>
        <v>0.16666666666666666</v>
      </c>
      <c r="S910" s="45">
        <f t="shared" si="305"/>
        <v>0.16666666666666666</v>
      </c>
      <c r="T910" s="45">
        <f t="shared" si="306"/>
        <v>0</v>
      </c>
    </row>
    <row r="911" spans="1:20" x14ac:dyDescent="0.3">
      <c r="A911">
        <f t="shared" si="287"/>
        <v>1</v>
      </c>
      <c r="B911">
        <f t="shared" si="288"/>
        <v>1</v>
      </c>
      <c r="C911">
        <f t="shared" si="289"/>
        <v>1</v>
      </c>
      <c r="D911">
        <f t="shared" si="290"/>
        <v>0</v>
      </c>
      <c r="E911">
        <f t="shared" si="291"/>
        <v>0</v>
      </c>
      <c r="F911">
        <f t="shared" si="292"/>
        <v>0</v>
      </c>
      <c r="G911">
        <f t="shared" si="293"/>
        <v>1</v>
      </c>
      <c r="H911">
        <f t="shared" si="294"/>
        <v>1</v>
      </c>
      <c r="I911">
        <f t="shared" si="295"/>
        <v>1</v>
      </c>
      <c r="J911">
        <f t="shared" si="296"/>
        <v>1</v>
      </c>
      <c r="K911" s="45">
        <f t="shared" si="297"/>
        <v>0.14285714285714285</v>
      </c>
      <c r="L911" s="45">
        <f t="shared" si="298"/>
        <v>0.14285714285714285</v>
      </c>
      <c r="M911" s="45">
        <f t="shared" si="299"/>
        <v>0.14285714285714285</v>
      </c>
      <c r="N911" s="45">
        <f t="shared" si="300"/>
        <v>0</v>
      </c>
      <c r="O911" s="45">
        <f t="shared" si="301"/>
        <v>0</v>
      </c>
      <c r="P911" s="45">
        <f t="shared" si="302"/>
        <v>0</v>
      </c>
      <c r="Q911" s="45">
        <f t="shared" si="303"/>
        <v>0.14285714285714285</v>
      </c>
      <c r="R911" s="45">
        <f t="shared" si="304"/>
        <v>0.14285714285714285</v>
      </c>
      <c r="S911" s="45">
        <f t="shared" si="305"/>
        <v>0.14285714285714285</v>
      </c>
      <c r="T911" s="45">
        <f t="shared" si="306"/>
        <v>0.14285714285714285</v>
      </c>
    </row>
    <row r="912" spans="1:20" x14ac:dyDescent="0.3">
      <c r="A912">
        <f t="shared" si="287"/>
        <v>1</v>
      </c>
      <c r="B912">
        <f t="shared" si="288"/>
        <v>1</v>
      </c>
      <c r="C912">
        <f t="shared" si="289"/>
        <v>1</v>
      </c>
      <c r="D912">
        <f t="shared" si="290"/>
        <v>0</v>
      </c>
      <c r="E912">
        <f t="shared" si="291"/>
        <v>0</v>
      </c>
      <c r="F912">
        <f t="shared" si="292"/>
        <v>1</v>
      </c>
      <c r="G912">
        <f t="shared" si="293"/>
        <v>0</v>
      </c>
      <c r="H912">
        <f t="shared" si="294"/>
        <v>0</v>
      </c>
      <c r="I912">
        <f t="shared" si="295"/>
        <v>0</v>
      </c>
      <c r="J912">
        <f t="shared" si="296"/>
        <v>0</v>
      </c>
      <c r="K912" s="45">
        <f t="shared" si="297"/>
        <v>0.25</v>
      </c>
      <c r="L912" s="45">
        <f t="shared" si="298"/>
        <v>0.25</v>
      </c>
      <c r="M912" s="45">
        <f t="shared" si="299"/>
        <v>0.25</v>
      </c>
      <c r="N912" s="45">
        <f t="shared" si="300"/>
        <v>0</v>
      </c>
      <c r="O912" s="45">
        <f t="shared" si="301"/>
        <v>0</v>
      </c>
      <c r="P912" s="45">
        <f t="shared" si="302"/>
        <v>0.25</v>
      </c>
      <c r="Q912" s="45">
        <f t="shared" si="303"/>
        <v>0</v>
      </c>
      <c r="R912" s="45">
        <f t="shared" si="304"/>
        <v>0</v>
      </c>
      <c r="S912" s="45">
        <f t="shared" si="305"/>
        <v>0</v>
      </c>
      <c r="T912" s="45">
        <f t="shared" si="306"/>
        <v>0</v>
      </c>
    </row>
    <row r="913" spans="1:20" x14ac:dyDescent="0.3">
      <c r="A913">
        <f t="shared" si="287"/>
        <v>1</v>
      </c>
      <c r="B913">
        <f t="shared" si="288"/>
        <v>1</v>
      </c>
      <c r="C913">
        <f t="shared" si="289"/>
        <v>1</v>
      </c>
      <c r="D913">
        <f t="shared" si="290"/>
        <v>0</v>
      </c>
      <c r="E913">
        <f t="shared" si="291"/>
        <v>0</v>
      </c>
      <c r="F913">
        <f t="shared" si="292"/>
        <v>1</v>
      </c>
      <c r="G913">
        <f t="shared" si="293"/>
        <v>0</v>
      </c>
      <c r="H913">
        <f t="shared" si="294"/>
        <v>0</v>
      </c>
      <c r="I913">
        <f t="shared" si="295"/>
        <v>0</v>
      </c>
      <c r="J913">
        <f t="shared" si="296"/>
        <v>1</v>
      </c>
      <c r="K913" s="45">
        <f t="shared" si="297"/>
        <v>0.2</v>
      </c>
      <c r="L913" s="45">
        <f t="shared" si="298"/>
        <v>0.2</v>
      </c>
      <c r="M913" s="45">
        <f t="shared" si="299"/>
        <v>0.2</v>
      </c>
      <c r="N913" s="45">
        <f t="shared" si="300"/>
        <v>0</v>
      </c>
      <c r="O913" s="45">
        <f t="shared" si="301"/>
        <v>0</v>
      </c>
      <c r="P913" s="45">
        <f t="shared" si="302"/>
        <v>0.2</v>
      </c>
      <c r="Q913" s="45">
        <f t="shared" si="303"/>
        <v>0</v>
      </c>
      <c r="R913" s="45">
        <f t="shared" si="304"/>
        <v>0</v>
      </c>
      <c r="S913" s="45">
        <f t="shared" si="305"/>
        <v>0</v>
      </c>
      <c r="T913" s="45">
        <f t="shared" si="306"/>
        <v>0.2</v>
      </c>
    </row>
    <row r="914" spans="1:20" x14ac:dyDescent="0.3">
      <c r="A914">
        <f t="shared" si="287"/>
        <v>1</v>
      </c>
      <c r="B914">
        <f t="shared" si="288"/>
        <v>1</v>
      </c>
      <c r="C914">
        <f t="shared" si="289"/>
        <v>1</v>
      </c>
      <c r="D914">
        <f t="shared" si="290"/>
        <v>0</v>
      </c>
      <c r="E914">
        <f t="shared" si="291"/>
        <v>0</v>
      </c>
      <c r="F914">
        <f t="shared" si="292"/>
        <v>1</v>
      </c>
      <c r="G914">
        <f t="shared" si="293"/>
        <v>0</v>
      </c>
      <c r="H914">
        <f t="shared" si="294"/>
        <v>0</v>
      </c>
      <c r="I914">
        <f t="shared" si="295"/>
        <v>1</v>
      </c>
      <c r="J914">
        <f t="shared" si="296"/>
        <v>0</v>
      </c>
      <c r="K914" s="45">
        <f t="shared" si="297"/>
        <v>0.2</v>
      </c>
      <c r="L914" s="45">
        <f t="shared" si="298"/>
        <v>0.2</v>
      </c>
      <c r="M914" s="45">
        <f t="shared" si="299"/>
        <v>0.2</v>
      </c>
      <c r="N914" s="45">
        <f t="shared" si="300"/>
        <v>0</v>
      </c>
      <c r="O914" s="45">
        <f t="shared" si="301"/>
        <v>0</v>
      </c>
      <c r="P914" s="45">
        <f t="shared" si="302"/>
        <v>0.2</v>
      </c>
      <c r="Q914" s="45">
        <f t="shared" si="303"/>
        <v>0</v>
      </c>
      <c r="R914" s="45">
        <f t="shared" si="304"/>
        <v>0</v>
      </c>
      <c r="S914" s="45">
        <f t="shared" si="305"/>
        <v>0.2</v>
      </c>
      <c r="T914" s="45">
        <f t="shared" si="306"/>
        <v>0</v>
      </c>
    </row>
    <row r="915" spans="1:20" x14ac:dyDescent="0.3">
      <c r="A915">
        <f t="shared" si="287"/>
        <v>1</v>
      </c>
      <c r="B915">
        <f t="shared" si="288"/>
        <v>1</v>
      </c>
      <c r="C915">
        <f t="shared" si="289"/>
        <v>1</v>
      </c>
      <c r="D915">
        <f t="shared" si="290"/>
        <v>0</v>
      </c>
      <c r="E915">
        <f t="shared" si="291"/>
        <v>0</v>
      </c>
      <c r="F915">
        <f t="shared" si="292"/>
        <v>1</v>
      </c>
      <c r="G915">
        <f t="shared" si="293"/>
        <v>0</v>
      </c>
      <c r="H915">
        <f t="shared" si="294"/>
        <v>0</v>
      </c>
      <c r="I915">
        <f t="shared" si="295"/>
        <v>1</v>
      </c>
      <c r="J915">
        <f t="shared" si="296"/>
        <v>1</v>
      </c>
      <c r="K915" s="45">
        <f t="shared" si="297"/>
        <v>0.16666666666666666</v>
      </c>
      <c r="L915" s="45">
        <f t="shared" si="298"/>
        <v>0.16666666666666666</v>
      </c>
      <c r="M915" s="45">
        <f t="shared" si="299"/>
        <v>0.16666666666666666</v>
      </c>
      <c r="N915" s="45">
        <f t="shared" si="300"/>
        <v>0</v>
      </c>
      <c r="O915" s="45">
        <f t="shared" si="301"/>
        <v>0</v>
      </c>
      <c r="P915" s="45">
        <f t="shared" si="302"/>
        <v>0.16666666666666666</v>
      </c>
      <c r="Q915" s="45">
        <f t="shared" si="303"/>
        <v>0</v>
      </c>
      <c r="R915" s="45">
        <f t="shared" si="304"/>
        <v>0</v>
      </c>
      <c r="S915" s="45">
        <f t="shared" si="305"/>
        <v>0.16666666666666666</v>
      </c>
      <c r="T915" s="45">
        <f t="shared" si="306"/>
        <v>0.16666666666666666</v>
      </c>
    </row>
    <row r="916" spans="1:20" x14ac:dyDescent="0.3">
      <c r="A916">
        <f t="shared" si="287"/>
        <v>1</v>
      </c>
      <c r="B916">
        <f t="shared" si="288"/>
        <v>1</v>
      </c>
      <c r="C916">
        <f t="shared" si="289"/>
        <v>1</v>
      </c>
      <c r="D916">
        <f t="shared" si="290"/>
        <v>0</v>
      </c>
      <c r="E916">
        <f t="shared" si="291"/>
        <v>0</v>
      </c>
      <c r="F916">
        <f t="shared" si="292"/>
        <v>1</v>
      </c>
      <c r="G916">
        <f t="shared" si="293"/>
        <v>0</v>
      </c>
      <c r="H916">
        <f t="shared" si="294"/>
        <v>1</v>
      </c>
      <c r="I916">
        <f t="shared" si="295"/>
        <v>0</v>
      </c>
      <c r="J916">
        <f t="shared" si="296"/>
        <v>0</v>
      </c>
      <c r="K916" s="45">
        <f t="shared" si="297"/>
        <v>0.2</v>
      </c>
      <c r="L916" s="45">
        <f t="shared" si="298"/>
        <v>0.2</v>
      </c>
      <c r="M916" s="45">
        <f t="shared" si="299"/>
        <v>0.2</v>
      </c>
      <c r="N916" s="45">
        <f t="shared" si="300"/>
        <v>0</v>
      </c>
      <c r="O916" s="45">
        <f t="shared" si="301"/>
        <v>0</v>
      </c>
      <c r="P916" s="45">
        <f t="shared" si="302"/>
        <v>0.2</v>
      </c>
      <c r="Q916" s="45">
        <f t="shared" si="303"/>
        <v>0</v>
      </c>
      <c r="R916" s="45">
        <f t="shared" si="304"/>
        <v>0.2</v>
      </c>
      <c r="S916" s="45">
        <f t="shared" si="305"/>
        <v>0</v>
      </c>
      <c r="T916" s="45">
        <f t="shared" si="306"/>
        <v>0</v>
      </c>
    </row>
    <row r="917" spans="1:20" x14ac:dyDescent="0.3">
      <c r="A917">
        <f t="shared" si="287"/>
        <v>1</v>
      </c>
      <c r="B917">
        <f t="shared" si="288"/>
        <v>1</v>
      </c>
      <c r="C917">
        <f t="shared" si="289"/>
        <v>1</v>
      </c>
      <c r="D917">
        <f t="shared" si="290"/>
        <v>0</v>
      </c>
      <c r="E917">
        <f t="shared" si="291"/>
        <v>0</v>
      </c>
      <c r="F917">
        <f t="shared" si="292"/>
        <v>1</v>
      </c>
      <c r="G917">
        <f t="shared" si="293"/>
        <v>0</v>
      </c>
      <c r="H917">
        <f t="shared" si="294"/>
        <v>1</v>
      </c>
      <c r="I917">
        <f t="shared" si="295"/>
        <v>0</v>
      </c>
      <c r="J917">
        <f t="shared" si="296"/>
        <v>1</v>
      </c>
      <c r="K917" s="45">
        <f t="shared" si="297"/>
        <v>0.16666666666666666</v>
      </c>
      <c r="L917" s="45">
        <f t="shared" si="298"/>
        <v>0.16666666666666666</v>
      </c>
      <c r="M917" s="45">
        <f t="shared" si="299"/>
        <v>0.16666666666666666</v>
      </c>
      <c r="N917" s="45">
        <f t="shared" si="300"/>
        <v>0</v>
      </c>
      <c r="O917" s="45">
        <f t="shared" si="301"/>
        <v>0</v>
      </c>
      <c r="P917" s="45">
        <f t="shared" si="302"/>
        <v>0.16666666666666666</v>
      </c>
      <c r="Q917" s="45">
        <f t="shared" si="303"/>
        <v>0</v>
      </c>
      <c r="R917" s="45">
        <f t="shared" si="304"/>
        <v>0.16666666666666666</v>
      </c>
      <c r="S917" s="45">
        <f t="shared" si="305"/>
        <v>0</v>
      </c>
      <c r="T917" s="45">
        <f t="shared" si="306"/>
        <v>0.16666666666666666</v>
      </c>
    </row>
    <row r="918" spans="1:20" x14ac:dyDescent="0.3">
      <c r="A918">
        <f t="shared" si="287"/>
        <v>1</v>
      </c>
      <c r="B918">
        <f t="shared" si="288"/>
        <v>1</v>
      </c>
      <c r="C918">
        <f t="shared" si="289"/>
        <v>1</v>
      </c>
      <c r="D918">
        <f t="shared" si="290"/>
        <v>0</v>
      </c>
      <c r="E918">
        <f t="shared" si="291"/>
        <v>0</v>
      </c>
      <c r="F918">
        <f t="shared" si="292"/>
        <v>1</v>
      </c>
      <c r="G918">
        <f t="shared" si="293"/>
        <v>0</v>
      </c>
      <c r="H918">
        <f t="shared" si="294"/>
        <v>1</v>
      </c>
      <c r="I918">
        <f t="shared" si="295"/>
        <v>1</v>
      </c>
      <c r="J918">
        <f t="shared" si="296"/>
        <v>0</v>
      </c>
      <c r="K918" s="45">
        <f t="shared" si="297"/>
        <v>0.16666666666666666</v>
      </c>
      <c r="L918" s="45">
        <f t="shared" si="298"/>
        <v>0.16666666666666666</v>
      </c>
      <c r="M918" s="45">
        <f t="shared" si="299"/>
        <v>0.16666666666666666</v>
      </c>
      <c r="N918" s="45">
        <f t="shared" si="300"/>
        <v>0</v>
      </c>
      <c r="O918" s="45">
        <f t="shared" si="301"/>
        <v>0</v>
      </c>
      <c r="P918" s="45">
        <f t="shared" si="302"/>
        <v>0.16666666666666666</v>
      </c>
      <c r="Q918" s="45">
        <f t="shared" si="303"/>
        <v>0</v>
      </c>
      <c r="R918" s="45">
        <f t="shared" si="304"/>
        <v>0.16666666666666666</v>
      </c>
      <c r="S918" s="45">
        <f t="shared" si="305"/>
        <v>0.16666666666666666</v>
      </c>
      <c r="T918" s="45">
        <f t="shared" si="306"/>
        <v>0</v>
      </c>
    </row>
    <row r="919" spans="1:20" x14ac:dyDescent="0.3">
      <c r="A919">
        <f t="shared" si="287"/>
        <v>1</v>
      </c>
      <c r="B919">
        <f t="shared" si="288"/>
        <v>1</v>
      </c>
      <c r="C919">
        <f t="shared" si="289"/>
        <v>1</v>
      </c>
      <c r="D919">
        <f t="shared" si="290"/>
        <v>0</v>
      </c>
      <c r="E919">
        <f t="shared" si="291"/>
        <v>0</v>
      </c>
      <c r="F919">
        <f t="shared" si="292"/>
        <v>1</v>
      </c>
      <c r="G919">
        <f t="shared" si="293"/>
        <v>0</v>
      </c>
      <c r="H919">
        <f t="shared" si="294"/>
        <v>1</v>
      </c>
      <c r="I919">
        <f t="shared" si="295"/>
        <v>1</v>
      </c>
      <c r="J919">
        <f t="shared" si="296"/>
        <v>1</v>
      </c>
      <c r="K919" s="45">
        <f t="shared" si="297"/>
        <v>0.14285714285714285</v>
      </c>
      <c r="L919" s="45">
        <f t="shared" si="298"/>
        <v>0.14285714285714285</v>
      </c>
      <c r="M919" s="45">
        <f t="shared" si="299"/>
        <v>0.14285714285714285</v>
      </c>
      <c r="N919" s="45">
        <f t="shared" si="300"/>
        <v>0</v>
      </c>
      <c r="O919" s="45">
        <f t="shared" si="301"/>
        <v>0</v>
      </c>
      <c r="P919" s="45">
        <f t="shared" si="302"/>
        <v>0.14285714285714285</v>
      </c>
      <c r="Q919" s="45">
        <f t="shared" si="303"/>
        <v>0</v>
      </c>
      <c r="R919" s="45">
        <f t="shared" si="304"/>
        <v>0.14285714285714285</v>
      </c>
      <c r="S919" s="45">
        <f t="shared" si="305"/>
        <v>0.14285714285714285</v>
      </c>
      <c r="T919" s="45">
        <f t="shared" si="306"/>
        <v>0.14285714285714285</v>
      </c>
    </row>
    <row r="920" spans="1:20" x14ac:dyDescent="0.3">
      <c r="A920">
        <f t="shared" si="287"/>
        <v>1</v>
      </c>
      <c r="B920">
        <f t="shared" si="288"/>
        <v>1</v>
      </c>
      <c r="C920">
        <f t="shared" si="289"/>
        <v>1</v>
      </c>
      <c r="D920">
        <f t="shared" si="290"/>
        <v>0</v>
      </c>
      <c r="E920">
        <f t="shared" si="291"/>
        <v>0</v>
      </c>
      <c r="F920">
        <f t="shared" si="292"/>
        <v>1</v>
      </c>
      <c r="G920">
        <f t="shared" si="293"/>
        <v>1</v>
      </c>
      <c r="H920">
        <f t="shared" si="294"/>
        <v>0</v>
      </c>
      <c r="I920">
        <f t="shared" si="295"/>
        <v>0</v>
      </c>
      <c r="J920">
        <f t="shared" si="296"/>
        <v>0</v>
      </c>
      <c r="K920" s="45">
        <f t="shared" si="297"/>
        <v>0.2</v>
      </c>
      <c r="L920" s="45">
        <f t="shared" si="298"/>
        <v>0.2</v>
      </c>
      <c r="M920" s="45">
        <f t="shared" si="299"/>
        <v>0.2</v>
      </c>
      <c r="N920" s="45">
        <f t="shared" si="300"/>
        <v>0</v>
      </c>
      <c r="O920" s="45">
        <f t="shared" si="301"/>
        <v>0</v>
      </c>
      <c r="P920" s="45">
        <f t="shared" si="302"/>
        <v>0.2</v>
      </c>
      <c r="Q920" s="45">
        <f t="shared" si="303"/>
        <v>0.2</v>
      </c>
      <c r="R920" s="45">
        <f t="shared" si="304"/>
        <v>0</v>
      </c>
      <c r="S920" s="45">
        <f t="shared" si="305"/>
        <v>0</v>
      </c>
      <c r="T920" s="45">
        <f t="shared" si="306"/>
        <v>0</v>
      </c>
    </row>
    <row r="921" spans="1:20" x14ac:dyDescent="0.3">
      <c r="A921">
        <f t="shared" si="287"/>
        <v>1</v>
      </c>
      <c r="B921">
        <f t="shared" si="288"/>
        <v>1</v>
      </c>
      <c r="C921">
        <f t="shared" si="289"/>
        <v>1</v>
      </c>
      <c r="D921">
        <f t="shared" si="290"/>
        <v>0</v>
      </c>
      <c r="E921">
        <f t="shared" si="291"/>
        <v>0</v>
      </c>
      <c r="F921">
        <f t="shared" si="292"/>
        <v>1</v>
      </c>
      <c r="G921">
        <f t="shared" si="293"/>
        <v>1</v>
      </c>
      <c r="H921">
        <f t="shared" si="294"/>
        <v>0</v>
      </c>
      <c r="I921">
        <f t="shared" si="295"/>
        <v>0</v>
      </c>
      <c r="J921">
        <f t="shared" si="296"/>
        <v>1</v>
      </c>
      <c r="K921" s="45">
        <f t="shared" si="297"/>
        <v>0.16666666666666666</v>
      </c>
      <c r="L921" s="45">
        <f t="shared" si="298"/>
        <v>0.16666666666666666</v>
      </c>
      <c r="M921" s="45">
        <f t="shared" si="299"/>
        <v>0.16666666666666666</v>
      </c>
      <c r="N921" s="45">
        <f t="shared" si="300"/>
        <v>0</v>
      </c>
      <c r="O921" s="45">
        <f t="shared" si="301"/>
        <v>0</v>
      </c>
      <c r="P921" s="45">
        <f t="shared" si="302"/>
        <v>0.16666666666666666</v>
      </c>
      <c r="Q921" s="45">
        <f t="shared" si="303"/>
        <v>0.16666666666666666</v>
      </c>
      <c r="R921" s="45">
        <f t="shared" si="304"/>
        <v>0</v>
      </c>
      <c r="S921" s="45">
        <f t="shared" si="305"/>
        <v>0</v>
      </c>
      <c r="T921" s="45">
        <f t="shared" si="306"/>
        <v>0.16666666666666666</v>
      </c>
    </row>
    <row r="922" spans="1:20" x14ac:dyDescent="0.3">
      <c r="A922">
        <f t="shared" si="287"/>
        <v>1</v>
      </c>
      <c r="B922">
        <f t="shared" si="288"/>
        <v>1</v>
      </c>
      <c r="C922">
        <f t="shared" si="289"/>
        <v>1</v>
      </c>
      <c r="D922">
        <f t="shared" si="290"/>
        <v>0</v>
      </c>
      <c r="E922">
        <f t="shared" si="291"/>
        <v>0</v>
      </c>
      <c r="F922">
        <f t="shared" si="292"/>
        <v>1</v>
      </c>
      <c r="G922">
        <f t="shared" si="293"/>
        <v>1</v>
      </c>
      <c r="H922">
        <f t="shared" si="294"/>
        <v>0</v>
      </c>
      <c r="I922">
        <f t="shared" si="295"/>
        <v>1</v>
      </c>
      <c r="J922">
        <f t="shared" si="296"/>
        <v>0</v>
      </c>
      <c r="K922" s="45">
        <f t="shared" si="297"/>
        <v>0.16666666666666666</v>
      </c>
      <c r="L922" s="45">
        <f t="shared" si="298"/>
        <v>0.16666666666666666</v>
      </c>
      <c r="M922" s="45">
        <f t="shared" si="299"/>
        <v>0.16666666666666666</v>
      </c>
      <c r="N922" s="45">
        <f t="shared" si="300"/>
        <v>0</v>
      </c>
      <c r="O922" s="45">
        <f t="shared" si="301"/>
        <v>0</v>
      </c>
      <c r="P922" s="45">
        <f t="shared" si="302"/>
        <v>0.16666666666666666</v>
      </c>
      <c r="Q922" s="45">
        <f t="shared" si="303"/>
        <v>0.16666666666666666</v>
      </c>
      <c r="R922" s="45">
        <f t="shared" si="304"/>
        <v>0</v>
      </c>
      <c r="S922" s="45">
        <f t="shared" si="305"/>
        <v>0.16666666666666666</v>
      </c>
      <c r="T922" s="45">
        <f t="shared" si="306"/>
        <v>0</v>
      </c>
    </row>
    <row r="923" spans="1:20" x14ac:dyDescent="0.3">
      <c r="A923">
        <f t="shared" si="287"/>
        <v>1</v>
      </c>
      <c r="B923">
        <f t="shared" si="288"/>
        <v>1</v>
      </c>
      <c r="C923">
        <f t="shared" si="289"/>
        <v>1</v>
      </c>
      <c r="D923">
        <f t="shared" si="290"/>
        <v>0</v>
      </c>
      <c r="E923">
        <f t="shared" si="291"/>
        <v>0</v>
      </c>
      <c r="F923">
        <f t="shared" si="292"/>
        <v>1</v>
      </c>
      <c r="G923">
        <f t="shared" si="293"/>
        <v>1</v>
      </c>
      <c r="H923">
        <f t="shared" si="294"/>
        <v>0</v>
      </c>
      <c r="I923">
        <f t="shared" si="295"/>
        <v>1</v>
      </c>
      <c r="J923">
        <f t="shared" si="296"/>
        <v>1</v>
      </c>
      <c r="K923" s="45">
        <f t="shared" si="297"/>
        <v>0.14285714285714285</v>
      </c>
      <c r="L923" s="45">
        <f t="shared" si="298"/>
        <v>0.14285714285714285</v>
      </c>
      <c r="M923" s="45">
        <f t="shared" si="299"/>
        <v>0.14285714285714285</v>
      </c>
      <c r="N923" s="45">
        <f t="shared" si="300"/>
        <v>0</v>
      </c>
      <c r="O923" s="45">
        <f t="shared" si="301"/>
        <v>0</v>
      </c>
      <c r="P923" s="45">
        <f t="shared" si="302"/>
        <v>0.14285714285714285</v>
      </c>
      <c r="Q923" s="45">
        <f t="shared" si="303"/>
        <v>0.14285714285714285</v>
      </c>
      <c r="R923" s="45">
        <f t="shared" si="304"/>
        <v>0</v>
      </c>
      <c r="S923" s="45">
        <f t="shared" si="305"/>
        <v>0.14285714285714285</v>
      </c>
      <c r="T923" s="45">
        <f t="shared" si="306"/>
        <v>0.14285714285714285</v>
      </c>
    </row>
    <row r="924" spans="1:20" x14ac:dyDescent="0.3">
      <c r="A924">
        <f t="shared" si="287"/>
        <v>1</v>
      </c>
      <c r="B924">
        <f t="shared" si="288"/>
        <v>1</v>
      </c>
      <c r="C924">
        <f t="shared" si="289"/>
        <v>1</v>
      </c>
      <c r="D924">
        <f t="shared" si="290"/>
        <v>0</v>
      </c>
      <c r="E924">
        <f t="shared" si="291"/>
        <v>0</v>
      </c>
      <c r="F924">
        <f t="shared" si="292"/>
        <v>1</v>
      </c>
      <c r="G924">
        <f t="shared" si="293"/>
        <v>1</v>
      </c>
      <c r="H924">
        <f t="shared" si="294"/>
        <v>1</v>
      </c>
      <c r="I924">
        <f t="shared" si="295"/>
        <v>0</v>
      </c>
      <c r="J924">
        <f t="shared" si="296"/>
        <v>0</v>
      </c>
      <c r="K924" s="45">
        <f t="shared" si="297"/>
        <v>0.16666666666666666</v>
      </c>
      <c r="L924" s="45">
        <f t="shared" si="298"/>
        <v>0.16666666666666666</v>
      </c>
      <c r="M924" s="45">
        <f t="shared" si="299"/>
        <v>0.16666666666666666</v>
      </c>
      <c r="N924" s="45">
        <f t="shared" si="300"/>
        <v>0</v>
      </c>
      <c r="O924" s="45">
        <f t="shared" si="301"/>
        <v>0</v>
      </c>
      <c r="P924" s="45">
        <f t="shared" si="302"/>
        <v>0.16666666666666666</v>
      </c>
      <c r="Q924" s="45">
        <f t="shared" si="303"/>
        <v>0.16666666666666666</v>
      </c>
      <c r="R924" s="45">
        <f t="shared" si="304"/>
        <v>0.16666666666666666</v>
      </c>
      <c r="S924" s="45">
        <f t="shared" si="305"/>
        <v>0</v>
      </c>
      <c r="T924" s="45">
        <f t="shared" si="306"/>
        <v>0</v>
      </c>
    </row>
    <row r="925" spans="1:20" x14ac:dyDescent="0.3">
      <c r="A925">
        <f t="shared" si="287"/>
        <v>1</v>
      </c>
      <c r="B925">
        <f t="shared" si="288"/>
        <v>1</v>
      </c>
      <c r="C925">
        <f t="shared" si="289"/>
        <v>1</v>
      </c>
      <c r="D925">
        <f t="shared" si="290"/>
        <v>0</v>
      </c>
      <c r="E925">
        <f t="shared" si="291"/>
        <v>0</v>
      </c>
      <c r="F925">
        <f t="shared" si="292"/>
        <v>1</v>
      </c>
      <c r="G925">
        <f t="shared" si="293"/>
        <v>1</v>
      </c>
      <c r="H925">
        <f t="shared" si="294"/>
        <v>1</v>
      </c>
      <c r="I925">
        <f t="shared" si="295"/>
        <v>0</v>
      </c>
      <c r="J925">
        <f t="shared" si="296"/>
        <v>1</v>
      </c>
      <c r="K925" s="45">
        <f t="shared" si="297"/>
        <v>0.14285714285714285</v>
      </c>
      <c r="L925" s="45">
        <f t="shared" si="298"/>
        <v>0.14285714285714285</v>
      </c>
      <c r="M925" s="45">
        <f t="shared" si="299"/>
        <v>0.14285714285714285</v>
      </c>
      <c r="N925" s="45">
        <f t="shared" si="300"/>
        <v>0</v>
      </c>
      <c r="O925" s="45">
        <f t="shared" si="301"/>
        <v>0</v>
      </c>
      <c r="P925" s="45">
        <f t="shared" si="302"/>
        <v>0.14285714285714285</v>
      </c>
      <c r="Q925" s="45">
        <f t="shared" si="303"/>
        <v>0.14285714285714285</v>
      </c>
      <c r="R925" s="45">
        <f t="shared" si="304"/>
        <v>0.14285714285714285</v>
      </c>
      <c r="S925" s="45">
        <f t="shared" si="305"/>
        <v>0</v>
      </c>
      <c r="T925" s="45">
        <f t="shared" si="306"/>
        <v>0.14285714285714285</v>
      </c>
    </row>
    <row r="926" spans="1:20" x14ac:dyDescent="0.3">
      <c r="A926">
        <f t="shared" si="287"/>
        <v>1</v>
      </c>
      <c r="B926">
        <f t="shared" si="288"/>
        <v>1</v>
      </c>
      <c r="C926">
        <f t="shared" si="289"/>
        <v>1</v>
      </c>
      <c r="D926">
        <f t="shared" si="290"/>
        <v>0</v>
      </c>
      <c r="E926">
        <f t="shared" si="291"/>
        <v>0</v>
      </c>
      <c r="F926">
        <f t="shared" si="292"/>
        <v>1</v>
      </c>
      <c r="G926">
        <f t="shared" si="293"/>
        <v>1</v>
      </c>
      <c r="H926">
        <f t="shared" si="294"/>
        <v>1</v>
      </c>
      <c r="I926">
        <f t="shared" si="295"/>
        <v>1</v>
      </c>
      <c r="J926">
        <f t="shared" si="296"/>
        <v>0</v>
      </c>
      <c r="K926" s="45">
        <f t="shared" si="297"/>
        <v>0.14285714285714285</v>
      </c>
      <c r="L926" s="45">
        <f t="shared" si="298"/>
        <v>0.14285714285714285</v>
      </c>
      <c r="M926" s="45">
        <f t="shared" si="299"/>
        <v>0.14285714285714285</v>
      </c>
      <c r="N926" s="45">
        <f t="shared" si="300"/>
        <v>0</v>
      </c>
      <c r="O926" s="45">
        <f t="shared" si="301"/>
        <v>0</v>
      </c>
      <c r="P926" s="45">
        <f t="shared" si="302"/>
        <v>0.14285714285714285</v>
      </c>
      <c r="Q926" s="45">
        <f t="shared" si="303"/>
        <v>0.14285714285714285</v>
      </c>
      <c r="R926" s="45">
        <f t="shared" si="304"/>
        <v>0.14285714285714285</v>
      </c>
      <c r="S926" s="45">
        <f t="shared" si="305"/>
        <v>0.14285714285714285</v>
      </c>
      <c r="T926" s="45">
        <f t="shared" si="306"/>
        <v>0</v>
      </c>
    </row>
    <row r="927" spans="1:20" x14ac:dyDescent="0.3">
      <c r="A927">
        <f t="shared" si="287"/>
        <v>1</v>
      </c>
      <c r="B927">
        <f t="shared" si="288"/>
        <v>1</v>
      </c>
      <c r="C927">
        <f t="shared" si="289"/>
        <v>1</v>
      </c>
      <c r="D927">
        <f t="shared" si="290"/>
        <v>0</v>
      </c>
      <c r="E927">
        <f t="shared" si="291"/>
        <v>0</v>
      </c>
      <c r="F927">
        <f t="shared" si="292"/>
        <v>1</v>
      </c>
      <c r="G927">
        <f t="shared" si="293"/>
        <v>1</v>
      </c>
      <c r="H927">
        <f t="shared" si="294"/>
        <v>1</v>
      </c>
      <c r="I927">
        <f t="shared" si="295"/>
        <v>1</v>
      </c>
      <c r="J927">
        <f t="shared" si="296"/>
        <v>1</v>
      </c>
      <c r="K927" s="45">
        <f t="shared" si="297"/>
        <v>0.125</v>
      </c>
      <c r="L927" s="45">
        <f t="shared" si="298"/>
        <v>0.125</v>
      </c>
      <c r="M927" s="45">
        <f t="shared" si="299"/>
        <v>0.125</v>
      </c>
      <c r="N927" s="45">
        <f t="shared" si="300"/>
        <v>0</v>
      </c>
      <c r="O927" s="45">
        <f t="shared" si="301"/>
        <v>0</v>
      </c>
      <c r="P927" s="45">
        <f t="shared" si="302"/>
        <v>0.125</v>
      </c>
      <c r="Q927" s="45">
        <f t="shared" si="303"/>
        <v>0.125</v>
      </c>
      <c r="R927" s="45">
        <f t="shared" si="304"/>
        <v>0.125</v>
      </c>
      <c r="S927" s="45">
        <f t="shared" si="305"/>
        <v>0.125</v>
      </c>
      <c r="T927" s="45">
        <f t="shared" si="306"/>
        <v>0.125</v>
      </c>
    </row>
    <row r="928" spans="1:20" x14ac:dyDescent="0.3">
      <c r="A928">
        <f t="shared" si="287"/>
        <v>1</v>
      </c>
      <c r="B928">
        <f t="shared" si="288"/>
        <v>1</v>
      </c>
      <c r="C928">
        <f t="shared" si="289"/>
        <v>1</v>
      </c>
      <c r="D928">
        <f t="shared" si="290"/>
        <v>0</v>
      </c>
      <c r="E928">
        <f t="shared" si="291"/>
        <v>1</v>
      </c>
      <c r="F928">
        <f t="shared" si="292"/>
        <v>0</v>
      </c>
      <c r="G928">
        <f t="shared" si="293"/>
        <v>0</v>
      </c>
      <c r="H928">
        <f t="shared" si="294"/>
        <v>0</v>
      </c>
      <c r="I928">
        <f t="shared" si="295"/>
        <v>0</v>
      </c>
      <c r="J928">
        <f t="shared" si="296"/>
        <v>0</v>
      </c>
      <c r="K928" s="45">
        <f t="shared" si="297"/>
        <v>0.25</v>
      </c>
      <c r="L928" s="45">
        <f t="shared" si="298"/>
        <v>0.25</v>
      </c>
      <c r="M928" s="45">
        <f t="shared" si="299"/>
        <v>0.25</v>
      </c>
      <c r="N928" s="45">
        <f t="shared" si="300"/>
        <v>0</v>
      </c>
      <c r="O928" s="45">
        <f t="shared" si="301"/>
        <v>0.25</v>
      </c>
      <c r="P928" s="45">
        <f t="shared" si="302"/>
        <v>0</v>
      </c>
      <c r="Q928" s="45">
        <f t="shared" si="303"/>
        <v>0</v>
      </c>
      <c r="R928" s="45">
        <f t="shared" si="304"/>
        <v>0</v>
      </c>
      <c r="S928" s="45">
        <f t="shared" si="305"/>
        <v>0</v>
      </c>
      <c r="T928" s="45">
        <f t="shared" si="306"/>
        <v>0</v>
      </c>
    </row>
    <row r="929" spans="1:20" x14ac:dyDescent="0.3">
      <c r="A929">
        <f t="shared" si="287"/>
        <v>1</v>
      </c>
      <c r="B929">
        <f t="shared" si="288"/>
        <v>1</v>
      </c>
      <c r="C929">
        <f t="shared" si="289"/>
        <v>1</v>
      </c>
      <c r="D929">
        <f t="shared" si="290"/>
        <v>0</v>
      </c>
      <c r="E929">
        <f t="shared" si="291"/>
        <v>1</v>
      </c>
      <c r="F929">
        <f t="shared" si="292"/>
        <v>0</v>
      </c>
      <c r="G929">
        <f t="shared" si="293"/>
        <v>0</v>
      </c>
      <c r="H929">
        <f t="shared" si="294"/>
        <v>0</v>
      </c>
      <c r="I929">
        <f t="shared" si="295"/>
        <v>0</v>
      </c>
      <c r="J929">
        <f t="shared" si="296"/>
        <v>1</v>
      </c>
      <c r="K929" s="45">
        <f t="shared" si="297"/>
        <v>0.2</v>
      </c>
      <c r="L929" s="45">
        <f t="shared" si="298"/>
        <v>0.2</v>
      </c>
      <c r="M929" s="45">
        <f t="shared" si="299"/>
        <v>0.2</v>
      </c>
      <c r="N929" s="45">
        <f t="shared" si="300"/>
        <v>0</v>
      </c>
      <c r="O929" s="45">
        <f t="shared" si="301"/>
        <v>0.2</v>
      </c>
      <c r="P929" s="45">
        <f t="shared" si="302"/>
        <v>0</v>
      </c>
      <c r="Q929" s="45">
        <f t="shared" si="303"/>
        <v>0</v>
      </c>
      <c r="R929" s="45">
        <f t="shared" si="304"/>
        <v>0</v>
      </c>
      <c r="S929" s="45">
        <f t="shared" si="305"/>
        <v>0</v>
      </c>
      <c r="T929" s="45">
        <f t="shared" si="306"/>
        <v>0.2</v>
      </c>
    </row>
    <row r="930" spans="1:20" x14ac:dyDescent="0.3">
      <c r="A930">
        <f t="shared" si="287"/>
        <v>1</v>
      </c>
      <c r="B930">
        <f t="shared" si="288"/>
        <v>1</v>
      </c>
      <c r="C930">
        <f t="shared" si="289"/>
        <v>1</v>
      </c>
      <c r="D930">
        <f t="shared" si="290"/>
        <v>0</v>
      </c>
      <c r="E930">
        <f t="shared" si="291"/>
        <v>1</v>
      </c>
      <c r="F930">
        <f t="shared" si="292"/>
        <v>0</v>
      </c>
      <c r="G930">
        <f t="shared" si="293"/>
        <v>0</v>
      </c>
      <c r="H930">
        <f t="shared" si="294"/>
        <v>0</v>
      </c>
      <c r="I930">
        <f t="shared" si="295"/>
        <v>1</v>
      </c>
      <c r="J930">
        <f t="shared" si="296"/>
        <v>0</v>
      </c>
      <c r="K930" s="45">
        <f t="shared" si="297"/>
        <v>0.2</v>
      </c>
      <c r="L930" s="45">
        <f t="shared" si="298"/>
        <v>0.2</v>
      </c>
      <c r="M930" s="45">
        <f t="shared" si="299"/>
        <v>0.2</v>
      </c>
      <c r="N930" s="45">
        <f t="shared" si="300"/>
        <v>0</v>
      </c>
      <c r="O930" s="45">
        <f t="shared" si="301"/>
        <v>0.2</v>
      </c>
      <c r="P930" s="45">
        <f t="shared" si="302"/>
        <v>0</v>
      </c>
      <c r="Q930" s="45">
        <f t="shared" si="303"/>
        <v>0</v>
      </c>
      <c r="R930" s="45">
        <f t="shared" si="304"/>
        <v>0</v>
      </c>
      <c r="S930" s="45">
        <f t="shared" si="305"/>
        <v>0.2</v>
      </c>
      <c r="T930" s="45">
        <f t="shared" si="306"/>
        <v>0</v>
      </c>
    </row>
    <row r="931" spans="1:20" x14ac:dyDescent="0.3">
      <c r="A931">
        <f t="shared" si="287"/>
        <v>1</v>
      </c>
      <c r="B931">
        <f t="shared" si="288"/>
        <v>1</v>
      </c>
      <c r="C931">
        <f t="shared" si="289"/>
        <v>1</v>
      </c>
      <c r="D931">
        <f t="shared" si="290"/>
        <v>0</v>
      </c>
      <c r="E931">
        <f t="shared" si="291"/>
        <v>1</v>
      </c>
      <c r="F931">
        <f t="shared" si="292"/>
        <v>0</v>
      </c>
      <c r="G931">
        <f t="shared" si="293"/>
        <v>0</v>
      </c>
      <c r="H931">
        <f t="shared" si="294"/>
        <v>0</v>
      </c>
      <c r="I931">
        <f t="shared" si="295"/>
        <v>1</v>
      </c>
      <c r="J931">
        <f t="shared" si="296"/>
        <v>1</v>
      </c>
      <c r="K931" s="45">
        <f t="shared" si="297"/>
        <v>0.16666666666666666</v>
      </c>
      <c r="L931" s="45">
        <f t="shared" si="298"/>
        <v>0.16666666666666666</v>
      </c>
      <c r="M931" s="45">
        <f t="shared" si="299"/>
        <v>0.16666666666666666</v>
      </c>
      <c r="N931" s="45">
        <f t="shared" si="300"/>
        <v>0</v>
      </c>
      <c r="O931" s="45">
        <f t="shared" si="301"/>
        <v>0.16666666666666666</v>
      </c>
      <c r="P931" s="45">
        <f t="shared" si="302"/>
        <v>0</v>
      </c>
      <c r="Q931" s="45">
        <f t="shared" si="303"/>
        <v>0</v>
      </c>
      <c r="R931" s="45">
        <f t="shared" si="304"/>
        <v>0</v>
      </c>
      <c r="S931" s="45">
        <f t="shared" si="305"/>
        <v>0.16666666666666666</v>
      </c>
      <c r="T931" s="45">
        <f t="shared" si="306"/>
        <v>0.16666666666666666</v>
      </c>
    </row>
    <row r="932" spans="1:20" x14ac:dyDescent="0.3">
      <c r="A932">
        <f t="shared" si="287"/>
        <v>1</v>
      </c>
      <c r="B932">
        <f t="shared" si="288"/>
        <v>1</v>
      </c>
      <c r="C932">
        <f t="shared" si="289"/>
        <v>1</v>
      </c>
      <c r="D932">
        <f t="shared" si="290"/>
        <v>0</v>
      </c>
      <c r="E932">
        <f t="shared" si="291"/>
        <v>1</v>
      </c>
      <c r="F932">
        <f t="shared" si="292"/>
        <v>0</v>
      </c>
      <c r="G932">
        <f t="shared" si="293"/>
        <v>0</v>
      </c>
      <c r="H932">
        <f t="shared" si="294"/>
        <v>1</v>
      </c>
      <c r="I932">
        <f t="shared" si="295"/>
        <v>0</v>
      </c>
      <c r="J932">
        <f t="shared" si="296"/>
        <v>0</v>
      </c>
      <c r="K932" s="45">
        <f t="shared" si="297"/>
        <v>0.2</v>
      </c>
      <c r="L932" s="45">
        <f t="shared" si="298"/>
        <v>0.2</v>
      </c>
      <c r="M932" s="45">
        <f t="shared" si="299"/>
        <v>0.2</v>
      </c>
      <c r="N932" s="45">
        <f t="shared" si="300"/>
        <v>0</v>
      </c>
      <c r="O932" s="45">
        <f t="shared" si="301"/>
        <v>0.2</v>
      </c>
      <c r="P932" s="45">
        <f t="shared" si="302"/>
        <v>0</v>
      </c>
      <c r="Q932" s="45">
        <f t="shared" si="303"/>
        <v>0</v>
      </c>
      <c r="R932" s="45">
        <f t="shared" si="304"/>
        <v>0.2</v>
      </c>
      <c r="S932" s="45">
        <f t="shared" si="305"/>
        <v>0</v>
      </c>
      <c r="T932" s="45">
        <f t="shared" si="306"/>
        <v>0</v>
      </c>
    </row>
    <row r="933" spans="1:20" x14ac:dyDescent="0.3">
      <c r="A933">
        <f t="shared" si="287"/>
        <v>1</v>
      </c>
      <c r="B933">
        <f t="shared" si="288"/>
        <v>1</v>
      </c>
      <c r="C933">
        <f t="shared" si="289"/>
        <v>1</v>
      </c>
      <c r="D933">
        <f t="shared" si="290"/>
        <v>0</v>
      </c>
      <c r="E933">
        <f t="shared" si="291"/>
        <v>1</v>
      </c>
      <c r="F933">
        <f t="shared" si="292"/>
        <v>0</v>
      </c>
      <c r="G933">
        <f t="shared" si="293"/>
        <v>0</v>
      </c>
      <c r="H933">
        <f t="shared" si="294"/>
        <v>1</v>
      </c>
      <c r="I933">
        <f t="shared" si="295"/>
        <v>0</v>
      </c>
      <c r="J933">
        <f t="shared" si="296"/>
        <v>1</v>
      </c>
      <c r="K933" s="45">
        <f t="shared" si="297"/>
        <v>0.16666666666666666</v>
      </c>
      <c r="L933" s="45">
        <f t="shared" si="298"/>
        <v>0.16666666666666666</v>
      </c>
      <c r="M933" s="45">
        <f t="shared" si="299"/>
        <v>0.16666666666666666</v>
      </c>
      <c r="N933" s="45">
        <f t="shared" si="300"/>
        <v>0</v>
      </c>
      <c r="O933" s="45">
        <f t="shared" si="301"/>
        <v>0.16666666666666666</v>
      </c>
      <c r="P933" s="45">
        <f t="shared" si="302"/>
        <v>0</v>
      </c>
      <c r="Q933" s="45">
        <f t="shared" si="303"/>
        <v>0</v>
      </c>
      <c r="R933" s="45">
        <f t="shared" si="304"/>
        <v>0.16666666666666666</v>
      </c>
      <c r="S933" s="45">
        <f t="shared" si="305"/>
        <v>0</v>
      </c>
      <c r="T933" s="45">
        <f t="shared" si="306"/>
        <v>0.16666666666666666</v>
      </c>
    </row>
    <row r="934" spans="1:20" x14ac:dyDescent="0.3">
      <c r="A934">
        <f t="shared" si="287"/>
        <v>1</v>
      </c>
      <c r="B934">
        <f t="shared" si="288"/>
        <v>1</v>
      </c>
      <c r="C934">
        <f t="shared" si="289"/>
        <v>1</v>
      </c>
      <c r="D934">
        <f t="shared" si="290"/>
        <v>0</v>
      </c>
      <c r="E934">
        <f t="shared" si="291"/>
        <v>1</v>
      </c>
      <c r="F934">
        <f t="shared" si="292"/>
        <v>0</v>
      </c>
      <c r="G934">
        <f t="shared" si="293"/>
        <v>0</v>
      </c>
      <c r="H934">
        <f t="shared" si="294"/>
        <v>1</v>
      </c>
      <c r="I934">
        <f t="shared" si="295"/>
        <v>1</v>
      </c>
      <c r="J934">
        <f t="shared" si="296"/>
        <v>0</v>
      </c>
      <c r="K934" s="45">
        <f t="shared" si="297"/>
        <v>0.16666666666666666</v>
      </c>
      <c r="L934" s="45">
        <f t="shared" si="298"/>
        <v>0.16666666666666666</v>
      </c>
      <c r="M934" s="45">
        <f t="shared" si="299"/>
        <v>0.16666666666666666</v>
      </c>
      <c r="N934" s="45">
        <f t="shared" si="300"/>
        <v>0</v>
      </c>
      <c r="O934" s="45">
        <f t="shared" si="301"/>
        <v>0.16666666666666666</v>
      </c>
      <c r="P934" s="45">
        <f t="shared" si="302"/>
        <v>0</v>
      </c>
      <c r="Q934" s="45">
        <f t="shared" si="303"/>
        <v>0</v>
      </c>
      <c r="R934" s="45">
        <f t="shared" si="304"/>
        <v>0.16666666666666666</v>
      </c>
      <c r="S934" s="45">
        <f t="shared" si="305"/>
        <v>0.16666666666666666</v>
      </c>
      <c r="T934" s="45">
        <f t="shared" si="306"/>
        <v>0</v>
      </c>
    </row>
    <row r="935" spans="1:20" x14ac:dyDescent="0.3">
      <c r="A935">
        <f t="shared" si="287"/>
        <v>1</v>
      </c>
      <c r="B935">
        <f t="shared" si="288"/>
        <v>1</v>
      </c>
      <c r="C935">
        <f t="shared" si="289"/>
        <v>1</v>
      </c>
      <c r="D935">
        <f t="shared" si="290"/>
        <v>0</v>
      </c>
      <c r="E935">
        <f t="shared" si="291"/>
        <v>1</v>
      </c>
      <c r="F935">
        <f t="shared" si="292"/>
        <v>0</v>
      </c>
      <c r="G935">
        <f t="shared" si="293"/>
        <v>0</v>
      </c>
      <c r="H935">
        <f t="shared" si="294"/>
        <v>1</v>
      </c>
      <c r="I935">
        <f t="shared" si="295"/>
        <v>1</v>
      </c>
      <c r="J935">
        <f t="shared" si="296"/>
        <v>1</v>
      </c>
      <c r="K935" s="45">
        <f t="shared" si="297"/>
        <v>0.14285714285714285</v>
      </c>
      <c r="L935" s="45">
        <f t="shared" si="298"/>
        <v>0.14285714285714285</v>
      </c>
      <c r="M935" s="45">
        <f t="shared" si="299"/>
        <v>0.14285714285714285</v>
      </c>
      <c r="N935" s="45">
        <f t="shared" si="300"/>
        <v>0</v>
      </c>
      <c r="O935" s="45">
        <f t="shared" si="301"/>
        <v>0.14285714285714285</v>
      </c>
      <c r="P935" s="45">
        <f t="shared" si="302"/>
        <v>0</v>
      </c>
      <c r="Q935" s="45">
        <f t="shared" si="303"/>
        <v>0</v>
      </c>
      <c r="R935" s="45">
        <f t="shared" si="304"/>
        <v>0.14285714285714285</v>
      </c>
      <c r="S935" s="45">
        <f t="shared" si="305"/>
        <v>0.14285714285714285</v>
      </c>
      <c r="T935" s="45">
        <f t="shared" si="306"/>
        <v>0.14285714285714285</v>
      </c>
    </row>
    <row r="936" spans="1:20" x14ac:dyDescent="0.3">
      <c r="A936">
        <f t="shared" si="287"/>
        <v>1</v>
      </c>
      <c r="B936">
        <f t="shared" si="288"/>
        <v>1</v>
      </c>
      <c r="C936">
        <f t="shared" si="289"/>
        <v>1</v>
      </c>
      <c r="D936">
        <f t="shared" si="290"/>
        <v>0</v>
      </c>
      <c r="E936">
        <f t="shared" si="291"/>
        <v>1</v>
      </c>
      <c r="F936">
        <f t="shared" si="292"/>
        <v>0</v>
      </c>
      <c r="G936">
        <f t="shared" si="293"/>
        <v>1</v>
      </c>
      <c r="H936">
        <f t="shared" si="294"/>
        <v>0</v>
      </c>
      <c r="I936">
        <f t="shared" si="295"/>
        <v>0</v>
      </c>
      <c r="J936">
        <f t="shared" si="296"/>
        <v>0</v>
      </c>
      <c r="K936" s="45">
        <f t="shared" si="297"/>
        <v>0.2</v>
      </c>
      <c r="L936" s="45">
        <f t="shared" si="298"/>
        <v>0.2</v>
      </c>
      <c r="M936" s="45">
        <f t="shared" si="299"/>
        <v>0.2</v>
      </c>
      <c r="N936" s="45">
        <f t="shared" si="300"/>
        <v>0</v>
      </c>
      <c r="O936" s="45">
        <f t="shared" si="301"/>
        <v>0.2</v>
      </c>
      <c r="P936" s="45">
        <f t="shared" si="302"/>
        <v>0</v>
      </c>
      <c r="Q936" s="45">
        <f t="shared" si="303"/>
        <v>0.2</v>
      </c>
      <c r="R936" s="45">
        <f t="shared" si="304"/>
        <v>0</v>
      </c>
      <c r="S936" s="45">
        <f t="shared" si="305"/>
        <v>0</v>
      </c>
      <c r="T936" s="45">
        <f t="shared" si="306"/>
        <v>0</v>
      </c>
    </row>
    <row r="937" spans="1:20" x14ac:dyDescent="0.3">
      <c r="A937">
        <f t="shared" si="287"/>
        <v>1</v>
      </c>
      <c r="B937">
        <f t="shared" si="288"/>
        <v>1</v>
      </c>
      <c r="C937">
        <f t="shared" si="289"/>
        <v>1</v>
      </c>
      <c r="D937">
        <f t="shared" si="290"/>
        <v>0</v>
      </c>
      <c r="E937">
        <f t="shared" si="291"/>
        <v>1</v>
      </c>
      <c r="F937">
        <f t="shared" si="292"/>
        <v>0</v>
      </c>
      <c r="G937">
        <f t="shared" si="293"/>
        <v>1</v>
      </c>
      <c r="H937">
        <f t="shared" si="294"/>
        <v>0</v>
      </c>
      <c r="I937">
        <f t="shared" si="295"/>
        <v>0</v>
      </c>
      <c r="J937">
        <f t="shared" si="296"/>
        <v>1</v>
      </c>
      <c r="K937" s="45">
        <f t="shared" si="297"/>
        <v>0.16666666666666666</v>
      </c>
      <c r="L937" s="45">
        <f t="shared" si="298"/>
        <v>0.16666666666666666</v>
      </c>
      <c r="M937" s="45">
        <f t="shared" si="299"/>
        <v>0.16666666666666666</v>
      </c>
      <c r="N937" s="45">
        <f t="shared" si="300"/>
        <v>0</v>
      </c>
      <c r="O937" s="45">
        <f t="shared" si="301"/>
        <v>0.16666666666666666</v>
      </c>
      <c r="P937" s="45">
        <f t="shared" si="302"/>
        <v>0</v>
      </c>
      <c r="Q937" s="45">
        <f t="shared" si="303"/>
        <v>0.16666666666666666</v>
      </c>
      <c r="R937" s="45">
        <f t="shared" si="304"/>
        <v>0</v>
      </c>
      <c r="S937" s="45">
        <f t="shared" si="305"/>
        <v>0</v>
      </c>
      <c r="T937" s="45">
        <f t="shared" si="306"/>
        <v>0.16666666666666666</v>
      </c>
    </row>
    <row r="938" spans="1:20" x14ac:dyDescent="0.3">
      <c r="A938">
        <f t="shared" si="287"/>
        <v>1</v>
      </c>
      <c r="B938">
        <f t="shared" si="288"/>
        <v>1</v>
      </c>
      <c r="C938">
        <f t="shared" si="289"/>
        <v>1</v>
      </c>
      <c r="D938">
        <f t="shared" si="290"/>
        <v>0</v>
      </c>
      <c r="E938">
        <f t="shared" si="291"/>
        <v>1</v>
      </c>
      <c r="F938">
        <f t="shared" si="292"/>
        <v>0</v>
      </c>
      <c r="G938">
        <f t="shared" si="293"/>
        <v>1</v>
      </c>
      <c r="H938">
        <f t="shared" si="294"/>
        <v>0</v>
      </c>
      <c r="I938">
        <f t="shared" si="295"/>
        <v>1</v>
      </c>
      <c r="J938">
        <f t="shared" si="296"/>
        <v>0</v>
      </c>
      <c r="K938" s="45">
        <f t="shared" si="297"/>
        <v>0.16666666666666666</v>
      </c>
      <c r="L938" s="45">
        <f t="shared" si="298"/>
        <v>0.16666666666666666</v>
      </c>
      <c r="M938" s="45">
        <f t="shared" si="299"/>
        <v>0.16666666666666666</v>
      </c>
      <c r="N938" s="45">
        <f t="shared" si="300"/>
        <v>0</v>
      </c>
      <c r="O938" s="45">
        <f t="shared" si="301"/>
        <v>0.16666666666666666</v>
      </c>
      <c r="P938" s="45">
        <f t="shared" si="302"/>
        <v>0</v>
      </c>
      <c r="Q938" s="45">
        <f t="shared" si="303"/>
        <v>0.16666666666666666</v>
      </c>
      <c r="R938" s="45">
        <f t="shared" si="304"/>
        <v>0</v>
      </c>
      <c r="S938" s="45">
        <f t="shared" si="305"/>
        <v>0.16666666666666666</v>
      </c>
      <c r="T938" s="45">
        <f t="shared" si="306"/>
        <v>0</v>
      </c>
    </row>
    <row r="939" spans="1:20" x14ac:dyDescent="0.3">
      <c r="A939">
        <f t="shared" si="287"/>
        <v>1</v>
      </c>
      <c r="B939">
        <f t="shared" si="288"/>
        <v>1</v>
      </c>
      <c r="C939">
        <f t="shared" si="289"/>
        <v>1</v>
      </c>
      <c r="D939">
        <f t="shared" si="290"/>
        <v>0</v>
      </c>
      <c r="E939">
        <f t="shared" si="291"/>
        <v>1</v>
      </c>
      <c r="F939">
        <f t="shared" si="292"/>
        <v>0</v>
      </c>
      <c r="G939">
        <f t="shared" si="293"/>
        <v>1</v>
      </c>
      <c r="H939">
        <f t="shared" si="294"/>
        <v>0</v>
      </c>
      <c r="I939">
        <f t="shared" si="295"/>
        <v>1</v>
      </c>
      <c r="J939">
        <f t="shared" si="296"/>
        <v>1</v>
      </c>
      <c r="K939" s="45">
        <f t="shared" si="297"/>
        <v>0.14285714285714285</v>
      </c>
      <c r="L939" s="45">
        <f t="shared" si="298"/>
        <v>0.14285714285714285</v>
      </c>
      <c r="M939" s="45">
        <f t="shared" si="299"/>
        <v>0.14285714285714285</v>
      </c>
      <c r="N939" s="45">
        <f t="shared" si="300"/>
        <v>0</v>
      </c>
      <c r="O939" s="45">
        <f t="shared" si="301"/>
        <v>0.14285714285714285</v>
      </c>
      <c r="P939" s="45">
        <f t="shared" si="302"/>
        <v>0</v>
      </c>
      <c r="Q939" s="45">
        <f t="shared" si="303"/>
        <v>0.14285714285714285</v>
      </c>
      <c r="R939" s="45">
        <f t="shared" si="304"/>
        <v>0</v>
      </c>
      <c r="S939" s="45">
        <f t="shared" si="305"/>
        <v>0.14285714285714285</v>
      </c>
      <c r="T939" s="45">
        <f t="shared" si="306"/>
        <v>0.14285714285714285</v>
      </c>
    </row>
    <row r="940" spans="1:20" x14ac:dyDescent="0.3">
      <c r="A940">
        <f t="shared" si="287"/>
        <v>1</v>
      </c>
      <c r="B940">
        <f t="shared" si="288"/>
        <v>1</v>
      </c>
      <c r="C940">
        <f t="shared" si="289"/>
        <v>1</v>
      </c>
      <c r="D940">
        <f t="shared" si="290"/>
        <v>0</v>
      </c>
      <c r="E940">
        <f t="shared" si="291"/>
        <v>1</v>
      </c>
      <c r="F940">
        <f t="shared" si="292"/>
        <v>0</v>
      </c>
      <c r="G940">
        <f t="shared" si="293"/>
        <v>1</v>
      </c>
      <c r="H940">
        <f t="shared" si="294"/>
        <v>1</v>
      </c>
      <c r="I940">
        <f t="shared" si="295"/>
        <v>0</v>
      </c>
      <c r="J940">
        <f t="shared" si="296"/>
        <v>0</v>
      </c>
      <c r="K940" s="45">
        <f t="shared" si="297"/>
        <v>0.16666666666666666</v>
      </c>
      <c r="L940" s="45">
        <f t="shared" si="298"/>
        <v>0.16666666666666666</v>
      </c>
      <c r="M940" s="45">
        <f t="shared" si="299"/>
        <v>0.16666666666666666</v>
      </c>
      <c r="N940" s="45">
        <f t="shared" si="300"/>
        <v>0</v>
      </c>
      <c r="O940" s="45">
        <f t="shared" si="301"/>
        <v>0.16666666666666666</v>
      </c>
      <c r="P940" s="45">
        <f t="shared" si="302"/>
        <v>0</v>
      </c>
      <c r="Q940" s="45">
        <f t="shared" si="303"/>
        <v>0.16666666666666666</v>
      </c>
      <c r="R940" s="45">
        <f t="shared" si="304"/>
        <v>0.16666666666666666</v>
      </c>
      <c r="S940" s="45">
        <f t="shared" si="305"/>
        <v>0</v>
      </c>
      <c r="T940" s="45">
        <f t="shared" si="306"/>
        <v>0</v>
      </c>
    </row>
    <row r="941" spans="1:20" x14ac:dyDescent="0.3">
      <c r="A941">
        <f t="shared" si="287"/>
        <v>1</v>
      </c>
      <c r="B941">
        <f t="shared" si="288"/>
        <v>1</v>
      </c>
      <c r="C941">
        <f t="shared" si="289"/>
        <v>1</v>
      </c>
      <c r="D941">
        <f t="shared" si="290"/>
        <v>0</v>
      </c>
      <c r="E941">
        <f t="shared" si="291"/>
        <v>1</v>
      </c>
      <c r="F941">
        <f t="shared" si="292"/>
        <v>0</v>
      </c>
      <c r="G941">
        <f t="shared" si="293"/>
        <v>1</v>
      </c>
      <c r="H941">
        <f t="shared" si="294"/>
        <v>1</v>
      </c>
      <c r="I941">
        <f t="shared" si="295"/>
        <v>0</v>
      </c>
      <c r="J941">
        <f t="shared" si="296"/>
        <v>1</v>
      </c>
      <c r="K941" s="45">
        <f t="shared" si="297"/>
        <v>0.14285714285714285</v>
      </c>
      <c r="L941" s="45">
        <f t="shared" si="298"/>
        <v>0.14285714285714285</v>
      </c>
      <c r="M941" s="45">
        <f t="shared" si="299"/>
        <v>0.14285714285714285</v>
      </c>
      <c r="N941" s="45">
        <f t="shared" si="300"/>
        <v>0</v>
      </c>
      <c r="O941" s="45">
        <f t="shared" si="301"/>
        <v>0.14285714285714285</v>
      </c>
      <c r="P941" s="45">
        <f t="shared" si="302"/>
        <v>0</v>
      </c>
      <c r="Q941" s="45">
        <f t="shared" si="303"/>
        <v>0.14285714285714285</v>
      </c>
      <c r="R941" s="45">
        <f t="shared" si="304"/>
        <v>0.14285714285714285</v>
      </c>
      <c r="S941" s="45">
        <f t="shared" si="305"/>
        <v>0</v>
      </c>
      <c r="T941" s="45">
        <f t="shared" si="306"/>
        <v>0.14285714285714285</v>
      </c>
    </row>
    <row r="942" spans="1:20" x14ac:dyDescent="0.3">
      <c r="A942">
        <f t="shared" si="287"/>
        <v>1</v>
      </c>
      <c r="B942">
        <f t="shared" si="288"/>
        <v>1</v>
      </c>
      <c r="C942">
        <f t="shared" si="289"/>
        <v>1</v>
      </c>
      <c r="D942">
        <f t="shared" si="290"/>
        <v>0</v>
      </c>
      <c r="E942">
        <f t="shared" si="291"/>
        <v>1</v>
      </c>
      <c r="F942">
        <f t="shared" si="292"/>
        <v>0</v>
      </c>
      <c r="G942">
        <f t="shared" si="293"/>
        <v>1</v>
      </c>
      <c r="H942">
        <f t="shared" si="294"/>
        <v>1</v>
      </c>
      <c r="I942">
        <f t="shared" si="295"/>
        <v>1</v>
      </c>
      <c r="J942">
        <f t="shared" si="296"/>
        <v>0</v>
      </c>
      <c r="K942" s="45">
        <f t="shared" si="297"/>
        <v>0.14285714285714285</v>
      </c>
      <c r="L942" s="45">
        <f t="shared" si="298"/>
        <v>0.14285714285714285</v>
      </c>
      <c r="M942" s="45">
        <f t="shared" si="299"/>
        <v>0.14285714285714285</v>
      </c>
      <c r="N942" s="45">
        <f t="shared" si="300"/>
        <v>0</v>
      </c>
      <c r="O942" s="45">
        <f t="shared" si="301"/>
        <v>0.14285714285714285</v>
      </c>
      <c r="P942" s="45">
        <f t="shared" si="302"/>
        <v>0</v>
      </c>
      <c r="Q942" s="45">
        <f t="shared" si="303"/>
        <v>0.14285714285714285</v>
      </c>
      <c r="R942" s="45">
        <f t="shared" si="304"/>
        <v>0.14285714285714285</v>
      </c>
      <c r="S942" s="45">
        <f t="shared" si="305"/>
        <v>0.14285714285714285</v>
      </c>
      <c r="T942" s="45">
        <f t="shared" si="306"/>
        <v>0</v>
      </c>
    </row>
    <row r="943" spans="1:20" x14ac:dyDescent="0.3">
      <c r="A943">
        <f t="shared" si="287"/>
        <v>1</v>
      </c>
      <c r="B943">
        <f t="shared" si="288"/>
        <v>1</v>
      </c>
      <c r="C943">
        <f t="shared" si="289"/>
        <v>1</v>
      </c>
      <c r="D943">
        <f t="shared" si="290"/>
        <v>0</v>
      </c>
      <c r="E943">
        <f t="shared" si="291"/>
        <v>1</v>
      </c>
      <c r="F943">
        <f t="shared" si="292"/>
        <v>0</v>
      </c>
      <c r="G943">
        <f t="shared" si="293"/>
        <v>1</v>
      </c>
      <c r="H943">
        <f t="shared" si="294"/>
        <v>1</v>
      </c>
      <c r="I943">
        <f t="shared" si="295"/>
        <v>1</v>
      </c>
      <c r="J943">
        <f t="shared" si="296"/>
        <v>1</v>
      </c>
      <c r="K943" s="45">
        <f t="shared" si="297"/>
        <v>0.125</v>
      </c>
      <c r="L943" s="45">
        <f t="shared" si="298"/>
        <v>0.125</v>
      </c>
      <c r="M943" s="45">
        <f t="shared" si="299"/>
        <v>0.125</v>
      </c>
      <c r="N943" s="45">
        <f t="shared" si="300"/>
        <v>0</v>
      </c>
      <c r="O943" s="45">
        <f t="shared" si="301"/>
        <v>0.125</v>
      </c>
      <c r="P943" s="45">
        <f t="shared" si="302"/>
        <v>0</v>
      </c>
      <c r="Q943" s="45">
        <f t="shared" si="303"/>
        <v>0.125</v>
      </c>
      <c r="R943" s="45">
        <f t="shared" si="304"/>
        <v>0.125</v>
      </c>
      <c r="S943" s="45">
        <f t="shared" si="305"/>
        <v>0.125</v>
      </c>
      <c r="T943" s="45">
        <f t="shared" si="306"/>
        <v>0.125</v>
      </c>
    </row>
    <row r="944" spans="1:20" x14ac:dyDescent="0.3">
      <c r="A944">
        <f t="shared" si="287"/>
        <v>1</v>
      </c>
      <c r="B944">
        <f t="shared" si="288"/>
        <v>1</v>
      </c>
      <c r="C944">
        <f t="shared" si="289"/>
        <v>1</v>
      </c>
      <c r="D944">
        <f t="shared" si="290"/>
        <v>0</v>
      </c>
      <c r="E944">
        <f t="shared" si="291"/>
        <v>1</v>
      </c>
      <c r="F944">
        <f t="shared" si="292"/>
        <v>1</v>
      </c>
      <c r="G944">
        <f t="shared" si="293"/>
        <v>0</v>
      </c>
      <c r="H944">
        <f t="shared" si="294"/>
        <v>0</v>
      </c>
      <c r="I944">
        <f t="shared" si="295"/>
        <v>0</v>
      </c>
      <c r="J944">
        <f t="shared" si="296"/>
        <v>0</v>
      </c>
      <c r="K944" s="45">
        <f t="shared" si="297"/>
        <v>0.2</v>
      </c>
      <c r="L944" s="45">
        <f t="shared" si="298"/>
        <v>0.2</v>
      </c>
      <c r="M944" s="45">
        <f t="shared" si="299"/>
        <v>0.2</v>
      </c>
      <c r="N944" s="45">
        <f t="shared" si="300"/>
        <v>0</v>
      </c>
      <c r="O944" s="45">
        <f t="shared" si="301"/>
        <v>0.2</v>
      </c>
      <c r="P944" s="45">
        <f t="shared" si="302"/>
        <v>0.2</v>
      </c>
      <c r="Q944" s="45">
        <f t="shared" si="303"/>
        <v>0</v>
      </c>
      <c r="R944" s="45">
        <f t="shared" si="304"/>
        <v>0</v>
      </c>
      <c r="S944" s="45">
        <f t="shared" si="305"/>
        <v>0</v>
      </c>
      <c r="T944" s="45">
        <f t="shared" si="306"/>
        <v>0</v>
      </c>
    </row>
    <row r="945" spans="1:20" x14ac:dyDescent="0.3">
      <c r="A945">
        <f t="shared" si="287"/>
        <v>1</v>
      </c>
      <c r="B945">
        <f t="shared" si="288"/>
        <v>1</v>
      </c>
      <c r="C945">
        <f t="shared" si="289"/>
        <v>1</v>
      </c>
      <c r="D945">
        <f t="shared" si="290"/>
        <v>0</v>
      </c>
      <c r="E945">
        <f t="shared" si="291"/>
        <v>1</v>
      </c>
      <c r="F945">
        <f t="shared" si="292"/>
        <v>1</v>
      </c>
      <c r="G945">
        <f t="shared" si="293"/>
        <v>0</v>
      </c>
      <c r="H945">
        <f t="shared" si="294"/>
        <v>0</v>
      </c>
      <c r="I945">
        <f t="shared" si="295"/>
        <v>0</v>
      </c>
      <c r="J945">
        <f t="shared" si="296"/>
        <v>1</v>
      </c>
      <c r="K945" s="45">
        <f t="shared" si="297"/>
        <v>0.16666666666666666</v>
      </c>
      <c r="L945" s="45">
        <f t="shared" si="298"/>
        <v>0.16666666666666666</v>
      </c>
      <c r="M945" s="45">
        <f t="shared" si="299"/>
        <v>0.16666666666666666</v>
      </c>
      <c r="N945" s="45">
        <f t="shared" si="300"/>
        <v>0</v>
      </c>
      <c r="O945" s="45">
        <f t="shared" si="301"/>
        <v>0.16666666666666666</v>
      </c>
      <c r="P945" s="45">
        <f t="shared" si="302"/>
        <v>0.16666666666666666</v>
      </c>
      <c r="Q945" s="45">
        <f t="shared" si="303"/>
        <v>0</v>
      </c>
      <c r="R945" s="45">
        <f t="shared" si="304"/>
        <v>0</v>
      </c>
      <c r="S945" s="45">
        <f t="shared" si="305"/>
        <v>0</v>
      </c>
      <c r="T945" s="45">
        <f t="shared" si="306"/>
        <v>0.16666666666666666</v>
      </c>
    </row>
    <row r="946" spans="1:20" x14ac:dyDescent="0.3">
      <c r="A946">
        <f t="shared" si="287"/>
        <v>1</v>
      </c>
      <c r="B946">
        <f t="shared" si="288"/>
        <v>1</v>
      </c>
      <c r="C946">
        <f t="shared" si="289"/>
        <v>1</v>
      </c>
      <c r="D946">
        <f t="shared" si="290"/>
        <v>0</v>
      </c>
      <c r="E946">
        <f t="shared" si="291"/>
        <v>1</v>
      </c>
      <c r="F946">
        <f t="shared" si="292"/>
        <v>1</v>
      </c>
      <c r="G946">
        <f t="shared" si="293"/>
        <v>0</v>
      </c>
      <c r="H946">
        <f t="shared" si="294"/>
        <v>0</v>
      </c>
      <c r="I946">
        <f t="shared" si="295"/>
        <v>1</v>
      </c>
      <c r="J946">
        <f t="shared" si="296"/>
        <v>0</v>
      </c>
      <c r="K946" s="45">
        <f t="shared" si="297"/>
        <v>0.16666666666666666</v>
      </c>
      <c r="L946" s="45">
        <f t="shared" si="298"/>
        <v>0.16666666666666666</v>
      </c>
      <c r="M946" s="45">
        <f t="shared" si="299"/>
        <v>0.16666666666666666</v>
      </c>
      <c r="N946" s="45">
        <f t="shared" si="300"/>
        <v>0</v>
      </c>
      <c r="O946" s="45">
        <f t="shared" si="301"/>
        <v>0.16666666666666666</v>
      </c>
      <c r="P946" s="45">
        <f t="shared" si="302"/>
        <v>0.16666666666666666</v>
      </c>
      <c r="Q946" s="45">
        <f t="shared" si="303"/>
        <v>0</v>
      </c>
      <c r="R946" s="45">
        <f t="shared" si="304"/>
        <v>0</v>
      </c>
      <c r="S946" s="45">
        <f t="shared" si="305"/>
        <v>0.16666666666666666</v>
      </c>
      <c r="T946" s="45">
        <f t="shared" si="306"/>
        <v>0</v>
      </c>
    </row>
    <row r="947" spans="1:20" x14ac:dyDescent="0.3">
      <c r="A947">
        <f t="shared" si="287"/>
        <v>1</v>
      </c>
      <c r="B947">
        <f t="shared" si="288"/>
        <v>1</v>
      </c>
      <c r="C947">
        <f t="shared" si="289"/>
        <v>1</v>
      </c>
      <c r="D947">
        <f t="shared" si="290"/>
        <v>0</v>
      </c>
      <c r="E947">
        <f t="shared" si="291"/>
        <v>1</v>
      </c>
      <c r="F947">
        <f t="shared" si="292"/>
        <v>1</v>
      </c>
      <c r="G947">
        <f t="shared" si="293"/>
        <v>0</v>
      </c>
      <c r="H947">
        <f t="shared" si="294"/>
        <v>0</v>
      </c>
      <c r="I947">
        <f t="shared" si="295"/>
        <v>1</v>
      </c>
      <c r="J947">
        <f t="shared" si="296"/>
        <v>1</v>
      </c>
      <c r="K947" s="45">
        <f t="shared" si="297"/>
        <v>0.14285714285714285</v>
      </c>
      <c r="L947" s="45">
        <f t="shared" si="298"/>
        <v>0.14285714285714285</v>
      </c>
      <c r="M947" s="45">
        <f t="shared" si="299"/>
        <v>0.14285714285714285</v>
      </c>
      <c r="N947" s="45">
        <f t="shared" si="300"/>
        <v>0</v>
      </c>
      <c r="O947" s="45">
        <f t="shared" si="301"/>
        <v>0.14285714285714285</v>
      </c>
      <c r="P947" s="45">
        <f t="shared" si="302"/>
        <v>0.14285714285714285</v>
      </c>
      <c r="Q947" s="45">
        <f t="shared" si="303"/>
        <v>0</v>
      </c>
      <c r="R947" s="45">
        <f t="shared" si="304"/>
        <v>0</v>
      </c>
      <c r="S947" s="45">
        <f t="shared" si="305"/>
        <v>0.14285714285714285</v>
      </c>
      <c r="T947" s="45">
        <f t="shared" si="306"/>
        <v>0.14285714285714285</v>
      </c>
    </row>
    <row r="948" spans="1:20" x14ac:dyDescent="0.3">
      <c r="A948">
        <f t="shared" si="287"/>
        <v>1</v>
      </c>
      <c r="B948">
        <f t="shared" si="288"/>
        <v>1</v>
      </c>
      <c r="C948">
        <f t="shared" si="289"/>
        <v>1</v>
      </c>
      <c r="D948">
        <f t="shared" si="290"/>
        <v>0</v>
      </c>
      <c r="E948">
        <f t="shared" si="291"/>
        <v>1</v>
      </c>
      <c r="F948">
        <f t="shared" si="292"/>
        <v>1</v>
      </c>
      <c r="G948">
        <f t="shared" si="293"/>
        <v>0</v>
      </c>
      <c r="H948">
        <f t="shared" si="294"/>
        <v>1</v>
      </c>
      <c r="I948">
        <f t="shared" si="295"/>
        <v>0</v>
      </c>
      <c r="J948">
        <f t="shared" si="296"/>
        <v>0</v>
      </c>
      <c r="K948" s="45">
        <f t="shared" si="297"/>
        <v>0.16666666666666666</v>
      </c>
      <c r="L948" s="45">
        <f t="shared" si="298"/>
        <v>0.16666666666666666</v>
      </c>
      <c r="M948" s="45">
        <f t="shared" si="299"/>
        <v>0.16666666666666666</v>
      </c>
      <c r="N948" s="45">
        <f t="shared" si="300"/>
        <v>0</v>
      </c>
      <c r="O948" s="45">
        <f t="shared" si="301"/>
        <v>0.16666666666666666</v>
      </c>
      <c r="P948" s="45">
        <f t="shared" si="302"/>
        <v>0.16666666666666666</v>
      </c>
      <c r="Q948" s="45">
        <f t="shared" si="303"/>
        <v>0</v>
      </c>
      <c r="R948" s="45">
        <f t="shared" si="304"/>
        <v>0.16666666666666666</v>
      </c>
      <c r="S948" s="45">
        <f t="shared" si="305"/>
        <v>0</v>
      </c>
      <c r="T948" s="45">
        <f t="shared" si="306"/>
        <v>0</v>
      </c>
    </row>
    <row r="949" spans="1:20" x14ac:dyDescent="0.3">
      <c r="A949">
        <f t="shared" si="287"/>
        <v>1</v>
      </c>
      <c r="B949">
        <f t="shared" si="288"/>
        <v>1</v>
      </c>
      <c r="C949">
        <f t="shared" si="289"/>
        <v>1</v>
      </c>
      <c r="D949">
        <f t="shared" si="290"/>
        <v>0</v>
      </c>
      <c r="E949">
        <f t="shared" si="291"/>
        <v>1</v>
      </c>
      <c r="F949">
        <f t="shared" si="292"/>
        <v>1</v>
      </c>
      <c r="G949">
        <f t="shared" si="293"/>
        <v>0</v>
      </c>
      <c r="H949">
        <f t="shared" si="294"/>
        <v>1</v>
      </c>
      <c r="I949">
        <f t="shared" si="295"/>
        <v>0</v>
      </c>
      <c r="J949">
        <f t="shared" si="296"/>
        <v>1</v>
      </c>
      <c r="K949" s="45">
        <f t="shared" si="297"/>
        <v>0.14285714285714285</v>
      </c>
      <c r="L949" s="45">
        <f t="shared" si="298"/>
        <v>0.14285714285714285</v>
      </c>
      <c r="M949" s="45">
        <f t="shared" si="299"/>
        <v>0.14285714285714285</v>
      </c>
      <c r="N949" s="45">
        <f t="shared" si="300"/>
        <v>0</v>
      </c>
      <c r="O949" s="45">
        <f t="shared" si="301"/>
        <v>0.14285714285714285</v>
      </c>
      <c r="P949" s="45">
        <f t="shared" si="302"/>
        <v>0.14285714285714285</v>
      </c>
      <c r="Q949" s="45">
        <f t="shared" si="303"/>
        <v>0</v>
      </c>
      <c r="R949" s="45">
        <f t="shared" si="304"/>
        <v>0.14285714285714285</v>
      </c>
      <c r="S949" s="45">
        <f t="shared" si="305"/>
        <v>0</v>
      </c>
      <c r="T949" s="45">
        <f t="shared" si="306"/>
        <v>0.14285714285714285</v>
      </c>
    </row>
    <row r="950" spans="1:20" x14ac:dyDescent="0.3">
      <c r="A950">
        <f t="shared" si="287"/>
        <v>1</v>
      </c>
      <c r="B950">
        <f t="shared" si="288"/>
        <v>1</v>
      </c>
      <c r="C950">
        <f t="shared" si="289"/>
        <v>1</v>
      </c>
      <c r="D950">
        <f t="shared" si="290"/>
        <v>0</v>
      </c>
      <c r="E950">
        <f t="shared" si="291"/>
        <v>1</v>
      </c>
      <c r="F950">
        <f t="shared" si="292"/>
        <v>1</v>
      </c>
      <c r="G950">
        <f t="shared" si="293"/>
        <v>0</v>
      </c>
      <c r="H950">
        <f t="shared" si="294"/>
        <v>1</v>
      </c>
      <c r="I950">
        <f t="shared" si="295"/>
        <v>1</v>
      </c>
      <c r="J950">
        <f t="shared" si="296"/>
        <v>0</v>
      </c>
      <c r="K950" s="45">
        <f t="shared" si="297"/>
        <v>0.14285714285714285</v>
      </c>
      <c r="L950" s="45">
        <f t="shared" si="298"/>
        <v>0.14285714285714285</v>
      </c>
      <c r="M950" s="45">
        <f t="shared" si="299"/>
        <v>0.14285714285714285</v>
      </c>
      <c r="N950" s="45">
        <f t="shared" si="300"/>
        <v>0</v>
      </c>
      <c r="O950" s="45">
        <f t="shared" si="301"/>
        <v>0.14285714285714285</v>
      </c>
      <c r="P950" s="45">
        <f t="shared" si="302"/>
        <v>0.14285714285714285</v>
      </c>
      <c r="Q950" s="45">
        <f t="shared" si="303"/>
        <v>0</v>
      </c>
      <c r="R950" s="45">
        <f t="shared" si="304"/>
        <v>0.14285714285714285</v>
      </c>
      <c r="S950" s="45">
        <f t="shared" si="305"/>
        <v>0.14285714285714285</v>
      </c>
      <c r="T950" s="45">
        <f t="shared" si="306"/>
        <v>0</v>
      </c>
    </row>
    <row r="951" spans="1:20" x14ac:dyDescent="0.3">
      <c r="A951">
        <f t="shared" si="287"/>
        <v>1</v>
      </c>
      <c r="B951">
        <f t="shared" si="288"/>
        <v>1</v>
      </c>
      <c r="C951">
        <f t="shared" si="289"/>
        <v>1</v>
      </c>
      <c r="D951">
        <f t="shared" si="290"/>
        <v>0</v>
      </c>
      <c r="E951">
        <f t="shared" si="291"/>
        <v>1</v>
      </c>
      <c r="F951">
        <f t="shared" si="292"/>
        <v>1</v>
      </c>
      <c r="G951">
        <f t="shared" si="293"/>
        <v>0</v>
      </c>
      <c r="H951">
        <f t="shared" si="294"/>
        <v>1</v>
      </c>
      <c r="I951">
        <f t="shared" si="295"/>
        <v>1</v>
      </c>
      <c r="J951">
        <f t="shared" si="296"/>
        <v>1</v>
      </c>
      <c r="K951" s="45">
        <f t="shared" si="297"/>
        <v>0.125</v>
      </c>
      <c r="L951" s="45">
        <f t="shared" si="298"/>
        <v>0.125</v>
      </c>
      <c r="M951" s="45">
        <f t="shared" si="299"/>
        <v>0.125</v>
      </c>
      <c r="N951" s="45">
        <f t="shared" si="300"/>
        <v>0</v>
      </c>
      <c r="O951" s="45">
        <f t="shared" si="301"/>
        <v>0.125</v>
      </c>
      <c r="P951" s="45">
        <f t="shared" si="302"/>
        <v>0.125</v>
      </c>
      <c r="Q951" s="45">
        <f t="shared" si="303"/>
        <v>0</v>
      </c>
      <c r="R951" s="45">
        <f t="shared" si="304"/>
        <v>0.125</v>
      </c>
      <c r="S951" s="45">
        <f t="shared" si="305"/>
        <v>0.125</v>
      </c>
      <c r="T951" s="45">
        <f t="shared" si="306"/>
        <v>0.125</v>
      </c>
    </row>
    <row r="952" spans="1:20" x14ac:dyDescent="0.3">
      <c r="A952">
        <f t="shared" si="287"/>
        <v>1</v>
      </c>
      <c r="B952">
        <f t="shared" si="288"/>
        <v>1</v>
      </c>
      <c r="C952">
        <f t="shared" si="289"/>
        <v>1</v>
      </c>
      <c r="D952">
        <f t="shared" si="290"/>
        <v>0</v>
      </c>
      <c r="E952">
        <f t="shared" si="291"/>
        <v>1</v>
      </c>
      <c r="F952">
        <f t="shared" si="292"/>
        <v>1</v>
      </c>
      <c r="G952">
        <f t="shared" si="293"/>
        <v>1</v>
      </c>
      <c r="H952">
        <f t="shared" si="294"/>
        <v>0</v>
      </c>
      <c r="I952">
        <f t="shared" si="295"/>
        <v>0</v>
      </c>
      <c r="J952">
        <f t="shared" si="296"/>
        <v>0</v>
      </c>
      <c r="K952" s="45">
        <f t="shared" si="297"/>
        <v>0.16666666666666666</v>
      </c>
      <c r="L952" s="45">
        <f t="shared" si="298"/>
        <v>0.16666666666666666</v>
      </c>
      <c r="M952" s="45">
        <f t="shared" si="299"/>
        <v>0.16666666666666666</v>
      </c>
      <c r="N952" s="45">
        <f t="shared" si="300"/>
        <v>0</v>
      </c>
      <c r="O952" s="45">
        <f t="shared" si="301"/>
        <v>0.16666666666666666</v>
      </c>
      <c r="P952" s="45">
        <f t="shared" si="302"/>
        <v>0.16666666666666666</v>
      </c>
      <c r="Q952" s="45">
        <f t="shared" si="303"/>
        <v>0.16666666666666666</v>
      </c>
      <c r="R952" s="45">
        <f t="shared" si="304"/>
        <v>0</v>
      </c>
      <c r="S952" s="45">
        <f t="shared" si="305"/>
        <v>0</v>
      </c>
      <c r="T952" s="45">
        <f t="shared" si="306"/>
        <v>0</v>
      </c>
    </row>
    <row r="953" spans="1:20" x14ac:dyDescent="0.3">
      <c r="A953">
        <f t="shared" si="287"/>
        <v>1</v>
      </c>
      <c r="B953">
        <f t="shared" si="288"/>
        <v>1</v>
      </c>
      <c r="C953">
        <f t="shared" si="289"/>
        <v>1</v>
      </c>
      <c r="D953">
        <f t="shared" si="290"/>
        <v>0</v>
      </c>
      <c r="E953">
        <f t="shared" si="291"/>
        <v>1</v>
      </c>
      <c r="F953">
        <f t="shared" si="292"/>
        <v>1</v>
      </c>
      <c r="G953">
        <f t="shared" si="293"/>
        <v>1</v>
      </c>
      <c r="H953">
        <f t="shared" si="294"/>
        <v>0</v>
      </c>
      <c r="I953">
        <f t="shared" si="295"/>
        <v>0</v>
      </c>
      <c r="J953">
        <f t="shared" si="296"/>
        <v>1</v>
      </c>
      <c r="K953" s="45">
        <f t="shared" si="297"/>
        <v>0.14285714285714285</v>
      </c>
      <c r="L953" s="45">
        <f t="shared" si="298"/>
        <v>0.14285714285714285</v>
      </c>
      <c r="M953" s="45">
        <f t="shared" si="299"/>
        <v>0.14285714285714285</v>
      </c>
      <c r="N953" s="45">
        <f t="shared" si="300"/>
        <v>0</v>
      </c>
      <c r="O953" s="45">
        <f t="shared" si="301"/>
        <v>0.14285714285714285</v>
      </c>
      <c r="P953" s="45">
        <f t="shared" si="302"/>
        <v>0.14285714285714285</v>
      </c>
      <c r="Q953" s="45">
        <f t="shared" si="303"/>
        <v>0.14285714285714285</v>
      </c>
      <c r="R953" s="45">
        <f t="shared" si="304"/>
        <v>0</v>
      </c>
      <c r="S953" s="45">
        <f t="shared" si="305"/>
        <v>0</v>
      </c>
      <c r="T953" s="45">
        <f t="shared" si="306"/>
        <v>0.14285714285714285</v>
      </c>
    </row>
    <row r="954" spans="1:20" x14ac:dyDescent="0.3">
      <c r="A954">
        <f t="shared" si="287"/>
        <v>1</v>
      </c>
      <c r="B954">
        <f t="shared" si="288"/>
        <v>1</v>
      </c>
      <c r="C954">
        <f t="shared" si="289"/>
        <v>1</v>
      </c>
      <c r="D954">
        <f t="shared" si="290"/>
        <v>0</v>
      </c>
      <c r="E954">
        <f t="shared" si="291"/>
        <v>1</v>
      </c>
      <c r="F954">
        <f t="shared" si="292"/>
        <v>1</v>
      </c>
      <c r="G954">
        <f t="shared" si="293"/>
        <v>1</v>
      </c>
      <c r="H954">
        <f t="shared" si="294"/>
        <v>0</v>
      </c>
      <c r="I954">
        <f t="shared" si="295"/>
        <v>1</v>
      </c>
      <c r="J954">
        <f t="shared" si="296"/>
        <v>0</v>
      </c>
      <c r="K954" s="45">
        <f t="shared" si="297"/>
        <v>0.14285714285714285</v>
      </c>
      <c r="L954" s="45">
        <f t="shared" si="298"/>
        <v>0.14285714285714285</v>
      </c>
      <c r="M954" s="45">
        <f t="shared" si="299"/>
        <v>0.14285714285714285</v>
      </c>
      <c r="N954" s="45">
        <f t="shared" si="300"/>
        <v>0</v>
      </c>
      <c r="O954" s="45">
        <f t="shared" si="301"/>
        <v>0.14285714285714285</v>
      </c>
      <c r="P954" s="45">
        <f t="shared" si="302"/>
        <v>0.14285714285714285</v>
      </c>
      <c r="Q954" s="45">
        <f t="shared" si="303"/>
        <v>0.14285714285714285</v>
      </c>
      <c r="R954" s="45">
        <f t="shared" si="304"/>
        <v>0</v>
      </c>
      <c r="S954" s="45">
        <f t="shared" si="305"/>
        <v>0.14285714285714285</v>
      </c>
      <c r="T954" s="45">
        <f t="shared" si="306"/>
        <v>0</v>
      </c>
    </row>
    <row r="955" spans="1:20" x14ac:dyDescent="0.3">
      <c r="A955">
        <f t="shared" si="287"/>
        <v>1</v>
      </c>
      <c r="B955">
        <f t="shared" si="288"/>
        <v>1</v>
      </c>
      <c r="C955">
        <f t="shared" si="289"/>
        <v>1</v>
      </c>
      <c r="D955">
        <f t="shared" si="290"/>
        <v>0</v>
      </c>
      <c r="E955">
        <f t="shared" si="291"/>
        <v>1</v>
      </c>
      <c r="F955">
        <f t="shared" si="292"/>
        <v>1</v>
      </c>
      <c r="G955">
        <f t="shared" si="293"/>
        <v>1</v>
      </c>
      <c r="H955">
        <f t="shared" si="294"/>
        <v>0</v>
      </c>
      <c r="I955">
        <f t="shared" si="295"/>
        <v>1</v>
      </c>
      <c r="J955">
        <f t="shared" si="296"/>
        <v>1</v>
      </c>
      <c r="K955" s="45">
        <f t="shared" si="297"/>
        <v>0.125</v>
      </c>
      <c r="L955" s="45">
        <f t="shared" si="298"/>
        <v>0.125</v>
      </c>
      <c r="M955" s="45">
        <f t="shared" si="299"/>
        <v>0.125</v>
      </c>
      <c r="N955" s="45">
        <f t="shared" si="300"/>
        <v>0</v>
      </c>
      <c r="O955" s="45">
        <f t="shared" si="301"/>
        <v>0.125</v>
      </c>
      <c r="P955" s="45">
        <f t="shared" si="302"/>
        <v>0.125</v>
      </c>
      <c r="Q955" s="45">
        <f t="shared" si="303"/>
        <v>0.125</v>
      </c>
      <c r="R955" s="45">
        <f t="shared" si="304"/>
        <v>0</v>
      </c>
      <c r="S955" s="45">
        <f t="shared" si="305"/>
        <v>0.125</v>
      </c>
      <c r="T955" s="45">
        <f t="shared" si="306"/>
        <v>0.125</v>
      </c>
    </row>
    <row r="956" spans="1:20" x14ac:dyDescent="0.3">
      <c r="A956">
        <f t="shared" si="287"/>
        <v>1</v>
      </c>
      <c r="B956">
        <f t="shared" si="288"/>
        <v>1</v>
      </c>
      <c r="C956">
        <f t="shared" si="289"/>
        <v>1</v>
      </c>
      <c r="D956">
        <f t="shared" si="290"/>
        <v>0</v>
      </c>
      <c r="E956">
        <f t="shared" si="291"/>
        <v>1</v>
      </c>
      <c r="F956">
        <f t="shared" si="292"/>
        <v>1</v>
      </c>
      <c r="G956">
        <f t="shared" si="293"/>
        <v>1</v>
      </c>
      <c r="H956">
        <f t="shared" si="294"/>
        <v>1</v>
      </c>
      <c r="I956">
        <f t="shared" si="295"/>
        <v>0</v>
      </c>
      <c r="J956">
        <f t="shared" si="296"/>
        <v>0</v>
      </c>
      <c r="K956" s="45">
        <f t="shared" si="297"/>
        <v>0.14285714285714285</v>
      </c>
      <c r="L956" s="45">
        <f t="shared" si="298"/>
        <v>0.14285714285714285</v>
      </c>
      <c r="M956" s="45">
        <f t="shared" si="299"/>
        <v>0.14285714285714285</v>
      </c>
      <c r="N956" s="45">
        <f t="shared" si="300"/>
        <v>0</v>
      </c>
      <c r="O956" s="45">
        <f t="shared" si="301"/>
        <v>0.14285714285714285</v>
      </c>
      <c r="P956" s="45">
        <f t="shared" si="302"/>
        <v>0.14285714285714285</v>
      </c>
      <c r="Q956" s="45">
        <f t="shared" si="303"/>
        <v>0.14285714285714285</v>
      </c>
      <c r="R956" s="45">
        <f t="shared" si="304"/>
        <v>0.14285714285714285</v>
      </c>
      <c r="S956" s="45">
        <f t="shared" si="305"/>
        <v>0</v>
      </c>
      <c r="T956" s="45">
        <f t="shared" si="306"/>
        <v>0</v>
      </c>
    </row>
    <row r="957" spans="1:20" x14ac:dyDescent="0.3">
      <c r="A957">
        <f t="shared" si="287"/>
        <v>1</v>
      </c>
      <c r="B957">
        <f t="shared" si="288"/>
        <v>1</v>
      </c>
      <c r="C957">
        <f t="shared" si="289"/>
        <v>1</v>
      </c>
      <c r="D957">
        <f t="shared" si="290"/>
        <v>0</v>
      </c>
      <c r="E957">
        <f t="shared" si="291"/>
        <v>1</v>
      </c>
      <c r="F957">
        <f t="shared" si="292"/>
        <v>1</v>
      </c>
      <c r="G957">
        <f t="shared" si="293"/>
        <v>1</v>
      </c>
      <c r="H957">
        <f t="shared" si="294"/>
        <v>1</v>
      </c>
      <c r="I957">
        <f t="shared" si="295"/>
        <v>0</v>
      </c>
      <c r="J957">
        <f t="shared" si="296"/>
        <v>1</v>
      </c>
      <c r="K957" s="45">
        <f t="shared" si="297"/>
        <v>0.125</v>
      </c>
      <c r="L957" s="45">
        <f t="shared" si="298"/>
        <v>0.125</v>
      </c>
      <c r="M957" s="45">
        <f t="shared" si="299"/>
        <v>0.125</v>
      </c>
      <c r="N957" s="45">
        <f t="shared" si="300"/>
        <v>0</v>
      </c>
      <c r="O957" s="45">
        <f t="shared" si="301"/>
        <v>0.125</v>
      </c>
      <c r="P957" s="45">
        <f t="shared" si="302"/>
        <v>0.125</v>
      </c>
      <c r="Q957" s="45">
        <f t="shared" si="303"/>
        <v>0.125</v>
      </c>
      <c r="R957" s="45">
        <f t="shared" si="304"/>
        <v>0.125</v>
      </c>
      <c r="S957" s="45">
        <f t="shared" si="305"/>
        <v>0</v>
      </c>
      <c r="T957" s="45">
        <f t="shared" si="306"/>
        <v>0.125</v>
      </c>
    </row>
    <row r="958" spans="1:20" x14ac:dyDescent="0.3">
      <c r="A958">
        <f t="shared" si="287"/>
        <v>1</v>
      </c>
      <c r="B958">
        <f t="shared" si="288"/>
        <v>1</v>
      </c>
      <c r="C958">
        <f t="shared" si="289"/>
        <v>1</v>
      </c>
      <c r="D958">
        <f t="shared" si="290"/>
        <v>0</v>
      </c>
      <c r="E958">
        <f t="shared" si="291"/>
        <v>1</v>
      </c>
      <c r="F958">
        <f t="shared" si="292"/>
        <v>1</v>
      </c>
      <c r="G958">
        <f t="shared" si="293"/>
        <v>1</v>
      </c>
      <c r="H958">
        <f t="shared" si="294"/>
        <v>1</v>
      </c>
      <c r="I958">
        <f t="shared" si="295"/>
        <v>1</v>
      </c>
      <c r="J958">
        <f t="shared" si="296"/>
        <v>0</v>
      </c>
      <c r="K958" s="45">
        <f t="shared" si="297"/>
        <v>0.125</v>
      </c>
      <c r="L958" s="45">
        <f t="shared" si="298"/>
        <v>0.125</v>
      </c>
      <c r="M958" s="45">
        <f t="shared" si="299"/>
        <v>0.125</v>
      </c>
      <c r="N958" s="45">
        <f t="shared" si="300"/>
        <v>0</v>
      </c>
      <c r="O958" s="45">
        <f t="shared" si="301"/>
        <v>0.125</v>
      </c>
      <c r="P958" s="45">
        <f t="shared" si="302"/>
        <v>0.125</v>
      </c>
      <c r="Q958" s="45">
        <f t="shared" si="303"/>
        <v>0.125</v>
      </c>
      <c r="R958" s="45">
        <f t="shared" si="304"/>
        <v>0.125</v>
      </c>
      <c r="S958" s="45">
        <f t="shared" si="305"/>
        <v>0.125</v>
      </c>
      <c r="T958" s="45">
        <f t="shared" si="306"/>
        <v>0</v>
      </c>
    </row>
    <row r="959" spans="1:20" x14ac:dyDescent="0.3">
      <c r="A959">
        <f t="shared" si="287"/>
        <v>1</v>
      </c>
      <c r="B959">
        <f t="shared" si="288"/>
        <v>1</v>
      </c>
      <c r="C959">
        <f t="shared" si="289"/>
        <v>1</v>
      </c>
      <c r="D959">
        <f t="shared" si="290"/>
        <v>0</v>
      </c>
      <c r="E959">
        <f t="shared" si="291"/>
        <v>1</v>
      </c>
      <c r="F959">
        <f t="shared" si="292"/>
        <v>1</v>
      </c>
      <c r="G959">
        <f t="shared" si="293"/>
        <v>1</v>
      </c>
      <c r="H959">
        <f t="shared" si="294"/>
        <v>1</v>
      </c>
      <c r="I959">
        <f t="shared" si="295"/>
        <v>1</v>
      </c>
      <c r="J959">
        <f t="shared" si="296"/>
        <v>1</v>
      </c>
      <c r="K959" s="45">
        <f t="shared" si="297"/>
        <v>0.1111111111111111</v>
      </c>
      <c r="L959" s="45">
        <f t="shared" si="298"/>
        <v>0.1111111111111111</v>
      </c>
      <c r="M959" s="45">
        <f t="shared" si="299"/>
        <v>0.1111111111111111</v>
      </c>
      <c r="N959" s="45">
        <f t="shared" si="300"/>
        <v>0</v>
      </c>
      <c r="O959" s="45">
        <f t="shared" si="301"/>
        <v>0.1111111111111111</v>
      </c>
      <c r="P959" s="45">
        <f t="shared" si="302"/>
        <v>0.1111111111111111</v>
      </c>
      <c r="Q959" s="45">
        <f t="shared" si="303"/>
        <v>0.1111111111111111</v>
      </c>
      <c r="R959" s="45">
        <f t="shared" si="304"/>
        <v>0.1111111111111111</v>
      </c>
      <c r="S959" s="45">
        <f t="shared" si="305"/>
        <v>0.1111111111111111</v>
      </c>
      <c r="T959" s="45">
        <f t="shared" si="306"/>
        <v>0.1111111111111111</v>
      </c>
    </row>
    <row r="960" spans="1:20" x14ac:dyDescent="0.3">
      <c r="A960">
        <f t="shared" si="287"/>
        <v>1</v>
      </c>
      <c r="B960">
        <f t="shared" si="288"/>
        <v>1</v>
      </c>
      <c r="C960">
        <f t="shared" si="289"/>
        <v>1</v>
      </c>
      <c r="D960">
        <f t="shared" si="290"/>
        <v>1</v>
      </c>
      <c r="E960">
        <f t="shared" si="291"/>
        <v>0</v>
      </c>
      <c r="F960">
        <f t="shared" si="292"/>
        <v>0</v>
      </c>
      <c r="G960">
        <f t="shared" si="293"/>
        <v>0</v>
      </c>
      <c r="H960">
        <f t="shared" si="294"/>
        <v>0</v>
      </c>
      <c r="I960">
        <f t="shared" si="295"/>
        <v>0</v>
      </c>
      <c r="J960">
        <f t="shared" si="296"/>
        <v>0</v>
      </c>
      <c r="K960" s="45">
        <f t="shared" si="297"/>
        <v>0.25</v>
      </c>
      <c r="L960" s="45">
        <f t="shared" si="298"/>
        <v>0.25</v>
      </c>
      <c r="M960" s="45">
        <f t="shared" si="299"/>
        <v>0.25</v>
      </c>
      <c r="N960" s="45">
        <f t="shared" si="300"/>
        <v>0.25</v>
      </c>
      <c r="O960" s="45">
        <f t="shared" si="301"/>
        <v>0</v>
      </c>
      <c r="P960" s="45">
        <f t="shared" si="302"/>
        <v>0</v>
      </c>
      <c r="Q960" s="45">
        <f t="shared" si="303"/>
        <v>0</v>
      </c>
      <c r="R960" s="45">
        <f t="shared" si="304"/>
        <v>0</v>
      </c>
      <c r="S960" s="45">
        <f t="shared" si="305"/>
        <v>0</v>
      </c>
      <c r="T960" s="45">
        <f t="shared" si="306"/>
        <v>0</v>
      </c>
    </row>
    <row r="961" spans="1:20" x14ac:dyDescent="0.3">
      <c r="A961">
        <f t="shared" si="287"/>
        <v>1</v>
      </c>
      <c r="B961">
        <f t="shared" si="288"/>
        <v>1</v>
      </c>
      <c r="C961">
        <f t="shared" si="289"/>
        <v>1</v>
      </c>
      <c r="D961">
        <f t="shared" si="290"/>
        <v>1</v>
      </c>
      <c r="E961">
        <f t="shared" si="291"/>
        <v>0</v>
      </c>
      <c r="F961">
        <f t="shared" si="292"/>
        <v>0</v>
      </c>
      <c r="G961">
        <f t="shared" si="293"/>
        <v>0</v>
      </c>
      <c r="H961">
        <f t="shared" si="294"/>
        <v>0</v>
      </c>
      <c r="I961">
        <f t="shared" si="295"/>
        <v>0</v>
      </c>
      <c r="J961">
        <f t="shared" si="296"/>
        <v>1</v>
      </c>
      <c r="K961" s="45">
        <f t="shared" si="297"/>
        <v>0.2</v>
      </c>
      <c r="L961" s="45">
        <f t="shared" si="298"/>
        <v>0.2</v>
      </c>
      <c r="M961" s="45">
        <f t="shared" si="299"/>
        <v>0.2</v>
      </c>
      <c r="N961" s="45">
        <f t="shared" si="300"/>
        <v>0.2</v>
      </c>
      <c r="O961" s="45">
        <f t="shared" si="301"/>
        <v>0</v>
      </c>
      <c r="P961" s="45">
        <f t="shared" si="302"/>
        <v>0</v>
      </c>
      <c r="Q961" s="45">
        <f t="shared" si="303"/>
        <v>0</v>
      </c>
      <c r="R961" s="45">
        <f t="shared" si="304"/>
        <v>0</v>
      </c>
      <c r="S961" s="45">
        <f t="shared" si="305"/>
        <v>0</v>
      </c>
      <c r="T961" s="45">
        <f t="shared" si="306"/>
        <v>0.2</v>
      </c>
    </row>
    <row r="962" spans="1:20" x14ac:dyDescent="0.3">
      <c r="A962">
        <f t="shared" ref="A962:A1023" si="307">INT( MOD(ROW()+0,1024)/512)</f>
        <v>1</v>
      </c>
      <c r="B962">
        <f t="shared" ref="B962:B1023" si="308">INT( MOD(ROW()+0,512)/256)</f>
        <v>1</v>
      </c>
      <c r="C962">
        <f t="shared" ref="C962:C1023" si="309">INT( MOD(ROW()+0,256)/128)</f>
        <v>1</v>
      </c>
      <c r="D962">
        <f t="shared" ref="D962:D1023" si="310">INT( MOD(ROW()+0,128)/64)</f>
        <v>1</v>
      </c>
      <c r="E962">
        <f t="shared" ref="E962:E1023" si="311">INT( MOD(ROW()+0,64)/32)</f>
        <v>0</v>
      </c>
      <c r="F962">
        <f t="shared" ref="F962:F1023" si="312">INT( MOD(ROW()+0,32)/16)</f>
        <v>0</v>
      </c>
      <c r="G962">
        <f t="shared" ref="G962:G1023" si="313">INT( MOD(ROW()+0,16)/8)</f>
        <v>0</v>
      </c>
      <c r="H962">
        <f t="shared" ref="H962:H1023" si="314">INT( MOD(ROW()+0,8)/4)</f>
        <v>0</v>
      </c>
      <c r="I962">
        <f t="shared" ref="I962:I1023" si="315">INT( MOD(ROW()+0,4)/2)</f>
        <v>1</v>
      </c>
      <c r="J962">
        <f t="shared" ref="J962:J1023" si="316">INT( MOD(ROW()+0,2)/1)</f>
        <v>0</v>
      </c>
      <c r="K962" s="45">
        <f t="shared" ref="K962:K1023" si="317">A962/SUM($A962:$J962)</f>
        <v>0.2</v>
      </c>
      <c r="L962" s="45">
        <f t="shared" ref="L962:L1023" si="318">B962/SUM($A962:$J962)</f>
        <v>0.2</v>
      </c>
      <c r="M962" s="45">
        <f t="shared" ref="M962:M1023" si="319">C962/SUM($A962:$J962)</f>
        <v>0.2</v>
      </c>
      <c r="N962" s="45">
        <f t="shared" ref="N962:N1023" si="320">D962/SUM($A962:$J962)</f>
        <v>0.2</v>
      </c>
      <c r="O962" s="45">
        <f t="shared" ref="O962:O1023" si="321">E962/SUM($A962:$J962)</f>
        <v>0</v>
      </c>
      <c r="P962" s="45">
        <f t="shared" ref="P962:P1023" si="322">F962/SUM($A962:$J962)</f>
        <v>0</v>
      </c>
      <c r="Q962" s="45">
        <f t="shared" ref="Q962:Q1023" si="323">G962/SUM($A962:$J962)</f>
        <v>0</v>
      </c>
      <c r="R962" s="45">
        <f t="shared" ref="R962:R1023" si="324">H962/SUM($A962:$J962)</f>
        <v>0</v>
      </c>
      <c r="S962" s="45">
        <f t="shared" ref="S962:S1023" si="325">I962/SUM($A962:$J962)</f>
        <v>0.2</v>
      </c>
      <c r="T962" s="45">
        <f t="shared" ref="T962:T1023" si="326">J962/SUM($A962:$J962)</f>
        <v>0</v>
      </c>
    </row>
    <row r="963" spans="1:20" x14ac:dyDescent="0.3">
      <c r="A963">
        <f t="shared" si="307"/>
        <v>1</v>
      </c>
      <c r="B963">
        <f t="shared" si="308"/>
        <v>1</v>
      </c>
      <c r="C963">
        <f t="shared" si="309"/>
        <v>1</v>
      </c>
      <c r="D963">
        <f t="shared" si="310"/>
        <v>1</v>
      </c>
      <c r="E963">
        <f t="shared" si="311"/>
        <v>0</v>
      </c>
      <c r="F963">
        <f t="shared" si="312"/>
        <v>0</v>
      </c>
      <c r="G963">
        <f t="shared" si="313"/>
        <v>0</v>
      </c>
      <c r="H963">
        <f t="shared" si="314"/>
        <v>0</v>
      </c>
      <c r="I963">
        <f t="shared" si="315"/>
        <v>1</v>
      </c>
      <c r="J963">
        <f t="shared" si="316"/>
        <v>1</v>
      </c>
      <c r="K963" s="45">
        <f t="shared" si="317"/>
        <v>0.16666666666666666</v>
      </c>
      <c r="L963" s="45">
        <f t="shared" si="318"/>
        <v>0.16666666666666666</v>
      </c>
      <c r="M963" s="45">
        <f t="shared" si="319"/>
        <v>0.16666666666666666</v>
      </c>
      <c r="N963" s="45">
        <f t="shared" si="320"/>
        <v>0.16666666666666666</v>
      </c>
      <c r="O963" s="45">
        <f t="shared" si="321"/>
        <v>0</v>
      </c>
      <c r="P963" s="45">
        <f t="shared" si="322"/>
        <v>0</v>
      </c>
      <c r="Q963" s="45">
        <f t="shared" si="323"/>
        <v>0</v>
      </c>
      <c r="R963" s="45">
        <f t="shared" si="324"/>
        <v>0</v>
      </c>
      <c r="S963" s="45">
        <f t="shared" si="325"/>
        <v>0.16666666666666666</v>
      </c>
      <c r="T963" s="45">
        <f t="shared" si="326"/>
        <v>0.16666666666666666</v>
      </c>
    </row>
    <row r="964" spans="1:20" x14ac:dyDescent="0.3">
      <c r="A964">
        <f t="shared" si="307"/>
        <v>1</v>
      </c>
      <c r="B964">
        <f t="shared" si="308"/>
        <v>1</v>
      </c>
      <c r="C964">
        <f t="shared" si="309"/>
        <v>1</v>
      </c>
      <c r="D964">
        <f t="shared" si="310"/>
        <v>1</v>
      </c>
      <c r="E964">
        <f t="shared" si="311"/>
        <v>0</v>
      </c>
      <c r="F964">
        <f t="shared" si="312"/>
        <v>0</v>
      </c>
      <c r="G964">
        <f t="shared" si="313"/>
        <v>0</v>
      </c>
      <c r="H964">
        <f t="shared" si="314"/>
        <v>1</v>
      </c>
      <c r="I964">
        <f t="shared" si="315"/>
        <v>0</v>
      </c>
      <c r="J964">
        <f t="shared" si="316"/>
        <v>0</v>
      </c>
      <c r="K964" s="45">
        <f t="shared" si="317"/>
        <v>0.2</v>
      </c>
      <c r="L964" s="45">
        <f t="shared" si="318"/>
        <v>0.2</v>
      </c>
      <c r="M964" s="45">
        <f t="shared" si="319"/>
        <v>0.2</v>
      </c>
      <c r="N964" s="45">
        <f t="shared" si="320"/>
        <v>0.2</v>
      </c>
      <c r="O964" s="45">
        <f t="shared" si="321"/>
        <v>0</v>
      </c>
      <c r="P964" s="45">
        <f t="shared" si="322"/>
        <v>0</v>
      </c>
      <c r="Q964" s="45">
        <f t="shared" si="323"/>
        <v>0</v>
      </c>
      <c r="R964" s="45">
        <f t="shared" si="324"/>
        <v>0.2</v>
      </c>
      <c r="S964" s="45">
        <f t="shared" si="325"/>
        <v>0</v>
      </c>
      <c r="T964" s="45">
        <f t="shared" si="326"/>
        <v>0</v>
      </c>
    </row>
    <row r="965" spans="1:20" x14ac:dyDescent="0.3">
      <c r="A965">
        <f t="shared" si="307"/>
        <v>1</v>
      </c>
      <c r="B965">
        <f t="shared" si="308"/>
        <v>1</v>
      </c>
      <c r="C965">
        <f t="shared" si="309"/>
        <v>1</v>
      </c>
      <c r="D965">
        <f t="shared" si="310"/>
        <v>1</v>
      </c>
      <c r="E965">
        <f t="shared" si="311"/>
        <v>0</v>
      </c>
      <c r="F965">
        <f t="shared" si="312"/>
        <v>0</v>
      </c>
      <c r="G965">
        <f t="shared" si="313"/>
        <v>0</v>
      </c>
      <c r="H965">
        <f t="shared" si="314"/>
        <v>1</v>
      </c>
      <c r="I965">
        <f t="shared" si="315"/>
        <v>0</v>
      </c>
      <c r="J965">
        <f t="shared" si="316"/>
        <v>1</v>
      </c>
      <c r="K965" s="45">
        <f t="shared" si="317"/>
        <v>0.16666666666666666</v>
      </c>
      <c r="L965" s="45">
        <f t="shared" si="318"/>
        <v>0.16666666666666666</v>
      </c>
      <c r="M965" s="45">
        <f t="shared" si="319"/>
        <v>0.16666666666666666</v>
      </c>
      <c r="N965" s="45">
        <f t="shared" si="320"/>
        <v>0.16666666666666666</v>
      </c>
      <c r="O965" s="45">
        <f t="shared" si="321"/>
        <v>0</v>
      </c>
      <c r="P965" s="45">
        <f t="shared" si="322"/>
        <v>0</v>
      </c>
      <c r="Q965" s="45">
        <f t="shared" si="323"/>
        <v>0</v>
      </c>
      <c r="R965" s="45">
        <f t="shared" si="324"/>
        <v>0.16666666666666666</v>
      </c>
      <c r="S965" s="45">
        <f t="shared" si="325"/>
        <v>0</v>
      </c>
      <c r="T965" s="45">
        <f t="shared" si="326"/>
        <v>0.16666666666666666</v>
      </c>
    </row>
    <row r="966" spans="1:20" x14ac:dyDescent="0.3">
      <c r="A966">
        <f t="shared" si="307"/>
        <v>1</v>
      </c>
      <c r="B966">
        <f t="shared" si="308"/>
        <v>1</v>
      </c>
      <c r="C966">
        <f t="shared" si="309"/>
        <v>1</v>
      </c>
      <c r="D966">
        <f t="shared" si="310"/>
        <v>1</v>
      </c>
      <c r="E966">
        <f t="shared" si="311"/>
        <v>0</v>
      </c>
      <c r="F966">
        <f t="shared" si="312"/>
        <v>0</v>
      </c>
      <c r="G966">
        <f t="shared" si="313"/>
        <v>0</v>
      </c>
      <c r="H966">
        <f t="shared" si="314"/>
        <v>1</v>
      </c>
      <c r="I966">
        <f t="shared" si="315"/>
        <v>1</v>
      </c>
      <c r="J966">
        <f t="shared" si="316"/>
        <v>0</v>
      </c>
      <c r="K966" s="45">
        <f t="shared" si="317"/>
        <v>0.16666666666666666</v>
      </c>
      <c r="L966" s="45">
        <f t="shared" si="318"/>
        <v>0.16666666666666666</v>
      </c>
      <c r="M966" s="45">
        <f t="shared" si="319"/>
        <v>0.16666666666666666</v>
      </c>
      <c r="N966" s="45">
        <f t="shared" si="320"/>
        <v>0.16666666666666666</v>
      </c>
      <c r="O966" s="45">
        <f t="shared" si="321"/>
        <v>0</v>
      </c>
      <c r="P966" s="45">
        <f t="shared" si="322"/>
        <v>0</v>
      </c>
      <c r="Q966" s="45">
        <f t="shared" si="323"/>
        <v>0</v>
      </c>
      <c r="R966" s="45">
        <f t="shared" si="324"/>
        <v>0.16666666666666666</v>
      </c>
      <c r="S966" s="45">
        <f t="shared" si="325"/>
        <v>0.16666666666666666</v>
      </c>
      <c r="T966" s="45">
        <f t="shared" si="326"/>
        <v>0</v>
      </c>
    </row>
    <row r="967" spans="1:20" x14ac:dyDescent="0.3">
      <c r="A967">
        <f t="shared" si="307"/>
        <v>1</v>
      </c>
      <c r="B967">
        <f t="shared" si="308"/>
        <v>1</v>
      </c>
      <c r="C967">
        <f t="shared" si="309"/>
        <v>1</v>
      </c>
      <c r="D967">
        <f t="shared" si="310"/>
        <v>1</v>
      </c>
      <c r="E967">
        <f t="shared" si="311"/>
        <v>0</v>
      </c>
      <c r="F967">
        <f t="shared" si="312"/>
        <v>0</v>
      </c>
      <c r="G967">
        <f t="shared" si="313"/>
        <v>0</v>
      </c>
      <c r="H967">
        <f t="shared" si="314"/>
        <v>1</v>
      </c>
      <c r="I967">
        <f t="shared" si="315"/>
        <v>1</v>
      </c>
      <c r="J967">
        <f t="shared" si="316"/>
        <v>1</v>
      </c>
      <c r="K967" s="45">
        <f t="shared" si="317"/>
        <v>0.14285714285714285</v>
      </c>
      <c r="L967" s="45">
        <f t="shared" si="318"/>
        <v>0.14285714285714285</v>
      </c>
      <c r="M967" s="45">
        <f t="shared" si="319"/>
        <v>0.14285714285714285</v>
      </c>
      <c r="N967" s="45">
        <f t="shared" si="320"/>
        <v>0.14285714285714285</v>
      </c>
      <c r="O967" s="45">
        <f t="shared" si="321"/>
        <v>0</v>
      </c>
      <c r="P967" s="45">
        <f t="shared" si="322"/>
        <v>0</v>
      </c>
      <c r="Q967" s="45">
        <f t="shared" si="323"/>
        <v>0</v>
      </c>
      <c r="R967" s="45">
        <f t="shared" si="324"/>
        <v>0.14285714285714285</v>
      </c>
      <c r="S967" s="45">
        <f t="shared" si="325"/>
        <v>0.14285714285714285</v>
      </c>
      <c r="T967" s="45">
        <f t="shared" si="326"/>
        <v>0.14285714285714285</v>
      </c>
    </row>
    <row r="968" spans="1:20" x14ac:dyDescent="0.3">
      <c r="A968">
        <f t="shared" si="307"/>
        <v>1</v>
      </c>
      <c r="B968">
        <f t="shared" si="308"/>
        <v>1</v>
      </c>
      <c r="C968">
        <f t="shared" si="309"/>
        <v>1</v>
      </c>
      <c r="D968">
        <f t="shared" si="310"/>
        <v>1</v>
      </c>
      <c r="E968">
        <f t="shared" si="311"/>
        <v>0</v>
      </c>
      <c r="F968">
        <f t="shared" si="312"/>
        <v>0</v>
      </c>
      <c r="G968">
        <f t="shared" si="313"/>
        <v>1</v>
      </c>
      <c r="H968">
        <f t="shared" si="314"/>
        <v>0</v>
      </c>
      <c r="I968">
        <f t="shared" si="315"/>
        <v>0</v>
      </c>
      <c r="J968">
        <f t="shared" si="316"/>
        <v>0</v>
      </c>
      <c r="K968" s="45">
        <f t="shared" si="317"/>
        <v>0.2</v>
      </c>
      <c r="L968" s="45">
        <f t="shared" si="318"/>
        <v>0.2</v>
      </c>
      <c r="M968" s="45">
        <f t="shared" si="319"/>
        <v>0.2</v>
      </c>
      <c r="N968" s="45">
        <f t="shared" si="320"/>
        <v>0.2</v>
      </c>
      <c r="O968" s="45">
        <f t="shared" si="321"/>
        <v>0</v>
      </c>
      <c r="P968" s="45">
        <f t="shared" si="322"/>
        <v>0</v>
      </c>
      <c r="Q968" s="45">
        <f t="shared" si="323"/>
        <v>0.2</v>
      </c>
      <c r="R968" s="45">
        <f t="shared" si="324"/>
        <v>0</v>
      </c>
      <c r="S968" s="45">
        <f t="shared" si="325"/>
        <v>0</v>
      </c>
      <c r="T968" s="45">
        <f t="shared" si="326"/>
        <v>0</v>
      </c>
    </row>
    <row r="969" spans="1:20" x14ac:dyDescent="0.3">
      <c r="A969">
        <f t="shared" si="307"/>
        <v>1</v>
      </c>
      <c r="B969">
        <f t="shared" si="308"/>
        <v>1</v>
      </c>
      <c r="C969">
        <f t="shared" si="309"/>
        <v>1</v>
      </c>
      <c r="D969">
        <f t="shared" si="310"/>
        <v>1</v>
      </c>
      <c r="E969">
        <f t="shared" si="311"/>
        <v>0</v>
      </c>
      <c r="F969">
        <f t="shared" si="312"/>
        <v>0</v>
      </c>
      <c r="G969">
        <f t="shared" si="313"/>
        <v>1</v>
      </c>
      <c r="H969">
        <f t="shared" si="314"/>
        <v>0</v>
      </c>
      <c r="I969">
        <f t="shared" si="315"/>
        <v>0</v>
      </c>
      <c r="J969">
        <f t="shared" si="316"/>
        <v>1</v>
      </c>
      <c r="K969" s="45">
        <f t="shared" si="317"/>
        <v>0.16666666666666666</v>
      </c>
      <c r="L969" s="45">
        <f t="shared" si="318"/>
        <v>0.16666666666666666</v>
      </c>
      <c r="M969" s="45">
        <f t="shared" si="319"/>
        <v>0.16666666666666666</v>
      </c>
      <c r="N969" s="45">
        <f t="shared" si="320"/>
        <v>0.16666666666666666</v>
      </c>
      <c r="O969" s="45">
        <f t="shared" si="321"/>
        <v>0</v>
      </c>
      <c r="P969" s="45">
        <f t="shared" si="322"/>
        <v>0</v>
      </c>
      <c r="Q969" s="45">
        <f t="shared" si="323"/>
        <v>0.16666666666666666</v>
      </c>
      <c r="R969" s="45">
        <f t="shared" si="324"/>
        <v>0</v>
      </c>
      <c r="S969" s="45">
        <f t="shared" si="325"/>
        <v>0</v>
      </c>
      <c r="T969" s="45">
        <f t="shared" si="326"/>
        <v>0.16666666666666666</v>
      </c>
    </row>
    <row r="970" spans="1:20" x14ac:dyDescent="0.3">
      <c r="A970">
        <f t="shared" si="307"/>
        <v>1</v>
      </c>
      <c r="B970">
        <f t="shared" si="308"/>
        <v>1</v>
      </c>
      <c r="C970">
        <f t="shared" si="309"/>
        <v>1</v>
      </c>
      <c r="D970">
        <f t="shared" si="310"/>
        <v>1</v>
      </c>
      <c r="E970">
        <f t="shared" si="311"/>
        <v>0</v>
      </c>
      <c r="F970">
        <f t="shared" si="312"/>
        <v>0</v>
      </c>
      <c r="G970">
        <f t="shared" si="313"/>
        <v>1</v>
      </c>
      <c r="H970">
        <f t="shared" si="314"/>
        <v>0</v>
      </c>
      <c r="I970">
        <f t="shared" si="315"/>
        <v>1</v>
      </c>
      <c r="J970">
        <f t="shared" si="316"/>
        <v>0</v>
      </c>
      <c r="K970" s="45">
        <f t="shared" si="317"/>
        <v>0.16666666666666666</v>
      </c>
      <c r="L970" s="45">
        <f t="shared" si="318"/>
        <v>0.16666666666666666</v>
      </c>
      <c r="M970" s="45">
        <f t="shared" si="319"/>
        <v>0.16666666666666666</v>
      </c>
      <c r="N970" s="45">
        <f t="shared" si="320"/>
        <v>0.16666666666666666</v>
      </c>
      <c r="O970" s="45">
        <f t="shared" si="321"/>
        <v>0</v>
      </c>
      <c r="P970" s="45">
        <f t="shared" si="322"/>
        <v>0</v>
      </c>
      <c r="Q970" s="45">
        <f t="shared" si="323"/>
        <v>0.16666666666666666</v>
      </c>
      <c r="R970" s="45">
        <f t="shared" si="324"/>
        <v>0</v>
      </c>
      <c r="S970" s="45">
        <f t="shared" si="325"/>
        <v>0.16666666666666666</v>
      </c>
      <c r="T970" s="45">
        <f t="shared" si="326"/>
        <v>0</v>
      </c>
    </row>
    <row r="971" spans="1:20" x14ac:dyDescent="0.3">
      <c r="A971">
        <f t="shared" si="307"/>
        <v>1</v>
      </c>
      <c r="B971">
        <f t="shared" si="308"/>
        <v>1</v>
      </c>
      <c r="C971">
        <f t="shared" si="309"/>
        <v>1</v>
      </c>
      <c r="D971">
        <f t="shared" si="310"/>
        <v>1</v>
      </c>
      <c r="E971">
        <f t="shared" si="311"/>
        <v>0</v>
      </c>
      <c r="F971">
        <f t="shared" si="312"/>
        <v>0</v>
      </c>
      <c r="G971">
        <f t="shared" si="313"/>
        <v>1</v>
      </c>
      <c r="H971">
        <f t="shared" si="314"/>
        <v>0</v>
      </c>
      <c r="I971">
        <f t="shared" si="315"/>
        <v>1</v>
      </c>
      <c r="J971">
        <f t="shared" si="316"/>
        <v>1</v>
      </c>
      <c r="K971" s="45">
        <f t="shared" si="317"/>
        <v>0.14285714285714285</v>
      </c>
      <c r="L971" s="45">
        <f t="shared" si="318"/>
        <v>0.14285714285714285</v>
      </c>
      <c r="M971" s="45">
        <f t="shared" si="319"/>
        <v>0.14285714285714285</v>
      </c>
      <c r="N971" s="45">
        <f t="shared" si="320"/>
        <v>0.14285714285714285</v>
      </c>
      <c r="O971" s="45">
        <f t="shared" si="321"/>
        <v>0</v>
      </c>
      <c r="P971" s="45">
        <f t="shared" si="322"/>
        <v>0</v>
      </c>
      <c r="Q971" s="45">
        <f t="shared" si="323"/>
        <v>0.14285714285714285</v>
      </c>
      <c r="R971" s="45">
        <f t="shared" si="324"/>
        <v>0</v>
      </c>
      <c r="S971" s="45">
        <f t="shared" si="325"/>
        <v>0.14285714285714285</v>
      </c>
      <c r="T971" s="45">
        <f t="shared" si="326"/>
        <v>0.14285714285714285</v>
      </c>
    </row>
    <row r="972" spans="1:20" x14ac:dyDescent="0.3">
      <c r="A972">
        <f t="shared" si="307"/>
        <v>1</v>
      </c>
      <c r="B972">
        <f t="shared" si="308"/>
        <v>1</v>
      </c>
      <c r="C972">
        <f t="shared" si="309"/>
        <v>1</v>
      </c>
      <c r="D972">
        <f t="shared" si="310"/>
        <v>1</v>
      </c>
      <c r="E972">
        <f t="shared" si="311"/>
        <v>0</v>
      </c>
      <c r="F972">
        <f t="shared" si="312"/>
        <v>0</v>
      </c>
      <c r="G972">
        <f t="shared" si="313"/>
        <v>1</v>
      </c>
      <c r="H972">
        <f t="shared" si="314"/>
        <v>1</v>
      </c>
      <c r="I972">
        <f t="shared" si="315"/>
        <v>0</v>
      </c>
      <c r="J972">
        <f t="shared" si="316"/>
        <v>0</v>
      </c>
      <c r="K972" s="45">
        <f t="shared" si="317"/>
        <v>0.16666666666666666</v>
      </c>
      <c r="L972" s="45">
        <f t="shared" si="318"/>
        <v>0.16666666666666666</v>
      </c>
      <c r="M972" s="45">
        <f t="shared" si="319"/>
        <v>0.16666666666666666</v>
      </c>
      <c r="N972" s="45">
        <f t="shared" si="320"/>
        <v>0.16666666666666666</v>
      </c>
      <c r="O972" s="45">
        <f t="shared" si="321"/>
        <v>0</v>
      </c>
      <c r="P972" s="45">
        <f t="shared" si="322"/>
        <v>0</v>
      </c>
      <c r="Q972" s="45">
        <f t="shared" si="323"/>
        <v>0.16666666666666666</v>
      </c>
      <c r="R972" s="45">
        <f t="shared" si="324"/>
        <v>0.16666666666666666</v>
      </c>
      <c r="S972" s="45">
        <f t="shared" si="325"/>
        <v>0</v>
      </c>
      <c r="T972" s="45">
        <f t="shared" si="326"/>
        <v>0</v>
      </c>
    </row>
    <row r="973" spans="1:20" x14ac:dyDescent="0.3">
      <c r="A973">
        <f t="shared" si="307"/>
        <v>1</v>
      </c>
      <c r="B973">
        <f t="shared" si="308"/>
        <v>1</v>
      </c>
      <c r="C973">
        <f t="shared" si="309"/>
        <v>1</v>
      </c>
      <c r="D973">
        <f t="shared" si="310"/>
        <v>1</v>
      </c>
      <c r="E973">
        <f t="shared" si="311"/>
        <v>0</v>
      </c>
      <c r="F973">
        <f t="shared" si="312"/>
        <v>0</v>
      </c>
      <c r="G973">
        <f t="shared" si="313"/>
        <v>1</v>
      </c>
      <c r="H973">
        <f t="shared" si="314"/>
        <v>1</v>
      </c>
      <c r="I973">
        <f t="shared" si="315"/>
        <v>0</v>
      </c>
      <c r="J973">
        <f t="shared" si="316"/>
        <v>1</v>
      </c>
      <c r="K973" s="45">
        <f t="shared" si="317"/>
        <v>0.14285714285714285</v>
      </c>
      <c r="L973" s="45">
        <f t="shared" si="318"/>
        <v>0.14285714285714285</v>
      </c>
      <c r="M973" s="45">
        <f t="shared" si="319"/>
        <v>0.14285714285714285</v>
      </c>
      <c r="N973" s="45">
        <f t="shared" si="320"/>
        <v>0.14285714285714285</v>
      </c>
      <c r="O973" s="45">
        <f t="shared" si="321"/>
        <v>0</v>
      </c>
      <c r="P973" s="45">
        <f t="shared" si="322"/>
        <v>0</v>
      </c>
      <c r="Q973" s="45">
        <f t="shared" si="323"/>
        <v>0.14285714285714285</v>
      </c>
      <c r="R973" s="45">
        <f t="shared" si="324"/>
        <v>0.14285714285714285</v>
      </c>
      <c r="S973" s="45">
        <f t="shared" si="325"/>
        <v>0</v>
      </c>
      <c r="T973" s="45">
        <f t="shared" si="326"/>
        <v>0.14285714285714285</v>
      </c>
    </row>
    <row r="974" spans="1:20" x14ac:dyDescent="0.3">
      <c r="A974">
        <f t="shared" si="307"/>
        <v>1</v>
      </c>
      <c r="B974">
        <f t="shared" si="308"/>
        <v>1</v>
      </c>
      <c r="C974">
        <f t="shared" si="309"/>
        <v>1</v>
      </c>
      <c r="D974">
        <f t="shared" si="310"/>
        <v>1</v>
      </c>
      <c r="E974">
        <f t="shared" si="311"/>
        <v>0</v>
      </c>
      <c r="F974">
        <f t="shared" si="312"/>
        <v>0</v>
      </c>
      <c r="G974">
        <f t="shared" si="313"/>
        <v>1</v>
      </c>
      <c r="H974">
        <f t="shared" si="314"/>
        <v>1</v>
      </c>
      <c r="I974">
        <f t="shared" si="315"/>
        <v>1</v>
      </c>
      <c r="J974">
        <f t="shared" si="316"/>
        <v>0</v>
      </c>
      <c r="K974" s="45">
        <f t="shared" si="317"/>
        <v>0.14285714285714285</v>
      </c>
      <c r="L974" s="45">
        <f t="shared" si="318"/>
        <v>0.14285714285714285</v>
      </c>
      <c r="M974" s="45">
        <f t="shared" si="319"/>
        <v>0.14285714285714285</v>
      </c>
      <c r="N974" s="45">
        <f t="shared" si="320"/>
        <v>0.14285714285714285</v>
      </c>
      <c r="O974" s="45">
        <f t="shared" si="321"/>
        <v>0</v>
      </c>
      <c r="P974" s="45">
        <f t="shared" si="322"/>
        <v>0</v>
      </c>
      <c r="Q974" s="45">
        <f t="shared" si="323"/>
        <v>0.14285714285714285</v>
      </c>
      <c r="R974" s="45">
        <f t="shared" si="324"/>
        <v>0.14285714285714285</v>
      </c>
      <c r="S974" s="45">
        <f t="shared" si="325"/>
        <v>0.14285714285714285</v>
      </c>
      <c r="T974" s="45">
        <f t="shared" si="326"/>
        <v>0</v>
      </c>
    </row>
    <row r="975" spans="1:20" x14ac:dyDescent="0.3">
      <c r="A975">
        <f t="shared" si="307"/>
        <v>1</v>
      </c>
      <c r="B975">
        <f t="shared" si="308"/>
        <v>1</v>
      </c>
      <c r="C975">
        <f t="shared" si="309"/>
        <v>1</v>
      </c>
      <c r="D975">
        <f t="shared" si="310"/>
        <v>1</v>
      </c>
      <c r="E975">
        <f t="shared" si="311"/>
        <v>0</v>
      </c>
      <c r="F975">
        <f t="shared" si="312"/>
        <v>0</v>
      </c>
      <c r="G975">
        <f t="shared" si="313"/>
        <v>1</v>
      </c>
      <c r="H975">
        <f t="shared" si="314"/>
        <v>1</v>
      </c>
      <c r="I975">
        <f t="shared" si="315"/>
        <v>1</v>
      </c>
      <c r="J975">
        <f t="shared" si="316"/>
        <v>1</v>
      </c>
      <c r="K975" s="45">
        <f t="shared" si="317"/>
        <v>0.125</v>
      </c>
      <c r="L975" s="45">
        <f t="shared" si="318"/>
        <v>0.125</v>
      </c>
      <c r="M975" s="45">
        <f t="shared" si="319"/>
        <v>0.125</v>
      </c>
      <c r="N975" s="45">
        <f t="shared" si="320"/>
        <v>0.125</v>
      </c>
      <c r="O975" s="45">
        <f t="shared" si="321"/>
        <v>0</v>
      </c>
      <c r="P975" s="45">
        <f t="shared" si="322"/>
        <v>0</v>
      </c>
      <c r="Q975" s="45">
        <f t="shared" si="323"/>
        <v>0.125</v>
      </c>
      <c r="R975" s="45">
        <f t="shared" si="324"/>
        <v>0.125</v>
      </c>
      <c r="S975" s="45">
        <f t="shared" si="325"/>
        <v>0.125</v>
      </c>
      <c r="T975" s="45">
        <f t="shared" si="326"/>
        <v>0.125</v>
      </c>
    </row>
    <row r="976" spans="1:20" x14ac:dyDescent="0.3">
      <c r="A976">
        <f t="shared" si="307"/>
        <v>1</v>
      </c>
      <c r="B976">
        <f t="shared" si="308"/>
        <v>1</v>
      </c>
      <c r="C976">
        <f t="shared" si="309"/>
        <v>1</v>
      </c>
      <c r="D976">
        <f t="shared" si="310"/>
        <v>1</v>
      </c>
      <c r="E976">
        <f t="shared" si="311"/>
        <v>0</v>
      </c>
      <c r="F976">
        <f t="shared" si="312"/>
        <v>1</v>
      </c>
      <c r="G976">
        <f t="shared" si="313"/>
        <v>0</v>
      </c>
      <c r="H976">
        <f t="shared" si="314"/>
        <v>0</v>
      </c>
      <c r="I976">
        <f t="shared" si="315"/>
        <v>0</v>
      </c>
      <c r="J976">
        <f t="shared" si="316"/>
        <v>0</v>
      </c>
      <c r="K976" s="45">
        <f t="shared" si="317"/>
        <v>0.2</v>
      </c>
      <c r="L976" s="45">
        <f t="shared" si="318"/>
        <v>0.2</v>
      </c>
      <c r="M976" s="45">
        <f t="shared" si="319"/>
        <v>0.2</v>
      </c>
      <c r="N976" s="45">
        <f t="shared" si="320"/>
        <v>0.2</v>
      </c>
      <c r="O976" s="45">
        <f t="shared" si="321"/>
        <v>0</v>
      </c>
      <c r="P976" s="45">
        <f t="shared" si="322"/>
        <v>0.2</v>
      </c>
      <c r="Q976" s="45">
        <f t="shared" si="323"/>
        <v>0</v>
      </c>
      <c r="R976" s="45">
        <f t="shared" si="324"/>
        <v>0</v>
      </c>
      <c r="S976" s="45">
        <f t="shared" si="325"/>
        <v>0</v>
      </c>
      <c r="T976" s="45">
        <f t="shared" si="326"/>
        <v>0</v>
      </c>
    </row>
    <row r="977" spans="1:20" x14ac:dyDescent="0.3">
      <c r="A977">
        <f t="shared" si="307"/>
        <v>1</v>
      </c>
      <c r="B977">
        <f t="shared" si="308"/>
        <v>1</v>
      </c>
      <c r="C977">
        <f t="shared" si="309"/>
        <v>1</v>
      </c>
      <c r="D977">
        <f t="shared" si="310"/>
        <v>1</v>
      </c>
      <c r="E977">
        <f t="shared" si="311"/>
        <v>0</v>
      </c>
      <c r="F977">
        <f t="shared" si="312"/>
        <v>1</v>
      </c>
      <c r="G977">
        <f t="shared" si="313"/>
        <v>0</v>
      </c>
      <c r="H977">
        <f t="shared" si="314"/>
        <v>0</v>
      </c>
      <c r="I977">
        <f t="shared" si="315"/>
        <v>0</v>
      </c>
      <c r="J977">
        <f t="shared" si="316"/>
        <v>1</v>
      </c>
      <c r="K977" s="45">
        <f t="shared" si="317"/>
        <v>0.16666666666666666</v>
      </c>
      <c r="L977" s="45">
        <f t="shared" si="318"/>
        <v>0.16666666666666666</v>
      </c>
      <c r="M977" s="45">
        <f t="shared" si="319"/>
        <v>0.16666666666666666</v>
      </c>
      <c r="N977" s="45">
        <f t="shared" si="320"/>
        <v>0.16666666666666666</v>
      </c>
      <c r="O977" s="45">
        <f t="shared" si="321"/>
        <v>0</v>
      </c>
      <c r="P977" s="45">
        <f t="shared" si="322"/>
        <v>0.16666666666666666</v>
      </c>
      <c r="Q977" s="45">
        <f t="shared" si="323"/>
        <v>0</v>
      </c>
      <c r="R977" s="45">
        <f t="shared" si="324"/>
        <v>0</v>
      </c>
      <c r="S977" s="45">
        <f t="shared" si="325"/>
        <v>0</v>
      </c>
      <c r="T977" s="45">
        <f t="shared" si="326"/>
        <v>0.16666666666666666</v>
      </c>
    </row>
    <row r="978" spans="1:20" x14ac:dyDescent="0.3">
      <c r="A978">
        <f t="shared" si="307"/>
        <v>1</v>
      </c>
      <c r="B978">
        <f t="shared" si="308"/>
        <v>1</v>
      </c>
      <c r="C978">
        <f t="shared" si="309"/>
        <v>1</v>
      </c>
      <c r="D978">
        <f t="shared" si="310"/>
        <v>1</v>
      </c>
      <c r="E978">
        <f t="shared" si="311"/>
        <v>0</v>
      </c>
      <c r="F978">
        <f t="shared" si="312"/>
        <v>1</v>
      </c>
      <c r="G978">
        <f t="shared" si="313"/>
        <v>0</v>
      </c>
      <c r="H978">
        <f t="shared" si="314"/>
        <v>0</v>
      </c>
      <c r="I978">
        <f t="shared" si="315"/>
        <v>1</v>
      </c>
      <c r="J978">
        <f t="shared" si="316"/>
        <v>0</v>
      </c>
      <c r="K978" s="45">
        <f t="shared" si="317"/>
        <v>0.16666666666666666</v>
      </c>
      <c r="L978" s="45">
        <f t="shared" si="318"/>
        <v>0.16666666666666666</v>
      </c>
      <c r="M978" s="45">
        <f t="shared" si="319"/>
        <v>0.16666666666666666</v>
      </c>
      <c r="N978" s="45">
        <f t="shared" si="320"/>
        <v>0.16666666666666666</v>
      </c>
      <c r="O978" s="45">
        <f t="shared" si="321"/>
        <v>0</v>
      </c>
      <c r="P978" s="45">
        <f t="shared" si="322"/>
        <v>0.16666666666666666</v>
      </c>
      <c r="Q978" s="45">
        <f t="shared" si="323"/>
        <v>0</v>
      </c>
      <c r="R978" s="45">
        <f t="shared" si="324"/>
        <v>0</v>
      </c>
      <c r="S978" s="45">
        <f t="shared" si="325"/>
        <v>0.16666666666666666</v>
      </c>
      <c r="T978" s="45">
        <f t="shared" si="326"/>
        <v>0</v>
      </c>
    </row>
    <row r="979" spans="1:20" x14ac:dyDescent="0.3">
      <c r="A979">
        <f t="shared" si="307"/>
        <v>1</v>
      </c>
      <c r="B979">
        <f t="shared" si="308"/>
        <v>1</v>
      </c>
      <c r="C979">
        <f t="shared" si="309"/>
        <v>1</v>
      </c>
      <c r="D979">
        <f t="shared" si="310"/>
        <v>1</v>
      </c>
      <c r="E979">
        <f t="shared" si="311"/>
        <v>0</v>
      </c>
      <c r="F979">
        <f t="shared" si="312"/>
        <v>1</v>
      </c>
      <c r="G979">
        <f t="shared" si="313"/>
        <v>0</v>
      </c>
      <c r="H979">
        <f t="shared" si="314"/>
        <v>0</v>
      </c>
      <c r="I979">
        <f t="shared" si="315"/>
        <v>1</v>
      </c>
      <c r="J979">
        <f t="shared" si="316"/>
        <v>1</v>
      </c>
      <c r="K979" s="45">
        <f t="shared" si="317"/>
        <v>0.14285714285714285</v>
      </c>
      <c r="L979" s="45">
        <f t="shared" si="318"/>
        <v>0.14285714285714285</v>
      </c>
      <c r="M979" s="45">
        <f t="shared" si="319"/>
        <v>0.14285714285714285</v>
      </c>
      <c r="N979" s="45">
        <f t="shared" si="320"/>
        <v>0.14285714285714285</v>
      </c>
      <c r="O979" s="45">
        <f t="shared" si="321"/>
        <v>0</v>
      </c>
      <c r="P979" s="45">
        <f t="shared" si="322"/>
        <v>0.14285714285714285</v>
      </c>
      <c r="Q979" s="45">
        <f t="shared" si="323"/>
        <v>0</v>
      </c>
      <c r="R979" s="45">
        <f t="shared" si="324"/>
        <v>0</v>
      </c>
      <c r="S979" s="45">
        <f t="shared" si="325"/>
        <v>0.14285714285714285</v>
      </c>
      <c r="T979" s="45">
        <f t="shared" si="326"/>
        <v>0.14285714285714285</v>
      </c>
    </row>
    <row r="980" spans="1:20" x14ac:dyDescent="0.3">
      <c r="A980">
        <f t="shared" si="307"/>
        <v>1</v>
      </c>
      <c r="B980">
        <f t="shared" si="308"/>
        <v>1</v>
      </c>
      <c r="C980">
        <f t="shared" si="309"/>
        <v>1</v>
      </c>
      <c r="D980">
        <f t="shared" si="310"/>
        <v>1</v>
      </c>
      <c r="E980">
        <f t="shared" si="311"/>
        <v>0</v>
      </c>
      <c r="F980">
        <f t="shared" si="312"/>
        <v>1</v>
      </c>
      <c r="G980">
        <f t="shared" si="313"/>
        <v>0</v>
      </c>
      <c r="H980">
        <f t="shared" si="314"/>
        <v>1</v>
      </c>
      <c r="I980">
        <f t="shared" si="315"/>
        <v>0</v>
      </c>
      <c r="J980">
        <f t="shared" si="316"/>
        <v>0</v>
      </c>
      <c r="K980" s="45">
        <f t="shared" si="317"/>
        <v>0.16666666666666666</v>
      </c>
      <c r="L980" s="45">
        <f t="shared" si="318"/>
        <v>0.16666666666666666</v>
      </c>
      <c r="M980" s="45">
        <f t="shared" si="319"/>
        <v>0.16666666666666666</v>
      </c>
      <c r="N980" s="45">
        <f t="shared" si="320"/>
        <v>0.16666666666666666</v>
      </c>
      <c r="O980" s="45">
        <f t="shared" si="321"/>
        <v>0</v>
      </c>
      <c r="P980" s="45">
        <f t="shared" si="322"/>
        <v>0.16666666666666666</v>
      </c>
      <c r="Q980" s="45">
        <f t="shared" si="323"/>
        <v>0</v>
      </c>
      <c r="R980" s="45">
        <f t="shared" si="324"/>
        <v>0.16666666666666666</v>
      </c>
      <c r="S980" s="45">
        <f t="shared" si="325"/>
        <v>0</v>
      </c>
      <c r="T980" s="45">
        <f t="shared" si="326"/>
        <v>0</v>
      </c>
    </row>
    <row r="981" spans="1:20" x14ac:dyDescent="0.3">
      <c r="A981">
        <f t="shared" si="307"/>
        <v>1</v>
      </c>
      <c r="B981">
        <f t="shared" si="308"/>
        <v>1</v>
      </c>
      <c r="C981">
        <f t="shared" si="309"/>
        <v>1</v>
      </c>
      <c r="D981">
        <f t="shared" si="310"/>
        <v>1</v>
      </c>
      <c r="E981">
        <f t="shared" si="311"/>
        <v>0</v>
      </c>
      <c r="F981">
        <f t="shared" si="312"/>
        <v>1</v>
      </c>
      <c r="G981">
        <f t="shared" si="313"/>
        <v>0</v>
      </c>
      <c r="H981">
        <f t="shared" si="314"/>
        <v>1</v>
      </c>
      <c r="I981">
        <f t="shared" si="315"/>
        <v>0</v>
      </c>
      <c r="J981">
        <f t="shared" si="316"/>
        <v>1</v>
      </c>
      <c r="K981" s="45">
        <f t="shared" si="317"/>
        <v>0.14285714285714285</v>
      </c>
      <c r="L981" s="45">
        <f t="shared" si="318"/>
        <v>0.14285714285714285</v>
      </c>
      <c r="M981" s="45">
        <f t="shared" si="319"/>
        <v>0.14285714285714285</v>
      </c>
      <c r="N981" s="45">
        <f t="shared" si="320"/>
        <v>0.14285714285714285</v>
      </c>
      <c r="O981" s="45">
        <f t="shared" si="321"/>
        <v>0</v>
      </c>
      <c r="P981" s="45">
        <f t="shared" si="322"/>
        <v>0.14285714285714285</v>
      </c>
      <c r="Q981" s="45">
        <f t="shared" si="323"/>
        <v>0</v>
      </c>
      <c r="R981" s="45">
        <f t="shared" si="324"/>
        <v>0.14285714285714285</v>
      </c>
      <c r="S981" s="45">
        <f t="shared" si="325"/>
        <v>0</v>
      </c>
      <c r="T981" s="45">
        <f t="shared" si="326"/>
        <v>0.14285714285714285</v>
      </c>
    </row>
    <row r="982" spans="1:20" x14ac:dyDescent="0.3">
      <c r="A982">
        <f t="shared" si="307"/>
        <v>1</v>
      </c>
      <c r="B982">
        <f t="shared" si="308"/>
        <v>1</v>
      </c>
      <c r="C982">
        <f t="shared" si="309"/>
        <v>1</v>
      </c>
      <c r="D982">
        <f t="shared" si="310"/>
        <v>1</v>
      </c>
      <c r="E982">
        <f t="shared" si="311"/>
        <v>0</v>
      </c>
      <c r="F982">
        <f t="shared" si="312"/>
        <v>1</v>
      </c>
      <c r="G982">
        <f t="shared" si="313"/>
        <v>0</v>
      </c>
      <c r="H982">
        <f t="shared" si="314"/>
        <v>1</v>
      </c>
      <c r="I982">
        <f t="shared" si="315"/>
        <v>1</v>
      </c>
      <c r="J982">
        <f t="shared" si="316"/>
        <v>0</v>
      </c>
      <c r="K982" s="45">
        <f t="shared" si="317"/>
        <v>0.14285714285714285</v>
      </c>
      <c r="L982" s="45">
        <f t="shared" si="318"/>
        <v>0.14285714285714285</v>
      </c>
      <c r="M982" s="45">
        <f t="shared" si="319"/>
        <v>0.14285714285714285</v>
      </c>
      <c r="N982" s="45">
        <f t="shared" si="320"/>
        <v>0.14285714285714285</v>
      </c>
      <c r="O982" s="45">
        <f t="shared" si="321"/>
        <v>0</v>
      </c>
      <c r="P982" s="45">
        <f t="shared" si="322"/>
        <v>0.14285714285714285</v>
      </c>
      <c r="Q982" s="45">
        <f t="shared" si="323"/>
        <v>0</v>
      </c>
      <c r="R982" s="45">
        <f t="shared" si="324"/>
        <v>0.14285714285714285</v>
      </c>
      <c r="S982" s="45">
        <f t="shared" si="325"/>
        <v>0.14285714285714285</v>
      </c>
      <c r="T982" s="45">
        <f t="shared" si="326"/>
        <v>0</v>
      </c>
    </row>
    <row r="983" spans="1:20" x14ac:dyDescent="0.3">
      <c r="A983">
        <f t="shared" si="307"/>
        <v>1</v>
      </c>
      <c r="B983">
        <f t="shared" si="308"/>
        <v>1</v>
      </c>
      <c r="C983">
        <f t="shared" si="309"/>
        <v>1</v>
      </c>
      <c r="D983">
        <f t="shared" si="310"/>
        <v>1</v>
      </c>
      <c r="E983">
        <f t="shared" si="311"/>
        <v>0</v>
      </c>
      <c r="F983">
        <f t="shared" si="312"/>
        <v>1</v>
      </c>
      <c r="G983">
        <f t="shared" si="313"/>
        <v>0</v>
      </c>
      <c r="H983">
        <f t="shared" si="314"/>
        <v>1</v>
      </c>
      <c r="I983">
        <f t="shared" si="315"/>
        <v>1</v>
      </c>
      <c r="J983">
        <f t="shared" si="316"/>
        <v>1</v>
      </c>
      <c r="K983" s="45">
        <f t="shared" si="317"/>
        <v>0.125</v>
      </c>
      <c r="L983" s="45">
        <f t="shared" si="318"/>
        <v>0.125</v>
      </c>
      <c r="M983" s="45">
        <f t="shared" si="319"/>
        <v>0.125</v>
      </c>
      <c r="N983" s="45">
        <f t="shared" si="320"/>
        <v>0.125</v>
      </c>
      <c r="O983" s="45">
        <f t="shared" si="321"/>
        <v>0</v>
      </c>
      <c r="P983" s="45">
        <f t="shared" si="322"/>
        <v>0.125</v>
      </c>
      <c r="Q983" s="45">
        <f t="shared" si="323"/>
        <v>0</v>
      </c>
      <c r="R983" s="45">
        <f t="shared" si="324"/>
        <v>0.125</v>
      </c>
      <c r="S983" s="45">
        <f t="shared" si="325"/>
        <v>0.125</v>
      </c>
      <c r="T983" s="45">
        <f t="shared" si="326"/>
        <v>0.125</v>
      </c>
    </row>
    <row r="984" spans="1:20" x14ac:dyDescent="0.3">
      <c r="A984">
        <f t="shared" si="307"/>
        <v>1</v>
      </c>
      <c r="B984">
        <f t="shared" si="308"/>
        <v>1</v>
      </c>
      <c r="C984">
        <f t="shared" si="309"/>
        <v>1</v>
      </c>
      <c r="D984">
        <f t="shared" si="310"/>
        <v>1</v>
      </c>
      <c r="E984">
        <f t="shared" si="311"/>
        <v>0</v>
      </c>
      <c r="F984">
        <f t="shared" si="312"/>
        <v>1</v>
      </c>
      <c r="G984">
        <f t="shared" si="313"/>
        <v>1</v>
      </c>
      <c r="H984">
        <f t="shared" si="314"/>
        <v>0</v>
      </c>
      <c r="I984">
        <f t="shared" si="315"/>
        <v>0</v>
      </c>
      <c r="J984">
        <f t="shared" si="316"/>
        <v>0</v>
      </c>
      <c r="K984" s="45">
        <f t="shared" si="317"/>
        <v>0.16666666666666666</v>
      </c>
      <c r="L984" s="45">
        <f t="shared" si="318"/>
        <v>0.16666666666666666</v>
      </c>
      <c r="M984" s="45">
        <f t="shared" si="319"/>
        <v>0.16666666666666666</v>
      </c>
      <c r="N984" s="45">
        <f t="shared" si="320"/>
        <v>0.16666666666666666</v>
      </c>
      <c r="O984" s="45">
        <f t="shared" si="321"/>
        <v>0</v>
      </c>
      <c r="P984" s="45">
        <f t="shared" si="322"/>
        <v>0.16666666666666666</v>
      </c>
      <c r="Q984" s="45">
        <f t="shared" si="323"/>
        <v>0.16666666666666666</v>
      </c>
      <c r="R984" s="45">
        <f t="shared" si="324"/>
        <v>0</v>
      </c>
      <c r="S984" s="45">
        <f t="shared" si="325"/>
        <v>0</v>
      </c>
      <c r="T984" s="45">
        <f t="shared" si="326"/>
        <v>0</v>
      </c>
    </row>
    <row r="985" spans="1:20" x14ac:dyDescent="0.3">
      <c r="A985">
        <f t="shared" si="307"/>
        <v>1</v>
      </c>
      <c r="B985">
        <f t="shared" si="308"/>
        <v>1</v>
      </c>
      <c r="C985">
        <f t="shared" si="309"/>
        <v>1</v>
      </c>
      <c r="D985">
        <f t="shared" si="310"/>
        <v>1</v>
      </c>
      <c r="E985">
        <f t="shared" si="311"/>
        <v>0</v>
      </c>
      <c r="F985">
        <f t="shared" si="312"/>
        <v>1</v>
      </c>
      <c r="G985">
        <f t="shared" si="313"/>
        <v>1</v>
      </c>
      <c r="H985">
        <f t="shared" si="314"/>
        <v>0</v>
      </c>
      <c r="I985">
        <f t="shared" si="315"/>
        <v>0</v>
      </c>
      <c r="J985">
        <f t="shared" si="316"/>
        <v>1</v>
      </c>
      <c r="K985" s="45">
        <f t="shared" si="317"/>
        <v>0.14285714285714285</v>
      </c>
      <c r="L985" s="45">
        <f t="shared" si="318"/>
        <v>0.14285714285714285</v>
      </c>
      <c r="M985" s="45">
        <f t="shared" si="319"/>
        <v>0.14285714285714285</v>
      </c>
      <c r="N985" s="45">
        <f t="shared" si="320"/>
        <v>0.14285714285714285</v>
      </c>
      <c r="O985" s="45">
        <f t="shared" si="321"/>
        <v>0</v>
      </c>
      <c r="P985" s="45">
        <f t="shared" si="322"/>
        <v>0.14285714285714285</v>
      </c>
      <c r="Q985" s="45">
        <f t="shared" si="323"/>
        <v>0.14285714285714285</v>
      </c>
      <c r="R985" s="45">
        <f t="shared" si="324"/>
        <v>0</v>
      </c>
      <c r="S985" s="45">
        <f t="shared" si="325"/>
        <v>0</v>
      </c>
      <c r="T985" s="45">
        <f t="shared" si="326"/>
        <v>0.14285714285714285</v>
      </c>
    </row>
    <row r="986" spans="1:20" x14ac:dyDescent="0.3">
      <c r="A986">
        <f t="shared" si="307"/>
        <v>1</v>
      </c>
      <c r="B986">
        <f t="shared" si="308"/>
        <v>1</v>
      </c>
      <c r="C986">
        <f t="shared" si="309"/>
        <v>1</v>
      </c>
      <c r="D986">
        <f t="shared" si="310"/>
        <v>1</v>
      </c>
      <c r="E986">
        <f t="shared" si="311"/>
        <v>0</v>
      </c>
      <c r="F986">
        <f t="shared" si="312"/>
        <v>1</v>
      </c>
      <c r="G986">
        <f t="shared" si="313"/>
        <v>1</v>
      </c>
      <c r="H986">
        <f t="shared" si="314"/>
        <v>0</v>
      </c>
      <c r="I986">
        <f t="shared" si="315"/>
        <v>1</v>
      </c>
      <c r="J986">
        <f t="shared" si="316"/>
        <v>0</v>
      </c>
      <c r="K986" s="45">
        <f t="shared" si="317"/>
        <v>0.14285714285714285</v>
      </c>
      <c r="L986" s="45">
        <f t="shared" si="318"/>
        <v>0.14285714285714285</v>
      </c>
      <c r="M986" s="45">
        <f t="shared" si="319"/>
        <v>0.14285714285714285</v>
      </c>
      <c r="N986" s="45">
        <f t="shared" si="320"/>
        <v>0.14285714285714285</v>
      </c>
      <c r="O986" s="45">
        <f t="shared" si="321"/>
        <v>0</v>
      </c>
      <c r="P986" s="45">
        <f t="shared" si="322"/>
        <v>0.14285714285714285</v>
      </c>
      <c r="Q986" s="45">
        <f t="shared" si="323"/>
        <v>0.14285714285714285</v>
      </c>
      <c r="R986" s="45">
        <f t="shared" si="324"/>
        <v>0</v>
      </c>
      <c r="S986" s="45">
        <f t="shared" si="325"/>
        <v>0.14285714285714285</v>
      </c>
      <c r="T986" s="45">
        <f t="shared" si="326"/>
        <v>0</v>
      </c>
    </row>
    <row r="987" spans="1:20" x14ac:dyDescent="0.3">
      <c r="A987">
        <f t="shared" si="307"/>
        <v>1</v>
      </c>
      <c r="B987">
        <f t="shared" si="308"/>
        <v>1</v>
      </c>
      <c r="C987">
        <f t="shared" si="309"/>
        <v>1</v>
      </c>
      <c r="D987">
        <f t="shared" si="310"/>
        <v>1</v>
      </c>
      <c r="E987">
        <f t="shared" si="311"/>
        <v>0</v>
      </c>
      <c r="F987">
        <f t="shared" si="312"/>
        <v>1</v>
      </c>
      <c r="G987">
        <f t="shared" si="313"/>
        <v>1</v>
      </c>
      <c r="H987">
        <f t="shared" si="314"/>
        <v>0</v>
      </c>
      <c r="I987">
        <f t="shared" si="315"/>
        <v>1</v>
      </c>
      <c r="J987">
        <f t="shared" si="316"/>
        <v>1</v>
      </c>
      <c r="K987" s="45">
        <f t="shared" si="317"/>
        <v>0.125</v>
      </c>
      <c r="L987" s="45">
        <f t="shared" si="318"/>
        <v>0.125</v>
      </c>
      <c r="M987" s="45">
        <f t="shared" si="319"/>
        <v>0.125</v>
      </c>
      <c r="N987" s="45">
        <f t="shared" si="320"/>
        <v>0.125</v>
      </c>
      <c r="O987" s="45">
        <f t="shared" si="321"/>
        <v>0</v>
      </c>
      <c r="P987" s="45">
        <f t="shared" si="322"/>
        <v>0.125</v>
      </c>
      <c r="Q987" s="45">
        <f t="shared" si="323"/>
        <v>0.125</v>
      </c>
      <c r="R987" s="45">
        <f t="shared" si="324"/>
        <v>0</v>
      </c>
      <c r="S987" s="45">
        <f t="shared" si="325"/>
        <v>0.125</v>
      </c>
      <c r="T987" s="45">
        <f t="shared" si="326"/>
        <v>0.125</v>
      </c>
    </row>
    <row r="988" spans="1:20" x14ac:dyDescent="0.3">
      <c r="A988">
        <f t="shared" si="307"/>
        <v>1</v>
      </c>
      <c r="B988">
        <f t="shared" si="308"/>
        <v>1</v>
      </c>
      <c r="C988">
        <f t="shared" si="309"/>
        <v>1</v>
      </c>
      <c r="D988">
        <f t="shared" si="310"/>
        <v>1</v>
      </c>
      <c r="E988">
        <f t="shared" si="311"/>
        <v>0</v>
      </c>
      <c r="F988">
        <f t="shared" si="312"/>
        <v>1</v>
      </c>
      <c r="G988">
        <f t="shared" si="313"/>
        <v>1</v>
      </c>
      <c r="H988">
        <f t="shared" si="314"/>
        <v>1</v>
      </c>
      <c r="I988">
        <f t="shared" si="315"/>
        <v>0</v>
      </c>
      <c r="J988">
        <f t="shared" si="316"/>
        <v>0</v>
      </c>
      <c r="K988" s="45">
        <f t="shared" si="317"/>
        <v>0.14285714285714285</v>
      </c>
      <c r="L988" s="45">
        <f t="shared" si="318"/>
        <v>0.14285714285714285</v>
      </c>
      <c r="M988" s="45">
        <f t="shared" si="319"/>
        <v>0.14285714285714285</v>
      </c>
      <c r="N988" s="45">
        <f t="shared" si="320"/>
        <v>0.14285714285714285</v>
      </c>
      <c r="O988" s="45">
        <f t="shared" si="321"/>
        <v>0</v>
      </c>
      <c r="P988" s="45">
        <f t="shared" si="322"/>
        <v>0.14285714285714285</v>
      </c>
      <c r="Q988" s="45">
        <f t="shared" si="323"/>
        <v>0.14285714285714285</v>
      </c>
      <c r="R988" s="45">
        <f t="shared" si="324"/>
        <v>0.14285714285714285</v>
      </c>
      <c r="S988" s="45">
        <f t="shared" si="325"/>
        <v>0</v>
      </c>
      <c r="T988" s="45">
        <f t="shared" si="326"/>
        <v>0</v>
      </c>
    </row>
    <row r="989" spans="1:20" x14ac:dyDescent="0.3">
      <c r="A989">
        <f t="shared" si="307"/>
        <v>1</v>
      </c>
      <c r="B989">
        <f t="shared" si="308"/>
        <v>1</v>
      </c>
      <c r="C989">
        <f t="shared" si="309"/>
        <v>1</v>
      </c>
      <c r="D989">
        <f t="shared" si="310"/>
        <v>1</v>
      </c>
      <c r="E989">
        <f t="shared" si="311"/>
        <v>0</v>
      </c>
      <c r="F989">
        <f t="shared" si="312"/>
        <v>1</v>
      </c>
      <c r="G989">
        <f t="shared" si="313"/>
        <v>1</v>
      </c>
      <c r="H989">
        <f t="shared" si="314"/>
        <v>1</v>
      </c>
      <c r="I989">
        <f t="shared" si="315"/>
        <v>0</v>
      </c>
      <c r="J989">
        <f t="shared" si="316"/>
        <v>1</v>
      </c>
      <c r="K989" s="45">
        <f t="shared" si="317"/>
        <v>0.125</v>
      </c>
      <c r="L989" s="45">
        <f t="shared" si="318"/>
        <v>0.125</v>
      </c>
      <c r="M989" s="45">
        <f t="shared" si="319"/>
        <v>0.125</v>
      </c>
      <c r="N989" s="45">
        <f t="shared" si="320"/>
        <v>0.125</v>
      </c>
      <c r="O989" s="45">
        <f t="shared" si="321"/>
        <v>0</v>
      </c>
      <c r="P989" s="45">
        <f t="shared" si="322"/>
        <v>0.125</v>
      </c>
      <c r="Q989" s="45">
        <f t="shared" si="323"/>
        <v>0.125</v>
      </c>
      <c r="R989" s="45">
        <f t="shared" si="324"/>
        <v>0.125</v>
      </c>
      <c r="S989" s="45">
        <f t="shared" si="325"/>
        <v>0</v>
      </c>
      <c r="T989" s="45">
        <f t="shared" si="326"/>
        <v>0.125</v>
      </c>
    </row>
    <row r="990" spans="1:20" x14ac:dyDescent="0.3">
      <c r="A990">
        <f t="shared" si="307"/>
        <v>1</v>
      </c>
      <c r="B990">
        <f t="shared" si="308"/>
        <v>1</v>
      </c>
      <c r="C990">
        <f t="shared" si="309"/>
        <v>1</v>
      </c>
      <c r="D990">
        <f t="shared" si="310"/>
        <v>1</v>
      </c>
      <c r="E990">
        <f t="shared" si="311"/>
        <v>0</v>
      </c>
      <c r="F990">
        <f t="shared" si="312"/>
        <v>1</v>
      </c>
      <c r="G990">
        <f t="shared" si="313"/>
        <v>1</v>
      </c>
      <c r="H990">
        <f t="shared" si="314"/>
        <v>1</v>
      </c>
      <c r="I990">
        <f t="shared" si="315"/>
        <v>1</v>
      </c>
      <c r="J990">
        <f t="shared" si="316"/>
        <v>0</v>
      </c>
      <c r="K990" s="45">
        <f t="shared" si="317"/>
        <v>0.125</v>
      </c>
      <c r="L990" s="45">
        <f t="shared" si="318"/>
        <v>0.125</v>
      </c>
      <c r="M990" s="45">
        <f t="shared" si="319"/>
        <v>0.125</v>
      </c>
      <c r="N990" s="45">
        <f t="shared" si="320"/>
        <v>0.125</v>
      </c>
      <c r="O990" s="45">
        <f t="shared" si="321"/>
        <v>0</v>
      </c>
      <c r="P990" s="45">
        <f t="shared" si="322"/>
        <v>0.125</v>
      </c>
      <c r="Q990" s="45">
        <f t="shared" si="323"/>
        <v>0.125</v>
      </c>
      <c r="R990" s="45">
        <f t="shared" si="324"/>
        <v>0.125</v>
      </c>
      <c r="S990" s="45">
        <f t="shared" si="325"/>
        <v>0.125</v>
      </c>
      <c r="T990" s="45">
        <f t="shared" si="326"/>
        <v>0</v>
      </c>
    </row>
    <row r="991" spans="1:20" x14ac:dyDescent="0.3">
      <c r="A991">
        <f t="shared" si="307"/>
        <v>1</v>
      </c>
      <c r="B991">
        <f t="shared" si="308"/>
        <v>1</v>
      </c>
      <c r="C991">
        <f t="shared" si="309"/>
        <v>1</v>
      </c>
      <c r="D991">
        <f t="shared" si="310"/>
        <v>1</v>
      </c>
      <c r="E991">
        <f t="shared" si="311"/>
        <v>0</v>
      </c>
      <c r="F991">
        <f t="shared" si="312"/>
        <v>1</v>
      </c>
      <c r="G991">
        <f t="shared" si="313"/>
        <v>1</v>
      </c>
      <c r="H991">
        <f t="shared" si="314"/>
        <v>1</v>
      </c>
      <c r="I991">
        <f t="shared" si="315"/>
        <v>1</v>
      </c>
      <c r="J991">
        <f t="shared" si="316"/>
        <v>1</v>
      </c>
      <c r="K991" s="45">
        <f t="shared" si="317"/>
        <v>0.1111111111111111</v>
      </c>
      <c r="L991" s="45">
        <f t="shared" si="318"/>
        <v>0.1111111111111111</v>
      </c>
      <c r="M991" s="45">
        <f t="shared" si="319"/>
        <v>0.1111111111111111</v>
      </c>
      <c r="N991" s="45">
        <f t="shared" si="320"/>
        <v>0.1111111111111111</v>
      </c>
      <c r="O991" s="45">
        <f t="shared" si="321"/>
        <v>0</v>
      </c>
      <c r="P991" s="45">
        <f t="shared" si="322"/>
        <v>0.1111111111111111</v>
      </c>
      <c r="Q991" s="45">
        <f t="shared" si="323"/>
        <v>0.1111111111111111</v>
      </c>
      <c r="R991" s="45">
        <f t="shared" si="324"/>
        <v>0.1111111111111111</v>
      </c>
      <c r="S991" s="45">
        <f t="shared" si="325"/>
        <v>0.1111111111111111</v>
      </c>
      <c r="T991" s="45">
        <f t="shared" si="326"/>
        <v>0.1111111111111111</v>
      </c>
    </row>
    <row r="992" spans="1:20" x14ac:dyDescent="0.3">
      <c r="A992">
        <f t="shared" si="307"/>
        <v>1</v>
      </c>
      <c r="B992">
        <f t="shared" si="308"/>
        <v>1</v>
      </c>
      <c r="C992">
        <f t="shared" si="309"/>
        <v>1</v>
      </c>
      <c r="D992">
        <f t="shared" si="310"/>
        <v>1</v>
      </c>
      <c r="E992">
        <f t="shared" si="311"/>
        <v>1</v>
      </c>
      <c r="F992">
        <f t="shared" si="312"/>
        <v>0</v>
      </c>
      <c r="G992">
        <f t="shared" si="313"/>
        <v>0</v>
      </c>
      <c r="H992">
        <f t="shared" si="314"/>
        <v>0</v>
      </c>
      <c r="I992">
        <f t="shared" si="315"/>
        <v>0</v>
      </c>
      <c r="J992">
        <f t="shared" si="316"/>
        <v>0</v>
      </c>
      <c r="K992" s="45">
        <f t="shared" si="317"/>
        <v>0.2</v>
      </c>
      <c r="L992" s="45">
        <f t="shared" si="318"/>
        <v>0.2</v>
      </c>
      <c r="M992" s="45">
        <f t="shared" si="319"/>
        <v>0.2</v>
      </c>
      <c r="N992" s="45">
        <f t="shared" si="320"/>
        <v>0.2</v>
      </c>
      <c r="O992" s="45">
        <f t="shared" si="321"/>
        <v>0.2</v>
      </c>
      <c r="P992" s="45">
        <f t="shared" si="322"/>
        <v>0</v>
      </c>
      <c r="Q992" s="45">
        <f t="shared" si="323"/>
        <v>0</v>
      </c>
      <c r="R992" s="45">
        <f t="shared" si="324"/>
        <v>0</v>
      </c>
      <c r="S992" s="45">
        <f t="shared" si="325"/>
        <v>0</v>
      </c>
      <c r="T992" s="45">
        <f t="shared" si="326"/>
        <v>0</v>
      </c>
    </row>
    <row r="993" spans="1:20" x14ac:dyDescent="0.3">
      <c r="A993">
        <f t="shared" si="307"/>
        <v>1</v>
      </c>
      <c r="B993">
        <f t="shared" si="308"/>
        <v>1</v>
      </c>
      <c r="C993">
        <f t="shared" si="309"/>
        <v>1</v>
      </c>
      <c r="D993">
        <f t="shared" si="310"/>
        <v>1</v>
      </c>
      <c r="E993">
        <f t="shared" si="311"/>
        <v>1</v>
      </c>
      <c r="F993">
        <f t="shared" si="312"/>
        <v>0</v>
      </c>
      <c r="G993">
        <f t="shared" si="313"/>
        <v>0</v>
      </c>
      <c r="H993">
        <f t="shared" si="314"/>
        <v>0</v>
      </c>
      <c r="I993">
        <f t="shared" si="315"/>
        <v>0</v>
      </c>
      <c r="J993">
        <f t="shared" si="316"/>
        <v>1</v>
      </c>
      <c r="K993" s="45">
        <f t="shared" si="317"/>
        <v>0.16666666666666666</v>
      </c>
      <c r="L993" s="45">
        <f t="shared" si="318"/>
        <v>0.16666666666666666</v>
      </c>
      <c r="M993" s="45">
        <f t="shared" si="319"/>
        <v>0.16666666666666666</v>
      </c>
      <c r="N993" s="45">
        <f t="shared" si="320"/>
        <v>0.16666666666666666</v>
      </c>
      <c r="O993" s="45">
        <f t="shared" si="321"/>
        <v>0.16666666666666666</v>
      </c>
      <c r="P993" s="45">
        <f t="shared" si="322"/>
        <v>0</v>
      </c>
      <c r="Q993" s="45">
        <f t="shared" si="323"/>
        <v>0</v>
      </c>
      <c r="R993" s="45">
        <f t="shared" si="324"/>
        <v>0</v>
      </c>
      <c r="S993" s="45">
        <f t="shared" si="325"/>
        <v>0</v>
      </c>
      <c r="T993" s="45">
        <f t="shared" si="326"/>
        <v>0.16666666666666666</v>
      </c>
    </row>
    <row r="994" spans="1:20" x14ac:dyDescent="0.3">
      <c r="A994">
        <f t="shared" si="307"/>
        <v>1</v>
      </c>
      <c r="B994">
        <f t="shared" si="308"/>
        <v>1</v>
      </c>
      <c r="C994">
        <f t="shared" si="309"/>
        <v>1</v>
      </c>
      <c r="D994">
        <f t="shared" si="310"/>
        <v>1</v>
      </c>
      <c r="E994">
        <f t="shared" si="311"/>
        <v>1</v>
      </c>
      <c r="F994">
        <f t="shared" si="312"/>
        <v>0</v>
      </c>
      <c r="G994">
        <f t="shared" si="313"/>
        <v>0</v>
      </c>
      <c r="H994">
        <f t="shared" si="314"/>
        <v>0</v>
      </c>
      <c r="I994">
        <f t="shared" si="315"/>
        <v>1</v>
      </c>
      <c r="J994">
        <f t="shared" si="316"/>
        <v>0</v>
      </c>
      <c r="K994" s="45">
        <f t="shared" si="317"/>
        <v>0.16666666666666666</v>
      </c>
      <c r="L994" s="45">
        <f t="shared" si="318"/>
        <v>0.16666666666666666</v>
      </c>
      <c r="M994" s="45">
        <f t="shared" si="319"/>
        <v>0.16666666666666666</v>
      </c>
      <c r="N994" s="45">
        <f t="shared" si="320"/>
        <v>0.16666666666666666</v>
      </c>
      <c r="O994" s="45">
        <f t="shared" si="321"/>
        <v>0.16666666666666666</v>
      </c>
      <c r="P994" s="45">
        <f t="shared" si="322"/>
        <v>0</v>
      </c>
      <c r="Q994" s="45">
        <f t="shared" si="323"/>
        <v>0</v>
      </c>
      <c r="R994" s="45">
        <f t="shared" si="324"/>
        <v>0</v>
      </c>
      <c r="S994" s="45">
        <f t="shared" si="325"/>
        <v>0.16666666666666666</v>
      </c>
      <c r="T994" s="45">
        <f t="shared" si="326"/>
        <v>0</v>
      </c>
    </row>
    <row r="995" spans="1:20" x14ac:dyDescent="0.3">
      <c r="A995">
        <f t="shared" si="307"/>
        <v>1</v>
      </c>
      <c r="B995">
        <f t="shared" si="308"/>
        <v>1</v>
      </c>
      <c r="C995">
        <f t="shared" si="309"/>
        <v>1</v>
      </c>
      <c r="D995">
        <f t="shared" si="310"/>
        <v>1</v>
      </c>
      <c r="E995">
        <f t="shared" si="311"/>
        <v>1</v>
      </c>
      <c r="F995">
        <f t="shared" si="312"/>
        <v>0</v>
      </c>
      <c r="G995">
        <f t="shared" si="313"/>
        <v>0</v>
      </c>
      <c r="H995">
        <f t="shared" si="314"/>
        <v>0</v>
      </c>
      <c r="I995">
        <f t="shared" si="315"/>
        <v>1</v>
      </c>
      <c r="J995">
        <f t="shared" si="316"/>
        <v>1</v>
      </c>
      <c r="K995" s="45">
        <f t="shared" si="317"/>
        <v>0.14285714285714285</v>
      </c>
      <c r="L995" s="45">
        <f t="shared" si="318"/>
        <v>0.14285714285714285</v>
      </c>
      <c r="M995" s="45">
        <f t="shared" si="319"/>
        <v>0.14285714285714285</v>
      </c>
      <c r="N995" s="45">
        <f t="shared" si="320"/>
        <v>0.14285714285714285</v>
      </c>
      <c r="O995" s="45">
        <f t="shared" si="321"/>
        <v>0.14285714285714285</v>
      </c>
      <c r="P995" s="45">
        <f t="shared" si="322"/>
        <v>0</v>
      </c>
      <c r="Q995" s="45">
        <f t="shared" si="323"/>
        <v>0</v>
      </c>
      <c r="R995" s="45">
        <f t="shared" si="324"/>
        <v>0</v>
      </c>
      <c r="S995" s="45">
        <f t="shared" si="325"/>
        <v>0.14285714285714285</v>
      </c>
      <c r="T995" s="45">
        <f t="shared" si="326"/>
        <v>0.14285714285714285</v>
      </c>
    </row>
    <row r="996" spans="1:20" x14ac:dyDescent="0.3">
      <c r="A996">
        <f t="shared" si="307"/>
        <v>1</v>
      </c>
      <c r="B996">
        <f t="shared" si="308"/>
        <v>1</v>
      </c>
      <c r="C996">
        <f t="shared" si="309"/>
        <v>1</v>
      </c>
      <c r="D996">
        <f t="shared" si="310"/>
        <v>1</v>
      </c>
      <c r="E996">
        <f t="shared" si="311"/>
        <v>1</v>
      </c>
      <c r="F996">
        <f t="shared" si="312"/>
        <v>0</v>
      </c>
      <c r="G996">
        <f t="shared" si="313"/>
        <v>0</v>
      </c>
      <c r="H996">
        <f t="shared" si="314"/>
        <v>1</v>
      </c>
      <c r="I996">
        <f t="shared" si="315"/>
        <v>0</v>
      </c>
      <c r="J996">
        <f t="shared" si="316"/>
        <v>0</v>
      </c>
      <c r="K996" s="45">
        <f t="shared" si="317"/>
        <v>0.16666666666666666</v>
      </c>
      <c r="L996" s="45">
        <f t="shared" si="318"/>
        <v>0.16666666666666666</v>
      </c>
      <c r="M996" s="45">
        <f t="shared" si="319"/>
        <v>0.16666666666666666</v>
      </c>
      <c r="N996" s="45">
        <f t="shared" si="320"/>
        <v>0.16666666666666666</v>
      </c>
      <c r="O996" s="45">
        <f t="shared" si="321"/>
        <v>0.16666666666666666</v>
      </c>
      <c r="P996" s="45">
        <f t="shared" si="322"/>
        <v>0</v>
      </c>
      <c r="Q996" s="45">
        <f t="shared" si="323"/>
        <v>0</v>
      </c>
      <c r="R996" s="45">
        <f t="shared" si="324"/>
        <v>0.16666666666666666</v>
      </c>
      <c r="S996" s="45">
        <f t="shared" si="325"/>
        <v>0</v>
      </c>
      <c r="T996" s="45">
        <f t="shared" si="326"/>
        <v>0</v>
      </c>
    </row>
    <row r="997" spans="1:20" x14ac:dyDescent="0.3">
      <c r="A997">
        <f t="shared" si="307"/>
        <v>1</v>
      </c>
      <c r="B997">
        <f t="shared" si="308"/>
        <v>1</v>
      </c>
      <c r="C997">
        <f t="shared" si="309"/>
        <v>1</v>
      </c>
      <c r="D997">
        <f t="shared" si="310"/>
        <v>1</v>
      </c>
      <c r="E997">
        <f t="shared" si="311"/>
        <v>1</v>
      </c>
      <c r="F997">
        <f t="shared" si="312"/>
        <v>0</v>
      </c>
      <c r="G997">
        <f t="shared" si="313"/>
        <v>0</v>
      </c>
      <c r="H997">
        <f t="shared" si="314"/>
        <v>1</v>
      </c>
      <c r="I997">
        <f t="shared" si="315"/>
        <v>0</v>
      </c>
      <c r="J997">
        <f t="shared" si="316"/>
        <v>1</v>
      </c>
      <c r="K997" s="45">
        <f t="shared" si="317"/>
        <v>0.14285714285714285</v>
      </c>
      <c r="L997" s="45">
        <f t="shared" si="318"/>
        <v>0.14285714285714285</v>
      </c>
      <c r="M997" s="45">
        <f t="shared" si="319"/>
        <v>0.14285714285714285</v>
      </c>
      <c r="N997" s="45">
        <f t="shared" si="320"/>
        <v>0.14285714285714285</v>
      </c>
      <c r="O997" s="45">
        <f t="shared" si="321"/>
        <v>0.14285714285714285</v>
      </c>
      <c r="P997" s="45">
        <f t="shared" si="322"/>
        <v>0</v>
      </c>
      <c r="Q997" s="45">
        <f t="shared" si="323"/>
        <v>0</v>
      </c>
      <c r="R997" s="45">
        <f t="shared" si="324"/>
        <v>0.14285714285714285</v>
      </c>
      <c r="S997" s="45">
        <f t="shared" si="325"/>
        <v>0</v>
      </c>
      <c r="T997" s="45">
        <f t="shared" si="326"/>
        <v>0.14285714285714285</v>
      </c>
    </row>
    <row r="998" spans="1:20" x14ac:dyDescent="0.3">
      <c r="A998">
        <f t="shared" si="307"/>
        <v>1</v>
      </c>
      <c r="B998">
        <f t="shared" si="308"/>
        <v>1</v>
      </c>
      <c r="C998">
        <f t="shared" si="309"/>
        <v>1</v>
      </c>
      <c r="D998">
        <f t="shared" si="310"/>
        <v>1</v>
      </c>
      <c r="E998">
        <f t="shared" si="311"/>
        <v>1</v>
      </c>
      <c r="F998">
        <f t="shared" si="312"/>
        <v>0</v>
      </c>
      <c r="G998">
        <f t="shared" si="313"/>
        <v>0</v>
      </c>
      <c r="H998">
        <f t="shared" si="314"/>
        <v>1</v>
      </c>
      <c r="I998">
        <f t="shared" si="315"/>
        <v>1</v>
      </c>
      <c r="J998">
        <f t="shared" si="316"/>
        <v>0</v>
      </c>
      <c r="K998" s="45">
        <f t="shared" si="317"/>
        <v>0.14285714285714285</v>
      </c>
      <c r="L998" s="45">
        <f t="shared" si="318"/>
        <v>0.14285714285714285</v>
      </c>
      <c r="M998" s="45">
        <f t="shared" si="319"/>
        <v>0.14285714285714285</v>
      </c>
      <c r="N998" s="45">
        <f t="shared" si="320"/>
        <v>0.14285714285714285</v>
      </c>
      <c r="O998" s="45">
        <f t="shared" si="321"/>
        <v>0.14285714285714285</v>
      </c>
      <c r="P998" s="45">
        <f t="shared" si="322"/>
        <v>0</v>
      </c>
      <c r="Q998" s="45">
        <f t="shared" si="323"/>
        <v>0</v>
      </c>
      <c r="R998" s="45">
        <f t="shared" si="324"/>
        <v>0.14285714285714285</v>
      </c>
      <c r="S998" s="45">
        <f t="shared" si="325"/>
        <v>0.14285714285714285</v>
      </c>
      <c r="T998" s="45">
        <f t="shared" si="326"/>
        <v>0</v>
      </c>
    </row>
    <row r="999" spans="1:20" x14ac:dyDescent="0.3">
      <c r="A999">
        <f t="shared" si="307"/>
        <v>1</v>
      </c>
      <c r="B999">
        <f t="shared" si="308"/>
        <v>1</v>
      </c>
      <c r="C999">
        <f t="shared" si="309"/>
        <v>1</v>
      </c>
      <c r="D999">
        <f t="shared" si="310"/>
        <v>1</v>
      </c>
      <c r="E999">
        <f t="shared" si="311"/>
        <v>1</v>
      </c>
      <c r="F999">
        <f t="shared" si="312"/>
        <v>0</v>
      </c>
      <c r="G999">
        <f t="shared" si="313"/>
        <v>0</v>
      </c>
      <c r="H999">
        <f t="shared" si="314"/>
        <v>1</v>
      </c>
      <c r="I999">
        <f t="shared" si="315"/>
        <v>1</v>
      </c>
      <c r="J999">
        <f t="shared" si="316"/>
        <v>1</v>
      </c>
      <c r="K999" s="45">
        <f t="shared" si="317"/>
        <v>0.125</v>
      </c>
      <c r="L999" s="45">
        <f t="shared" si="318"/>
        <v>0.125</v>
      </c>
      <c r="M999" s="45">
        <f t="shared" si="319"/>
        <v>0.125</v>
      </c>
      <c r="N999" s="45">
        <f t="shared" si="320"/>
        <v>0.125</v>
      </c>
      <c r="O999" s="45">
        <f t="shared" si="321"/>
        <v>0.125</v>
      </c>
      <c r="P999" s="45">
        <f t="shared" si="322"/>
        <v>0</v>
      </c>
      <c r="Q999" s="45">
        <f t="shared" si="323"/>
        <v>0</v>
      </c>
      <c r="R999" s="45">
        <f t="shared" si="324"/>
        <v>0.125</v>
      </c>
      <c r="S999" s="45">
        <f t="shared" si="325"/>
        <v>0.125</v>
      </c>
      <c r="T999" s="45">
        <f t="shared" si="326"/>
        <v>0.125</v>
      </c>
    </row>
    <row r="1000" spans="1:20" x14ac:dyDescent="0.3">
      <c r="A1000">
        <f t="shared" si="307"/>
        <v>1</v>
      </c>
      <c r="B1000">
        <f t="shared" si="308"/>
        <v>1</v>
      </c>
      <c r="C1000">
        <f t="shared" si="309"/>
        <v>1</v>
      </c>
      <c r="D1000">
        <f t="shared" si="310"/>
        <v>1</v>
      </c>
      <c r="E1000">
        <f t="shared" si="311"/>
        <v>1</v>
      </c>
      <c r="F1000">
        <f t="shared" si="312"/>
        <v>0</v>
      </c>
      <c r="G1000">
        <f t="shared" si="313"/>
        <v>1</v>
      </c>
      <c r="H1000">
        <f t="shared" si="314"/>
        <v>0</v>
      </c>
      <c r="I1000">
        <f t="shared" si="315"/>
        <v>0</v>
      </c>
      <c r="J1000">
        <f t="shared" si="316"/>
        <v>0</v>
      </c>
      <c r="K1000" s="45">
        <f t="shared" si="317"/>
        <v>0.16666666666666666</v>
      </c>
      <c r="L1000" s="45">
        <f t="shared" si="318"/>
        <v>0.16666666666666666</v>
      </c>
      <c r="M1000" s="45">
        <f t="shared" si="319"/>
        <v>0.16666666666666666</v>
      </c>
      <c r="N1000" s="45">
        <f t="shared" si="320"/>
        <v>0.16666666666666666</v>
      </c>
      <c r="O1000" s="45">
        <f t="shared" si="321"/>
        <v>0.16666666666666666</v>
      </c>
      <c r="P1000" s="45">
        <f t="shared" si="322"/>
        <v>0</v>
      </c>
      <c r="Q1000" s="45">
        <f t="shared" si="323"/>
        <v>0.16666666666666666</v>
      </c>
      <c r="R1000" s="45">
        <f t="shared" si="324"/>
        <v>0</v>
      </c>
      <c r="S1000" s="45">
        <f t="shared" si="325"/>
        <v>0</v>
      </c>
      <c r="T1000" s="45">
        <f t="shared" si="326"/>
        <v>0</v>
      </c>
    </row>
    <row r="1001" spans="1:20" x14ac:dyDescent="0.3">
      <c r="A1001">
        <f t="shared" si="307"/>
        <v>1</v>
      </c>
      <c r="B1001">
        <f t="shared" si="308"/>
        <v>1</v>
      </c>
      <c r="C1001">
        <f t="shared" si="309"/>
        <v>1</v>
      </c>
      <c r="D1001">
        <f t="shared" si="310"/>
        <v>1</v>
      </c>
      <c r="E1001">
        <f t="shared" si="311"/>
        <v>1</v>
      </c>
      <c r="F1001">
        <f t="shared" si="312"/>
        <v>0</v>
      </c>
      <c r="G1001">
        <f t="shared" si="313"/>
        <v>1</v>
      </c>
      <c r="H1001">
        <f t="shared" si="314"/>
        <v>0</v>
      </c>
      <c r="I1001">
        <f t="shared" si="315"/>
        <v>0</v>
      </c>
      <c r="J1001">
        <f t="shared" si="316"/>
        <v>1</v>
      </c>
      <c r="K1001" s="45">
        <f t="shared" si="317"/>
        <v>0.14285714285714285</v>
      </c>
      <c r="L1001" s="45">
        <f t="shared" si="318"/>
        <v>0.14285714285714285</v>
      </c>
      <c r="M1001" s="45">
        <f t="shared" si="319"/>
        <v>0.14285714285714285</v>
      </c>
      <c r="N1001" s="45">
        <f t="shared" si="320"/>
        <v>0.14285714285714285</v>
      </c>
      <c r="O1001" s="45">
        <f t="shared" si="321"/>
        <v>0.14285714285714285</v>
      </c>
      <c r="P1001" s="45">
        <f t="shared" si="322"/>
        <v>0</v>
      </c>
      <c r="Q1001" s="45">
        <f t="shared" si="323"/>
        <v>0.14285714285714285</v>
      </c>
      <c r="R1001" s="45">
        <f t="shared" si="324"/>
        <v>0</v>
      </c>
      <c r="S1001" s="45">
        <f t="shared" si="325"/>
        <v>0</v>
      </c>
      <c r="T1001" s="45">
        <f t="shared" si="326"/>
        <v>0.14285714285714285</v>
      </c>
    </row>
    <row r="1002" spans="1:20" x14ac:dyDescent="0.3">
      <c r="A1002">
        <f t="shared" si="307"/>
        <v>1</v>
      </c>
      <c r="B1002">
        <f t="shared" si="308"/>
        <v>1</v>
      </c>
      <c r="C1002">
        <f t="shared" si="309"/>
        <v>1</v>
      </c>
      <c r="D1002">
        <f t="shared" si="310"/>
        <v>1</v>
      </c>
      <c r="E1002">
        <f t="shared" si="311"/>
        <v>1</v>
      </c>
      <c r="F1002">
        <f t="shared" si="312"/>
        <v>0</v>
      </c>
      <c r="G1002">
        <f t="shared" si="313"/>
        <v>1</v>
      </c>
      <c r="H1002">
        <f t="shared" si="314"/>
        <v>0</v>
      </c>
      <c r="I1002">
        <f t="shared" si="315"/>
        <v>1</v>
      </c>
      <c r="J1002">
        <f t="shared" si="316"/>
        <v>0</v>
      </c>
      <c r="K1002" s="45">
        <f t="shared" si="317"/>
        <v>0.14285714285714285</v>
      </c>
      <c r="L1002" s="45">
        <f t="shared" si="318"/>
        <v>0.14285714285714285</v>
      </c>
      <c r="M1002" s="45">
        <f t="shared" si="319"/>
        <v>0.14285714285714285</v>
      </c>
      <c r="N1002" s="45">
        <f t="shared" si="320"/>
        <v>0.14285714285714285</v>
      </c>
      <c r="O1002" s="45">
        <f t="shared" si="321"/>
        <v>0.14285714285714285</v>
      </c>
      <c r="P1002" s="45">
        <f t="shared" si="322"/>
        <v>0</v>
      </c>
      <c r="Q1002" s="45">
        <f t="shared" si="323"/>
        <v>0.14285714285714285</v>
      </c>
      <c r="R1002" s="45">
        <f t="shared" si="324"/>
        <v>0</v>
      </c>
      <c r="S1002" s="45">
        <f t="shared" si="325"/>
        <v>0.14285714285714285</v>
      </c>
      <c r="T1002" s="45">
        <f t="shared" si="326"/>
        <v>0</v>
      </c>
    </row>
    <row r="1003" spans="1:20" x14ac:dyDescent="0.3">
      <c r="A1003">
        <f t="shared" si="307"/>
        <v>1</v>
      </c>
      <c r="B1003">
        <f t="shared" si="308"/>
        <v>1</v>
      </c>
      <c r="C1003">
        <f t="shared" si="309"/>
        <v>1</v>
      </c>
      <c r="D1003">
        <f t="shared" si="310"/>
        <v>1</v>
      </c>
      <c r="E1003">
        <f t="shared" si="311"/>
        <v>1</v>
      </c>
      <c r="F1003">
        <f t="shared" si="312"/>
        <v>0</v>
      </c>
      <c r="G1003">
        <f t="shared" si="313"/>
        <v>1</v>
      </c>
      <c r="H1003">
        <f t="shared" si="314"/>
        <v>0</v>
      </c>
      <c r="I1003">
        <f t="shared" si="315"/>
        <v>1</v>
      </c>
      <c r="J1003">
        <f t="shared" si="316"/>
        <v>1</v>
      </c>
      <c r="K1003" s="45">
        <f t="shared" si="317"/>
        <v>0.125</v>
      </c>
      <c r="L1003" s="45">
        <f t="shared" si="318"/>
        <v>0.125</v>
      </c>
      <c r="M1003" s="45">
        <f t="shared" si="319"/>
        <v>0.125</v>
      </c>
      <c r="N1003" s="45">
        <f t="shared" si="320"/>
        <v>0.125</v>
      </c>
      <c r="O1003" s="45">
        <f t="shared" si="321"/>
        <v>0.125</v>
      </c>
      <c r="P1003" s="45">
        <f t="shared" si="322"/>
        <v>0</v>
      </c>
      <c r="Q1003" s="45">
        <f t="shared" si="323"/>
        <v>0.125</v>
      </c>
      <c r="R1003" s="45">
        <f t="shared" si="324"/>
        <v>0</v>
      </c>
      <c r="S1003" s="45">
        <f t="shared" si="325"/>
        <v>0.125</v>
      </c>
      <c r="T1003" s="45">
        <f t="shared" si="326"/>
        <v>0.125</v>
      </c>
    </row>
    <row r="1004" spans="1:20" x14ac:dyDescent="0.3">
      <c r="A1004">
        <f t="shared" si="307"/>
        <v>1</v>
      </c>
      <c r="B1004">
        <f t="shared" si="308"/>
        <v>1</v>
      </c>
      <c r="C1004">
        <f t="shared" si="309"/>
        <v>1</v>
      </c>
      <c r="D1004">
        <f t="shared" si="310"/>
        <v>1</v>
      </c>
      <c r="E1004">
        <f t="shared" si="311"/>
        <v>1</v>
      </c>
      <c r="F1004">
        <f t="shared" si="312"/>
        <v>0</v>
      </c>
      <c r="G1004">
        <f t="shared" si="313"/>
        <v>1</v>
      </c>
      <c r="H1004">
        <f t="shared" si="314"/>
        <v>1</v>
      </c>
      <c r="I1004">
        <f t="shared" si="315"/>
        <v>0</v>
      </c>
      <c r="J1004">
        <f t="shared" si="316"/>
        <v>0</v>
      </c>
      <c r="K1004" s="45">
        <f t="shared" si="317"/>
        <v>0.14285714285714285</v>
      </c>
      <c r="L1004" s="45">
        <f t="shared" si="318"/>
        <v>0.14285714285714285</v>
      </c>
      <c r="M1004" s="45">
        <f t="shared" si="319"/>
        <v>0.14285714285714285</v>
      </c>
      <c r="N1004" s="45">
        <f t="shared" si="320"/>
        <v>0.14285714285714285</v>
      </c>
      <c r="O1004" s="45">
        <f t="shared" si="321"/>
        <v>0.14285714285714285</v>
      </c>
      <c r="P1004" s="45">
        <f t="shared" si="322"/>
        <v>0</v>
      </c>
      <c r="Q1004" s="45">
        <f t="shared" si="323"/>
        <v>0.14285714285714285</v>
      </c>
      <c r="R1004" s="45">
        <f t="shared" si="324"/>
        <v>0.14285714285714285</v>
      </c>
      <c r="S1004" s="45">
        <f t="shared" si="325"/>
        <v>0</v>
      </c>
      <c r="T1004" s="45">
        <f t="shared" si="326"/>
        <v>0</v>
      </c>
    </row>
    <row r="1005" spans="1:20" x14ac:dyDescent="0.3">
      <c r="A1005">
        <f t="shared" si="307"/>
        <v>1</v>
      </c>
      <c r="B1005">
        <f t="shared" si="308"/>
        <v>1</v>
      </c>
      <c r="C1005">
        <f t="shared" si="309"/>
        <v>1</v>
      </c>
      <c r="D1005">
        <f t="shared" si="310"/>
        <v>1</v>
      </c>
      <c r="E1005">
        <f t="shared" si="311"/>
        <v>1</v>
      </c>
      <c r="F1005">
        <f t="shared" si="312"/>
        <v>0</v>
      </c>
      <c r="G1005">
        <f t="shared" si="313"/>
        <v>1</v>
      </c>
      <c r="H1005">
        <f t="shared" si="314"/>
        <v>1</v>
      </c>
      <c r="I1005">
        <f t="shared" si="315"/>
        <v>0</v>
      </c>
      <c r="J1005">
        <f t="shared" si="316"/>
        <v>1</v>
      </c>
      <c r="K1005" s="45">
        <f t="shared" si="317"/>
        <v>0.125</v>
      </c>
      <c r="L1005" s="45">
        <f t="shared" si="318"/>
        <v>0.125</v>
      </c>
      <c r="M1005" s="45">
        <f t="shared" si="319"/>
        <v>0.125</v>
      </c>
      <c r="N1005" s="45">
        <f t="shared" si="320"/>
        <v>0.125</v>
      </c>
      <c r="O1005" s="45">
        <f t="shared" si="321"/>
        <v>0.125</v>
      </c>
      <c r="P1005" s="45">
        <f t="shared" si="322"/>
        <v>0</v>
      </c>
      <c r="Q1005" s="45">
        <f t="shared" si="323"/>
        <v>0.125</v>
      </c>
      <c r="R1005" s="45">
        <f t="shared" si="324"/>
        <v>0.125</v>
      </c>
      <c r="S1005" s="45">
        <f t="shared" si="325"/>
        <v>0</v>
      </c>
      <c r="T1005" s="45">
        <f t="shared" si="326"/>
        <v>0.125</v>
      </c>
    </row>
    <row r="1006" spans="1:20" x14ac:dyDescent="0.3">
      <c r="A1006">
        <f t="shared" si="307"/>
        <v>1</v>
      </c>
      <c r="B1006">
        <f t="shared" si="308"/>
        <v>1</v>
      </c>
      <c r="C1006">
        <f t="shared" si="309"/>
        <v>1</v>
      </c>
      <c r="D1006">
        <f t="shared" si="310"/>
        <v>1</v>
      </c>
      <c r="E1006">
        <f t="shared" si="311"/>
        <v>1</v>
      </c>
      <c r="F1006">
        <f t="shared" si="312"/>
        <v>0</v>
      </c>
      <c r="G1006">
        <f t="shared" si="313"/>
        <v>1</v>
      </c>
      <c r="H1006">
        <f t="shared" si="314"/>
        <v>1</v>
      </c>
      <c r="I1006">
        <f t="shared" si="315"/>
        <v>1</v>
      </c>
      <c r="J1006">
        <f t="shared" si="316"/>
        <v>0</v>
      </c>
      <c r="K1006" s="45">
        <f t="shared" si="317"/>
        <v>0.125</v>
      </c>
      <c r="L1006" s="45">
        <f t="shared" si="318"/>
        <v>0.125</v>
      </c>
      <c r="M1006" s="45">
        <f t="shared" si="319"/>
        <v>0.125</v>
      </c>
      <c r="N1006" s="45">
        <f t="shared" si="320"/>
        <v>0.125</v>
      </c>
      <c r="O1006" s="45">
        <f t="shared" si="321"/>
        <v>0.125</v>
      </c>
      <c r="P1006" s="45">
        <f t="shared" si="322"/>
        <v>0</v>
      </c>
      <c r="Q1006" s="45">
        <f t="shared" si="323"/>
        <v>0.125</v>
      </c>
      <c r="R1006" s="45">
        <f t="shared" si="324"/>
        <v>0.125</v>
      </c>
      <c r="S1006" s="45">
        <f t="shared" si="325"/>
        <v>0.125</v>
      </c>
      <c r="T1006" s="45">
        <f t="shared" si="326"/>
        <v>0</v>
      </c>
    </row>
    <row r="1007" spans="1:20" x14ac:dyDescent="0.3">
      <c r="A1007">
        <f t="shared" si="307"/>
        <v>1</v>
      </c>
      <c r="B1007">
        <f t="shared" si="308"/>
        <v>1</v>
      </c>
      <c r="C1007">
        <f t="shared" si="309"/>
        <v>1</v>
      </c>
      <c r="D1007">
        <f t="shared" si="310"/>
        <v>1</v>
      </c>
      <c r="E1007">
        <f t="shared" si="311"/>
        <v>1</v>
      </c>
      <c r="F1007">
        <f t="shared" si="312"/>
        <v>0</v>
      </c>
      <c r="G1007">
        <f t="shared" si="313"/>
        <v>1</v>
      </c>
      <c r="H1007">
        <f t="shared" si="314"/>
        <v>1</v>
      </c>
      <c r="I1007">
        <f t="shared" si="315"/>
        <v>1</v>
      </c>
      <c r="J1007">
        <f t="shared" si="316"/>
        <v>1</v>
      </c>
      <c r="K1007" s="45">
        <f t="shared" si="317"/>
        <v>0.1111111111111111</v>
      </c>
      <c r="L1007" s="45">
        <f t="shared" si="318"/>
        <v>0.1111111111111111</v>
      </c>
      <c r="M1007" s="45">
        <f t="shared" si="319"/>
        <v>0.1111111111111111</v>
      </c>
      <c r="N1007" s="45">
        <f t="shared" si="320"/>
        <v>0.1111111111111111</v>
      </c>
      <c r="O1007" s="45">
        <f t="shared" si="321"/>
        <v>0.1111111111111111</v>
      </c>
      <c r="P1007" s="45">
        <f t="shared" si="322"/>
        <v>0</v>
      </c>
      <c r="Q1007" s="45">
        <f t="shared" si="323"/>
        <v>0.1111111111111111</v>
      </c>
      <c r="R1007" s="45">
        <f t="shared" si="324"/>
        <v>0.1111111111111111</v>
      </c>
      <c r="S1007" s="45">
        <f t="shared" si="325"/>
        <v>0.1111111111111111</v>
      </c>
      <c r="T1007" s="45">
        <f t="shared" si="326"/>
        <v>0.1111111111111111</v>
      </c>
    </row>
    <row r="1008" spans="1:20" x14ac:dyDescent="0.3">
      <c r="A1008">
        <f t="shared" si="307"/>
        <v>1</v>
      </c>
      <c r="B1008">
        <f t="shared" si="308"/>
        <v>1</v>
      </c>
      <c r="C1008">
        <f t="shared" si="309"/>
        <v>1</v>
      </c>
      <c r="D1008">
        <f t="shared" si="310"/>
        <v>1</v>
      </c>
      <c r="E1008">
        <f t="shared" si="311"/>
        <v>1</v>
      </c>
      <c r="F1008">
        <f t="shared" si="312"/>
        <v>1</v>
      </c>
      <c r="G1008">
        <f t="shared" si="313"/>
        <v>0</v>
      </c>
      <c r="H1008">
        <f t="shared" si="314"/>
        <v>0</v>
      </c>
      <c r="I1008">
        <f t="shared" si="315"/>
        <v>0</v>
      </c>
      <c r="J1008">
        <f t="shared" si="316"/>
        <v>0</v>
      </c>
      <c r="K1008" s="45">
        <f t="shared" si="317"/>
        <v>0.16666666666666666</v>
      </c>
      <c r="L1008" s="45">
        <f t="shared" si="318"/>
        <v>0.16666666666666666</v>
      </c>
      <c r="M1008" s="45">
        <f t="shared" si="319"/>
        <v>0.16666666666666666</v>
      </c>
      <c r="N1008" s="45">
        <f t="shared" si="320"/>
        <v>0.16666666666666666</v>
      </c>
      <c r="O1008" s="45">
        <f t="shared" si="321"/>
        <v>0.16666666666666666</v>
      </c>
      <c r="P1008" s="45">
        <f t="shared" si="322"/>
        <v>0.16666666666666666</v>
      </c>
      <c r="Q1008" s="45">
        <f t="shared" si="323"/>
        <v>0</v>
      </c>
      <c r="R1008" s="45">
        <f t="shared" si="324"/>
        <v>0</v>
      </c>
      <c r="S1008" s="45">
        <f t="shared" si="325"/>
        <v>0</v>
      </c>
      <c r="T1008" s="45">
        <f t="shared" si="326"/>
        <v>0</v>
      </c>
    </row>
    <row r="1009" spans="1:20" x14ac:dyDescent="0.3">
      <c r="A1009">
        <f t="shared" si="307"/>
        <v>1</v>
      </c>
      <c r="B1009">
        <f t="shared" si="308"/>
        <v>1</v>
      </c>
      <c r="C1009">
        <f t="shared" si="309"/>
        <v>1</v>
      </c>
      <c r="D1009">
        <f t="shared" si="310"/>
        <v>1</v>
      </c>
      <c r="E1009">
        <f t="shared" si="311"/>
        <v>1</v>
      </c>
      <c r="F1009">
        <f t="shared" si="312"/>
        <v>1</v>
      </c>
      <c r="G1009">
        <f t="shared" si="313"/>
        <v>0</v>
      </c>
      <c r="H1009">
        <f t="shared" si="314"/>
        <v>0</v>
      </c>
      <c r="I1009">
        <f t="shared" si="315"/>
        <v>0</v>
      </c>
      <c r="J1009">
        <f t="shared" si="316"/>
        <v>1</v>
      </c>
      <c r="K1009" s="45">
        <f t="shared" si="317"/>
        <v>0.14285714285714285</v>
      </c>
      <c r="L1009" s="45">
        <f t="shared" si="318"/>
        <v>0.14285714285714285</v>
      </c>
      <c r="M1009" s="45">
        <f t="shared" si="319"/>
        <v>0.14285714285714285</v>
      </c>
      <c r="N1009" s="45">
        <f t="shared" si="320"/>
        <v>0.14285714285714285</v>
      </c>
      <c r="O1009" s="45">
        <f t="shared" si="321"/>
        <v>0.14285714285714285</v>
      </c>
      <c r="P1009" s="45">
        <f t="shared" si="322"/>
        <v>0.14285714285714285</v>
      </c>
      <c r="Q1009" s="45">
        <f t="shared" si="323"/>
        <v>0</v>
      </c>
      <c r="R1009" s="45">
        <f t="shared" si="324"/>
        <v>0</v>
      </c>
      <c r="S1009" s="45">
        <f t="shared" si="325"/>
        <v>0</v>
      </c>
      <c r="T1009" s="45">
        <f t="shared" si="326"/>
        <v>0.14285714285714285</v>
      </c>
    </row>
    <row r="1010" spans="1:20" x14ac:dyDescent="0.3">
      <c r="A1010">
        <f t="shared" si="307"/>
        <v>1</v>
      </c>
      <c r="B1010">
        <f t="shared" si="308"/>
        <v>1</v>
      </c>
      <c r="C1010">
        <f t="shared" si="309"/>
        <v>1</v>
      </c>
      <c r="D1010">
        <f t="shared" si="310"/>
        <v>1</v>
      </c>
      <c r="E1010">
        <f t="shared" si="311"/>
        <v>1</v>
      </c>
      <c r="F1010">
        <f t="shared" si="312"/>
        <v>1</v>
      </c>
      <c r="G1010">
        <f t="shared" si="313"/>
        <v>0</v>
      </c>
      <c r="H1010">
        <f t="shared" si="314"/>
        <v>0</v>
      </c>
      <c r="I1010">
        <f t="shared" si="315"/>
        <v>1</v>
      </c>
      <c r="J1010">
        <f t="shared" si="316"/>
        <v>0</v>
      </c>
      <c r="K1010" s="45">
        <f t="shared" si="317"/>
        <v>0.14285714285714285</v>
      </c>
      <c r="L1010" s="45">
        <f t="shared" si="318"/>
        <v>0.14285714285714285</v>
      </c>
      <c r="M1010" s="45">
        <f t="shared" si="319"/>
        <v>0.14285714285714285</v>
      </c>
      <c r="N1010" s="45">
        <f t="shared" si="320"/>
        <v>0.14285714285714285</v>
      </c>
      <c r="O1010" s="45">
        <f t="shared" si="321"/>
        <v>0.14285714285714285</v>
      </c>
      <c r="P1010" s="45">
        <f t="shared" si="322"/>
        <v>0.14285714285714285</v>
      </c>
      <c r="Q1010" s="45">
        <f t="shared" si="323"/>
        <v>0</v>
      </c>
      <c r="R1010" s="45">
        <f t="shared" si="324"/>
        <v>0</v>
      </c>
      <c r="S1010" s="45">
        <f t="shared" si="325"/>
        <v>0.14285714285714285</v>
      </c>
      <c r="T1010" s="45">
        <f t="shared" si="326"/>
        <v>0</v>
      </c>
    </row>
    <row r="1011" spans="1:20" x14ac:dyDescent="0.3">
      <c r="A1011">
        <f t="shared" si="307"/>
        <v>1</v>
      </c>
      <c r="B1011">
        <f t="shared" si="308"/>
        <v>1</v>
      </c>
      <c r="C1011">
        <f t="shared" si="309"/>
        <v>1</v>
      </c>
      <c r="D1011">
        <f t="shared" si="310"/>
        <v>1</v>
      </c>
      <c r="E1011">
        <f t="shared" si="311"/>
        <v>1</v>
      </c>
      <c r="F1011">
        <f t="shared" si="312"/>
        <v>1</v>
      </c>
      <c r="G1011">
        <f t="shared" si="313"/>
        <v>0</v>
      </c>
      <c r="H1011">
        <f t="shared" si="314"/>
        <v>0</v>
      </c>
      <c r="I1011">
        <f t="shared" si="315"/>
        <v>1</v>
      </c>
      <c r="J1011">
        <f t="shared" si="316"/>
        <v>1</v>
      </c>
      <c r="K1011" s="45">
        <f t="shared" si="317"/>
        <v>0.125</v>
      </c>
      <c r="L1011" s="45">
        <f t="shared" si="318"/>
        <v>0.125</v>
      </c>
      <c r="M1011" s="45">
        <f t="shared" si="319"/>
        <v>0.125</v>
      </c>
      <c r="N1011" s="45">
        <f t="shared" si="320"/>
        <v>0.125</v>
      </c>
      <c r="O1011" s="45">
        <f t="shared" si="321"/>
        <v>0.125</v>
      </c>
      <c r="P1011" s="45">
        <f t="shared" si="322"/>
        <v>0.125</v>
      </c>
      <c r="Q1011" s="45">
        <f t="shared" si="323"/>
        <v>0</v>
      </c>
      <c r="R1011" s="45">
        <f t="shared" si="324"/>
        <v>0</v>
      </c>
      <c r="S1011" s="45">
        <f t="shared" si="325"/>
        <v>0.125</v>
      </c>
      <c r="T1011" s="45">
        <f t="shared" si="326"/>
        <v>0.125</v>
      </c>
    </row>
    <row r="1012" spans="1:20" x14ac:dyDescent="0.3">
      <c r="A1012">
        <f t="shared" si="307"/>
        <v>1</v>
      </c>
      <c r="B1012">
        <f t="shared" si="308"/>
        <v>1</v>
      </c>
      <c r="C1012">
        <f t="shared" si="309"/>
        <v>1</v>
      </c>
      <c r="D1012">
        <f t="shared" si="310"/>
        <v>1</v>
      </c>
      <c r="E1012">
        <f t="shared" si="311"/>
        <v>1</v>
      </c>
      <c r="F1012">
        <f t="shared" si="312"/>
        <v>1</v>
      </c>
      <c r="G1012">
        <f t="shared" si="313"/>
        <v>0</v>
      </c>
      <c r="H1012">
        <f t="shared" si="314"/>
        <v>1</v>
      </c>
      <c r="I1012">
        <f t="shared" si="315"/>
        <v>0</v>
      </c>
      <c r="J1012">
        <f t="shared" si="316"/>
        <v>0</v>
      </c>
      <c r="K1012" s="45">
        <f t="shared" si="317"/>
        <v>0.14285714285714285</v>
      </c>
      <c r="L1012" s="45">
        <f t="shared" si="318"/>
        <v>0.14285714285714285</v>
      </c>
      <c r="M1012" s="45">
        <f t="shared" si="319"/>
        <v>0.14285714285714285</v>
      </c>
      <c r="N1012" s="45">
        <f t="shared" si="320"/>
        <v>0.14285714285714285</v>
      </c>
      <c r="O1012" s="45">
        <f t="shared" si="321"/>
        <v>0.14285714285714285</v>
      </c>
      <c r="P1012" s="45">
        <f t="shared" si="322"/>
        <v>0.14285714285714285</v>
      </c>
      <c r="Q1012" s="45">
        <f t="shared" si="323"/>
        <v>0</v>
      </c>
      <c r="R1012" s="45">
        <f t="shared" si="324"/>
        <v>0.14285714285714285</v>
      </c>
      <c r="S1012" s="45">
        <f t="shared" si="325"/>
        <v>0</v>
      </c>
      <c r="T1012" s="45">
        <f t="shared" si="326"/>
        <v>0</v>
      </c>
    </row>
    <row r="1013" spans="1:20" x14ac:dyDescent="0.3">
      <c r="A1013">
        <f t="shared" si="307"/>
        <v>1</v>
      </c>
      <c r="B1013">
        <f t="shared" si="308"/>
        <v>1</v>
      </c>
      <c r="C1013">
        <f t="shared" si="309"/>
        <v>1</v>
      </c>
      <c r="D1013">
        <f t="shared" si="310"/>
        <v>1</v>
      </c>
      <c r="E1013">
        <f t="shared" si="311"/>
        <v>1</v>
      </c>
      <c r="F1013">
        <f t="shared" si="312"/>
        <v>1</v>
      </c>
      <c r="G1013">
        <f t="shared" si="313"/>
        <v>0</v>
      </c>
      <c r="H1013">
        <f t="shared" si="314"/>
        <v>1</v>
      </c>
      <c r="I1013">
        <f t="shared" si="315"/>
        <v>0</v>
      </c>
      <c r="J1013">
        <f t="shared" si="316"/>
        <v>1</v>
      </c>
      <c r="K1013" s="45">
        <f t="shared" si="317"/>
        <v>0.125</v>
      </c>
      <c r="L1013" s="45">
        <f t="shared" si="318"/>
        <v>0.125</v>
      </c>
      <c r="M1013" s="45">
        <f t="shared" si="319"/>
        <v>0.125</v>
      </c>
      <c r="N1013" s="45">
        <f t="shared" si="320"/>
        <v>0.125</v>
      </c>
      <c r="O1013" s="45">
        <f t="shared" si="321"/>
        <v>0.125</v>
      </c>
      <c r="P1013" s="45">
        <f t="shared" si="322"/>
        <v>0.125</v>
      </c>
      <c r="Q1013" s="45">
        <f t="shared" si="323"/>
        <v>0</v>
      </c>
      <c r="R1013" s="45">
        <f t="shared" si="324"/>
        <v>0.125</v>
      </c>
      <c r="S1013" s="45">
        <f t="shared" si="325"/>
        <v>0</v>
      </c>
      <c r="T1013" s="45">
        <f t="shared" si="326"/>
        <v>0.125</v>
      </c>
    </row>
    <row r="1014" spans="1:20" x14ac:dyDescent="0.3">
      <c r="A1014">
        <f t="shared" si="307"/>
        <v>1</v>
      </c>
      <c r="B1014">
        <f t="shared" si="308"/>
        <v>1</v>
      </c>
      <c r="C1014">
        <f t="shared" si="309"/>
        <v>1</v>
      </c>
      <c r="D1014">
        <f t="shared" si="310"/>
        <v>1</v>
      </c>
      <c r="E1014">
        <f t="shared" si="311"/>
        <v>1</v>
      </c>
      <c r="F1014">
        <f t="shared" si="312"/>
        <v>1</v>
      </c>
      <c r="G1014">
        <f t="shared" si="313"/>
        <v>0</v>
      </c>
      <c r="H1014">
        <f t="shared" si="314"/>
        <v>1</v>
      </c>
      <c r="I1014">
        <f t="shared" si="315"/>
        <v>1</v>
      </c>
      <c r="J1014">
        <f t="shared" si="316"/>
        <v>0</v>
      </c>
      <c r="K1014" s="45">
        <f t="shared" si="317"/>
        <v>0.125</v>
      </c>
      <c r="L1014" s="45">
        <f t="shared" si="318"/>
        <v>0.125</v>
      </c>
      <c r="M1014" s="45">
        <f t="shared" si="319"/>
        <v>0.125</v>
      </c>
      <c r="N1014" s="45">
        <f t="shared" si="320"/>
        <v>0.125</v>
      </c>
      <c r="O1014" s="45">
        <f t="shared" si="321"/>
        <v>0.125</v>
      </c>
      <c r="P1014" s="45">
        <f t="shared" si="322"/>
        <v>0.125</v>
      </c>
      <c r="Q1014" s="45">
        <f t="shared" si="323"/>
        <v>0</v>
      </c>
      <c r="R1014" s="45">
        <f t="shared" si="324"/>
        <v>0.125</v>
      </c>
      <c r="S1014" s="45">
        <f t="shared" si="325"/>
        <v>0.125</v>
      </c>
      <c r="T1014" s="45">
        <f t="shared" si="326"/>
        <v>0</v>
      </c>
    </row>
    <row r="1015" spans="1:20" x14ac:dyDescent="0.3">
      <c r="A1015">
        <f t="shared" si="307"/>
        <v>1</v>
      </c>
      <c r="B1015">
        <f t="shared" si="308"/>
        <v>1</v>
      </c>
      <c r="C1015">
        <f t="shared" si="309"/>
        <v>1</v>
      </c>
      <c r="D1015">
        <f t="shared" si="310"/>
        <v>1</v>
      </c>
      <c r="E1015">
        <f t="shared" si="311"/>
        <v>1</v>
      </c>
      <c r="F1015">
        <f t="shared" si="312"/>
        <v>1</v>
      </c>
      <c r="G1015">
        <f t="shared" si="313"/>
        <v>0</v>
      </c>
      <c r="H1015">
        <f t="shared" si="314"/>
        <v>1</v>
      </c>
      <c r="I1015">
        <f t="shared" si="315"/>
        <v>1</v>
      </c>
      <c r="J1015">
        <f t="shared" si="316"/>
        <v>1</v>
      </c>
      <c r="K1015" s="45">
        <f t="shared" si="317"/>
        <v>0.1111111111111111</v>
      </c>
      <c r="L1015" s="45">
        <f t="shared" si="318"/>
        <v>0.1111111111111111</v>
      </c>
      <c r="M1015" s="45">
        <f t="shared" si="319"/>
        <v>0.1111111111111111</v>
      </c>
      <c r="N1015" s="45">
        <f t="shared" si="320"/>
        <v>0.1111111111111111</v>
      </c>
      <c r="O1015" s="45">
        <f t="shared" si="321"/>
        <v>0.1111111111111111</v>
      </c>
      <c r="P1015" s="45">
        <f t="shared" si="322"/>
        <v>0.1111111111111111</v>
      </c>
      <c r="Q1015" s="45">
        <f t="shared" si="323"/>
        <v>0</v>
      </c>
      <c r="R1015" s="45">
        <f t="shared" si="324"/>
        <v>0.1111111111111111</v>
      </c>
      <c r="S1015" s="45">
        <f t="shared" si="325"/>
        <v>0.1111111111111111</v>
      </c>
      <c r="T1015" s="45">
        <f t="shared" si="326"/>
        <v>0.1111111111111111</v>
      </c>
    </row>
    <row r="1016" spans="1:20" x14ac:dyDescent="0.3">
      <c r="A1016">
        <f t="shared" si="307"/>
        <v>1</v>
      </c>
      <c r="B1016">
        <f t="shared" si="308"/>
        <v>1</v>
      </c>
      <c r="C1016">
        <f t="shared" si="309"/>
        <v>1</v>
      </c>
      <c r="D1016">
        <f t="shared" si="310"/>
        <v>1</v>
      </c>
      <c r="E1016">
        <f t="shared" si="311"/>
        <v>1</v>
      </c>
      <c r="F1016">
        <f t="shared" si="312"/>
        <v>1</v>
      </c>
      <c r="G1016">
        <f t="shared" si="313"/>
        <v>1</v>
      </c>
      <c r="H1016">
        <f t="shared" si="314"/>
        <v>0</v>
      </c>
      <c r="I1016">
        <f t="shared" si="315"/>
        <v>0</v>
      </c>
      <c r="J1016">
        <f t="shared" si="316"/>
        <v>0</v>
      </c>
      <c r="K1016" s="45">
        <f t="shared" si="317"/>
        <v>0.14285714285714285</v>
      </c>
      <c r="L1016" s="45">
        <f t="shared" si="318"/>
        <v>0.14285714285714285</v>
      </c>
      <c r="M1016" s="45">
        <f t="shared" si="319"/>
        <v>0.14285714285714285</v>
      </c>
      <c r="N1016" s="45">
        <f t="shared" si="320"/>
        <v>0.14285714285714285</v>
      </c>
      <c r="O1016" s="45">
        <f t="shared" si="321"/>
        <v>0.14285714285714285</v>
      </c>
      <c r="P1016" s="45">
        <f t="shared" si="322"/>
        <v>0.14285714285714285</v>
      </c>
      <c r="Q1016" s="45">
        <f t="shared" si="323"/>
        <v>0.14285714285714285</v>
      </c>
      <c r="R1016" s="45">
        <f t="shared" si="324"/>
        <v>0</v>
      </c>
      <c r="S1016" s="45">
        <f t="shared" si="325"/>
        <v>0</v>
      </c>
      <c r="T1016" s="45">
        <f t="shared" si="326"/>
        <v>0</v>
      </c>
    </row>
    <row r="1017" spans="1:20" x14ac:dyDescent="0.3">
      <c r="A1017">
        <f t="shared" si="307"/>
        <v>1</v>
      </c>
      <c r="B1017">
        <f t="shared" si="308"/>
        <v>1</v>
      </c>
      <c r="C1017">
        <f t="shared" si="309"/>
        <v>1</v>
      </c>
      <c r="D1017">
        <f t="shared" si="310"/>
        <v>1</v>
      </c>
      <c r="E1017">
        <f t="shared" si="311"/>
        <v>1</v>
      </c>
      <c r="F1017">
        <f t="shared" si="312"/>
        <v>1</v>
      </c>
      <c r="G1017">
        <f t="shared" si="313"/>
        <v>1</v>
      </c>
      <c r="H1017">
        <f t="shared" si="314"/>
        <v>0</v>
      </c>
      <c r="I1017">
        <f t="shared" si="315"/>
        <v>0</v>
      </c>
      <c r="J1017">
        <f t="shared" si="316"/>
        <v>1</v>
      </c>
      <c r="K1017" s="45">
        <f t="shared" si="317"/>
        <v>0.125</v>
      </c>
      <c r="L1017" s="45">
        <f t="shared" si="318"/>
        <v>0.125</v>
      </c>
      <c r="M1017" s="45">
        <f t="shared" si="319"/>
        <v>0.125</v>
      </c>
      <c r="N1017" s="45">
        <f t="shared" si="320"/>
        <v>0.125</v>
      </c>
      <c r="O1017" s="45">
        <f t="shared" si="321"/>
        <v>0.125</v>
      </c>
      <c r="P1017" s="45">
        <f t="shared" si="322"/>
        <v>0.125</v>
      </c>
      <c r="Q1017" s="45">
        <f t="shared" si="323"/>
        <v>0.125</v>
      </c>
      <c r="R1017" s="45">
        <f t="shared" si="324"/>
        <v>0</v>
      </c>
      <c r="S1017" s="45">
        <f t="shared" si="325"/>
        <v>0</v>
      </c>
      <c r="T1017" s="45">
        <f t="shared" si="326"/>
        <v>0.125</v>
      </c>
    </row>
    <row r="1018" spans="1:20" x14ac:dyDescent="0.3">
      <c r="A1018">
        <f t="shared" si="307"/>
        <v>1</v>
      </c>
      <c r="B1018">
        <f t="shared" si="308"/>
        <v>1</v>
      </c>
      <c r="C1018">
        <f t="shared" si="309"/>
        <v>1</v>
      </c>
      <c r="D1018">
        <f t="shared" si="310"/>
        <v>1</v>
      </c>
      <c r="E1018">
        <f t="shared" si="311"/>
        <v>1</v>
      </c>
      <c r="F1018">
        <f t="shared" si="312"/>
        <v>1</v>
      </c>
      <c r="G1018">
        <f t="shared" si="313"/>
        <v>1</v>
      </c>
      <c r="H1018">
        <f t="shared" si="314"/>
        <v>0</v>
      </c>
      <c r="I1018">
        <f t="shared" si="315"/>
        <v>1</v>
      </c>
      <c r="J1018">
        <f t="shared" si="316"/>
        <v>0</v>
      </c>
      <c r="K1018" s="45">
        <f t="shared" si="317"/>
        <v>0.125</v>
      </c>
      <c r="L1018" s="45">
        <f t="shared" si="318"/>
        <v>0.125</v>
      </c>
      <c r="M1018" s="45">
        <f t="shared" si="319"/>
        <v>0.125</v>
      </c>
      <c r="N1018" s="45">
        <f t="shared" si="320"/>
        <v>0.125</v>
      </c>
      <c r="O1018" s="45">
        <f t="shared" si="321"/>
        <v>0.125</v>
      </c>
      <c r="P1018" s="45">
        <f t="shared" si="322"/>
        <v>0.125</v>
      </c>
      <c r="Q1018" s="45">
        <f t="shared" si="323"/>
        <v>0.125</v>
      </c>
      <c r="R1018" s="45">
        <f t="shared" si="324"/>
        <v>0</v>
      </c>
      <c r="S1018" s="45">
        <f t="shared" si="325"/>
        <v>0.125</v>
      </c>
      <c r="T1018" s="45">
        <f t="shared" si="326"/>
        <v>0</v>
      </c>
    </row>
    <row r="1019" spans="1:20" x14ac:dyDescent="0.3">
      <c r="A1019">
        <f t="shared" si="307"/>
        <v>1</v>
      </c>
      <c r="B1019">
        <f t="shared" si="308"/>
        <v>1</v>
      </c>
      <c r="C1019">
        <f t="shared" si="309"/>
        <v>1</v>
      </c>
      <c r="D1019">
        <f t="shared" si="310"/>
        <v>1</v>
      </c>
      <c r="E1019">
        <f t="shared" si="311"/>
        <v>1</v>
      </c>
      <c r="F1019">
        <f t="shared" si="312"/>
        <v>1</v>
      </c>
      <c r="G1019">
        <f t="shared" si="313"/>
        <v>1</v>
      </c>
      <c r="H1019">
        <f t="shared" si="314"/>
        <v>0</v>
      </c>
      <c r="I1019">
        <f t="shared" si="315"/>
        <v>1</v>
      </c>
      <c r="J1019">
        <f t="shared" si="316"/>
        <v>1</v>
      </c>
      <c r="K1019" s="45">
        <f t="shared" si="317"/>
        <v>0.1111111111111111</v>
      </c>
      <c r="L1019" s="45">
        <f t="shared" si="318"/>
        <v>0.1111111111111111</v>
      </c>
      <c r="M1019" s="45">
        <f t="shared" si="319"/>
        <v>0.1111111111111111</v>
      </c>
      <c r="N1019" s="45">
        <f t="shared" si="320"/>
        <v>0.1111111111111111</v>
      </c>
      <c r="O1019" s="45">
        <f t="shared" si="321"/>
        <v>0.1111111111111111</v>
      </c>
      <c r="P1019" s="45">
        <f t="shared" si="322"/>
        <v>0.1111111111111111</v>
      </c>
      <c r="Q1019" s="45">
        <f t="shared" si="323"/>
        <v>0.1111111111111111</v>
      </c>
      <c r="R1019" s="45">
        <f t="shared" si="324"/>
        <v>0</v>
      </c>
      <c r="S1019" s="45">
        <f t="shared" si="325"/>
        <v>0.1111111111111111</v>
      </c>
      <c r="T1019" s="45">
        <f t="shared" si="326"/>
        <v>0.1111111111111111</v>
      </c>
    </row>
    <row r="1020" spans="1:20" x14ac:dyDescent="0.3">
      <c r="A1020">
        <f t="shared" si="307"/>
        <v>1</v>
      </c>
      <c r="B1020">
        <f t="shared" si="308"/>
        <v>1</v>
      </c>
      <c r="C1020">
        <f t="shared" si="309"/>
        <v>1</v>
      </c>
      <c r="D1020">
        <f t="shared" si="310"/>
        <v>1</v>
      </c>
      <c r="E1020">
        <f t="shared" si="311"/>
        <v>1</v>
      </c>
      <c r="F1020">
        <f t="shared" si="312"/>
        <v>1</v>
      </c>
      <c r="G1020">
        <f t="shared" si="313"/>
        <v>1</v>
      </c>
      <c r="H1020">
        <f t="shared" si="314"/>
        <v>1</v>
      </c>
      <c r="I1020">
        <f t="shared" si="315"/>
        <v>0</v>
      </c>
      <c r="J1020">
        <f t="shared" si="316"/>
        <v>0</v>
      </c>
      <c r="K1020" s="45">
        <f t="shared" si="317"/>
        <v>0.125</v>
      </c>
      <c r="L1020" s="45">
        <f t="shared" si="318"/>
        <v>0.125</v>
      </c>
      <c r="M1020" s="45">
        <f t="shared" si="319"/>
        <v>0.125</v>
      </c>
      <c r="N1020" s="45">
        <f t="shared" si="320"/>
        <v>0.125</v>
      </c>
      <c r="O1020" s="45">
        <f t="shared" si="321"/>
        <v>0.125</v>
      </c>
      <c r="P1020" s="45">
        <f t="shared" si="322"/>
        <v>0.125</v>
      </c>
      <c r="Q1020" s="45">
        <f t="shared" si="323"/>
        <v>0.125</v>
      </c>
      <c r="R1020" s="45">
        <f t="shared" si="324"/>
        <v>0.125</v>
      </c>
      <c r="S1020" s="45">
        <f t="shared" si="325"/>
        <v>0</v>
      </c>
      <c r="T1020" s="45">
        <f t="shared" si="326"/>
        <v>0</v>
      </c>
    </row>
    <row r="1021" spans="1:20" x14ac:dyDescent="0.3">
      <c r="A1021">
        <f t="shared" si="307"/>
        <v>1</v>
      </c>
      <c r="B1021">
        <f t="shared" si="308"/>
        <v>1</v>
      </c>
      <c r="C1021">
        <f t="shared" si="309"/>
        <v>1</v>
      </c>
      <c r="D1021">
        <f t="shared" si="310"/>
        <v>1</v>
      </c>
      <c r="E1021">
        <f t="shared" si="311"/>
        <v>1</v>
      </c>
      <c r="F1021">
        <f t="shared" si="312"/>
        <v>1</v>
      </c>
      <c r="G1021">
        <f t="shared" si="313"/>
        <v>1</v>
      </c>
      <c r="H1021">
        <f t="shared" si="314"/>
        <v>1</v>
      </c>
      <c r="I1021">
        <f t="shared" si="315"/>
        <v>0</v>
      </c>
      <c r="J1021">
        <f t="shared" si="316"/>
        <v>1</v>
      </c>
      <c r="K1021" s="45">
        <f t="shared" si="317"/>
        <v>0.1111111111111111</v>
      </c>
      <c r="L1021" s="45">
        <f t="shared" si="318"/>
        <v>0.1111111111111111</v>
      </c>
      <c r="M1021" s="45">
        <f t="shared" si="319"/>
        <v>0.1111111111111111</v>
      </c>
      <c r="N1021" s="45">
        <f t="shared" si="320"/>
        <v>0.1111111111111111</v>
      </c>
      <c r="O1021" s="45">
        <f t="shared" si="321"/>
        <v>0.1111111111111111</v>
      </c>
      <c r="P1021" s="45">
        <f t="shared" si="322"/>
        <v>0.1111111111111111</v>
      </c>
      <c r="Q1021" s="45">
        <f t="shared" si="323"/>
        <v>0.1111111111111111</v>
      </c>
      <c r="R1021" s="45">
        <f t="shared" si="324"/>
        <v>0.1111111111111111</v>
      </c>
      <c r="S1021" s="45">
        <f t="shared" si="325"/>
        <v>0</v>
      </c>
      <c r="T1021" s="45">
        <f t="shared" si="326"/>
        <v>0.1111111111111111</v>
      </c>
    </row>
    <row r="1022" spans="1:20" x14ac:dyDescent="0.3">
      <c r="A1022">
        <f t="shared" si="307"/>
        <v>1</v>
      </c>
      <c r="B1022">
        <f t="shared" si="308"/>
        <v>1</v>
      </c>
      <c r="C1022">
        <f t="shared" si="309"/>
        <v>1</v>
      </c>
      <c r="D1022">
        <f t="shared" si="310"/>
        <v>1</v>
      </c>
      <c r="E1022">
        <f t="shared" si="311"/>
        <v>1</v>
      </c>
      <c r="F1022">
        <f t="shared" si="312"/>
        <v>1</v>
      </c>
      <c r="G1022">
        <f t="shared" si="313"/>
        <v>1</v>
      </c>
      <c r="H1022">
        <f t="shared" si="314"/>
        <v>1</v>
      </c>
      <c r="I1022">
        <f t="shared" si="315"/>
        <v>1</v>
      </c>
      <c r="J1022">
        <f t="shared" si="316"/>
        <v>0</v>
      </c>
      <c r="K1022" s="45">
        <f t="shared" si="317"/>
        <v>0.1111111111111111</v>
      </c>
      <c r="L1022" s="45">
        <f t="shared" si="318"/>
        <v>0.1111111111111111</v>
      </c>
      <c r="M1022" s="45">
        <f t="shared" si="319"/>
        <v>0.1111111111111111</v>
      </c>
      <c r="N1022" s="45">
        <f t="shared" si="320"/>
        <v>0.1111111111111111</v>
      </c>
      <c r="O1022" s="45">
        <f t="shared" si="321"/>
        <v>0.1111111111111111</v>
      </c>
      <c r="P1022" s="45">
        <f t="shared" si="322"/>
        <v>0.1111111111111111</v>
      </c>
      <c r="Q1022" s="45">
        <f t="shared" si="323"/>
        <v>0.1111111111111111</v>
      </c>
      <c r="R1022" s="45">
        <f t="shared" si="324"/>
        <v>0.1111111111111111</v>
      </c>
      <c r="S1022" s="45">
        <f t="shared" si="325"/>
        <v>0.1111111111111111</v>
      </c>
      <c r="T1022" s="45">
        <f t="shared" si="326"/>
        <v>0</v>
      </c>
    </row>
    <row r="1023" spans="1:20" x14ac:dyDescent="0.3">
      <c r="A1023">
        <f t="shared" si="307"/>
        <v>1</v>
      </c>
      <c r="B1023">
        <f t="shared" si="308"/>
        <v>1</v>
      </c>
      <c r="C1023">
        <f t="shared" si="309"/>
        <v>1</v>
      </c>
      <c r="D1023">
        <f t="shared" si="310"/>
        <v>1</v>
      </c>
      <c r="E1023">
        <f t="shared" si="311"/>
        <v>1</v>
      </c>
      <c r="F1023">
        <f t="shared" si="312"/>
        <v>1</v>
      </c>
      <c r="G1023">
        <f t="shared" si="313"/>
        <v>1</v>
      </c>
      <c r="H1023">
        <f t="shared" si="314"/>
        <v>1</v>
      </c>
      <c r="I1023">
        <f t="shared" si="315"/>
        <v>1</v>
      </c>
      <c r="J1023">
        <f t="shared" si="316"/>
        <v>1</v>
      </c>
      <c r="K1023" s="45">
        <f t="shared" si="317"/>
        <v>0.1</v>
      </c>
      <c r="L1023" s="45">
        <f t="shared" si="318"/>
        <v>0.1</v>
      </c>
      <c r="M1023" s="45">
        <f t="shared" si="319"/>
        <v>0.1</v>
      </c>
      <c r="N1023" s="45">
        <f t="shared" si="320"/>
        <v>0.1</v>
      </c>
      <c r="O1023" s="45">
        <f t="shared" si="321"/>
        <v>0.1</v>
      </c>
      <c r="P1023" s="45">
        <f t="shared" si="322"/>
        <v>0.1</v>
      </c>
      <c r="Q1023" s="45">
        <f t="shared" si="323"/>
        <v>0.1</v>
      </c>
      <c r="R1023" s="45">
        <f t="shared" si="324"/>
        <v>0.1</v>
      </c>
      <c r="S1023" s="45">
        <f t="shared" si="325"/>
        <v>0.1</v>
      </c>
      <c r="T1023" s="45">
        <f t="shared" si="326"/>
        <v>0.1</v>
      </c>
    </row>
  </sheetData>
  <sortState xmlns:xlrd2="http://schemas.microsoft.com/office/spreadsheetml/2017/richdata2" ref="BA2:BC11">
    <sortCondition ref="BA2:BA11"/>
    <sortCondition ref="BB2:BB11"/>
    <sortCondition ref="BC2:BC11"/>
  </sortState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045CE9-91BC-4338-93B0-E74D810BE107}">
  <dimension ref="A1:C6"/>
  <sheetViews>
    <sheetView workbookViewId="0">
      <selection activeCell="L32" sqref="L32"/>
    </sheetView>
  </sheetViews>
  <sheetFormatPr defaultRowHeight="14.4" x14ac:dyDescent="0.3"/>
  <cols>
    <col min="2" max="3" width="8.88671875" style="31"/>
  </cols>
  <sheetData>
    <row r="1" spans="1:3" x14ac:dyDescent="0.3">
      <c r="A1">
        <v>0</v>
      </c>
      <c r="B1" s="31">
        <v>2</v>
      </c>
      <c r="C1" s="31">
        <f>1.00612*EXP(0.998735*A1)</f>
        <v>1.0061199999999999</v>
      </c>
    </row>
    <row r="2" spans="1:3" x14ac:dyDescent="0.3">
      <c r="A2">
        <v>1</v>
      </c>
      <c r="B2" s="31">
        <v>2.7</v>
      </c>
      <c r="C2" s="31">
        <f t="shared" ref="C2:C6" si="0">1.00612*EXP(0.998735*A2)</f>
        <v>2.7314602296613861</v>
      </c>
    </row>
    <row r="3" spans="1:3" x14ac:dyDescent="0.3">
      <c r="A3">
        <v>2</v>
      </c>
      <c r="B3" s="31">
        <v>7.4</v>
      </c>
      <c r="C3" s="31">
        <f t="shared" si="0"/>
        <v>7.4154921741162418</v>
      </c>
    </row>
    <row r="4" spans="1:3" x14ac:dyDescent="0.3">
      <c r="A4">
        <v>3</v>
      </c>
      <c r="B4" s="31">
        <v>20.100000000000001</v>
      </c>
      <c r="C4" s="31">
        <f t="shared" si="0"/>
        <v>20.131914639370812</v>
      </c>
    </row>
    <row r="5" spans="1:3" x14ac:dyDescent="0.3">
      <c r="A5">
        <v>4</v>
      </c>
      <c r="B5" s="31">
        <v>54.6</v>
      </c>
      <c r="C5" s="31">
        <f t="shared" si="0"/>
        <v>54.65503536792751</v>
      </c>
    </row>
    <row r="6" spans="1:3" x14ac:dyDescent="0.3">
      <c r="A6">
        <v>5</v>
      </c>
      <c r="B6" s="31">
        <v>148.4</v>
      </c>
      <c r="C6" s="31">
        <f t="shared" si="0"/>
        <v>148.37997004157609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1084EF-29ED-4EE1-B6C4-0FAED8C8681D}">
  <sheetPr codeName="Sheet3"/>
  <dimension ref="A1:S45"/>
  <sheetViews>
    <sheetView zoomScale="85" zoomScaleNormal="85" workbookViewId="0">
      <selection activeCell="R5" sqref="R5"/>
    </sheetView>
  </sheetViews>
  <sheetFormatPr defaultRowHeight="14.4" x14ac:dyDescent="0.3"/>
  <cols>
    <col min="12" max="12" width="2.88671875" customWidth="1"/>
    <col min="13" max="13" width="8.88671875" customWidth="1"/>
  </cols>
  <sheetData>
    <row r="1" spans="1:19" x14ac:dyDescent="0.3">
      <c r="B1" s="2" t="s">
        <v>28</v>
      </c>
    </row>
    <row r="2" spans="1:19" x14ac:dyDescent="0.3">
      <c r="B2" s="29" t="s">
        <v>19</v>
      </c>
      <c r="C2" s="28">
        <v>-1.5</v>
      </c>
      <c r="L2" s="17"/>
      <c r="N2" s="1"/>
    </row>
    <row r="3" spans="1:19" x14ac:dyDescent="0.3">
      <c r="B3" s="29" t="s">
        <v>20</v>
      </c>
      <c r="C3" s="28">
        <v>6.5</v>
      </c>
      <c r="N3" s="1"/>
    </row>
    <row r="4" spans="1:19" x14ac:dyDescent="0.3">
      <c r="A4" s="26"/>
      <c r="B4" s="30" t="s">
        <v>21</v>
      </c>
      <c r="C4" s="28">
        <v>-4</v>
      </c>
      <c r="D4" s="26"/>
      <c r="N4" s="1"/>
    </row>
    <row r="5" spans="1:19" ht="18" x14ac:dyDescent="0.3">
      <c r="A5" s="26"/>
      <c r="B5" s="30"/>
      <c r="C5" s="28"/>
      <c r="D5" s="26"/>
      <c r="N5" s="1"/>
      <c r="R5" s="38" t="s">
        <v>29</v>
      </c>
    </row>
    <row r="6" spans="1:19" ht="18" x14ac:dyDescent="0.3">
      <c r="A6" s="26"/>
      <c r="B6" s="37" t="s">
        <v>26</v>
      </c>
      <c r="C6" s="37" t="s">
        <v>27</v>
      </c>
      <c r="D6" s="26"/>
      <c r="E6" s="6"/>
      <c r="F6" s="6"/>
      <c r="G6" s="19"/>
      <c r="H6" s="6"/>
      <c r="L6" s="9"/>
      <c r="M6" s="9"/>
      <c r="P6" s="6"/>
      <c r="R6" s="38"/>
    </row>
    <row r="7" spans="1:19" ht="15.6" x14ac:dyDescent="0.3">
      <c r="B7" s="31">
        <v>1</v>
      </c>
      <c r="C7" s="32">
        <f t="shared" ref="C7:C17" si="0">a_2*B7^2+a_1*B7+a_0</f>
        <v>1</v>
      </c>
      <c r="D7" s="6"/>
      <c r="E7" s="27"/>
      <c r="G7" s="9"/>
      <c r="H7" s="9"/>
      <c r="L7" s="9"/>
      <c r="M7" s="9"/>
      <c r="R7" s="39"/>
    </row>
    <row r="8" spans="1:19" ht="15.6" x14ac:dyDescent="0.3">
      <c r="B8" s="31">
        <v>1.2</v>
      </c>
      <c r="C8" s="32">
        <f t="shared" si="0"/>
        <v>1.6399999999999997</v>
      </c>
      <c r="D8" s="9"/>
      <c r="E8" s="27"/>
      <c r="G8" s="9"/>
      <c r="H8" s="9"/>
      <c r="R8" s="39" t="s">
        <v>30</v>
      </c>
      <c r="S8" s="39" t="s">
        <v>31</v>
      </c>
    </row>
    <row r="9" spans="1:19" ht="15.6" x14ac:dyDescent="0.3">
      <c r="B9" s="31">
        <v>1.4</v>
      </c>
      <c r="C9" s="32">
        <f t="shared" si="0"/>
        <v>2.16</v>
      </c>
      <c r="D9" s="9"/>
      <c r="E9" s="27"/>
      <c r="G9" s="9"/>
      <c r="H9" s="9"/>
      <c r="R9" s="39" t="s">
        <v>32</v>
      </c>
      <c r="S9" s="39" t="s">
        <v>33</v>
      </c>
    </row>
    <row r="10" spans="1:19" ht="15.6" x14ac:dyDescent="0.3">
      <c r="B10" s="31">
        <v>1.6</v>
      </c>
      <c r="C10" s="32">
        <f t="shared" si="0"/>
        <v>2.5599999999999996</v>
      </c>
      <c r="D10" s="9"/>
      <c r="E10" s="27"/>
      <c r="G10" s="9"/>
      <c r="H10" s="9"/>
      <c r="R10" s="39" t="s">
        <v>34</v>
      </c>
      <c r="S10" s="39">
        <v>5</v>
      </c>
    </row>
    <row r="11" spans="1:19" ht="15.6" x14ac:dyDescent="0.3">
      <c r="B11" s="31">
        <v>1.8</v>
      </c>
      <c r="C11" s="32">
        <f t="shared" si="0"/>
        <v>2.8400000000000007</v>
      </c>
      <c r="D11" s="9"/>
      <c r="E11" s="27"/>
      <c r="G11" s="9"/>
      <c r="H11" s="9"/>
      <c r="R11" s="39" t="s">
        <v>35</v>
      </c>
      <c r="S11" s="39" t="s">
        <v>36</v>
      </c>
    </row>
    <row r="12" spans="1:19" ht="15.6" x14ac:dyDescent="0.3">
      <c r="B12" s="31">
        <v>2</v>
      </c>
      <c r="C12" s="32">
        <f t="shared" si="0"/>
        <v>3</v>
      </c>
      <c r="D12" s="9"/>
      <c r="E12" s="27"/>
      <c r="G12" s="9"/>
      <c r="H12" s="9"/>
      <c r="R12" s="39" t="s">
        <v>37</v>
      </c>
      <c r="S12" s="39">
        <v>2.0666666666666602</v>
      </c>
    </row>
    <row r="13" spans="1:19" x14ac:dyDescent="0.3">
      <c r="B13" s="31">
        <v>2.2000000000000002</v>
      </c>
      <c r="C13" s="32">
        <f t="shared" si="0"/>
        <v>3.0399999999999991</v>
      </c>
      <c r="D13" s="9"/>
    </row>
    <row r="14" spans="1:19" x14ac:dyDescent="0.3">
      <c r="B14" s="31">
        <v>2.4</v>
      </c>
      <c r="C14" s="32">
        <f t="shared" si="0"/>
        <v>2.9599999999999991</v>
      </c>
    </row>
    <row r="15" spans="1:19" x14ac:dyDescent="0.3">
      <c r="B15" s="31">
        <v>2.6</v>
      </c>
      <c r="C15" s="32">
        <f t="shared" si="0"/>
        <v>2.7600000000000016</v>
      </c>
    </row>
    <row r="16" spans="1:19" x14ac:dyDescent="0.3">
      <c r="B16" s="31">
        <v>2.8</v>
      </c>
      <c r="C16" s="32">
        <f t="shared" si="0"/>
        <v>2.4400000000000013</v>
      </c>
    </row>
    <row r="17" spans="2:4" x14ac:dyDescent="0.3">
      <c r="B17" s="31">
        <v>3</v>
      </c>
      <c r="C17" s="32">
        <f t="shared" si="0"/>
        <v>2</v>
      </c>
    </row>
    <row r="19" spans="2:4" x14ac:dyDescent="0.3">
      <c r="B19" s="34" t="s">
        <v>22</v>
      </c>
      <c r="C19" s="35" t="s">
        <v>23</v>
      </c>
      <c r="D19" s="35" t="s">
        <v>24</v>
      </c>
    </row>
    <row r="20" spans="2:4" x14ac:dyDescent="0.3">
      <c r="B20" s="34"/>
      <c r="C20" s="36">
        <f>31/15</f>
        <v>2.0666666666666669</v>
      </c>
      <c r="D20" s="34">
        <v>1.30666666666666</v>
      </c>
    </row>
    <row r="24" spans="2:4" x14ac:dyDescent="0.3">
      <c r="B24" s="33"/>
      <c r="C24" s="33"/>
    </row>
    <row r="25" spans="2:4" x14ac:dyDescent="0.3">
      <c r="B25" s="33"/>
      <c r="C25" s="33"/>
    </row>
    <row r="26" spans="2:4" x14ac:dyDescent="0.3">
      <c r="B26" s="33"/>
      <c r="C26" s="33"/>
    </row>
    <row r="27" spans="2:4" x14ac:dyDescent="0.3">
      <c r="B27" s="33"/>
      <c r="C27" s="33"/>
    </row>
    <row r="28" spans="2:4" x14ac:dyDescent="0.3">
      <c r="B28" s="33"/>
      <c r="C28" s="33"/>
    </row>
    <row r="29" spans="2:4" x14ac:dyDescent="0.3">
      <c r="B29" s="33"/>
      <c r="C29" s="33"/>
    </row>
    <row r="30" spans="2:4" x14ac:dyDescent="0.3">
      <c r="B30" s="33"/>
      <c r="C30" s="33"/>
    </row>
    <row r="31" spans="2:4" x14ac:dyDescent="0.3">
      <c r="B31" s="33"/>
      <c r="C31" s="33"/>
    </row>
    <row r="32" spans="2:4" x14ac:dyDescent="0.3">
      <c r="B32" s="33"/>
      <c r="C32" s="33"/>
    </row>
    <row r="33" spans="2:3" x14ac:dyDescent="0.3">
      <c r="B33" s="33"/>
      <c r="C33" s="33"/>
    </row>
    <row r="34" spans="2:3" x14ac:dyDescent="0.3">
      <c r="B34" s="33"/>
      <c r="C34" s="33"/>
    </row>
    <row r="35" spans="2:3" x14ac:dyDescent="0.3">
      <c r="B35" s="33"/>
      <c r="C35" s="33"/>
    </row>
    <row r="36" spans="2:3" x14ac:dyDescent="0.3">
      <c r="B36" s="33"/>
      <c r="C36" s="33"/>
    </row>
    <row r="37" spans="2:3" x14ac:dyDescent="0.3">
      <c r="B37" s="33"/>
      <c r="C37" s="33"/>
    </row>
    <row r="38" spans="2:3" x14ac:dyDescent="0.3">
      <c r="B38" s="33"/>
      <c r="C38" s="33"/>
    </row>
    <row r="39" spans="2:3" x14ac:dyDescent="0.3">
      <c r="B39" s="33"/>
      <c r="C39" s="33"/>
    </row>
    <row r="40" spans="2:3" x14ac:dyDescent="0.3">
      <c r="B40" s="33"/>
      <c r="C40" s="33"/>
    </row>
    <row r="41" spans="2:3" x14ac:dyDescent="0.3">
      <c r="B41" s="33"/>
      <c r="C41" s="33"/>
    </row>
    <row r="42" spans="2:3" x14ac:dyDescent="0.3">
      <c r="B42" s="33"/>
      <c r="C42" s="33"/>
    </row>
    <row r="43" spans="2:3" x14ac:dyDescent="0.3">
      <c r="B43" s="33"/>
      <c r="C43" s="33"/>
    </row>
    <row r="44" spans="2:3" x14ac:dyDescent="0.3">
      <c r="B44" s="33"/>
      <c r="C44" s="33"/>
    </row>
    <row r="45" spans="2:3" x14ac:dyDescent="0.3">
      <c r="B45" s="33"/>
      <c r="C45" s="33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4 Assets </vt:lpstr>
      <vt:lpstr>EffFrontier ChatGPT</vt:lpstr>
      <vt:lpstr>EffFrontier 4 Assets</vt:lpstr>
      <vt:lpstr>EffFrontier 4 Assets (2)</vt:lpstr>
      <vt:lpstr>OptimOnSmplxGrid 4 Assets</vt:lpstr>
      <vt:lpstr>Uniform Grid over the Simplex</vt:lpstr>
      <vt:lpstr>Pagmo NonLinFit</vt:lpstr>
      <vt:lpstr>Centroid</vt:lpstr>
      <vt:lpstr>Centroid!a_0</vt:lpstr>
      <vt:lpstr>Centroid!a_1</vt:lpstr>
      <vt:lpstr>Centroid!a_2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Sielmann</dc:creator>
  <cp:lastModifiedBy>Andy Sielmann</cp:lastModifiedBy>
  <dcterms:created xsi:type="dcterms:W3CDTF">2025-03-19T12:33:39Z</dcterms:created>
  <dcterms:modified xsi:type="dcterms:W3CDTF">2025-06-14T10:07:53Z</dcterms:modified>
</cp:coreProperties>
</file>